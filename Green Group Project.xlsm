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chm\Documents\"/>
    </mc:Choice>
  </mc:AlternateContent>
  <xr:revisionPtr revIDLastSave="0" documentId="13_ncr:3_{AF565DA0-092D-429F-9653-B51A27CA77CB}" xr6:coauthVersionLast="44" xr6:coauthVersionMax="45" xr10:uidLastSave="{00000000-0000-0000-0000-000000000000}"/>
  <bookViews>
    <workbookView xWindow="-98" yWindow="-98" windowWidth="22695" windowHeight="14595" firstSheet="1" activeTab="11" xr2:uid="{D8021652-045A-9041-AC24-56B89A52DF86}"/>
  </bookViews>
  <sheets>
    <sheet name="Data" sheetId="1" state="hidden" r:id="rId1"/>
    <sheet name="Batting Data" sheetId="6" r:id="rId2"/>
    <sheet name="Pitching Data" sheetId="5" r:id="rId3"/>
    <sheet name="Grouped Data" sheetId="13" state="hidden" r:id="rId4"/>
    <sheet name="MLBavg" sheetId="7" r:id="rId5"/>
    <sheet name="Calculations" sheetId="8" r:id="rId6"/>
    <sheet name="Team &amp; Year" sheetId="2" state="hidden" r:id="rId7"/>
    <sheet name="Pivot Hits" sheetId="3" state="hidden" r:id="rId8"/>
    <sheet name="Data Table" sheetId="11" state="hidden" r:id="rId9"/>
    <sheet name="Pivot Table" sheetId="12" state="hidden" r:id="rId10"/>
    <sheet name="DataTable" sheetId="10" state="hidden" r:id="rId11"/>
    <sheet name="Scoreboard" sheetId="4" r:id="rId12"/>
    <sheet name="Game Summary" sheetId="14" r:id="rId13"/>
  </sheets>
  <functionGroups builtInGroupCount="19"/>
  <externalReferences>
    <externalReference r:id="rId14"/>
  </externalReferences>
  <definedNames>
    <definedName name="allTeams">Data!$BD$2:$BD$33</definedName>
    <definedName name="Event">Data!$BD$37:$BD$43</definedName>
    <definedName name="_xlnm.Print_Area" localSheetId="11">Scoreboard!$B$2:$W$15</definedName>
    <definedName name="seasonYear">Data!$BE$2:$BE$20</definedName>
    <definedName name="TeamA">'Team &amp; Year'!$H$4</definedName>
    <definedName name="TeamB">'Team &amp; Year'!$H$10</definedName>
    <definedName name="TeamFinalProject" localSheetId="0">Data!$B$1:$AV$571</definedName>
    <definedName name="xvalues">Calculations!$D$2:$K$571</definedName>
    <definedName name="yvalues">Calculations!$L$2:$S$571</definedName>
    <definedName name="zvalues">MLBavg!$M$2:$T$20</definedName>
  </definedNames>
  <calcPr calcId="191029"/>
  <pivotCaches>
    <pivotCache cacheId="0" r:id="rId15"/>
    <pivotCache cacheId="1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4" i="4" l="1"/>
  <c r="W15" i="4"/>
  <c r="L20" i="4" l="1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19" i="4"/>
  <c r="F5" i="1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19" i="4"/>
  <c r="D6" i="14"/>
  <c r="D5" i="14"/>
  <c r="B181" i="4"/>
  <c r="B193" i="4"/>
  <c r="D88" i="4"/>
  <c r="B88" i="4" s="1"/>
  <c r="D89" i="4"/>
  <c r="B89" i="4" s="1"/>
  <c r="D90" i="4"/>
  <c r="B90" i="4" s="1"/>
  <c r="D91" i="4"/>
  <c r="B91" i="4" s="1"/>
  <c r="D92" i="4"/>
  <c r="B92" i="4" s="1"/>
  <c r="D93" i="4"/>
  <c r="B93" i="4" s="1"/>
  <c r="D94" i="4"/>
  <c r="B94" i="4" s="1"/>
  <c r="D95" i="4"/>
  <c r="B95" i="4" s="1"/>
  <c r="D96" i="4"/>
  <c r="B96" i="4" s="1"/>
  <c r="D97" i="4"/>
  <c r="B97" i="4" s="1"/>
  <c r="D98" i="4"/>
  <c r="B98" i="4" s="1"/>
  <c r="D99" i="4"/>
  <c r="B99" i="4" s="1"/>
  <c r="D100" i="4"/>
  <c r="B100" i="4" s="1"/>
  <c r="D101" i="4"/>
  <c r="B101" i="4" s="1"/>
  <c r="D102" i="4"/>
  <c r="B102" i="4" s="1"/>
  <c r="D103" i="4"/>
  <c r="B103" i="4" s="1"/>
  <c r="D104" i="4"/>
  <c r="B104" i="4" s="1"/>
  <c r="D105" i="4"/>
  <c r="B105" i="4" s="1"/>
  <c r="D106" i="4"/>
  <c r="B106" i="4" s="1"/>
  <c r="D107" i="4"/>
  <c r="B107" i="4" s="1"/>
  <c r="D108" i="4"/>
  <c r="B108" i="4" s="1"/>
  <c r="D109" i="4"/>
  <c r="B109" i="4" s="1"/>
  <c r="D110" i="4"/>
  <c r="B110" i="4" s="1"/>
  <c r="D111" i="4"/>
  <c r="B111" i="4" s="1"/>
  <c r="D112" i="4"/>
  <c r="B112" i="4" s="1"/>
  <c r="D113" i="4"/>
  <c r="B113" i="4" s="1"/>
  <c r="D114" i="4"/>
  <c r="B114" i="4" s="1"/>
  <c r="D115" i="4"/>
  <c r="B115" i="4" s="1"/>
  <c r="D116" i="4"/>
  <c r="B116" i="4" s="1"/>
  <c r="D117" i="4"/>
  <c r="B117" i="4" s="1"/>
  <c r="D118" i="4"/>
  <c r="B118" i="4" s="1"/>
  <c r="D119" i="4"/>
  <c r="B119" i="4" s="1"/>
  <c r="D120" i="4"/>
  <c r="B120" i="4" s="1"/>
  <c r="D121" i="4"/>
  <c r="B121" i="4" s="1"/>
  <c r="D122" i="4"/>
  <c r="B122" i="4" s="1"/>
  <c r="D123" i="4"/>
  <c r="B123" i="4" s="1"/>
  <c r="D124" i="4"/>
  <c r="B124" i="4" s="1"/>
  <c r="D125" i="4"/>
  <c r="B125" i="4" s="1"/>
  <c r="D126" i="4"/>
  <c r="B126" i="4" s="1"/>
  <c r="D127" i="4"/>
  <c r="B127" i="4" s="1"/>
  <c r="D128" i="4"/>
  <c r="B128" i="4" s="1"/>
  <c r="D129" i="4"/>
  <c r="B129" i="4" s="1"/>
  <c r="D130" i="4"/>
  <c r="B130" i="4" s="1"/>
  <c r="D131" i="4"/>
  <c r="B131" i="4" s="1"/>
  <c r="D132" i="4"/>
  <c r="B132" i="4" s="1"/>
  <c r="D133" i="4"/>
  <c r="B133" i="4" s="1"/>
  <c r="D134" i="4"/>
  <c r="B134" i="4" s="1"/>
  <c r="D135" i="4"/>
  <c r="B135" i="4" s="1"/>
  <c r="D136" i="4"/>
  <c r="B136" i="4" s="1"/>
  <c r="D137" i="4"/>
  <c r="B137" i="4" s="1"/>
  <c r="D138" i="4"/>
  <c r="B138" i="4" s="1"/>
  <c r="D139" i="4"/>
  <c r="B139" i="4" s="1"/>
  <c r="D140" i="4"/>
  <c r="B140" i="4" s="1"/>
  <c r="D141" i="4"/>
  <c r="B141" i="4" s="1"/>
  <c r="D142" i="4"/>
  <c r="B142" i="4" s="1"/>
  <c r="D143" i="4"/>
  <c r="B143" i="4" s="1"/>
  <c r="D144" i="4"/>
  <c r="B144" i="4" s="1"/>
  <c r="D145" i="4"/>
  <c r="B145" i="4" s="1"/>
  <c r="D146" i="4"/>
  <c r="B146" i="4" s="1"/>
  <c r="D147" i="4"/>
  <c r="B147" i="4" s="1"/>
  <c r="D148" i="4"/>
  <c r="B148" i="4" s="1"/>
  <c r="D149" i="4"/>
  <c r="B149" i="4" s="1"/>
  <c r="D150" i="4"/>
  <c r="B150" i="4" s="1"/>
  <c r="D151" i="4"/>
  <c r="B151" i="4" s="1"/>
  <c r="D152" i="4"/>
  <c r="B152" i="4" s="1"/>
  <c r="D153" i="4"/>
  <c r="B153" i="4" s="1"/>
  <c r="D154" i="4"/>
  <c r="B154" i="4" s="1"/>
  <c r="D155" i="4"/>
  <c r="B155" i="4" s="1"/>
  <c r="D156" i="4"/>
  <c r="B156" i="4" s="1"/>
  <c r="D157" i="4"/>
  <c r="B157" i="4" s="1"/>
  <c r="D158" i="4"/>
  <c r="B158" i="4" s="1"/>
  <c r="D159" i="4"/>
  <c r="B159" i="4" s="1"/>
  <c r="D160" i="4"/>
  <c r="B160" i="4" s="1"/>
  <c r="D161" i="4"/>
  <c r="B161" i="4" s="1"/>
  <c r="D162" i="4"/>
  <c r="B162" i="4" s="1"/>
  <c r="D163" i="4"/>
  <c r="B163" i="4" s="1"/>
  <c r="D164" i="4"/>
  <c r="B164" i="4" s="1"/>
  <c r="D165" i="4"/>
  <c r="B165" i="4" s="1"/>
  <c r="D166" i="4"/>
  <c r="B166" i="4" s="1"/>
  <c r="D167" i="4"/>
  <c r="B167" i="4" s="1"/>
  <c r="D168" i="4"/>
  <c r="B168" i="4" s="1"/>
  <c r="D169" i="4"/>
  <c r="B169" i="4" s="1"/>
  <c r="D170" i="4"/>
  <c r="B170" i="4" s="1"/>
  <c r="D171" i="4"/>
  <c r="B171" i="4" s="1"/>
  <c r="D172" i="4"/>
  <c r="B172" i="4" s="1"/>
  <c r="D173" i="4"/>
  <c r="B173" i="4" s="1"/>
  <c r="D174" i="4"/>
  <c r="B174" i="4" s="1"/>
  <c r="D175" i="4"/>
  <c r="B175" i="4" s="1"/>
  <c r="D176" i="4"/>
  <c r="B176" i="4" s="1"/>
  <c r="D177" i="4"/>
  <c r="B177" i="4" s="1"/>
  <c r="D178" i="4"/>
  <c r="B178" i="4" s="1"/>
  <c r="D179" i="4"/>
  <c r="B179" i="4" s="1"/>
  <c r="D180" i="4"/>
  <c r="B180" i="4" s="1"/>
  <c r="D181" i="4"/>
  <c r="D182" i="4"/>
  <c r="B182" i="4" s="1"/>
  <c r="D183" i="4"/>
  <c r="B183" i="4" s="1"/>
  <c r="D184" i="4"/>
  <c r="B184" i="4" s="1"/>
  <c r="D185" i="4"/>
  <c r="B185" i="4" s="1"/>
  <c r="D186" i="4"/>
  <c r="B186" i="4" s="1"/>
  <c r="D187" i="4"/>
  <c r="B187" i="4" s="1"/>
  <c r="D188" i="4"/>
  <c r="B188" i="4" s="1"/>
  <c r="D189" i="4"/>
  <c r="B189" i="4" s="1"/>
  <c r="D190" i="4"/>
  <c r="B190" i="4" s="1"/>
  <c r="D191" i="4"/>
  <c r="B191" i="4" s="1"/>
  <c r="D192" i="4"/>
  <c r="B192" i="4" s="1"/>
  <c r="D193" i="4"/>
  <c r="D194" i="4"/>
  <c r="B194" i="4" s="1"/>
  <c r="D195" i="4"/>
  <c r="B195" i="4" s="1"/>
  <c r="D196" i="4"/>
  <c r="B196" i="4" s="1"/>
  <c r="D197" i="4"/>
  <c r="B197" i="4" s="1"/>
  <c r="D198" i="4"/>
  <c r="B198" i="4" s="1"/>
  <c r="D199" i="4"/>
  <c r="B199" i="4" s="1"/>
  <c r="D200" i="4"/>
  <c r="B200" i="4" s="1"/>
  <c r="D201" i="4"/>
  <c r="B201" i="4" s="1"/>
  <c r="D202" i="4"/>
  <c r="B202" i="4" s="1"/>
  <c r="D203" i="4"/>
  <c r="B203" i="4" s="1"/>
  <c r="D204" i="4"/>
  <c r="B204" i="4" s="1"/>
  <c r="D205" i="4"/>
  <c r="B205" i="4" s="1"/>
  <c r="D20" i="4"/>
  <c r="B20" i="4" s="1"/>
  <c r="D21" i="4"/>
  <c r="B21" i="4" s="1"/>
  <c r="D22" i="4"/>
  <c r="B22" i="4" s="1"/>
  <c r="D23" i="4"/>
  <c r="B23" i="4" s="1"/>
  <c r="D24" i="4"/>
  <c r="B24" i="4" s="1"/>
  <c r="D25" i="4"/>
  <c r="B25" i="4" s="1"/>
  <c r="D26" i="4"/>
  <c r="B26" i="4" s="1"/>
  <c r="D27" i="4"/>
  <c r="B27" i="4" s="1"/>
  <c r="D28" i="4"/>
  <c r="B28" i="4" s="1"/>
  <c r="D29" i="4"/>
  <c r="B29" i="4" s="1"/>
  <c r="D30" i="4"/>
  <c r="B30" i="4" s="1"/>
  <c r="D31" i="4"/>
  <c r="B31" i="4" s="1"/>
  <c r="D32" i="4"/>
  <c r="B32" i="4" s="1"/>
  <c r="D33" i="4"/>
  <c r="B33" i="4" s="1"/>
  <c r="D34" i="4"/>
  <c r="B34" i="4" s="1"/>
  <c r="D35" i="4"/>
  <c r="B35" i="4" s="1"/>
  <c r="D36" i="4"/>
  <c r="B36" i="4" s="1"/>
  <c r="D37" i="4"/>
  <c r="B37" i="4" s="1"/>
  <c r="D38" i="4"/>
  <c r="B38" i="4" s="1"/>
  <c r="D39" i="4"/>
  <c r="B39" i="4" s="1"/>
  <c r="D40" i="4"/>
  <c r="B40" i="4" s="1"/>
  <c r="D41" i="4"/>
  <c r="B41" i="4" s="1"/>
  <c r="D42" i="4"/>
  <c r="B42" i="4" s="1"/>
  <c r="D43" i="4"/>
  <c r="B43" i="4" s="1"/>
  <c r="D44" i="4"/>
  <c r="B44" i="4" s="1"/>
  <c r="D45" i="4"/>
  <c r="B45" i="4" s="1"/>
  <c r="D46" i="4"/>
  <c r="B46" i="4" s="1"/>
  <c r="D47" i="4"/>
  <c r="B47" i="4" s="1"/>
  <c r="D48" i="4"/>
  <c r="B48" i="4" s="1"/>
  <c r="D49" i="4"/>
  <c r="B49" i="4" s="1"/>
  <c r="D50" i="4"/>
  <c r="B50" i="4" s="1"/>
  <c r="D51" i="4"/>
  <c r="B51" i="4" s="1"/>
  <c r="D52" i="4"/>
  <c r="B52" i="4" s="1"/>
  <c r="D53" i="4"/>
  <c r="B53" i="4" s="1"/>
  <c r="D54" i="4"/>
  <c r="B54" i="4" s="1"/>
  <c r="D55" i="4"/>
  <c r="B55" i="4" s="1"/>
  <c r="D56" i="4"/>
  <c r="B56" i="4" s="1"/>
  <c r="D57" i="4"/>
  <c r="B57" i="4" s="1"/>
  <c r="D58" i="4"/>
  <c r="B58" i="4" s="1"/>
  <c r="D59" i="4"/>
  <c r="B59" i="4" s="1"/>
  <c r="D60" i="4"/>
  <c r="B60" i="4" s="1"/>
  <c r="D61" i="4"/>
  <c r="B61" i="4" s="1"/>
  <c r="D62" i="4"/>
  <c r="B62" i="4" s="1"/>
  <c r="D63" i="4"/>
  <c r="B63" i="4" s="1"/>
  <c r="D64" i="4"/>
  <c r="B64" i="4" s="1"/>
  <c r="D65" i="4"/>
  <c r="B65" i="4" s="1"/>
  <c r="D66" i="4"/>
  <c r="B66" i="4" s="1"/>
  <c r="D67" i="4"/>
  <c r="B67" i="4" s="1"/>
  <c r="D68" i="4"/>
  <c r="B68" i="4" s="1"/>
  <c r="D69" i="4"/>
  <c r="B69" i="4" s="1"/>
  <c r="D70" i="4"/>
  <c r="B70" i="4" s="1"/>
  <c r="D71" i="4"/>
  <c r="B71" i="4" s="1"/>
  <c r="D72" i="4"/>
  <c r="B72" i="4" s="1"/>
  <c r="D73" i="4"/>
  <c r="B73" i="4" s="1"/>
  <c r="D74" i="4"/>
  <c r="B74" i="4" s="1"/>
  <c r="D75" i="4"/>
  <c r="B75" i="4" s="1"/>
  <c r="D76" i="4"/>
  <c r="B76" i="4" s="1"/>
  <c r="D77" i="4"/>
  <c r="B77" i="4" s="1"/>
  <c r="D78" i="4"/>
  <c r="B78" i="4" s="1"/>
  <c r="D79" i="4"/>
  <c r="B79" i="4" s="1"/>
  <c r="D80" i="4"/>
  <c r="B80" i="4" s="1"/>
  <c r="D81" i="4"/>
  <c r="B81" i="4" s="1"/>
  <c r="D82" i="4"/>
  <c r="B82" i="4" s="1"/>
  <c r="D83" i="4"/>
  <c r="B83" i="4" s="1"/>
  <c r="D84" i="4"/>
  <c r="B84" i="4" s="1"/>
  <c r="D85" i="4"/>
  <c r="B85" i="4" s="1"/>
  <c r="D86" i="4"/>
  <c r="B86" i="4" s="1"/>
  <c r="D87" i="4"/>
  <c r="B87" i="4" s="1"/>
  <c r="D19" i="4"/>
  <c r="B19" i="4" s="1"/>
  <c r="C5" i="14"/>
  <c r="B5" i="14" s="1"/>
  <c r="D7" i="14" l="1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B3" i="14"/>
  <c r="E3" i="14"/>
  <c r="F6" i="14" l="1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E213" i="14"/>
  <c r="D4" i="14"/>
  <c r="F4" i="14"/>
  <c r="C6" i="14"/>
  <c r="B6" i="14" s="1"/>
  <c r="C7" i="14"/>
  <c r="B7" i="14" s="1"/>
  <c r="C8" i="14"/>
  <c r="B8" i="14" s="1"/>
  <c r="C9" i="14"/>
  <c r="B9" i="14" s="1"/>
  <c r="C10" i="14"/>
  <c r="B10" i="14" s="1"/>
  <c r="C11" i="14"/>
  <c r="B11" i="14" s="1"/>
  <c r="C12" i="14"/>
  <c r="B12" i="14" s="1"/>
  <c r="C13" i="14"/>
  <c r="B13" i="14" s="1"/>
  <c r="C14" i="14"/>
  <c r="B14" i="14" s="1"/>
  <c r="C15" i="14"/>
  <c r="B15" i="14" s="1"/>
  <c r="C16" i="14"/>
  <c r="B16" i="14" s="1"/>
  <c r="C17" i="14"/>
  <c r="B17" i="14" s="1"/>
  <c r="C18" i="14"/>
  <c r="B18" i="14" s="1"/>
  <c r="C19" i="14"/>
  <c r="B19" i="14" s="1"/>
  <c r="C20" i="14"/>
  <c r="B20" i="14" s="1"/>
  <c r="C21" i="14"/>
  <c r="B21" i="14" s="1"/>
  <c r="C22" i="14"/>
  <c r="B22" i="14" s="1"/>
  <c r="C23" i="14"/>
  <c r="B23" i="14" s="1"/>
  <c r="C24" i="14"/>
  <c r="B24" i="14" s="1"/>
  <c r="C25" i="14"/>
  <c r="B25" i="14" s="1"/>
  <c r="C26" i="14"/>
  <c r="B26" i="14" s="1"/>
  <c r="C27" i="14"/>
  <c r="B27" i="14" s="1"/>
  <c r="C28" i="14"/>
  <c r="B28" i="14" s="1"/>
  <c r="C29" i="14"/>
  <c r="B29" i="14" s="1"/>
  <c r="C30" i="14"/>
  <c r="B30" i="14" s="1"/>
  <c r="C31" i="14"/>
  <c r="B31" i="14" s="1"/>
  <c r="C32" i="14"/>
  <c r="B32" i="14" s="1"/>
  <c r="C33" i="14"/>
  <c r="B33" i="14" s="1"/>
  <c r="C34" i="14"/>
  <c r="B34" i="14" s="1"/>
  <c r="C35" i="14"/>
  <c r="B35" i="14" s="1"/>
  <c r="C36" i="14"/>
  <c r="B36" i="14" s="1"/>
  <c r="C37" i="14"/>
  <c r="B37" i="14" s="1"/>
  <c r="C38" i="14"/>
  <c r="B38" i="14" s="1"/>
  <c r="C39" i="14"/>
  <c r="B39" i="14" s="1"/>
  <c r="C40" i="14"/>
  <c r="B40" i="14" s="1"/>
  <c r="C41" i="14"/>
  <c r="B41" i="14" s="1"/>
  <c r="C42" i="14"/>
  <c r="B42" i="14" s="1"/>
  <c r="C43" i="14"/>
  <c r="B43" i="14" s="1"/>
  <c r="C44" i="14"/>
  <c r="B44" i="14" s="1"/>
  <c r="C45" i="14"/>
  <c r="B45" i="14" s="1"/>
  <c r="C46" i="14"/>
  <c r="B46" i="14" s="1"/>
  <c r="C47" i="14"/>
  <c r="B47" i="14" s="1"/>
  <c r="C48" i="14"/>
  <c r="B48" i="14" s="1"/>
  <c r="C49" i="14"/>
  <c r="B49" i="14" s="1"/>
  <c r="C50" i="14"/>
  <c r="B50" i="14" s="1"/>
  <c r="C51" i="14"/>
  <c r="B51" i="14" s="1"/>
  <c r="C52" i="14"/>
  <c r="B52" i="14" s="1"/>
  <c r="C53" i="14"/>
  <c r="B53" i="14" s="1"/>
  <c r="C54" i="14"/>
  <c r="B54" i="14" s="1"/>
  <c r="C55" i="14"/>
  <c r="B55" i="14" s="1"/>
  <c r="C56" i="14"/>
  <c r="B56" i="14" s="1"/>
  <c r="C57" i="14"/>
  <c r="B57" i="14" s="1"/>
  <c r="C58" i="14"/>
  <c r="B58" i="14" s="1"/>
  <c r="C59" i="14"/>
  <c r="B59" i="14" s="1"/>
  <c r="C60" i="14"/>
  <c r="B60" i="14" s="1"/>
  <c r="C61" i="14"/>
  <c r="B61" i="14" s="1"/>
  <c r="C62" i="14"/>
  <c r="B62" i="14" s="1"/>
  <c r="C63" i="14"/>
  <c r="B63" i="14" s="1"/>
  <c r="C64" i="14"/>
  <c r="B64" i="14" s="1"/>
  <c r="C65" i="14"/>
  <c r="B65" i="14" s="1"/>
  <c r="C66" i="14"/>
  <c r="B66" i="14" s="1"/>
  <c r="C67" i="14"/>
  <c r="B67" i="14" s="1"/>
  <c r="C68" i="14"/>
  <c r="B68" i="14" s="1"/>
  <c r="C69" i="14"/>
  <c r="B69" i="14" s="1"/>
  <c r="C70" i="14"/>
  <c r="B70" i="14" s="1"/>
  <c r="C71" i="14"/>
  <c r="B71" i="14" s="1"/>
  <c r="C72" i="14"/>
  <c r="B72" i="14" s="1"/>
  <c r="C73" i="14"/>
  <c r="B73" i="14" s="1"/>
  <c r="C74" i="14"/>
  <c r="B74" i="14" s="1"/>
  <c r="C75" i="14"/>
  <c r="B75" i="14" s="1"/>
  <c r="C76" i="14"/>
  <c r="B76" i="14" s="1"/>
  <c r="C77" i="14"/>
  <c r="B77" i="14" s="1"/>
  <c r="C78" i="14"/>
  <c r="B78" i="14" s="1"/>
  <c r="C79" i="14"/>
  <c r="B79" i="14" s="1"/>
  <c r="C80" i="14"/>
  <c r="B80" i="14" s="1"/>
  <c r="C81" i="14"/>
  <c r="B81" i="14" s="1"/>
  <c r="C82" i="14"/>
  <c r="B82" i="14" s="1"/>
  <c r="C83" i="14"/>
  <c r="B83" i="14" s="1"/>
  <c r="C84" i="14"/>
  <c r="B84" i="14" s="1"/>
  <c r="C85" i="14"/>
  <c r="B85" i="14" s="1"/>
  <c r="C86" i="14"/>
  <c r="B86" i="14" s="1"/>
  <c r="C87" i="14"/>
  <c r="B87" i="14" s="1"/>
  <c r="C88" i="14"/>
  <c r="B88" i="14" s="1"/>
  <c r="C89" i="14"/>
  <c r="B89" i="14" s="1"/>
  <c r="C90" i="14"/>
  <c r="B90" i="14" s="1"/>
  <c r="C91" i="14"/>
  <c r="B91" i="14" s="1"/>
  <c r="C92" i="14"/>
  <c r="B92" i="14" s="1"/>
  <c r="C93" i="14"/>
  <c r="B93" i="14" s="1"/>
  <c r="C94" i="14"/>
  <c r="B94" i="14" s="1"/>
  <c r="C95" i="14"/>
  <c r="B95" i="14" s="1"/>
  <c r="C96" i="14"/>
  <c r="B96" i="14" s="1"/>
  <c r="C97" i="14"/>
  <c r="B97" i="14" s="1"/>
  <c r="C98" i="14"/>
  <c r="B98" i="14" s="1"/>
  <c r="C99" i="14"/>
  <c r="B99" i="14" s="1"/>
  <c r="C100" i="14"/>
  <c r="B100" i="14" s="1"/>
  <c r="C101" i="14"/>
  <c r="B101" i="14" s="1"/>
  <c r="C102" i="14"/>
  <c r="B102" i="14" s="1"/>
  <c r="C103" i="14"/>
  <c r="B103" i="14" s="1"/>
  <c r="C104" i="14"/>
  <c r="B104" i="14" s="1"/>
  <c r="C105" i="14"/>
  <c r="B105" i="14" s="1"/>
  <c r="C106" i="14"/>
  <c r="B106" i="14" s="1"/>
  <c r="C107" i="14"/>
  <c r="B107" i="14" s="1"/>
  <c r="C108" i="14"/>
  <c r="B108" i="14" s="1"/>
  <c r="C109" i="14"/>
  <c r="B109" i="14" s="1"/>
  <c r="C110" i="14"/>
  <c r="B110" i="14" s="1"/>
  <c r="C111" i="14"/>
  <c r="B111" i="14" s="1"/>
  <c r="C112" i="14"/>
  <c r="B112" i="14" s="1"/>
  <c r="C113" i="14"/>
  <c r="B113" i="14" s="1"/>
  <c r="C114" i="14"/>
  <c r="B114" i="14" s="1"/>
  <c r="C115" i="14"/>
  <c r="B115" i="14" s="1"/>
  <c r="C116" i="14"/>
  <c r="B116" i="14" s="1"/>
  <c r="C117" i="14"/>
  <c r="B117" i="14" s="1"/>
  <c r="C118" i="14"/>
  <c r="B118" i="14" s="1"/>
  <c r="C119" i="14"/>
  <c r="B119" i="14" s="1"/>
  <c r="C120" i="14"/>
  <c r="B120" i="14" s="1"/>
  <c r="C121" i="14"/>
  <c r="B121" i="14" s="1"/>
  <c r="C122" i="14"/>
  <c r="B122" i="14" s="1"/>
  <c r="C123" i="14"/>
  <c r="B123" i="14" s="1"/>
  <c r="C124" i="14"/>
  <c r="B124" i="14" s="1"/>
  <c r="C125" i="14"/>
  <c r="B125" i="14" s="1"/>
  <c r="C126" i="14"/>
  <c r="B126" i="14" s="1"/>
  <c r="C127" i="14"/>
  <c r="B127" i="14" s="1"/>
  <c r="C128" i="14"/>
  <c r="B128" i="14" s="1"/>
  <c r="C129" i="14"/>
  <c r="B129" i="14" s="1"/>
  <c r="C130" i="14"/>
  <c r="B130" i="14" s="1"/>
  <c r="C131" i="14"/>
  <c r="B131" i="14" s="1"/>
  <c r="C132" i="14"/>
  <c r="B132" i="14" s="1"/>
  <c r="C133" i="14"/>
  <c r="B133" i="14" s="1"/>
  <c r="C134" i="14"/>
  <c r="B134" i="14" s="1"/>
  <c r="C135" i="14"/>
  <c r="B135" i="14" s="1"/>
  <c r="C136" i="14"/>
  <c r="B136" i="14" s="1"/>
  <c r="C137" i="14"/>
  <c r="B137" i="14" s="1"/>
  <c r="C138" i="14"/>
  <c r="B138" i="14" s="1"/>
  <c r="C139" i="14"/>
  <c r="B139" i="14" s="1"/>
  <c r="C140" i="14"/>
  <c r="B140" i="14" s="1"/>
  <c r="C141" i="14"/>
  <c r="B141" i="14" s="1"/>
  <c r="C142" i="14"/>
  <c r="B142" i="14" s="1"/>
  <c r="C143" i="14"/>
  <c r="B143" i="14" s="1"/>
  <c r="C144" i="14"/>
  <c r="B144" i="14" s="1"/>
  <c r="C145" i="14"/>
  <c r="B145" i="14" s="1"/>
  <c r="C146" i="14"/>
  <c r="B146" i="14" s="1"/>
  <c r="C147" i="14"/>
  <c r="B147" i="14" s="1"/>
  <c r="C148" i="14"/>
  <c r="B148" i="14" s="1"/>
  <c r="C149" i="14"/>
  <c r="B149" i="14" s="1"/>
  <c r="C150" i="14"/>
  <c r="B150" i="14" s="1"/>
  <c r="C151" i="14"/>
  <c r="B151" i="14" s="1"/>
  <c r="C152" i="14"/>
  <c r="B152" i="14" s="1"/>
  <c r="C153" i="14"/>
  <c r="B153" i="14" s="1"/>
  <c r="C154" i="14"/>
  <c r="B154" i="14" s="1"/>
  <c r="C155" i="14"/>
  <c r="B155" i="14" s="1"/>
  <c r="C156" i="14"/>
  <c r="B156" i="14" s="1"/>
  <c r="C157" i="14"/>
  <c r="B157" i="14" s="1"/>
  <c r="C158" i="14"/>
  <c r="B158" i="14" s="1"/>
  <c r="C159" i="14"/>
  <c r="B159" i="14" s="1"/>
  <c r="C160" i="14"/>
  <c r="B160" i="14" s="1"/>
  <c r="C161" i="14"/>
  <c r="B161" i="14" s="1"/>
  <c r="C162" i="14"/>
  <c r="B162" i="14" s="1"/>
  <c r="C163" i="14"/>
  <c r="B163" i="14" s="1"/>
  <c r="C164" i="14"/>
  <c r="B164" i="14" s="1"/>
  <c r="C165" i="14"/>
  <c r="B165" i="14" s="1"/>
  <c r="C166" i="14"/>
  <c r="B166" i="14" s="1"/>
  <c r="C167" i="14"/>
  <c r="B167" i="14" s="1"/>
  <c r="C168" i="14"/>
  <c r="B168" i="14" s="1"/>
  <c r="C169" i="14"/>
  <c r="B169" i="14" s="1"/>
  <c r="C170" i="14"/>
  <c r="B170" i="14" s="1"/>
  <c r="C171" i="14"/>
  <c r="B171" i="14" s="1"/>
  <c r="C172" i="14"/>
  <c r="B172" i="14" s="1"/>
  <c r="C173" i="14"/>
  <c r="B173" i="14" s="1"/>
  <c r="C174" i="14"/>
  <c r="B174" i="14" s="1"/>
  <c r="C175" i="14"/>
  <c r="B175" i="14" s="1"/>
  <c r="C176" i="14"/>
  <c r="B176" i="14" s="1"/>
  <c r="C177" i="14"/>
  <c r="B177" i="14" s="1"/>
  <c r="C178" i="14"/>
  <c r="B178" i="14" s="1"/>
  <c r="C179" i="14"/>
  <c r="B179" i="14" s="1"/>
  <c r="C180" i="14"/>
  <c r="B180" i="14" s="1"/>
  <c r="C181" i="14"/>
  <c r="B181" i="14" s="1"/>
  <c r="C182" i="14"/>
  <c r="B182" i="14" s="1"/>
  <c r="C183" i="14"/>
  <c r="B183" i="14" s="1"/>
  <c r="C184" i="14"/>
  <c r="B184" i="14" s="1"/>
  <c r="C185" i="14"/>
  <c r="B185" i="14" s="1"/>
  <c r="C186" i="14"/>
  <c r="B186" i="14" s="1"/>
  <c r="C187" i="14"/>
  <c r="B187" i="14" s="1"/>
  <c r="C188" i="14"/>
  <c r="B188" i="14" s="1"/>
  <c r="C189" i="14"/>
  <c r="B189" i="14" s="1"/>
  <c r="C190" i="14"/>
  <c r="B190" i="14" s="1"/>
  <c r="C191" i="14"/>
  <c r="B191" i="14" s="1"/>
  <c r="C192" i="14"/>
  <c r="B192" i="14" s="1"/>
  <c r="C193" i="14"/>
  <c r="B193" i="14" s="1"/>
  <c r="C194" i="14"/>
  <c r="B194" i="14" s="1"/>
  <c r="C195" i="14"/>
  <c r="B195" i="14" s="1"/>
  <c r="C196" i="14"/>
  <c r="B196" i="14" s="1"/>
  <c r="C197" i="14"/>
  <c r="B197" i="14" s="1"/>
  <c r="C198" i="14"/>
  <c r="B198" i="14" s="1"/>
  <c r="C199" i="14"/>
  <c r="B199" i="14" s="1"/>
  <c r="C200" i="14"/>
  <c r="B200" i="14" s="1"/>
  <c r="C201" i="14"/>
  <c r="B201" i="14" s="1"/>
  <c r="C202" i="14"/>
  <c r="B202" i="14" s="1"/>
  <c r="C203" i="14"/>
  <c r="B203" i="14" s="1"/>
  <c r="C204" i="14"/>
  <c r="B204" i="14" s="1"/>
  <c r="C205" i="14"/>
  <c r="B205" i="14" s="1"/>
  <c r="C206" i="14"/>
  <c r="B206" i="14" s="1"/>
  <c r="C207" i="14"/>
  <c r="B207" i="14" s="1"/>
  <c r="C208" i="14"/>
  <c r="B208" i="14" s="1"/>
  <c r="C209" i="14"/>
  <c r="B209" i="14" s="1"/>
  <c r="C210" i="14"/>
  <c r="B210" i="14" s="1"/>
  <c r="C211" i="14"/>
  <c r="B211" i="14" s="1"/>
  <c r="C212" i="14"/>
  <c r="B212" i="14" s="1"/>
  <c r="C213" i="14"/>
  <c r="B213" i="14" s="1"/>
  <c r="C4" i="14"/>
  <c r="H10" i="2" l="1"/>
  <c r="L10" i="2" s="1" a="1"/>
  <c r="L10" i="2" s="1"/>
  <c r="H4" i="2"/>
  <c r="B23" i="2" s="1"/>
  <c r="A24" i="2"/>
  <c r="H18" i="2"/>
  <c r="H13" i="2" l="1"/>
  <c r="C23" i="2"/>
  <c r="J4" i="2" a="1"/>
  <c r="J4" i="2" s="1"/>
  <c r="L4" i="2" a="1"/>
  <c r="L4" i="2" s="1"/>
  <c r="K10" i="2" a="1"/>
  <c r="K10" i="2" s="1"/>
  <c r="M10" i="2" s="1"/>
  <c r="P10" i="2" a="1"/>
  <c r="P10" i="2" s="1"/>
  <c r="C24" i="2" s="1"/>
  <c r="N4" i="2" a="1"/>
  <c r="N4" i="2" s="1"/>
  <c r="P4" i="2" a="1"/>
  <c r="P4" i="2" s="1"/>
  <c r="B24" i="2" s="1"/>
  <c r="O10" i="2" a="1"/>
  <c r="O10" i="2" s="1"/>
  <c r="O4" i="2" a="1"/>
  <c r="O4" i="2" s="1"/>
  <c r="N10" i="2" a="1"/>
  <c r="N10" i="2" s="1"/>
  <c r="K4" i="2" a="1"/>
  <c r="K4" i="2" s="1"/>
  <c r="J10" i="2" a="1"/>
  <c r="J10" i="2" s="1"/>
  <c r="M4" i="2" l="1"/>
  <c r="H14" i="2" s="1"/>
  <c r="M22" i="5" l="1"/>
  <c r="O22" i="5"/>
  <c r="Q22" i="5"/>
  <c r="W22" i="5"/>
  <c r="M23" i="5"/>
  <c r="O23" i="5"/>
  <c r="Q23" i="5"/>
  <c r="W23" i="5"/>
  <c r="M24" i="5"/>
  <c r="O24" i="5"/>
  <c r="Q24" i="5"/>
  <c r="W24" i="5"/>
  <c r="M25" i="5"/>
  <c r="O25" i="5"/>
  <c r="Q25" i="5"/>
  <c r="W25" i="5"/>
  <c r="M26" i="5"/>
  <c r="O26" i="5"/>
  <c r="Q26" i="5"/>
  <c r="W26" i="5"/>
  <c r="M27" i="5"/>
  <c r="O27" i="5"/>
  <c r="Q27" i="5"/>
  <c r="W27" i="5"/>
  <c r="M28" i="5"/>
  <c r="O28" i="5"/>
  <c r="Q28" i="5"/>
  <c r="W28" i="5"/>
  <c r="M29" i="5"/>
  <c r="O29" i="5"/>
  <c r="Q29" i="5"/>
  <c r="W29" i="5"/>
  <c r="M30" i="5"/>
  <c r="O30" i="5"/>
  <c r="Q30" i="5"/>
  <c r="W30" i="5"/>
  <c r="M31" i="5"/>
  <c r="O31" i="5"/>
  <c r="Q31" i="5"/>
  <c r="W31" i="5"/>
  <c r="M32" i="5"/>
  <c r="O32" i="5"/>
  <c r="Q32" i="5"/>
  <c r="W32" i="5"/>
  <c r="M33" i="5"/>
  <c r="O33" i="5"/>
  <c r="Q33" i="5"/>
  <c r="W33" i="5"/>
  <c r="M34" i="5"/>
  <c r="O34" i="5"/>
  <c r="Q34" i="5"/>
  <c r="W34" i="5"/>
  <c r="M35" i="5"/>
  <c r="O35" i="5"/>
  <c r="Q35" i="5"/>
  <c r="W35" i="5"/>
  <c r="M36" i="5"/>
  <c r="O36" i="5"/>
  <c r="Q36" i="5"/>
  <c r="W36" i="5"/>
  <c r="M37" i="5"/>
  <c r="O37" i="5"/>
  <c r="Q37" i="5"/>
  <c r="W37" i="5"/>
  <c r="B15" i="10" l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R3" i="8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R298" i="8"/>
  <c r="R299" i="8"/>
  <c r="R300" i="8"/>
  <c r="R301" i="8"/>
  <c r="R302" i="8"/>
  <c r="R303" i="8"/>
  <c r="R304" i="8"/>
  <c r="R305" i="8"/>
  <c r="R306" i="8"/>
  <c r="R307" i="8"/>
  <c r="R308" i="8"/>
  <c r="R309" i="8"/>
  <c r="R310" i="8"/>
  <c r="R311" i="8"/>
  <c r="R312" i="8"/>
  <c r="R313" i="8"/>
  <c r="R314" i="8"/>
  <c r="R315" i="8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R338" i="8"/>
  <c r="R339" i="8"/>
  <c r="R340" i="8"/>
  <c r="R341" i="8"/>
  <c r="R342" i="8"/>
  <c r="R343" i="8"/>
  <c r="R344" i="8"/>
  <c r="R345" i="8"/>
  <c r="R346" i="8"/>
  <c r="R347" i="8"/>
  <c r="R348" i="8"/>
  <c r="R349" i="8"/>
  <c r="R350" i="8"/>
  <c r="R351" i="8"/>
  <c r="R352" i="8"/>
  <c r="R353" i="8"/>
  <c r="R354" i="8"/>
  <c r="R355" i="8"/>
  <c r="R356" i="8"/>
  <c r="R357" i="8"/>
  <c r="R358" i="8"/>
  <c r="R359" i="8"/>
  <c r="R360" i="8"/>
  <c r="R361" i="8"/>
  <c r="R362" i="8"/>
  <c r="R363" i="8"/>
  <c r="R364" i="8"/>
  <c r="R365" i="8"/>
  <c r="R366" i="8"/>
  <c r="R367" i="8"/>
  <c r="R368" i="8"/>
  <c r="R369" i="8"/>
  <c r="R370" i="8"/>
  <c r="R371" i="8"/>
  <c r="R372" i="8"/>
  <c r="R373" i="8"/>
  <c r="R374" i="8"/>
  <c r="R375" i="8"/>
  <c r="R376" i="8"/>
  <c r="R377" i="8"/>
  <c r="R378" i="8"/>
  <c r="R379" i="8"/>
  <c r="R380" i="8"/>
  <c r="R381" i="8"/>
  <c r="R382" i="8"/>
  <c r="R383" i="8"/>
  <c r="R384" i="8"/>
  <c r="R385" i="8"/>
  <c r="R386" i="8"/>
  <c r="R387" i="8"/>
  <c r="R388" i="8"/>
  <c r="R389" i="8"/>
  <c r="R390" i="8"/>
  <c r="R391" i="8"/>
  <c r="R392" i="8"/>
  <c r="R393" i="8"/>
  <c r="R394" i="8"/>
  <c r="R395" i="8"/>
  <c r="R396" i="8"/>
  <c r="R397" i="8"/>
  <c r="R398" i="8"/>
  <c r="R399" i="8"/>
  <c r="R400" i="8"/>
  <c r="R401" i="8"/>
  <c r="R402" i="8"/>
  <c r="R403" i="8"/>
  <c r="R404" i="8"/>
  <c r="R405" i="8"/>
  <c r="R406" i="8"/>
  <c r="R407" i="8"/>
  <c r="R408" i="8"/>
  <c r="R409" i="8"/>
  <c r="R410" i="8"/>
  <c r="R411" i="8"/>
  <c r="R412" i="8"/>
  <c r="R413" i="8"/>
  <c r="R414" i="8"/>
  <c r="R415" i="8"/>
  <c r="R416" i="8"/>
  <c r="R417" i="8"/>
  <c r="R418" i="8"/>
  <c r="R419" i="8"/>
  <c r="R420" i="8"/>
  <c r="R421" i="8"/>
  <c r="R422" i="8"/>
  <c r="R423" i="8"/>
  <c r="R424" i="8"/>
  <c r="R425" i="8"/>
  <c r="R426" i="8"/>
  <c r="R427" i="8"/>
  <c r="R428" i="8"/>
  <c r="R429" i="8"/>
  <c r="R430" i="8"/>
  <c r="R431" i="8"/>
  <c r="R432" i="8"/>
  <c r="R433" i="8"/>
  <c r="R434" i="8"/>
  <c r="R435" i="8"/>
  <c r="R436" i="8"/>
  <c r="R437" i="8"/>
  <c r="R438" i="8"/>
  <c r="R439" i="8"/>
  <c r="R440" i="8"/>
  <c r="R441" i="8"/>
  <c r="R442" i="8"/>
  <c r="R443" i="8"/>
  <c r="R444" i="8"/>
  <c r="R445" i="8"/>
  <c r="R446" i="8"/>
  <c r="R447" i="8"/>
  <c r="R448" i="8"/>
  <c r="R449" i="8"/>
  <c r="R450" i="8"/>
  <c r="R451" i="8"/>
  <c r="R452" i="8"/>
  <c r="R453" i="8"/>
  <c r="R454" i="8"/>
  <c r="R455" i="8"/>
  <c r="R456" i="8"/>
  <c r="R457" i="8"/>
  <c r="R458" i="8"/>
  <c r="R459" i="8"/>
  <c r="R460" i="8"/>
  <c r="R461" i="8"/>
  <c r="R462" i="8"/>
  <c r="R463" i="8"/>
  <c r="R464" i="8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R484" i="8"/>
  <c r="R485" i="8"/>
  <c r="R486" i="8"/>
  <c r="R487" i="8"/>
  <c r="R488" i="8"/>
  <c r="R489" i="8"/>
  <c r="R490" i="8"/>
  <c r="R491" i="8"/>
  <c r="R492" i="8"/>
  <c r="R493" i="8"/>
  <c r="R494" i="8"/>
  <c r="R495" i="8"/>
  <c r="R496" i="8"/>
  <c r="R497" i="8"/>
  <c r="R498" i="8"/>
  <c r="R499" i="8"/>
  <c r="R500" i="8"/>
  <c r="R501" i="8"/>
  <c r="R502" i="8"/>
  <c r="R503" i="8"/>
  <c r="R504" i="8"/>
  <c r="R505" i="8"/>
  <c r="R506" i="8"/>
  <c r="R507" i="8"/>
  <c r="R508" i="8"/>
  <c r="R509" i="8"/>
  <c r="R510" i="8"/>
  <c r="R511" i="8"/>
  <c r="R512" i="8"/>
  <c r="R513" i="8"/>
  <c r="R514" i="8"/>
  <c r="R515" i="8"/>
  <c r="R516" i="8"/>
  <c r="R517" i="8"/>
  <c r="R518" i="8"/>
  <c r="R519" i="8"/>
  <c r="R520" i="8"/>
  <c r="R521" i="8"/>
  <c r="R522" i="8"/>
  <c r="R523" i="8"/>
  <c r="R524" i="8"/>
  <c r="R525" i="8"/>
  <c r="R526" i="8"/>
  <c r="R527" i="8"/>
  <c r="R528" i="8"/>
  <c r="R529" i="8"/>
  <c r="R530" i="8"/>
  <c r="R531" i="8"/>
  <c r="R532" i="8"/>
  <c r="R533" i="8"/>
  <c r="R534" i="8"/>
  <c r="R535" i="8"/>
  <c r="R536" i="8"/>
  <c r="R537" i="8"/>
  <c r="R538" i="8"/>
  <c r="R539" i="8"/>
  <c r="R540" i="8"/>
  <c r="R541" i="8"/>
  <c r="R542" i="8"/>
  <c r="R543" i="8"/>
  <c r="R544" i="8"/>
  <c r="R545" i="8"/>
  <c r="R546" i="8"/>
  <c r="R547" i="8"/>
  <c r="R548" i="8"/>
  <c r="R549" i="8"/>
  <c r="R550" i="8"/>
  <c r="R551" i="8"/>
  <c r="R552" i="8"/>
  <c r="R553" i="8"/>
  <c r="R554" i="8"/>
  <c r="R555" i="8"/>
  <c r="R556" i="8"/>
  <c r="R557" i="8"/>
  <c r="R558" i="8"/>
  <c r="R559" i="8"/>
  <c r="R560" i="8"/>
  <c r="R561" i="8"/>
  <c r="R562" i="8"/>
  <c r="R563" i="8"/>
  <c r="R564" i="8"/>
  <c r="R565" i="8"/>
  <c r="R566" i="8"/>
  <c r="R567" i="8"/>
  <c r="R568" i="8"/>
  <c r="R569" i="8"/>
  <c r="R570" i="8"/>
  <c r="R571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S2" i="8"/>
  <c r="R2" i="8"/>
  <c r="Q2" i="8"/>
  <c r="L571" i="8"/>
  <c r="L570" i="8"/>
  <c r="L569" i="8"/>
  <c r="L568" i="8"/>
  <c r="L567" i="8"/>
  <c r="L566" i="8"/>
  <c r="L565" i="8"/>
  <c r="L564" i="8"/>
  <c r="L563" i="8"/>
  <c r="L562" i="8"/>
  <c r="L561" i="8"/>
  <c r="L560" i="8"/>
  <c r="L559" i="8"/>
  <c r="L558" i="8"/>
  <c r="L557" i="8"/>
  <c r="L556" i="8"/>
  <c r="L555" i="8"/>
  <c r="L554" i="8"/>
  <c r="L553" i="8"/>
  <c r="L552" i="8"/>
  <c r="L551" i="8"/>
  <c r="L550" i="8"/>
  <c r="L549" i="8"/>
  <c r="L548" i="8"/>
  <c r="L547" i="8"/>
  <c r="L546" i="8"/>
  <c r="L545" i="8"/>
  <c r="L544" i="8"/>
  <c r="L543" i="8"/>
  <c r="L542" i="8"/>
  <c r="L541" i="8"/>
  <c r="L540" i="8"/>
  <c r="L539" i="8"/>
  <c r="L538" i="8"/>
  <c r="L537" i="8"/>
  <c r="L536" i="8"/>
  <c r="L535" i="8"/>
  <c r="L534" i="8"/>
  <c r="L533" i="8"/>
  <c r="L532" i="8"/>
  <c r="L531" i="8"/>
  <c r="L530" i="8"/>
  <c r="L529" i="8"/>
  <c r="L528" i="8"/>
  <c r="L527" i="8"/>
  <c r="L526" i="8"/>
  <c r="L525" i="8"/>
  <c r="L524" i="8"/>
  <c r="L523" i="8"/>
  <c r="L522" i="8"/>
  <c r="L521" i="8"/>
  <c r="L520" i="8"/>
  <c r="L519" i="8"/>
  <c r="L518" i="8"/>
  <c r="L517" i="8"/>
  <c r="L516" i="8"/>
  <c r="L515" i="8"/>
  <c r="L514" i="8"/>
  <c r="L513" i="8"/>
  <c r="L512" i="8"/>
  <c r="L511" i="8"/>
  <c r="L510" i="8"/>
  <c r="L509" i="8"/>
  <c r="L508" i="8"/>
  <c r="L507" i="8"/>
  <c r="L506" i="8"/>
  <c r="L505" i="8"/>
  <c r="L504" i="8"/>
  <c r="L503" i="8"/>
  <c r="L502" i="8"/>
  <c r="L501" i="8"/>
  <c r="L500" i="8"/>
  <c r="L499" i="8"/>
  <c r="L498" i="8"/>
  <c r="L497" i="8"/>
  <c r="L496" i="8"/>
  <c r="L495" i="8"/>
  <c r="L494" i="8"/>
  <c r="L493" i="8"/>
  <c r="L492" i="8"/>
  <c r="L491" i="8"/>
  <c r="L490" i="8"/>
  <c r="L489" i="8"/>
  <c r="L488" i="8"/>
  <c r="L487" i="8"/>
  <c r="L486" i="8"/>
  <c r="L485" i="8"/>
  <c r="L484" i="8"/>
  <c r="L483" i="8"/>
  <c r="L482" i="8"/>
  <c r="L481" i="8"/>
  <c r="L480" i="8"/>
  <c r="L479" i="8"/>
  <c r="L478" i="8"/>
  <c r="L477" i="8"/>
  <c r="L476" i="8"/>
  <c r="L475" i="8"/>
  <c r="L474" i="8"/>
  <c r="L473" i="8"/>
  <c r="L472" i="8"/>
  <c r="L471" i="8"/>
  <c r="L470" i="8"/>
  <c r="L469" i="8"/>
  <c r="L468" i="8"/>
  <c r="L467" i="8"/>
  <c r="L466" i="8"/>
  <c r="L465" i="8"/>
  <c r="L464" i="8"/>
  <c r="L463" i="8"/>
  <c r="L462" i="8"/>
  <c r="L461" i="8"/>
  <c r="L460" i="8"/>
  <c r="L459" i="8"/>
  <c r="L458" i="8"/>
  <c r="L457" i="8"/>
  <c r="L456" i="8"/>
  <c r="L455" i="8"/>
  <c r="L454" i="8"/>
  <c r="L453" i="8"/>
  <c r="L452" i="8"/>
  <c r="L451" i="8"/>
  <c r="L450" i="8"/>
  <c r="L449" i="8"/>
  <c r="L448" i="8"/>
  <c r="L447" i="8"/>
  <c r="L446" i="8"/>
  <c r="L445" i="8"/>
  <c r="L444" i="8"/>
  <c r="L443" i="8"/>
  <c r="L442" i="8"/>
  <c r="L441" i="8"/>
  <c r="L440" i="8"/>
  <c r="L439" i="8"/>
  <c r="L438" i="8"/>
  <c r="L437" i="8"/>
  <c r="L436" i="8"/>
  <c r="L435" i="8"/>
  <c r="L434" i="8"/>
  <c r="L433" i="8"/>
  <c r="L432" i="8"/>
  <c r="L431" i="8"/>
  <c r="L430" i="8"/>
  <c r="L429" i="8"/>
  <c r="L428" i="8"/>
  <c r="L427" i="8"/>
  <c r="L426" i="8"/>
  <c r="L425" i="8"/>
  <c r="L424" i="8"/>
  <c r="L423" i="8"/>
  <c r="L422" i="8"/>
  <c r="L421" i="8"/>
  <c r="L420" i="8"/>
  <c r="L419" i="8"/>
  <c r="L418" i="8"/>
  <c r="L417" i="8"/>
  <c r="L416" i="8"/>
  <c r="L415" i="8"/>
  <c r="L414" i="8"/>
  <c r="L413" i="8"/>
  <c r="L412" i="8"/>
  <c r="L411" i="8"/>
  <c r="L410" i="8"/>
  <c r="L409" i="8"/>
  <c r="L408" i="8"/>
  <c r="L407" i="8"/>
  <c r="L406" i="8"/>
  <c r="L405" i="8"/>
  <c r="L404" i="8"/>
  <c r="L403" i="8"/>
  <c r="L402" i="8"/>
  <c r="L401" i="8"/>
  <c r="L400" i="8"/>
  <c r="L399" i="8"/>
  <c r="L398" i="8"/>
  <c r="L397" i="8"/>
  <c r="L396" i="8"/>
  <c r="L395" i="8"/>
  <c r="L394" i="8"/>
  <c r="L393" i="8"/>
  <c r="L392" i="8"/>
  <c r="L391" i="8"/>
  <c r="L390" i="8"/>
  <c r="L389" i="8"/>
  <c r="L388" i="8"/>
  <c r="L387" i="8"/>
  <c r="L386" i="8"/>
  <c r="L385" i="8"/>
  <c r="L384" i="8"/>
  <c r="L383" i="8"/>
  <c r="L382" i="8"/>
  <c r="L381" i="8"/>
  <c r="L380" i="8"/>
  <c r="L379" i="8"/>
  <c r="L378" i="8"/>
  <c r="L377" i="8"/>
  <c r="L376" i="8"/>
  <c r="L375" i="8"/>
  <c r="L374" i="8"/>
  <c r="L373" i="8"/>
  <c r="L372" i="8"/>
  <c r="L371" i="8"/>
  <c r="L370" i="8"/>
  <c r="L369" i="8"/>
  <c r="L368" i="8"/>
  <c r="L367" i="8"/>
  <c r="L366" i="8"/>
  <c r="L365" i="8"/>
  <c r="L364" i="8"/>
  <c r="L363" i="8"/>
  <c r="L362" i="8"/>
  <c r="L361" i="8"/>
  <c r="L360" i="8"/>
  <c r="L359" i="8"/>
  <c r="L358" i="8"/>
  <c r="L357" i="8"/>
  <c r="L356" i="8"/>
  <c r="L355" i="8"/>
  <c r="L354" i="8"/>
  <c r="L353" i="8"/>
  <c r="L352" i="8"/>
  <c r="L351" i="8"/>
  <c r="L350" i="8"/>
  <c r="L349" i="8"/>
  <c r="L348" i="8"/>
  <c r="L347" i="8"/>
  <c r="L346" i="8"/>
  <c r="L345" i="8"/>
  <c r="L344" i="8"/>
  <c r="L343" i="8"/>
  <c r="L342" i="8"/>
  <c r="L341" i="8"/>
  <c r="L340" i="8"/>
  <c r="L339" i="8"/>
  <c r="L338" i="8"/>
  <c r="L337" i="8"/>
  <c r="L336" i="8"/>
  <c r="L335" i="8"/>
  <c r="L334" i="8"/>
  <c r="L333" i="8"/>
  <c r="L332" i="8"/>
  <c r="L331" i="8"/>
  <c r="L330" i="8"/>
  <c r="L329" i="8"/>
  <c r="L328" i="8"/>
  <c r="L327" i="8"/>
  <c r="L326" i="8"/>
  <c r="L325" i="8"/>
  <c r="L324" i="8"/>
  <c r="L323" i="8"/>
  <c r="L322" i="8"/>
  <c r="L321" i="8"/>
  <c r="L320" i="8"/>
  <c r="L319" i="8"/>
  <c r="L318" i="8"/>
  <c r="L317" i="8"/>
  <c r="L316" i="8"/>
  <c r="L315" i="8"/>
  <c r="L314" i="8"/>
  <c r="L313" i="8"/>
  <c r="L312" i="8"/>
  <c r="L311" i="8"/>
  <c r="L310" i="8"/>
  <c r="L309" i="8"/>
  <c r="L308" i="8"/>
  <c r="L307" i="8"/>
  <c r="L306" i="8"/>
  <c r="L305" i="8"/>
  <c r="L304" i="8"/>
  <c r="L303" i="8"/>
  <c r="L302" i="8"/>
  <c r="L301" i="8"/>
  <c r="L300" i="8"/>
  <c r="L299" i="8"/>
  <c r="L298" i="8"/>
  <c r="L297" i="8"/>
  <c r="L296" i="8"/>
  <c r="L295" i="8"/>
  <c r="L294" i="8"/>
  <c r="L293" i="8"/>
  <c r="L292" i="8"/>
  <c r="L291" i="8"/>
  <c r="L290" i="8"/>
  <c r="L289" i="8"/>
  <c r="L288" i="8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3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L169" i="8"/>
  <c r="L168" i="8"/>
  <c r="L167" i="8"/>
  <c r="L166" i="8"/>
  <c r="L165" i="8"/>
  <c r="L164" i="8"/>
  <c r="L163" i="8"/>
  <c r="L162" i="8"/>
  <c r="L161" i="8"/>
  <c r="L160" i="8"/>
  <c r="L159" i="8"/>
  <c r="L158" i="8"/>
  <c r="L157" i="8"/>
  <c r="L156" i="8"/>
  <c r="L155" i="8"/>
  <c r="L154" i="8"/>
  <c r="L153" i="8"/>
  <c r="L152" i="8"/>
  <c r="L151" i="8"/>
  <c r="L150" i="8"/>
  <c r="L149" i="8"/>
  <c r="L148" i="8"/>
  <c r="L147" i="8"/>
  <c r="L146" i="8"/>
  <c r="L145" i="8"/>
  <c r="L144" i="8"/>
  <c r="L143" i="8"/>
  <c r="L142" i="8"/>
  <c r="L141" i="8"/>
  <c r="L140" i="8"/>
  <c r="L139" i="8"/>
  <c r="L138" i="8"/>
  <c r="L137" i="8"/>
  <c r="L136" i="8"/>
  <c r="L135" i="8"/>
  <c r="L134" i="8"/>
  <c r="L133" i="8"/>
  <c r="L132" i="8"/>
  <c r="L131" i="8"/>
  <c r="L130" i="8"/>
  <c r="L129" i="8"/>
  <c r="L128" i="8"/>
  <c r="L127" i="8"/>
  <c r="L126" i="8"/>
  <c r="L125" i="8"/>
  <c r="L124" i="8"/>
  <c r="L123" i="8"/>
  <c r="L122" i="8"/>
  <c r="L121" i="8"/>
  <c r="L120" i="8"/>
  <c r="L119" i="8"/>
  <c r="L118" i="8"/>
  <c r="L117" i="8"/>
  <c r="L116" i="8"/>
  <c r="L115" i="8"/>
  <c r="L114" i="8"/>
  <c r="L113" i="8"/>
  <c r="L112" i="8"/>
  <c r="L111" i="8"/>
  <c r="L110" i="8"/>
  <c r="L109" i="8"/>
  <c r="L108" i="8"/>
  <c r="L107" i="8"/>
  <c r="L106" i="8"/>
  <c r="L105" i="8"/>
  <c r="L104" i="8"/>
  <c r="L103" i="8"/>
  <c r="L102" i="8"/>
  <c r="L101" i="8"/>
  <c r="L100" i="8"/>
  <c r="L99" i="8"/>
  <c r="L98" i="8"/>
  <c r="L97" i="8"/>
  <c r="L96" i="8"/>
  <c r="L95" i="8"/>
  <c r="L94" i="8"/>
  <c r="L93" i="8"/>
  <c r="L92" i="8"/>
  <c r="L91" i="8"/>
  <c r="L90" i="8"/>
  <c r="L89" i="8"/>
  <c r="L88" i="8"/>
  <c r="L87" i="8"/>
  <c r="L86" i="8"/>
  <c r="L85" i="8"/>
  <c r="L84" i="8"/>
  <c r="L83" i="8"/>
  <c r="L82" i="8"/>
  <c r="L81" i="8"/>
  <c r="L80" i="8"/>
  <c r="L79" i="8"/>
  <c r="L78" i="8"/>
  <c r="L77" i="8"/>
  <c r="L76" i="8"/>
  <c r="L75" i="8"/>
  <c r="L74" i="8"/>
  <c r="L73" i="8"/>
  <c r="L72" i="8"/>
  <c r="L71" i="8"/>
  <c r="L70" i="8"/>
  <c r="L69" i="8"/>
  <c r="L68" i="8"/>
  <c r="L67" i="8"/>
  <c r="L66" i="8"/>
  <c r="L65" i="8"/>
  <c r="L64" i="8"/>
  <c r="L63" i="8"/>
  <c r="L62" i="8"/>
  <c r="L61" i="8"/>
  <c r="L60" i="8"/>
  <c r="L59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2" i="8"/>
  <c r="N25" i="7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P106" i="8"/>
  <c r="P107" i="8"/>
  <c r="P108" i="8"/>
  <c r="P109" i="8"/>
  <c r="P110" i="8"/>
  <c r="P111" i="8"/>
  <c r="P112" i="8"/>
  <c r="P113" i="8"/>
  <c r="P114" i="8"/>
  <c r="P115" i="8"/>
  <c r="P116" i="8"/>
  <c r="P117" i="8"/>
  <c r="P118" i="8"/>
  <c r="P119" i="8"/>
  <c r="P120" i="8"/>
  <c r="P121" i="8"/>
  <c r="P122" i="8"/>
  <c r="P123" i="8"/>
  <c r="P124" i="8"/>
  <c r="P125" i="8"/>
  <c r="P126" i="8"/>
  <c r="P127" i="8"/>
  <c r="P128" i="8"/>
  <c r="P129" i="8"/>
  <c r="P130" i="8"/>
  <c r="P131" i="8"/>
  <c r="P132" i="8"/>
  <c r="P133" i="8"/>
  <c r="P134" i="8"/>
  <c r="P135" i="8"/>
  <c r="P136" i="8"/>
  <c r="P137" i="8"/>
  <c r="P138" i="8"/>
  <c r="P139" i="8"/>
  <c r="P140" i="8"/>
  <c r="P141" i="8"/>
  <c r="P142" i="8"/>
  <c r="P143" i="8"/>
  <c r="P144" i="8"/>
  <c r="P145" i="8"/>
  <c r="P146" i="8"/>
  <c r="P147" i="8"/>
  <c r="P148" i="8"/>
  <c r="P149" i="8"/>
  <c r="P150" i="8"/>
  <c r="P151" i="8"/>
  <c r="P152" i="8"/>
  <c r="P153" i="8"/>
  <c r="P154" i="8"/>
  <c r="P155" i="8"/>
  <c r="P156" i="8"/>
  <c r="P157" i="8"/>
  <c r="P158" i="8"/>
  <c r="P159" i="8"/>
  <c r="P160" i="8"/>
  <c r="P161" i="8"/>
  <c r="P162" i="8"/>
  <c r="P163" i="8"/>
  <c r="P164" i="8"/>
  <c r="P165" i="8"/>
  <c r="P166" i="8"/>
  <c r="P167" i="8"/>
  <c r="P168" i="8"/>
  <c r="P169" i="8"/>
  <c r="P170" i="8"/>
  <c r="P171" i="8"/>
  <c r="P172" i="8"/>
  <c r="P173" i="8"/>
  <c r="P174" i="8"/>
  <c r="P175" i="8"/>
  <c r="P176" i="8"/>
  <c r="P177" i="8"/>
  <c r="P178" i="8"/>
  <c r="P179" i="8"/>
  <c r="P180" i="8"/>
  <c r="P181" i="8"/>
  <c r="P182" i="8"/>
  <c r="P183" i="8"/>
  <c r="P184" i="8"/>
  <c r="P185" i="8"/>
  <c r="P186" i="8"/>
  <c r="P187" i="8"/>
  <c r="P188" i="8"/>
  <c r="P189" i="8"/>
  <c r="P190" i="8"/>
  <c r="P191" i="8"/>
  <c r="P192" i="8"/>
  <c r="P193" i="8"/>
  <c r="P194" i="8"/>
  <c r="P195" i="8"/>
  <c r="P196" i="8"/>
  <c r="P197" i="8"/>
  <c r="P198" i="8"/>
  <c r="P199" i="8"/>
  <c r="P200" i="8"/>
  <c r="P201" i="8"/>
  <c r="P202" i="8"/>
  <c r="P203" i="8"/>
  <c r="P204" i="8"/>
  <c r="P205" i="8"/>
  <c r="P206" i="8"/>
  <c r="P207" i="8"/>
  <c r="P208" i="8"/>
  <c r="P209" i="8"/>
  <c r="P210" i="8"/>
  <c r="P211" i="8"/>
  <c r="P212" i="8"/>
  <c r="P213" i="8"/>
  <c r="P214" i="8"/>
  <c r="P215" i="8"/>
  <c r="P216" i="8"/>
  <c r="P217" i="8"/>
  <c r="P218" i="8"/>
  <c r="P219" i="8"/>
  <c r="P220" i="8"/>
  <c r="P221" i="8"/>
  <c r="P222" i="8"/>
  <c r="P223" i="8"/>
  <c r="P224" i="8"/>
  <c r="P225" i="8"/>
  <c r="P226" i="8"/>
  <c r="P227" i="8"/>
  <c r="P228" i="8"/>
  <c r="P229" i="8"/>
  <c r="P230" i="8"/>
  <c r="P231" i="8"/>
  <c r="P232" i="8"/>
  <c r="P233" i="8"/>
  <c r="P234" i="8"/>
  <c r="P235" i="8"/>
  <c r="P236" i="8"/>
  <c r="P237" i="8"/>
  <c r="P238" i="8"/>
  <c r="P239" i="8"/>
  <c r="P240" i="8"/>
  <c r="P241" i="8"/>
  <c r="P242" i="8"/>
  <c r="P243" i="8"/>
  <c r="P244" i="8"/>
  <c r="P245" i="8"/>
  <c r="P246" i="8"/>
  <c r="P247" i="8"/>
  <c r="P248" i="8"/>
  <c r="P249" i="8"/>
  <c r="P250" i="8"/>
  <c r="P251" i="8"/>
  <c r="P252" i="8"/>
  <c r="P253" i="8"/>
  <c r="P254" i="8"/>
  <c r="P255" i="8"/>
  <c r="P256" i="8"/>
  <c r="P257" i="8"/>
  <c r="P258" i="8"/>
  <c r="P259" i="8"/>
  <c r="P260" i="8"/>
  <c r="P261" i="8"/>
  <c r="P262" i="8"/>
  <c r="P263" i="8"/>
  <c r="P264" i="8"/>
  <c r="P265" i="8"/>
  <c r="P266" i="8"/>
  <c r="P267" i="8"/>
  <c r="P268" i="8"/>
  <c r="P269" i="8"/>
  <c r="P270" i="8"/>
  <c r="P271" i="8"/>
  <c r="P272" i="8"/>
  <c r="P273" i="8"/>
  <c r="P274" i="8"/>
  <c r="P275" i="8"/>
  <c r="P276" i="8"/>
  <c r="P277" i="8"/>
  <c r="P278" i="8"/>
  <c r="P279" i="8"/>
  <c r="P280" i="8"/>
  <c r="P281" i="8"/>
  <c r="P282" i="8"/>
  <c r="P283" i="8"/>
  <c r="P284" i="8"/>
  <c r="P285" i="8"/>
  <c r="P286" i="8"/>
  <c r="P287" i="8"/>
  <c r="P288" i="8"/>
  <c r="P289" i="8"/>
  <c r="P290" i="8"/>
  <c r="P291" i="8"/>
  <c r="P292" i="8"/>
  <c r="P293" i="8"/>
  <c r="P294" i="8"/>
  <c r="P295" i="8"/>
  <c r="P296" i="8"/>
  <c r="P297" i="8"/>
  <c r="P298" i="8"/>
  <c r="P299" i="8"/>
  <c r="P300" i="8"/>
  <c r="P301" i="8"/>
  <c r="P302" i="8"/>
  <c r="P303" i="8"/>
  <c r="P304" i="8"/>
  <c r="P305" i="8"/>
  <c r="P306" i="8"/>
  <c r="P307" i="8"/>
  <c r="P308" i="8"/>
  <c r="P309" i="8"/>
  <c r="P310" i="8"/>
  <c r="P311" i="8"/>
  <c r="P312" i="8"/>
  <c r="P313" i="8"/>
  <c r="P314" i="8"/>
  <c r="P315" i="8"/>
  <c r="P316" i="8"/>
  <c r="P317" i="8"/>
  <c r="P318" i="8"/>
  <c r="P319" i="8"/>
  <c r="P320" i="8"/>
  <c r="P321" i="8"/>
  <c r="P322" i="8"/>
  <c r="P323" i="8"/>
  <c r="P324" i="8"/>
  <c r="P325" i="8"/>
  <c r="P326" i="8"/>
  <c r="P327" i="8"/>
  <c r="P328" i="8"/>
  <c r="P329" i="8"/>
  <c r="P330" i="8"/>
  <c r="P331" i="8"/>
  <c r="P332" i="8"/>
  <c r="P333" i="8"/>
  <c r="P334" i="8"/>
  <c r="P335" i="8"/>
  <c r="P336" i="8"/>
  <c r="P337" i="8"/>
  <c r="P338" i="8"/>
  <c r="P339" i="8"/>
  <c r="P340" i="8"/>
  <c r="P341" i="8"/>
  <c r="P342" i="8"/>
  <c r="P343" i="8"/>
  <c r="P344" i="8"/>
  <c r="P345" i="8"/>
  <c r="P346" i="8"/>
  <c r="P347" i="8"/>
  <c r="P348" i="8"/>
  <c r="P349" i="8"/>
  <c r="P350" i="8"/>
  <c r="P351" i="8"/>
  <c r="P352" i="8"/>
  <c r="P353" i="8"/>
  <c r="P354" i="8"/>
  <c r="P355" i="8"/>
  <c r="P356" i="8"/>
  <c r="P357" i="8"/>
  <c r="P358" i="8"/>
  <c r="P359" i="8"/>
  <c r="P360" i="8"/>
  <c r="P361" i="8"/>
  <c r="P362" i="8"/>
  <c r="P363" i="8"/>
  <c r="P364" i="8"/>
  <c r="P365" i="8"/>
  <c r="P366" i="8"/>
  <c r="P367" i="8"/>
  <c r="P368" i="8"/>
  <c r="P369" i="8"/>
  <c r="P370" i="8"/>
  <c r="P371" i="8"/>
  <c r="P372" i="8"/>
  <c r="P373" i="8"/>
  <c r="P374" i="8"/>
  <c r="P375" i="8"/>
  <c r="P376" i="8"/>
  <c r="P377" i="8"/>
  <c r="P378" i="8"/>
  <c r="P379" i="8"/>
  <c r="P380" i="8"/>
  <c r="P381" i="8"/>
  <c r="P382" i="8"/>
  <c r="P383" i="8"/>
  <c r="P384" i="8"/>
  <c r="P385" i="8"/>
  <c r="P386" i="8"/>
  <c r="P387" i="8"/>
  <c r="P388" i="8"/>
  <c r="P389" i="8"/>
  <c r="P390" i="8"/>
  <c r="P391" i="8"/>
  <c r="P392" i="8"/>
  <c r="P393" i="8"/>
  <c r="P394" i="8"/>
  <c r="P395" i="8"/>
  <c r="P396" i="8"/>
  <c r="P397" i="8"/>
  <c r="P398" i="8"/>
  <c r="P399" i="8"/>
  <c r="P400" i="8"/>
  <c r="P401" i="8"/>
  <c r="P402" i="8"/>
  <c r="P403" i="8"/>
  <c r="P404" i="8"/>
  <c r="P405" i="8"/>
  <c r="P406" i="8"/>
  <c r="P407" i="8"/>
  <c r="P408" i="8"/>
  <c r="P409" i="8"/>
  <c r="P410" i="8"/>
  <c r="P411" i="8"/>
  <c r="P412" i="8"/>
  <c r="P413" i="8"/>
  <c r="P414" i="8"/>
  <c r="P415" i="8"/>
  <c r="P416" i="8"/>
  <c r="P417" i="8"/>
  <c r="P418" i="8"/>
  <c r="P419" i="8"/>
  <c r="P420" i="8"/>
  <c r="P421" i="8"/>
  <c r="P422" i="8"/>
  <c r="P423" i="8"/>
  <c r="P424" i="8"/>
  <c r="P425" i="8"/>
  <c r="P426" i="8"/>
  <c r="P427" i="8"/>
  <c r="P428" i="8"/>
  <c r="P429" i="8"/>
  <c r="P430" i="8"/>
  <c r="P431" i="8"/>
  <c r="P432" i="8"/>
  <c r="P433" i="8"/>
  <c r="P434" i="8"/>
  <c r="P435" i="8"/>
  <c r="P436" i="8"/>
  <c r="P437" i="8"/>
  <c r="P438" i="8"/>
  <c r="P439" i="8"/>
  <c r="P440" i="8"/>
  <c r="P441" i="8"/>
  <c r="P442" i="8"/>
  <c r="P443" i="8"/>
  <c r="P444" i="8"/>
  <c r="P445" i="8"/>
  <c r="P446" i="8"/>
  <c r="P447" i="8"/>
  <c r="P448" i="8"/>
  <c r="P449" i="8"/>
  <c r="P450" i="8"/>
  <c r="P451" i="8"/>
  <c r="P452" i="8"/>
  <c r="P453" i="8"/>
  <c r="P454" i="8"/>
  <c r="P455" i="8"/>
  <c r="P456" i="8"/>
  <c r="P457" i="8"/>
  <c r="P458" i="8"/>
  <c r="P459" i="8"/>
  <c r="P460" i="8"/>
  <c r="P461" i="8"/>
  <c r="P462" i="8"/>
  <c r="P463" i="8"/>
  <c r="P464" i="8"/>
  <c r="P465" i="8"/>
  <c r="P466" i="8"/>
  <c r="P467" i="8"/>
  <c r="P468" i="8"/>
  <c r="P469" i="8"/>
  <c r="P470" i="8"/>
  <c r="P471" i="8"/>
  <c r="P472" i="8"/>
  <c r="P473" i="8"/>
  <c r="P474" i="8"/>
  <c r="P475" i="8"/>
  <c r="P476" i="8"/>
  <c r="P477" i="8"/>
  <c r="P478" i="8"/>
  <c r="P479" i="8"/>
  <c r="P480" i="8"/>
  <c r="P481" i="8"/>
  <c r="P482" i="8"/>
  <c r="P483" i="8"/>
  <c r="P484" i="8"/>
  <c r="P485" i="8"/>
  <c r="P486" i="8"/>
  <c r="P487" i="8"/>
  <c r="P488" i="8"/>
  <c r="P489" i="8"/>
  <c r="P490" i="8"/>
  <c r="P491" i="8"/>
  <c r="P492" i="8"/>
  <c r="P493" i="8"/>
  <c r="P494" i="8"/>
  <c r="P495" i="8"/>
  <c r="P496" i="8"/>
  <c r="P497" i="8"/>
  <c r="P498" i="8"/>
  <c r="P499" i="8"/>
  <c r="P500" i="8"/>
  <c r="P501" i="8"/>
  <c r="P502" i="8"/>
  <c r="P503" i="8"/>
  <c r="P504" i="8"/>
  <c r="P505" i="8"/>
  <c r="P506" i="8"/>
  <c r="P507" i="8"/>
  <c r="P508" i="8"/>
  <c r="P509" i="8"/>
  <c r="P510" i="8"/>
  <c r="P511" i="8"/>
  <c r="P512" i="8"/>
  <c r="P513" i="8"/>
  <c r="P514" i="8"/>
  <c r="P515" i="8"/>
  <c r="P516" i="8"/>
  <c r="P517" i="8"/>
  <c r="P518" i="8"/>
  <c r="P519" i="8"/>
  <c r="P520" i="8"/>
  <c r="P521" i="8"/>
  <c r="P522" i="8"/>
  <c r="P523" i="8"/>
  <c r="P524" i="8"/>
  <c r="P525" i="8"/>
  <c r="P526" i="8"/>
  <c r="P527" i="8"/>
  <c r="P528" i="8"/>
  <c r="P529" i="8"/>
  <c r="P530" i="8"/>
  <c r="P531" i="8"/>
  <c r="P532" i="8"/>
  <c r="P533" i="8"/>
  <c r="P534" i="8"/>
  <c r="P535" i="8"/>
  <c r="P536" i="8"/>
  <c r="P537" i="8"/>
  <c r="P538" i="8"/>
  <c r="P539" i="8"/>
  <c r="P540" i="8"/>
  <c r="P541" i="8"/>
  <c r="P542" i="8"/>
  <c r="P543" i="8"/>
  <c r="P544" i="8"/>
  <c r="P545" i="8"/>
  <c r="P546" i="8"/>
  <c r="P547" i="8"/>
  <c r="P548" i="8"/>
  <c r="P549" i="8"/>
  <c r="P550" i="8"/>
  <c r="P551" i="8"/>
  <c r="P552" i="8"/>
  <c r="P553" i="8"/>
  <c r="P554" i="8"/>
  <c r="P555" i="8"/>
  <c r="P556" i="8"/>
  <c r="P557" i="8"/>
  <c r="P558" i="8"/>
  <c r="P559" i="8"/>
  <c r="P560" i="8"/>
  <c r="P561" i="8"/>
  <c r="P562" i="8"/>
  <c r="P563" i="8"/>
  <c r="P564" i="8"/>
  <c r="P565" i="8"/>
  <c r="P566" i="8"/>
  <c r="P567" i="8"/>
  <c r="P568" i="8"/>
  <c r="P569" i="8"/>
  <c r="P570" i="8"/>
  <c r="P571" i="8"/>
  <c r="P2" i="8"/>
  <c r="O3" i="8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571" i="8"/>
  <c r="O2" i="8"/>
  <c r="N3" i="8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N488" i="8"/>
  <c r="N489" i="8"/>
  <c r="N490" i="8"/>
  <c r="N491" i="8"/>
  <c r="N492" i="8"/>
  <c r="N493" i="8"/>
  <c r="N494" i="8"/>
  <c r="N495" i="8"/>
  <c r="N496" i="8"/>
  <c r="N497" i="8"/>
  <c r="N498" i="8"/>
  <c r="N499" i="8"/>
  <c r="N500" i="8"/>
  <c r="N501" i="8"/>
  <c r="N502" i="8"/>
  <c r="N503" i="8"/>
  <c r="N504" i="8"/>
  <c r="N505" i="8"/>
  <c r="N506" i="8"/>
  <c r="N507" i="8"/>
  <c r="N508" i="8"/>
  <c r="N509" i="8"/>
  <c r="N510" i="8"/>
  <c r="N511" i="8"/>
  <c r="N512" i="8"/>
  <c r="N513" i="8"/>
  <c r="N514" i="8"/>
  <c r="N515" i="8"/>
  <c r="N516" i="8"/>
  <c r="N517" i="8"/>
  <c r="N518" i="8"/>
  <c r="N519" i="8"/>
  <c r="N520" i="8"/>
  <c r="N521" i="8"/>
  <c r="N522" i="8"/>
  <c r="N523" i="8"/>
  <c r="N524" i="8"/>
  <c r="N525" i="8"/>
  <c r="N526" i="8"/>
  <c r="N527" i="8"/>
  <c r="N528" i="8"/>
  <c r="N529" i="8"/>
  <c r="N530" i="8"/>
  <c r="N531" i="8"/>
  <c r="N532" i="8"/>
  <c r="N533" i="8"/>
  <c r="N534" i="8"/>
  <c r="N535" i="8"/>
  <c r="N536" i="8"/>
  <c r="N537" i="8"/>
  <c r="N538" i="8"/>
  <c r="N539" i="8"/>
  <c r="N540" i="8"/>
  <c r="N541" i="8"/>
  <c r="N542" i="8"/>
  <c r="N543" i="8"/>
  <c r="N544" i="8"/>
  <c r="N545" i="8"/>
  <c r="N546" i="8"/>
  <c r="N547" i="8"/>
  <c r="N548" i="8"/>
  <c r="N549" i="8"/>
  <c r="N550" i="8"/>
  <c r="N551" i="8"/>
  <c r="N552" i="8"/>
  <c r="N553" i="8"/>
  <c r="N554" i="8"/>
  <c r="N555" i="8"/>
  <c r="N556" i="8"/>
  <c r="N557" i="8"/>
  <c r="N558" i="8"/>
  <c r="N559" i="8"/>
  <c r="N560" i="8"/>
  <c r="N561" i="8"/>
  <c r="N562" i="8"/>
  <c r="N563" i="8"/>
  <c r="N564" i="8"/>
  <c r="N565" i="8"/>
  <c r="N566" i="8"/>
  <c r="N567" i="8"/>
  <c r="N568" i="8"/>
  <c r="N569" i="8"/>
  <c r="N570" i="8"/>
  <c r="N571" i="8"/>
  <c r="N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516" i="8"/>
  <c r="J517" i="8"/>
  <c r="J518" i="8"/>
  <c r="J519" i="8"/>
  <c r="J520" i="8"/>
  <c r="J521" i="8"/>
  <c r="J522" i="8"/>
  <c r="J523" i="8"/>
  <c r="J524" i="8"/>
  <c r="J525" i="8"/>
  <c r="J526" i="8"/>
  <c r="J527" i="8"/>
  <c r="J528" i="8"/>
  <c r="J529" i="8"/>
  <c r="J530" i="8"/>
  <c r="J531" i="8"/>
  <c r="J532" i="8"/>
  <c r="J533" i="8"/>
  <c r="J534" i="8"/>
  <c r="J535" i="8"/>
  <c r="J536" i="8"/>
  <c r="J537" i="8"/>
  <c r="J538" i="8"/>
  <c r="J539" i="8"/>
  <c r="J540" i="8"/>
  <c r="J541" i="8"/>
  <c r="J542" i="8"/>
  <c r="J543" i="8"/>
  <c r="J544" i="8"/>
  <c r="J545" i="8"/>
  <c r="J546" i="8"/>
  <c r="J547" i="8"/>
  <c r="J548" i="8"/>
  <c r="J549" i="8"/>
  <c r="J550" i="8"/>
  <c r="J551" i="8"/>
  <c r="J552" i="8"/>
  <c r="J553" i="8"/>
  <c r="J554" i="8"/>
  <c r="J555" i="8"/>
  <c r="J556" i="8"/>
  <c r="J557" i="8"/>
  <c r="J558" i="8"/>
  <c r="J559" i="8"/>
  <c r="J560" i="8"/>
  <c r="J561" i="8"/>
  <c r="J562" i="8"/>
  <c r="J563" i="8"/>
  <c r="J564" i="8"/>
  <c r="J565" i="8"/>
  <c r="J566" i="8"/>
  <c r="J567" i="8"/>
  <c r="J568" i="8"/>
  <c r="J569" i="8"/>
  <c r="J570" i="8"/>
  <c r="J571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K2" i="8"/>
  <c r="J2" i="8"/>
  <c r="I2" i="8"/>
  <c r="H2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2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B14" i="10"/>
  <c r="C8" i="10"/>
  <c r="C4" i="10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2" i="6"/>
  <c r="I14" i="10" l="1"/>
  <c r="F14" i="10"/>
  <c r="G14" i="10"/>
  <c r="D14" i="10"/>
  <c r="H14" i="10"/>
  <c r="E14" i="10"/>
  <c r="B15" i="4" l="1"/>
  <c r="B14" i="4"/>
  <c r="M571" i="5"/>
  <c r="O571" i="5" s="1"/>
  <c r="M570" i="5"/>
  <c r="O570" i="5" s="1"/>
  <c r="M569" i="5"/>
  <c r="O569" i="5" s="1"/>
  <c r="M568" i="5"/>
  <c r="O568" i="5" s="1"/>
  <c r="M567" i="5"/>
  <c r="O567" i="5" s="1"/>
  <c r="M566" i="5"/>
  <c r="O566" i="5" s="1"/>
  <c r="M565" i="5"/>
  <c r="O565" i="5" s="1"/>
  <c r="M564" i="5"/>
  <c r="O564" i="5" s="1"/>
  <c r="M563" i="5"/>
  <c r="O563" i="5" s="1"/>
  <c r="M562" i="5"/>
  <c r="O562" i="5" s="1"/>
  <c r="M561" i="5"/>
  <c r="O561" i="5" s="1"/>
  <c r="M560" i="5"/>
  <c r="O560" i="5" s="1"/>
  <c r="M559" i="5"/>
  <c r="O559" i="5" s="1"/>
  <c r="M558" i="5"/>
  <c r="O558" i="5" s="1"/>
  <c r="M557" i="5"/>
  <c r="O557" i="5" s="1"/>
  <c r="M556" i="5"/>
  <c r="O556" i="5" s="1"/>
  <c r="M555" i="5"/>
  <c r="O555" i="5" s="1"/>
  <c r="M554" i="5"/>
  <c r="O554" i="5" s="1"/>
  <c r="M553" i="5"/>
  <c r="O553" i="5" s="1"/>
  <c r="M552" i="5"/>
  <c r="O552" i="5" s="1"/>
  <c r="M551" i="5"/>
  <c r="O551" i="5" s="1"/>
  <c r="M550" i="5"/>
  <c r="O550" i="5" s="1"/>
  <c r="M549" i="5"/>
  <c r="O549" i="5" s="1"/>
  <c r="M548" i="5"/>
  <c r="O548" i="5" s="1"/>
  <c r="M547" i="5"/>
  <c r="O547" i="5" s="1"/>
  <c r="M546" i="5"/>
  <c r="O546" i="5" s="1"/>
  <c r="M545" i="5"/>
  <c r="O545" i="5" s="1"/>
  <c r="M544" i="5"/>
  <c r="O544" i="5" s="1"/>
  <c r="M543" i="5"/>
  <c r="O543" i="5" s="1"/>
  <c r="M542" i="5"/>
  <c r="O542" i="5" s="1"/>
  <c r="M541" i="5"/>
  <c r="O541" i="5" s="1"/>
  <c r="M540" i="5"/>
  <c r="O540" i="5" s="1"/>
  <c r="M539" i="5"/>
  <c r="O539" i="5" s="1"/>
  <c r="M538" i="5"/>
  <c r="O538" i="5" s="1"/>
  <c r="M537" i="5"/>
  <c r="O537" i="5" s="1"/>
  <c r="M536" i="5"/>
  <c r="O536" i="5" s="1"/>
  <c r="M535" i="5"/>
  <c r="O535" i="5" s="1"/>
  <c r="M534" i="5"/>
  <c r="O534" i="5" s="1"/>
  <c r="M533" i="5"/>
  <c r="O533" i="5" s="1"/>
  <c r="M532" i="5"/>
  <c r="O532" i="5" s="1"/>
  <c r="M531" i="5"/>
  <c r="O531" i="5" s="1"/>
  <c r="M530" i="5"/>
  <c r="O530" i="5" s="1"/>
  <c r="M529" i="5"/>
  <c r="O529" i="5" s="1"/>
  <c r="M528" i="5"/>
  <c r="O528" i="5" s="1"/>
  <c r="M527" i="5"/>
  <c r="O527" i="5" s="1"/>
  <c r="M526" i="5"/>
  <c r="O526" i="5" s="1"/>
  <c r="M525" i="5"/>
  <c r="O525" i="5" s="1"/>
  <c r="M524" i="5"/>
  <c r="O524" i="5" s="1"/>
  <c r="M523" i="5"/>
  <c r="O523" i="5" s="1"/>
  <c r="M522" i="5"/>
  <c r="O522" i="5" s="1"/>
  <c r="M521" i="5"/>
  <c r="O521" i="5" s="1"/>
  <c r="M520" i="5"/>
  <c r="O520" i="5" s="1"/>
  <c r="M519" i="5"/>
  <c r="O519" i="5" s="1"/>
  <c r="M518" i="5"/>
  <c r="O518" i="5" s="1"/>
  <c r="M517" i="5"/>
  <c r="O517" i="5" s="1"/>
  <c r="M516" i="5"/>
  <c r="O516" i="5" s="1"/>
  <c r="M515" i="5"/>
  <c r="O515" i="5" s="1"/>
  <c r="M514" i="5"/>
  <c r="O514" i="5" s="1"/>
  <c r="M513" i="5"/>
  <c r="O513" i="5" s="1"/>
  <c r="M512" i="5"/>
  <c r="O512" i="5" s="1"/>
  <c r="M511" i="5"/>
  <c r="O511" i="5" s="1"/>
  <c r="M510" i="5"/>
  <c r="O510" i="5" s="1"/>
  <c r="M509" i="5"/>
  <c r="O509" i="5" s="1"/>
  <c r="M508" i="5"/>
  <c r="O508" i="5" s="1"/>
  <c r="M507" i="5"/>
  <c r="O507" i="5" s="1"/>
  <c r="M506" i="5"/>
  <c r="O506" i="5" s="1"/>
  <c r="M505" i="5"/>
  <c r="O505" i="5" s="1"/>
  <c r="M504" i="5"/>
  <c r="O504" i="5" s="1"/>
  <c r="M503" i="5"/>
  <c r="O503" i="5" s="1"/>
  <c r="M502" i="5"/>
  <c r="O502" i="5" s="1"/>
  <c r="M501" i="5"/>
  <c r="O501" i="5" s="1"/>
  <c r="M500" i="5"/>
  <c r="O500" i="5" s="1"/>
  <c r="M499" i="5"/>
  <c r="O499" i="5" s="1"/>
  <c r="M498" i="5"/>
  <c r="O498" i="5" s="1"/>
  <c r="M497" i="5"/>
  <c r="O497" i="5" s="1"/>
  <c r="M496" i="5"/>
  <c r="O496" i="5" s="1"/>
  <c r="M495" i="5"/>
  <c r="O495" i="5" s="1"/>
  <c r="M494" i="5"/>
  <c r="O494" i="5" s="1"/>
  <c r="M493" i="5"/>
  <c r="O493" i="5" s="1"/>
  <c r="M492" i="5"/>
  <c r="O492" i="5" s="1"/>
  <c r="M491" i="5"/>
  <c r="O491" i="5" s="1"/>
  <c r="M490" i="5"/>
  <c r="O490" i="5" s="1"/>
  <c r="M489" i="5"/>
  <c r="O489" i="5" s="1"/>
  <c r="M488" i="5"/>
  <c r="O488" i="5" s="1"/>
  <c r="M487" i="5"/>
  <c r="O487" i="5" s="1"/>
  <c r="M486" i="5"/>
  <c r="O486" i="5" s="1"/>
  <c r="M485" i="5"/>
  <c r="O485" i="5" s="1"/>
  <c r="M484" i="5"/>
  <c r="O484" i="5" s="1"/>
  <c r="M483" i="5"/>
  <c r="O483" i="5" s="1"/>
  <c r="M482" i="5"/>
  <c r="O482" i="5" s="1"/>
  <c r="M481" i="5"/>
  <c r="O481" i="5" s="1"/>
  <c r="M480" i="5"/>
  <c r="O480" i="5" s="1"/>
  <c r="M479" i="5"/>
  <c r="O479" i="5" s="1"/>
  <c r="M478" i="5"/>
  <c r="O478" i="5" s="1"/>
  <c r="M477" i="5"/>
  <c r="O477" i="5" s="1"/>
  <c r="M476" i="5"/>
  <c r="O476" i="5" s="1"/>
  <c r="M475" i="5"/>
  <c r="O475" i="5" s="1"/>
  <c r="M474" i="5"/>
  <c r="O474" i="5" s="1"/>
  <c r="M473" i="5"/>
  <c r="O473" i="5" s="1"/>
  <c r="M472" i="5"/>
  <c r="O472" i="5" s="1"/>
  <c r="M471" i="5"/>
  <c r="O471" i="5" s="1"/>
  <c r="M470" i="5"/>
  <c r="O470" i="5" s="1"/>
  <c r="M469" i="5"/>
  <c r="O469" i="5" s="1"/>
  <c r="M468" i="5"/>
  <c r="O468" i="5" s="1"/>
  <c r="M467" i="5"/>
  <c r="O467" i="5" s="1"/>
  <c r="M466" i="5"/>
  <c r="O466" i="5" s="1"/>
  <c r="M465" i="5"/>
  <c r="O465" i="5" s="1"/>
  <c r="M464" i="5"/>
  <c r="O464" i="5" s="1"/>
  <c r="M463" i="5"/>
  <c r="O463" i="5" s="1"/>
  <c r="M462" i="5"/>
  <c r="O462" i="5" s="1"/>
  <c r="M461" i="5"/>
  <c r="O461" i="5" s="1"/>
  <c r="M460" i="5"/>
  <c r="O460" i="5" s="1"/>
  <c r="M459" i="5"/>
  <c r="O459" i="5" s="1"/>
  <c r="M458" i="5"/>
  <c r="O458" i="5" s="1"/>
  <c r="M457" i="5"/>
  <c r="O457" i="5" s="1"/>
  <c r="M456" i="5"/>
  <c r="O456" i="5" s="1"/>
  <c r="M455" i="5"/>
  <c r="O455" i="5" s="1"/>
  <c r="M454" i="5"/>
  <c r="O454" i="5" s="1"/>
  <c r="M453" i="5"/>
  <c r="O453" i="5" s="1"/>
  <c r="M452" i="5"/>
  <c r="O452" i="5" s="1"/>
  <c r="M451" i="5"/>
  <c r="O451" i="5" s="1"/>
  <c r="M450" i="5"/>
  <c r="O450" i="5" s="1"/>
  <c r="M449" i="5"/>
  <c r="O449" i="5" s="1"/>
  <c r="M448" i="5"/>
  <c r="O448" i="5" s="1"/>
  <c r="M447" i="5"/>
  <c r="O447" i="5" s="1"/>
  <c r="M446" i="5"/>
  <c r="O446" i="5" s="1"/>
  <c r="M445" i="5"/>
  <c r="O445" i="5" s="1"/>
  <c r="M444" i="5"/>
  <c r="O444" i="5" s="1"/>
  <c r="M443" i="5"/>
  <c r="O443" i="5" s="1"/>
  <c r="M442" i="5"/>
  <c r="O442" i="5" s="1"/>
  <c r="M441" i="5"/>
  <c r="O441" i="5" s="1"/>
  <c r="M440" i="5"/>
  <c r="O440" i="5" s="1"/>
  <c r="M439" i="5"/>
  <c r="O439" i="5" s="1"/>
  <c r="M438" i="5"/>
  <c r="O438" i="5" s="1"/>
  <c r="M437" i="5"/>
  <c r="O437" i="5" s="1"/>
  <c r="M436" i="5"/>
  <c r="O436" i="5" s="1"/>
  <c r="M435" i="5"/>
  <c r="O435" i="5" s="1"/>
  <c r="M434" i="5"/>
  <c r="O434" i="5" s="1"/>
  <c r="M433" i="5"/>
  <c r="O433" i="5" s="1"/>
  <c r="M432" i="5"/>
  <c r="O432" i="5" s="1"/>
  <c r="M431" i="5"/>
  <c r="O431" i="5" s="1"/>
  <c r="M430" i="5"/>
  <c r="O430" i="5" s="1"/>
  <c r="M429" i="5"/>
  <c r="O429" i="5" s="1"/>
  <c r="M428" i="5"/>
  <c r="O428" i="5" s="1"/>
  <c r="M427" i="5"/>
  <c r="O427" i="5" s="1"/>
  <c r="M426" i="5"/>
  <c r="O426" i="5" s="1"/>
  <c r="M425" i="5"/>
  <c r="O425" i="5" s="1"/>
  <c r="M424" i="5"/>
  <c r="O424" i="5" s="1"/>
  <c r="M423" i="5"/>
  <c r="O423" i="5" s="1"/>
  <c r="M422" i="5"/>
  <c r="O422" i="5" s="1"/>
  <c r="M421" i="5"/>
  <c r="O421" i="5" s="1"/>
  <c r="M420" i="5"/>
  <c r="O420" i="5" s="1"/>
  <c r="M419" i="5"/>
  <c r="O419" i="5" s="1"/>
  <c r="M418" i="5"/>
  <c r="O418" i="5" s="1"/>
  <c r="M417" i="5"/>
  <c r="O417" i="5" s="1"/>
  <c r="M416" i="5"/>
  <c r="O416" i="5" s="1"/>
  <c r="M415" i="5"/>
  <c r="O415" i="5" s="1"/>
  <c r="M414" i="5"/>
  <c r="O414" i="5" s="1"/>
  <c r="M413" i="5"/>
  <c r="O413" i="5" s="1"/>
  <c r="M412" i="5"/>
  <c r="O412" i="5" s="1"/>
  <c r="M411" i="5"/>
  <c r="O411" i="5" s="1"/>
  <c r="M410" i="5"/>
  <c r="O410" i="5" s="1"/>
  <c r="M409" i="5"/>
  <c r="O409" i="5" s="1"/>
  <c r="M408" i="5"/>
  <c r="O408" i="5" s="1"/>
  <c r="M407" i="5"/>
  <c r="O407" i="5" s="1"/>
  <c r="M406" i="5"/>
  <c r="O406" i="5" s="1"/>
  <c r="M405" i="5"/>
  <c r="O405" i="5" s="1"/>
  <c r="M404" i="5"/>
  <c r="O404" i="5" s="1"/>
  <c r="M403" i="5"/>
  <c r="O403" i="5" s="1"/>
  <c r="M402" i="5"/>
  <c r="O402" i="5" s="1"/>
  <c r="M401" i="5"/>
  <c r="O401" i="5" s="1"/>
  <c r="M400" i="5"/>
  <c r="O400" i="5" s="1"/>
  <c r="M399" i="5"/>
  <c r="O399" i="5" s="1"/>
  <c r="M398" i="5"/>
  <c r="O398" i="5" s="1"/>
  <c r="M397" i="5"/>
  <c r="O397" i="5" s="1"/>
  <c r="M396" i="5"/>
  <c r="O396" i="5" s="1"/>
  <c r="M395" i="5"/>
  <c r="O395" i="5" s="1"/>
  <c r="M394" i="5"/>
  <c r="O394" i="5" s="1"/>
  <c r="M393" i="5"/>
  <c r="O393" i="5" s="1"/>
  <c r="M392" i="5"/>
  <c r="O392" i="5" s="1"/>
  <c r="M391" i="5"/>
  <c r="O391" i="5" s="1"/>
  <c r="M390" i="5"/>
  <c r="O390" i="5" s="1"/>
  <c r="M389" i="5"/>
  <c r="O389" i="5" s="1"/>
  <c r="M388" i="5"/>
  <c r="O388" i="5" s="1"/>
  <c r="M387" i="5"/>
  <c r="O387" i="5" s="1"/>
  <c r="M386" i="5"/>
  <c r="O386" i="5" s="1"/>
  <c r="M385" i="5"/>
  <c r="O385" i="5" s="1"/>
  <c r="M384" i="5"/>
  <c r="O384" i="5" s="1"/>
  <c r="M383" i="5"/>
  <c r="O383" i="5" s="1"/>
  <c r="M382" i="5"/>
  <c r="O382" i="5" s="1"/>
  <c r="M381" i="5"/>
  <c r="O381" i="5" s="1"/>
  <c r="M380" i="5"/>
  <c r="O380" i="5" s="1"/>
  <c r="M379" i="5"/>
  <c r="O379" i="5" s="1"/>
  <c r="M378" i="5"/>
  <c r="O378" i="5" s="1"/>
  <c r="M377" i="5"/>
  <c r="O377" i="5" s="1"/>
  <c r="M376" i="5"/>
  <c r="O376" i="5" s="1"/>
  <c r="M375" i="5"/>
  <c r="O375" i="5" s="1"/>
  <c r="M374" i="5"/>
  <c r="O374" i="5" s="1"/>
  <c r="M373" i="5"/>
  <c r="O373" i="5" s="1"/>
  <c r="M372" i="5"/>
  <c r="O372" i="5" s="1"/>
  <c r="M371" i="5"/>
  <c r="O371" i="5" s="1"/>
  <c r="M370" i="5"/>
  <c r="O370" i="5" s="1"/>
  <c r="M369" i="5"/>
  <c r="O369" i="5" s="1"/>
  <c r="M368" i="5"/>
  <c r="O368" i="5" s="1"/>
  <c r="M367" i="5"/>
  <c r="O367" i="5" s="1"/>
  <c r="M366" i="5"/>
  <c r="O366" i="5" s="1"/>
  <c r="M365" i="5"/>
  <c r="O365" i="5" s="1"/>
  <c r="M364" i="5"/>
  <c r="O364" i="5" s="1"/>
  <c r="M363" i="5"/>
  <c r="O363" i="5" s="1"/>
  <c r="M362" i="5"/>
  <c r="O362" i="5" s="1"/>
  <c r="M361" i="5"/>
  <c r="O361" i="5" s="1"/>
  <c r="M360" i="5"/>
  <c r="O360" i="5" s="1"/>
  <c r="M359" i="5"/>
  <c r="O359" i="5" s="1"/>
  <c r="M358" i="5"/>
  <c r="O358" i="5" s="1"/>
  <c r="M357" i="5"/>
  <c r="O357" i="5" s="1"/>
  <c r="M356" i="5"/>
  <c r="O356" i="5" s="1"/>
  <c r="M355" i="5"/>
  <c r="O355" i="5" s="1"/>
  <c r="M354" i="5"/>
  <c r="O354" i="5" s="1"/>
  <c r="M353" i="5"/>
  <c r="O353" i="5" s="1"/>
  <c r="M352" i="5"/>
  <c r="O352" i="5" s="1"/>
  <c r="M351" i="5"/>
  <c r="O351" i="5" s="1"/>
  <c r="M350" i="5"/>
  <c r="O350" i="5" s="1"/>
  <c r="M349" i="5"/>
  <c r="O349" i="5" s="1"/>
  <c r="M348" i="5"/>
  <c r="O348" i="5" s="1"/>
  <c r="M347" i="5"/>
  <c r="O347" i="5" s="1"/>
  <c r="M346" i="5"/>
  <c r="O346" i="5" s="1"/>
  <c r="M345" i="5"/>
  <c r="O345" i="5" s="1"/>
  <c r="M344" i="5"/>
  <c r="O344" i="5" s="1"/>
  <c r="M343" i="5"/>
  <c r="O343" i="5" s="1"/>
  <c r="M342" i="5"/>
  <c r="O342" i="5" s="1"/>
  <c r="M341" i="5"/>
  <c r="O341" i="5" s="1"/>
  <c r="M340" i="5"/>
  <c r="O340" i="5" s="1"/>
  <c r="M339" i="5"/>
  <c r="O339" i="5" s="1"/>
  <c r="M338" i="5"/>
  <c r="O338" i="5" s="1"/>
  <c r="M337" i="5"/>
  <c r="O337" i="5" s="1"/>
  <c r="M336" i="5"/>
  <c r="O336" i="5" s="1"/>
  <c r="M335" i="5"/>
  <c r="O335" i="5" s="1"/>
  <c r="M334" i="5"/>
  <c r="O334" i="5" s="1"/>
  <c r="M333" i="5"/>
  <c r="O333" i="5" s="1"/>
  <c r="M332" i="5"/>
  <c r="O332" i="5" s="1"/>
  <c r="M331" i="5"/>
  <c r="O331" i="5" s="1"/>
  <c r="M330" i="5"/>
  <c r="O330" i="5" s="1"/>
  <c r="M329" i="5"/>
  <c r="O329" i="5" s="1"/>
  <c r="M328" i="5"/>
  <c r="O328" i="5" s="1"/>
  <c r="M327" i="5"/>
  <c r="O327" i="5" s="1"/>
  <c r="M326" i="5"/>
  <c r="O326" i="5" s="1"/>
  <c r="M325" i="5"/>
  <c r="O325" i="5" s="1"/>
  <c r="M324" i="5"/>
  <c r="O324" i="5" s="1"/>
  <c r="M323" i="5"/>
  <c r="O323" i="5" s="1"/>
  <c r="M322" i="5"/>
  <c r="O322" i="5" s="1"/>
  <c r="M321" i="5"/>
  <c r="O321" i="5" s="1"/>
  <c r="M320" i="5"/>
  <c r="O320" i="5" s="1"/>
  <c r="M319" i="5"/>
  <c r="O319" i="5" s="1"/>
  <c r="M318" i="5"/>
  <c r="O318" i="5" s="1"/>
  <c r="M317" i="5"/>
  <c r="O317" i="5" s="1"/>
  <c r="M316" i="5"/>
  <c r="O316" i="5" s="1"/>
  <c r="M315" i="5"/>
  <c r="O315" i="5" s="1"/>
  <c r="M314" i="5"/>
  <c r="O314" i="5" s="1"/>
  <c r="M313" i="5"/>
  <c r="O313" i="5" s="1"/>
  <c r="M312" i="5"/>
  <c r="O312" i="5" s="1"/>
  <c r="M311" i="5"/>
  <c r="O311" i="5" s="1"/>
  <c r="M310" i="5"/>
  <c r="O310" i="5" s="1"/>
  <c r="M309" i="5"/>
  <c r="O309" i="5" s="1"/>
  <c r="M308" i="5"/>
  <c r="O308" i="5" s="1"/>
  <c r="M307" i="5"/>
  <c r="O307" i="5" s="1"/>
  <c r="M306" i="5"/>
  <c r="O306" i="5" s="1"/>
  <c r="M305" i="5"/>
  <c r="O305" i="5" s="1"/>
  <c r="M304" i="5"/>
  <c r="O304" i="5" s="1"/>
  <c r="M303" i="5"/>
  <c r="O303" i="5" s="1"/>
  <c r="M302" i="5"/>
  <c r="O302" i="5" s="1"/>
  <c r="M301" i="5"/>
  <c r="O301" i="5" s="1"/>
  <c r="M300" i="5"/>
  <c r="O300" i="5" s="1"/>
  <c r="M299" i="5"/>
  <c r="O299" i="5" s="1"/>
  <c r="M298" i="5"/>
  <c r="O298" i="5" s="1"/>
  <c r="M297" i="5"/>
  <c r="O297" i="5" s="1"/>
  <c r="M296" i="5"/>
  <c r="O296" i="5" s="1"/>
  <c r="M295" i="5"/>
  <c r="O295" i="5" s="1"/>
  <c r="M294" i="5"/>
  <c r="O294" i="5" s="1"/>
  <c r="M293" i="5"/>
  <c r="O293" i="5" s="1"/>
  <c r="M292" i="5"/>
  <c r="O292" i="5" s="1"/>
  <c r="M291" i="5"/>
  <c r="O291" i="5" s="1"/>
  <c r="M290" i="5"/>
  <c r="O290" i="5" s="1"/>
  <c r="M289" i="5"/>
  <c r="O289" i="5" s="1"/>
  <c r="M288" i="5"/>
  <c r="O288" i="5" s="1"/>
  <c r="M287" i="5"/>
  <c r="O287" i="5" s="1"/>
  <c r="M286" i="5"/>
  <c r="O286" i="5" s="1"/>
  <c r="M285" i="5"/>
  <c r="O285" i="5" s="1"/>
  <c r="M284" i="5"/>
  <c r="O284" i="5" s="1"/>
  <c r="M283" i="5"/>
  <c r="O283" i="5" s="1"/>
  <c r="M282" i="5"/>
  <c r="O282" i="5" s="1"/>
  <c r="M281" i="5"/>
  <c r="O281" i="5" s="1"/>
  <c r="M280" i="5"/>
  <c r="O280" i="5" s="1"/>
  <c r="M279" i="5"/>
  <c r="O279" i="5" s="1"/>
  <c r="M278" i="5"/>
  <c r="O278" i="5" s="1"/>
  <c r="M277" i="5"/>
  <c r="O277" i="5" s="1"/>
  <c r="M276" i="5"/>
  <c r="O276" i="5" s="1"/>
  <c r="M275" i="5"/>
  <c r="O275" i="5" s="1"/>
  <c r="M274" i="5"/>
  <c r="O274" i="5" s="1"/>
  <c r="M273" i="5"/>
  <c r="O273" i="5" s="1"/>
  <c r="M272" i="5"/>
  <c r="O272" i="5" s="1"/>
  <c r="M271" i="5"/>
  <c r="O271" i="5" s="1"/>
  <c r="M270" i="5"/>
  <c r="O270" i="5" s="1"/>
  <c r="M269" i="5"/>
  <c r="O269" i="5" s="1"/>
  <c r="M268" i="5"/>
  <c r="O268" i="5" s="1"/>
  <c r="M267" i="5"/>
  <c r="O267" i="5" s="1"/>
  <c r="M266" i="5"/>
  <c r="O266" i="5" s="1"/>
  <c r="M265" i="5"/>
  <c r="O265" i="5" s="1"/>
  <c r="M264" i="5"/>
  <c r="O264" i="5" s="1"/>
  <c r="M263" i="5"/>
  <c r="O263" i="5" s="1"/>
  <c r="M262" i="5"/>
  <c r="O262" i="5" s="1"/>
  <c r="M261" i="5"/>
  <c r="O261" i="5" s="1"/>
  <c r="M260" i="5"/>
  <c r="O260" i="5" s="1"/>
  <c r="M259" i="5"/>
  <c r="O259" i="5" s="1"/>
  <c r="M258" i="5"/>
  <c r="O258" i="5" s="1"/>
  <c r="M257" i="5"/>
  <c r="O257" i="5" s="1"/>
  <c r="M256" i="5"/>
  <c r="O256" i="5" s="1"/>
  <c r="M255" i="5"/>
  <c r="O255" i="5" s="1"/>
  <c r="M254" i="5"/>
  <c r="O254" i="5" s="1"/>
  <c r="M253" i="5"/>
  <c r="O253" i="5" s="1"/>
  <c r="M252" i="5"/>
  <c r="O252" i="5" s="1"/>
  <c r="M251" i="5"/>
  <c r="O251" i="5" s="1"/>
  <c r="M250" i="5"/>
  <c r="O250" i="5" s="1"/>
  <c r="M249" i="5"/>
  <c r="O249" i="5" s="1"/>
  <c r="M248" i="5"/>
  <c r="O248" i="5" s="1"/>
  <c r="M247" i="5"/>
  <c r="O247" i="5" s="1"/>
  <c r="M246" i="5"/>
  <c r="O246" i="5" s="1"/>
  <c r="M245" i="5"/>
  <c r="O245" i="5" s="1"/>
  <c r="M244" i="5"/>
  <c r="O244" i="5" s="1"/>
  <c r="M243" i="5"/>
  <c r="O243" i="5" s="1"/>
  <c r="M242" i="5"/>
  <c r="O242" i="5" s="1"/>
  <c r="M241" i="5"/>
  <c r="O241" i="5" s="1"/>
  <c r="M240" i="5"/>
  <c r="O240" i="5" s="1"/>
  <c r="M239" i="5"/>
  <c r="O239" i="5" s="1"/>
  <c r="M238" i="5"/>
  <c r="O238" i="5" s="1"/>
  <c r="M237" i="5"/>
  <c r="O237" i="5" s="1"/>
  <c r="M236" i="5"/>
  <c r="O236" i="5" s="1"/>
  <c r="M235" i="5"/>
  <c r="O235" i="5" s="1"/>
  <c r="M234" i="5"/>
  <c r="O234" i="5" s="1"/>
  <c r="M233" i="5"/>
  <c r="O233" i="5" s="1"/>
  <c r="M232" i="5"/>
  <c r="O232" i="5" s="1"/>
  <c r="M231" i="5"/>
  <c r="O231" i="5" s="1"/>
  <c r="M230" i="5"/>
  <c r="O230" i="5" s="1"/>
  <c r="M229" i="5"/>
  <c r="O229" i="5" s="1"/>
  <c r="M228" i="5"/>
  <c r="O228" i="5" s="1"/>
  <c r="M227" i="5"/>
  <c r="O227" i="5" s="1"/>
  <c r="M226" i="5"/>
  <c r="O226" i="5" s="1"/>
  <c r="M225" i="5"/>
  <c r="O225" i="5" s="1"/>
  <c r="M224" i="5"/>
  <c r="O224" i="5" s="1"/>
  <c r="M223" i="5"/>
  <c r="O223" i="5" s="1"/>
  <c r="M222" i="5"/>
  <c r="O222" i="5" s="1"/>
  <c r="M221" i="5"/>
  <c r="O221" i="5" s="1"/>
  <c r="M220" i="5"/>
  <c r="O220" i="5" s="1"/>
  <c r="M219" i="5"/>
  <c r="O219" i="5" s="1"/>
  <c r="M218" i="5"/>
  <c r="O218" i="5" s="1"/>
  <c r="M217" i="5"/>
  <c r="O217" i="5" s="1"/>
  <c r="M216" i="5"/>
  <c r="O216" i="5" s="1"/>
  <c r="M215" i="5"/>
  <c r="O215" i="5" s="1"/>
  <c r="M214" i="5"/>
  <c r="O214" i="5" s="1"/>
  <c r="M213" i="5"/>
  <c r="O213" i="5" s="1"/>
  <c r="M212" i="5"/>
  <c r="O212" i="5" s="1"/>
  <c r="M211" i="5"/>
  <c r="O211" i="5" s="1"/>
  <c r="M210" i="5"/>
  <c r="O210" i="5" s="1"/>
  <c r="M209" i="5"/>
  <c r="O209" i="5" s="1"/>
  <c r="M208" i="5"/>
  <c r="O208" i="5" s="1"/>
  <c r="M207" i="5"/>
  <c r="O207" i="5" s="1"/>
  <c r="M206" i="5"/>
  <c r="O206" i="5" s="1"/>
  <c r="M205" i="5"/>
  <c r="O205" i="5" s="1"/>
  <c r="M204" i="5"/>
  <c r="O204" i="5" s="1"/>
  <c r="M203" i="5"/>
  <c r="O203" i="5" s="1"/>
  <c r="M202" i="5"/>
  <c r="O202" i="5" s="1"/>
  <c r="M201" i="5"/>
  <c r="O201" i="5" s="1"/>
  <c r="M200" i="5"/>
  <c r="O200" i="5" s="1"/>
  <c r="M199" i="5"/>
  <c r="O199" i="5" s="1"/>
  <c r="M198" i="5"/>
  <c r="O198" i="5" s="1"/>
  <c r="M197" i="5"/>
  <c r="O197" i="5" s="1"/>
  <c r="M196" i="5"/>
  <c r="O196" i="5" s="1"/>
  <c r="M195" i="5"/>
  <c r="O195" i="5" s="1"/>
  <c r="M194" i="5"/>
  <c r="O194" i="5" s="1"/>
  <c r="M193" i="5"/>
  <c r="O193" i="5" s="1"/>
  <c r="M192" i="5"/>
  <c r="O192" i="5" s="1"/>
  <c r="M191" i="5"/>
  <c r="O191" i="5" s="1"/>
  <c r="M190" i="5"/>
  <c r="O190" i="5" s="1"/>
  <c r="M189" i="5"/>
  <c r="O189" i="5" s="1"/>
  <c r="M188" i="5"/>
  <c r="O188" i="5" s="1"/>
  <c r="M187" i="5"/>
  <c r="O187" i="5" s="1"/>
  <c r="M186" i="5"/>
  <c r="O186" i="5" s="1"/>
  <c r="M185" i="5"/>
  <c r="O185" i="5" s="1"/>
  <c r="M184" i="5"/>
  <c r="O184" i="5" s="1"/>
  <c r="M183" i="5"/>
  <c r="O183" i="5" s="1"/>
  <c r="M182" i="5"/>
  <c r="O182" i="5" s="1"/>
  <c r="M181" i="5"/>
  <c r="O181" i="5" s="1"/>
  <c r="M180" i="5"/>
  <c r="O180" i="5" s="1"/>
  <c r="M179" i="5"/>
  <c r="O179" i="5" s="1"/>
  <c r="M178" i="5"/>
  <c r="O178" i="5" s="1"/>
  <c r="M177" i="5"/>
  <c r="O177" i="5" s="1"/>
  <c r="M176" i="5"/>
  <c r="O176" i="5" s="1"/>
  <c r="M175" i="5"/>
  <c r="O175" i="5" s="1"/>
  <c r="M174" i="5"/>
  <c r="O174" i="5" s="1"/>
  <c r="M173" i="5"/>
  <c r="O173" i="5" s="1"/>
  <c r="M172" i="5"/>
  <c r="O172" i="5" s="1"/>
  <c r="M171" i="5"/>
  <c r="O171" i="5" s="1"/>
  <c r="M170" i="5"/>
  <c r="O170" i="5" s="1"/>
  <c r="M169" i="5"/>
  <c r="O169" i="5" s="1"/>
  <c r="M168" i="5"/>
  <c r="O168" i="5" s="1"/>
  <c r="M167" i="5"/>
  <c r="O167" i="5" s="1"/>
  <c r="M166" i="5"/>
  <c r="O166" i="5" s="1"/>
  <c r="M165" i="5"/>
  <c r="O165" i="5" s="1"/>
  <c r="M164" i="5"/>
  <c r="O164" i="5" s="1"/>
  <c r="M163" i="5"/>
  <c r="O163" i="5" s="1"/>
  <c r="M162" i="5"/>
  <c r="O162" i="5" s="1"/>
  <c r="M161" i="5"/>
  <c r="O161" i="5" s="1"/>
  <c r="M160" i="5"/>
  <c r="O160" i="5" s="1"/>
  <c r="M159" i="5"/>
  <c r="O159" i="5" s="1"/>
  <c r="M158" i="5"/>
  <c r="O158" i="5" s="1"/>
  <c r="M157" i="5"/>
  <c r="O157" i="5" s="1"/>
  <c r="M156" i="5"/>
  <c r="O156" i="5" s="1"/>
  <c r="M155" i="5"/>
  <c r="O155" i="5" s="1"/>
  <c r="M154" i="5"/>
  <c r="O154" i="5" s="1"/>
  <c r="M153" i="5"/>
  <c r="O153" i="5" s="1"/>
  <c r="M152" i="5"/>
  <c r="O152" i="5" s="1"/>
  <c r="M151" i="5"/>
  <c r="O151" i="5" s="1"/>
  <c r="M150" i="5"/>
  <c r="O150" i="5" s="1"/>
  <c r="M149" i="5"/>
  <c r="O149" i="5" s="1"/>
  <c r="M148" i="5"/>
  <c r="O148" i="5" s="1"/>
  <c r="M147" i="5"/>
  <c r="O147" i="5" s="1"/>
  <c r="M146" i="5"/>
  <c r="O146" i="5" s="1"/>
  <c r="M145" i="5"/>
  <c r="O145" i="5" s="1"/>
  <c r="M144" i="5"/>
  <c r="O144" i="5" s="1"/>
  <c r="M143" i="5"/>
  <c r="O143" i="5" s="1"/>
  <c r="M142" i="5"/>
  <c r="O142" i="5" s="1"/>
  <c r="M141" i="5"/>
  <c r="O141" i="5" s="1"/>
  <c r="M140" i="5"/>
  <c r="O140" i="5" s="1"/>
  <c r="M139" i="5"/>
  <c r="O139" i="5" s="1"/>
  <c r="M138" i="5"/>
  <c r="O138" i="5" s="1"/>
  <c r="M137" i="5"/>
  <c r="O137" i="5" s="1"/>
  <c r="M136" i="5"/>
  <c r="O136" i="5" s="1"/>
  <c r="M135" i="5"/>
  <c r="O135" i="5" s="1"/>
  <c r="M134" i="5"/>
  <c r="O134" i="5" s="1"/>
  <c r="M133" i="5"/>
  <c r="O133" i="5" s="1"/>
  <c r="M132" i="5"/>
  <c r="O132" i="5" s="1"/>
  <c r="M131" i="5"/>
  <c r="O131" i="5" s="1"/>
  <c r="M130" i="5"/>
  <c r="O130" i="5" s="1"/>
  <c r="M129" i="5"/>
  <c r="O129" i="5" s="1"/>
  <c r="M128" i="5"/>
  <c r="O128" i="5" s="1"/>
  <c r="M127" i="5"/>
  <c r="O127" i="5" s="1"/>
  <c r="M126" i="5"/>
  <c r="O126" i="5" s="1"/>
  <c r="M125" i="5"/>
  <c r="O125" i="5" s="1"/>
  <c r="M124" i="5"/>
  <c r="O124" i="5" s="1"/>
  <c r="M123" i="5"/>
  <c r="O123" i="5" s="1"/>
  <c r="M122" i="5"/>
  <c r="O122" i="5" s="1"/>
  <c r="M121" i="5"/>
  <c r="O121" i="5" s="1"/>
  <c r="M120" i="5"/>
  <c r="O120" i="5" s="1"/>
  <c r="M119" i="5"/>
  <c r="O119" i="5" s="1"/>
  <c r="M118" i="5"/>
  <c r="O118" i="5" s="1"/>
  <c r="M117" i="5"/>
  <c r="O117" i="5" s="1"/>
  <c r="M116" i="5"/>
  <c r="O116" i="5" s="1"/>
  <c r="M115" i="5"/>
  <c r="O115" i="5" s="1"/>
  <c r="M114" i="5"/>
  <c r="O114" i="5" s="1"/>
  <c r="M113" i="5"/>
  <c r="O113" i="5" s="1"/>
  <c r="M112" i="5"/>
  <c r="O112" i="5" s="1"/>
  <c r="M111" i="5"/>
  <c r="O111" i="5" s="1"/>
  <c r="M110" i="5"/>
  <c r="O110" i="5" s="1"/>
  <c r="M109" i="5"/>
  <c r="O109" i="5" s="1"/>
  <c r="M108" i="5"/>
  <c r="O108" i="5" s="1"/>
  <c r="M107" i="5"/>
  <c r="O107" i="5" s="1"/>
  <c r="M106" i="5"/>
  <c r="O106" i="5" s="1"/>
  <c r="M105" i="5"/>
  <c r="O105" i="5" s="1"/>
  <c r="M104" i="5"/>
  <c r="O104" i="5" s="1"/>
  <c r="M103" i="5"/>
  <c r="O103" i="5" s="1"/>
  <c r="M102" i="5"/>
  <c r="O102" i="5" s="1"/>
  <c r="M101" i="5"/>
  <c r="O101" i="5" s="1"/>
  <c r="M100" i="5"/>
  <c r="O100" i="5" s="1"/>
  <c r="M99" i="5"/>
  <c r="O99" i="5" s="1"/>
  <c r="M98" i="5"/>
  <c r="O98" i="5" s="1"/>
  <c r="M97" i="5"/>
  <c r="O97" i="5" s="1"/>
  <c r="M96" i="5"/>
  <c r="O96" i="5" s="1"/>
  <c r="M95" i="5"/>
  <c r="O95" i="5" s="1"/>
  <c r="M94" i="5"/>
  <c r="O94" i="5" s="1"/>
  <c r="M93" i="5"/>
  <c r="O93" i="5" s="1"/>
  <c r="M92" i="5"/>
  <c r="O92" i="5" s="1"/>
  <c r="M91" i="5"/>
  <c r="O91" i="5" s="1"/>
  <c r="M90" i="5"/>
  <c r="O90" i="5" s="1"/>
  <c r="M89" i="5"/>
  <c r="O89" i="5" s="1"/>
  <c r="M88" i="5"/>
  <c r="O88" i="5" s="1"/>
  <c r="M87" i="5"/>
  <c r="O87" i="5" s="1"/>
  <c r="M86" i="5"/>
  <c r="O86" i="5" s="1"/>
  <c r="M85" i="5"/>
  <c r="O85" i="5" s="1"/>
  <c r="M84" i="5"/>
  <c r="O84" i="5" s="1"/>
  <c r="M83" i="5"/>
  <c r="O83" i="5" s="1"/>
  <c r="M82" i="5"/>
  <c r="O82" i="5" s="1"/>
  <c r="M81" i="5"/>
  <c r="O81" i="5" s="1"/>
  <c r="M80" i="5"/>
  <c r="O80" i="5" s="1"/>
  <c r="M79" i="5"/>
  <c r="O79" i="5" s="1"/>
  <c r="M78" i="5"/>
  <c r="O78" i="5" s="1"/>
  <c r="M77" i="5"/>
  <c r="O77" i="5" s="1"/>
  <c r="M76" i="5"/>
  <c r="O76" i="5" s="1"/>
  <c r="M75" i="5"/>
  <c r="O75" i="5" s="1"/>
  <c r="M74" i="5"/>
  <c r="O74" i="5" s="1"/>
  <c r="M73" i="5"/>
  <c r="O73" i="5" s="1"/>
  <c r="M72" i="5"/>
  <c r="O72" i="5" s="1"/>
  <c r="M71" i="5"/>
  <c r="O71" i="5" s="1"/>
  <c r="M70" i="5"/>
  <c r="O70" i="5" s="1"/>
  <c r="M69" i="5"/>
  <c r="O69" i="5" s="1"/>
  <c r="M68" i="5"/>
  <c r="O68" i="5" s="1"/>
  <c r="M67" i="5"/>
  <c r="O67" i="5" s="1"/>
  <c r="M66" i="5"/>
  <c r="O66" i="5" s="1"/>
  <c r="M65" i="5"/>
  <c r="O65" i="5" s="1"/>
  <c r="M64" i="5"/>
  <c r="O64" i="5" s="1"/>
  <c r="M63" i="5"/>
  <c r="O63" i="5" s="1"/>
  <c r="M62" i="5"/>
  <c r="O62" i="5" s="1"/>
  <c r="M61" i="5"/>
  <c r="O61" i="5" s="1"/>
  <c r="M60" i="5"/>
  <c r="O60" i="5" s="1"/>
  <c r="M59" i="5"/>
  <c r="O59" i="5" s="1"/>
  <c r="M58" i="5"/>
  <c r="O58" i="5" s="1"/>
  <c r="M57" i="5"/>
  <c r="O57" i="5" s="1"/>
  <c r="M56" i="5"/>
  <c r="O56" i="5" s="1"/>
  <c r="M55" i="5"/>
  <c r="O55" i="5" s="1"/>
  <c r="M54" i="5"/>
  <c r="O54" i="5" s="1"/>
  <c r="M53" i="5"/>
  <c r="O53" i="5" s="1"/>
  <c r="M52" i="5"/>
  <c r="O52" i="5" s="1"/>
  <c r="M51" i="5"/>
  <c r="O51" i="5" s="1"/>
  <c r="M50" i="5"/>
  <c r="O50" i="5" s="1"/>
  <c r="M49" i="5"/>
  <c r="O49" i="5" s="1"/>
  <c r="M48" i="5"/>
  <c r="O48" i="5" s="1"/>
  <c r="M47" i="5"/>
  <c r="O47" i="5" s="1"/>
  <c r="M46" i="5"/>
  <c r="O46" i="5" s="1"/>
  <c r="M45" i="5"/>
  <c r="O45" i="5" s="1"/>
  <c r="M44" i="5"/>
  <c r="O44" i="5" s="1"/>
  <c r="M43" i="5"/>
  <c r="O43" i="5" s="1"/>
  <c r="M42" i="5"/>
  <c r="O42" i="5" s="1"/>
  <c r="M41" i="5"/>
  <c r="O41" i="5" s="1"/>
  <c r="M40" i="5"/>
  <c r="O40" i="5" s="1"/>
  <c r="M39" i="5"/>
  <c r="O39" i="5" s="1"/>
  <c r="M3" i="5"/>
  <c r="O3" i="5" s="1"/>
  <c r="M4" i="5"/>
  <c r="O4" i="5" s="1"/>
  <c r="M5" i="5"/>
  <c r="O5" i="5" s="1"/>
  <c r="M6" i="5"/>
  <c r="O6" i="5" s="1"/>
  <c r="M7" i="5"/>
  <c r="O7" i="5" s="1"/>
  <c r="M8" i="5"/>
  <c r="O8" i="5" s="1"/>
  <c r="M9" i="5"/>
  <c r="O9" i="5" s="1"/>
  <c r="M10" i="5"/>
  <c r="O10" i="5" s="1"/>
  <c r="M11" i="5"/>
  <c r="O11" i="5" s="1"/>
  <c r="M12" i="5"/>
  <c r="O12" i="5" s="1"/>
  <c r="M13" i="5"/>
  <c r="O13" i="5" s="1"/>
  <c r="M14" i="5"/>
  <c r="O14" i="5" s="1"/>
  <c r="M15" i="5"/>
  <c r="O15" i="5" s="1"/>
  <c r="M16" i="5"/>
  <c r="O16" i="5" s="1"/>
  <c r="M17" i="5"/>
  <c r="O17" i="5" s="1"/>
  <c r="M18" i="5"/>
  <c r="O18" i="5" s="1"/>
  <c r="M19" i="5"/>
  <c r="O19" i="5" s="1"/>
  <c r="M20" i="5"/>
  <c r="O20" i="5" s="1"/>
  <c r="M21" i="5"/>
  <c r="O21" i="5" s="1"/>
  <c r="M38" i="5"/>
  <c r="O38" i="5" s="1"/>
  <c r="M2" i="5"/>
  <c r="O2" i="5" s="1"/>
  <c r="C20" i="7" l="1"/>
  <c r="D20" i="7"/>
  <c r="F20" i="7"/>
  <c r="G20" i="7"/>
  <c r="P20" i="7" s="1"/>
  <c r="H20" i="7"/>
  <c r="I20" i="7"/>
  <c r="J20" i="7"/>
  <c r="C19" i="7"/>
  <c r="D19" i="7"/>
  <c r="F19" i="7"/>
  <c r="G19" i="7"/>
  <c r="H19" i="7"/>
  <c r="I19" i="7"/>
  <c r="J19" i="7"/>
  <c r="C18" i="7"/>
  <c r="D18" i="7"/>
  <c r="F18" i="7"/>
  <c r="G18" i="7"/>
  <c r="H18" i="7"/>
  <c r="I18" i="7"/>
  <c r="R18" i="7" s="1"/>
  <c r="J18" i="7"/>
  <c r="C17" i="7"/>
  <c r="D17" i="7"/>
  <c r="F17" i="7"/>
  <c r="O17" i="7" s="1"/>
  <c r="G17" i="7"/>
  <c r="H17" i="7"/>
  <c r="I17" i="7"/>
  <c r="J17" i="7"/>
  <c r="S17" i="7" s="1"/>
  <c r="C16" i="7"/>
  <c r="D16" i="7"/>
  <c r="F16" i="7"/>
  <c r="G16" i="7"/>
  <c r="P16" i="7" s="1"/>
  <c r="H16" i="7"/>
  <c r="I16" i="7"/>
  <c r="J16" i="7"/>
  <c r="C15" i="7"/>
  <c r="D15" i="7"/>
  <c r="F15" i="7"/>
  <c r="G15" i="7"/>
  <c r="H15" i="7"/>
  <c r="I15" i="7"/>
  <c r="J15" i="7"/>
  <c r="C14" i="7"/>
  <c r="D14" i="7"/>
  <c r="F14" i="7"/>
  <c r="G14" i="7"/>
  <c r="H14" i="7"/>
  <c r="I14" i="7"/>
  <c r="R14" i="7" s="1"/>
  <c r="J14" i="7"/>
  <c r="C13" i="7"/>
  <c r="D13" i="7"/>
  <c r="F13" i="7"/>
  <c r="O13" i="7" s="1"/>
  <c r="G13" i="7"/>
  <c r="H13" i="7"/>
  <c r="I13" i="7"/>
  <c r="J13" i="7"/>
  <c r="S13" i="7" s="1"/>
  <c r="C12" i="7"/>
  <c r="D12" i="7"/>
  <c r="F12" i="7"/>
  <c r="G12" i="7"/>
  <c r="P12" i="7" s="1"/>
  <c r="H12" i="7"/>
  <c r="I12" i="7"/>
  <c r="J12" i="7"/>
  <c r="C11" i="7"/>
  <c r="D11" i="7"/>
  <c r="F11" i="7"/>
  <c r="G11" i="7"/>
  <c r="H11" i="7"/>
  <c r="I11" i="7"/>
  <c r="J11" i="7"/>
  <c r="C10" i="7"/>
  <c r="D10" i="7"/>
  <c r="F10" i="7"/>
  <c r="G10" i="7"/>
  <c r="H10" i="7"/>
  <c r="I10" i="7"/>
  <c r="R10" i="7" s="1"/>
  <c r="J10" i="7"/>
  <c r="C9" i="7"/>
  <c r="D9" i="7"/>
  <c r="F9" i="7"/>
  <c r="O9" i="7" s="1"/>
  <c r="G9" i="7"/>
  <c r="H9" i="7"/>
  <c r="I9" i="7"/>
  <c r="J9" i="7"/>
  <c r="S9" i="7" s="1"/>
  <c r="C8" i="7"/>
  <c r="D8" i="7"/>
  <c r="F8" i="7"/>
  <c r="G8" i="7"/>
  <c r="P8" i="7" s="1"/>
  <c r="H8" i="7"/>
  <c r="I8" i="7"/>
  <c r="J8" i="7"/>
  <c r="C7" i="7"/>
  <c r="D7" i="7"/>
  <c r="F7" i="7"/>
  <c r="G7" i="7"/>
  <c r="H7" i="7"/>
  <c r="I7" i="7"/>
  <c r="J7" i="7"/>
  <c r="C6" i="7"/>
  <c r="D6" i="7"/>
  <c r="F6" i="7"/>
  <c r="G6" i="7"/>
  <c r="H6" i="7"/>
  <c r="I6" i="7"/>
  <c r="R6" i="7" s="1"/>
  <c r="J6" i="7"/>
  <c r="C5" i="7"/>
  <c r="D5" i="7"/>
  <c r="F5" i="7"/>
  <c r="O5" i="7" s="1"/>
  <c r="G5" i="7"/>
  <c r="H5" i="7"/>
  <c r="I5" i="7"/>
  <c r="J5" i="7"/>
  <c r="S5" i="7" s="1"/>
  <c r="C4" i="7"/>
  <c r="D4" i="7"/>
  <c r="F4" i="7"/>
  <c r="G4" i="7"/>
  <c r="P4" i="7" s="1"/>
  <c r="H4" i="7"/>
  <c r="I4" i="7"/>
  <c r="J4" i="7"/>
  <c r="C3" i="7"/>
  <c r="D3" i="7"/>
  <c r="F3" i="7"/>
  <c r="G3" i="7"/>
  <c r="H3" i="7"/>
  <c r="I3" i="7"/>
  <c r="J3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C2" i="7"/>
  <c r="D2" i="7"/>
  <c r="F2" i="7"/>
  <c r="G2" i="7"/>
  <c r="H2" i="7"/>
  <c r="Q2" i="7" s="1"/>
  <c r="I2" i="7"/>
  <c r="J2" i="7"/>
  <c r="B2" i="7"/>
  <c r="B3" i="7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W74" i="5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W98" i="5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W122" i="5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W146" i="5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W170" i="5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W194" i="5"/>
  <c r="W195" i="5"/>
  <c r="W196" i="5"/>
  <c r="W197" i="5"/>
  <c r="W198" i="5"/>
  <c r="W199" i="5"/>
  <c r="W200" i="5"/>
  <c r="W201" i="5"/>
  <c r="W202" i="5"/>
  <c r="W203" i="5"/>
  <c r="W204" i="5"/>
  <c r="W205" i="5"/>
  <c r="W206" i="5"/>
  <c r="W207" i="5"/>
  <c r="W208" i="5"/>
  <c r="W209" i="5"/>
  <c r="W210" i="5"/>
  <c r="W211" i="5"/>
  <c r="W212" i="5"/>
  <c r="W213" i="5"/>
  <c r="W214" i="5"/>
  <c r="W215" i="5"/>
  <c r="W216" i="5"/>
  <c r="W217" i="5"/>
  <c r="W218" i="5"/>
  <c r="W219" i="5"/>
  <c r="W220" i="5"/>
  <c r="W221" i="5"/>
  <c r="W222" i="5"/>
  <c r="W223" i="5"/>
  <c r="W224" i="5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2" i="5"/>
  <c r="Q3" i="5"/>
  <c r="M3" i="8" s="1"/>
  <c r="Q4" i="5"/>
  <c r="M4" i="8" s="1"/>
  <c r="Q5" i="5"/>
  <c r="M5" i="8" s="1"/>
  <c r="Q6" i="5"/>
  <c r="M6" i="8" s="1"/>
  <c r="Q7" i="5"/>
  <c r="M7" i="8" s="1"/>
  <c r="Q8" i="5"/>
  <c r="M8" i="8" s="1"/>
  <c r="Q9" i="5"/>
  <c r="M9" i="8" s="1"/>
  <c r="Q10" i="5"/>
  <c r="M10" i="8" s="1"/>
  <c r="Q11" i="5"/>
  <c r="M11" i="8" s="1"/>
  <c r="Q12" i="5"/>
  <c r="M12" i="8" s="1"/>
  <c r="Q13" i="5"/>
  <c r="M13" i="8" s="1"/>
  <c r="Q14" i="5"/>
  <c r="M14" i="8" s="1"/>
  <c r="Q15" i="5"/>
  <c r="M15" i="8" s="1"/>
  <c r="Q16" i="5"/>
  <c r="M16" i="8" s="1"/>
  <c r="Q17" i="5"/>
  <c r="M17" i="8" s="1"/>
  <c r="Q18" i="5"/>
  <c r="M18" i="8" s="1"/>
  <c r="Q19" i="5"/>
  <c r="M19" i="8" s="1"/>
  <c r="Q20" i="5"/>
  <c r="M20" i="8" s="1"/>
  <c r="Q21" i="5"/>
  <c r="M21" i="8" s="1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Q38" i="5"/>
  <c r="M38" i="8" s="1"/>
  <c r="Q39" i="5"/>
  <c r="M39" i="8" s="1"/>
  <c r="Q40" i="5"/>
  <c r="M40" i="8" s="1"/>
  <c r="Q41" i="5"/>
  <c r="M41" i="8" s="1"/>
  <c r="Q42" i="5"/>
  <c r="M42" i="8" s="1"/>
  <c r="Q43" i="5"/>
  <c r="M43" i="8" s="1"/>
  <c r="Q44" i="5"/>
  <c r="M44" i="8" s="1"/>
  <c r="Q45" i="5"/>
  <c r="M45" i="8" s="1"/>
  <c r="Q46" i="5"/>
  <c r="M46" i="8" s="1"/>
  <c r="Q47" i="5"/>
  <c r="M47" i="8" s="1"/>
  <c r="Q48" i="5"/>
  <c r="M48" i="8" s="1"/>
  <c r="Q49" i="5"/>
  <c r="M49" i="8" s="1"/>
  <c r="Q50" i="5"/>
  <c r="M50" i="8" s="1"/>
  <c r="Q51" i="5"/>
  <c r="M51" i="8" s="1"/>
  <c r="Q52" i="5"/>
  <c r="M52" i="8" s="1"/>
  <c r="Q53" i="5"/>
  <c r="M53" i="8" s="1"/>
  <c r="Q54" i="5"/>
  <c r="M54" i="8" s="1"/>
  <c r="Q55" i="5"/>
  <c r="M55" i="8" s="1"/>
  <c r="Q56" i="5"/>
  <c r="M56" i="8" s="1"/>
  <c r="Q57" i="5"/>
  <c r="M57" i="8" s="1"/>
  <c r="Q58" i="5"/>
  <c r="M58" i="8" s="1"/>
  <c r="Q59" i="5"/>
  <c r="M59" i="8" s="1"/>
  <c r="Q60" i="5"/>
  <c r="M60" i="8" s="1"/>
  <c r="Q61" i="5"/>
  <c r="M61" i="8" s="1"/>
  <c r="Q62" i="5"/>
  <c r="M62" i="8" s="1"/>
  <c r="Q63" i="5"/>
  <c r="M63" i="8" s="1"/>
  <c r="Q64" i="5"/>
  <c r="M64" i="8" s="1"/>
  <c r="Q65" i="5"/>
  <c r="M65" i="8" s="1"/>
  <c r="Q66" i="5"/>
  <c r="M66" i="8" s="1"/>
  <c r="Q67" i="5"/>
  <c r="M67" i="8" s="1"/>
  <c r="Q68" i="5"/>
  <c r="M68" i="8" s="1"/>
  <c r="Q69" i="5"/>
  <c r="M69" i="8" s="1"/>
  <c r="Q70" i="5"/>
  <c r="M70" i="8" s="1"/>
  <c r="Q71" i="5"/>
  <c r="M71" i="8" s="1"/>
  <c r="Q72" i="5"/>
  <c r="M72" i="8" s="1"/>
  <c r="Q73" i="5"/>
  <c r="M73" i="8" s="1"/>
  <c r="Q74" i="5"/>
  <c r="M74" i="8" s="1"/>
  <c r="Q75" i="5"/>
  <c r="M75" i="8" s="1"/>
  <c r="Q76" i="5"/>
  <c r="M76" i="8" s="1"/>
  <c r="Q77" i="5"/>
  <c r="M77" i="8" s="1"/>
  <c r="Q78" i="5"/>
  <c r="M78" i="8" s="1"/>
  <c r="Q79" i="5"/>
  <c r="M79" i="8" s="1"/>
  <c r="Q80" i="5"/>
  <c r="M80" i="8" s="1"/>
  <c r="Q81" i="5"/>
  <c r="M81" i="8" s="1"/>
  <c r="Q82" i="5"/>
  <c r="M82" i="8" s="1"/>
  <c r="Q83" i="5"/>
  <c r="M83" i="8" s="1"/>
  <c r="Q84" i="5"/>
  <c r="M84" i="8" s="1"/>
  <c r="Q85" i="5"/>
  <c r="M85" i="8" s="1"/>
  <c r="Q86" i="5"/>
  <c r="M86" i="8" s="1"/>
  <c r="Q87" i="5"/>
  <c r="M87" i="8" s="1"/>
  <c r="Q88" i="5"/>
  <c r="M88" i="8" s="1"/>
  <c r="Q89" i="5"/>
  <c r="M89" i="8" s="1"/>
  <c r="Q90" i="5"/>
  <c r="M90" i="8" s="1"/>
  <c r="Q91" i="5"/>
  <c r="M91" i="8" s="1"/>
  <c r="Q92" i="5"/>
  <c r="M92" i="8" s="1"/>
  <c r="Q93" i="5"/>
  <c r="M93" i="8" s="1"/>
  <c r="Q94" i="5"/>
  <c r="M94" i="8" s="1"/>
  <c r="Q95" i="5"/>
  <c r="M95" i="8" s="1"/>
  <c r="Q96" i="5"/>
  <c r="M96" i="8" s="1"/>
  <c r="Q97" i="5"/>
  <c r="M97" i="8" s="1"/>
  <c r="Q98" i="5"/>
  <c r="M98" i="8" s="1"/>
  <c r="Q99" i="5"/>
  <c r="M99" i="8" s="1"/>
  <c r="Q100" i="5"/>
  <c r="M100" i="8" s="1"/>
  <c r="Q101" i="5"/>
  <c r="M101" i="8" s="1"/>
  <c r="Q102" i="5"/>
  <c r="M102" i="8" s="1"/>
  <c r="Q103" i="5"/>
  <c r="M103" i="8" s="1"/>
  <c r="Q104" i="5"/>
  <c r="M104" i="8" s="1"/>
  <c r="Q105" i="5"/>
  <c r="M105" i="8" s="1"/>
  <c r="Q106" i="5"/>
  <c r="M106" i="8" s="1"/>
  <c r="Q107" i="5"/>
  <c r="M107" i="8" s="1"/>
  <c r="Q108" i="5"/>
  <c r="M108" i="8" s="1"/>
  <c r="Q109" i="5"/>
  <c r="M109" i="8" s="1"/>
  <c r="Q110" i="5"/>
  <c r="M110" i="8" s="1"/>
  <c r="Q111" i="5"/>
  <c r="M111" i="8" s="1"/>
  <c r="Q112" i="5"/>
  <c r="M112" i="8" s="1"/>
  <c r="Q113" i="5"/>
  <c r="M113" i="8" s="1"/>
  <c r="Q114" i="5"/>
  <c r="M114" i="8" s="1"/>
  <c r="Q115" i="5"/>
  <c r="M115" i="8" s="1"/>
  <c r="Q116" i="5"/>
  <c r="M116" i="8" s="1"/>
  <c r="Q117" i="5"/>
  <c r="M117" i="8" s="1"/>
  <c r="Q118" i="5"/>
  <c r="M118" i="8" s="1"/>
  <c r="Q119" i="5"/>
  <c r="M119" i="8" s="1"/>
  <c r="Q120" i="5"/>
  <c r="M120" i="8" s="1"/>
  <c r="Q121" i="5"/>
  <c r="M121" i="8" s="1"/>
  <c r="Q122" i="5"/>
  <c r="M122" i="8" s="1"/>
  <c r="Q123" i="5"/>
  <c r="M123" i="8" s="1"/>
  <c r="Q124" i="5"/>
  <c r="M124" i="8" s="1"/>
  <c r="Q125" i="5"/>
  <c r="M125" i="8" s="1"/>
  <c r="Q126" i="5"/>
  <c r="M126" i="8" s="1"/>
  <c r="Q127" i="5"/>
  <c r="M127" i="8" s="1"/>
  <c r="Q128" i="5"/>
  <c r="M128" i="8" s="1"/>
  <c r="Q129" i="5"/>
  <c r="M129" i="8" s="1"/>
  <c r="Q130" i="5"/>
  <c r="M130" i="8" s="1"/>
  <c r="Q131" i="5"/>
  <c r="M131" i="8" s="1"/>
  <c r="Q132" i="5"/>
  <c r="M132" i="8" s="1"/>
  <c r="Q133" i="5"/>
  <c r="M133" i="8" s="1"/>
  <c r="Q134" i="5"/>
  <c r="M134" i="8" s="1"/>
  <c r="Q135" i="5"/>
  <c r="M135" i="8" s="1"/>
  <c r="Q136" i="5"/>
  <c r="M136" i="8" s="1"/>
  <c r="Q137" i="5"/>
  <c r="M137" i="8" s="1"/>
  <c r="Q138" i="5"/>
  <c r="M138" i="8" s="1"/>
  <c r="Q139" i="5"/>
  <c r="M139" i="8" s="1"/>
  <c r="Q140" i="5"/>
  <c r="M140" i="8" s="1"/>
  <c r="Q141" i="5"/>
  <c r="M141" i="8" s="1"/>
  <c r="Q142" i="5"/>
  <c r="M142" i="8" s="1"/>
  <c r="Q143" i="5"/>
  <c r="M143" i="8" s="1"/>
  <c r="Q144" i="5"/>
  <c r="M144" i="8" s="1"/>
  <c r="Q145" i="5"/>
  <c r="M145" i="8" s="1"/>
  <c r="Q146" i="5"/>
  <c r="M146" i="8" s="1"/>
  <c r="Q147" i="5"/>
  <c r="M147" i="8" s="1"/>
  <c r="Q148" i="5"/>
  <c r="M148" i="8" s="1"/>
  <c r="Q149" i="5"/>
  <c r="M149" i="8" s="1"/>
  <c r="Q150" i="5"/>
  <c r="M150" i="8" s="1"/>
  <c r="Q151" i="5"/>
  <c r="M151" i="8" s="1"/>
  <c r="Q152" i="5"/>
  <c r="M152" i="8" s="1"/>
  <c r="Q153" i="5"/>
  <c r="M153" i="8" s="1"/>
  <c r="Q154" i="5"/>
  <c r="M154" i="8" s="1"/>
  <c r="Q155" i="5"/>
  <c r="M155" i="8" s="1"/>
  <c r="Q156" i="5"/>
  <c r="M156" i="8" s="1"/>
  <c r="Q157" i="5"/>
  <c r="M157" i="8" s="1"/>
  <c r="Q158" i="5"/>
  <c r="M158" i="8" s="1"/>
  <c r="Q159" i="5"/>
  <c r="M159" i="8" s="1"/>
  <c r="Q160" i="5"/>
  <c r="M160" i="8" s="1"/>
  <c r="Q161" i="5"/>
  <c r="M161" i="8" s="1"/>
  <c r="Q162" i="5"/>
  <c r="M162" i="8" s="1"/>
  <c r="Q163" i="5"/>
  <c r="M163" i="8" s="1"/>
  <c r="Q164" i="5"/>
  <c r="M164" i="8" s="1"/>
  <c r="Q165" i="5"/>
  <c r="M165" i="8" s="1"/>
  <c r="Q166" i="5"/>
  <c r="M166" i="8" s="1"/>
  <c r="Q167" i="5"/>
  <c r="M167" i="8" s="1"/>
  <c r="Q168" i="5"/>
  <c r="M168" i="8" s="1"/>
  <c r="Q169" i="5"/>
  <c r="M169" i="8" s="1"/>
  <c r="Q170" i="5"/>
  <c r="M170" i="8" s="1"/>
  <c r="Q171" i="5"/>
  <c r="M171" i="8" s="1"/>
  <c r="Q172" i="5"/>
  <c r="M172" i="8" s="1"/>
  <c r="Q173" i="5"/>
  <c r="M173" i="8" s="1"/>
  <c r="Q174" i="5"/>
  <c r="M174" i="8" s="1"/>
  <c r="Q175" i="5"/>
  <c r="M175" i="8" s="1"/>
  <c r="Q176" i="5"/>
  <c r="M176" i="8" s="1"/>
  <c r="Q177" i="5"/>
  <c r="M177" i="8" s="1"/>
  <c r="Q178" i="5"/>
  <c r="M178" i="8" s="1"/>
  <c r="Q179" i="5"/>
  <c r="M179" i="8" s="1"/>
  <c r="Q180" i="5"/>
  <c r="M180" i="8" s="1"/>
  <c r="Q181" i="5"/>
  <c r="M181" i="8" s="1"/>
  <c r="Q182" i="5"/>
  <c r="M182" i="8" s="1"/>
  <c r="Q183" i="5"/>
  <c r="M183" i="8" s="1"/>
  <c r="Q184" i="5"/>
  <c r="M184" i="8" s="1"/>
  <c r="Q185" i="5"/>
  <c r="M185" i="8" s="1"/>
  <c r="Q186" i="5"/>
  <c r="M186" i="8" s="1"/>
  <c r="Q187" i="5"/>
  <c r="M187" i="8" s="1"/>
  <c r="Q188" i="5"/>
  <c r="M188" i="8" s="1"/>
  <c r="Q189" i="5"/>
  <c r="M189" i="8" s="1"/>
  <c r="Q190" i="5"/>
  <c r="M190" i="8" s="1"/>
  <c r="Q191" i="5"/>
  <c r="M191" i="8" s="1"/>
  <c r="Q192" i="5"/>
  <c r="M192" i="8" s="1"/>
  <c r="Q193" i="5"/>
  <c r="M193" i="8" s="1"/>
  <c r="Q194" i="5"/>
  <c r="M194" i="8" s="1"/>
  <c r="Q195" i="5"/>
  <c r="M195" i="8" s="1"/>
  <c r="Q196" i="5"/>
  <c r="M196" i="8" s="1"/>
  <c r="Q197" i="5"/>
  <c r="M197" i="8" s="1"/>
  <c r="Q198" i="5"/>
  <c r="M198" i="8" s="1"/>
  <c r="Q199" i="5"/>
  <c r="M199" i="8" s="1"/>
  <c r="Q200" i="5"/>
  <c r="M200" i="8" s="1"/>
  <c r="Q201" i="5"/>
  <c r="M201" i="8" s="1"/>
  <c r="Q202" i="5"/>
  <c r="M202" i="8" s="1"/>
  <c r="Q203" i="5"/>
  <c r="M203" i="8" s="1"/>
  <c r="Q204" i="5"/>
  <c r="M204" i="8" s="1"/>
  <c r="Q205" i="5"/>
  <c r="M205" i="8" s="1"/>
  <c r="Q206" i="5"/>
  <c r="M206" i="8" s="1"/>
  <c r="Q207" i="5"/>
  <c r="M207" i="8" s="1"/>
  <c r="Q208" i="5"/>
  <c r="M208" i="8" s="1"/>
  <c r="Q209" i="5"/>
  <c r="M209" i="8" s="1"/>
  <c r="Q210" i="5"/>
  <c r="M210" i="8" s="1"/>
  <c r="Q211" i="5"/>
  <c r="M211" i="8" s="1"/>
  <c r="Q212" i="5"/>
  <c r="M212" i="8" s="1"/>
  <c r="Q213" i="5"/>
  <c r="M213" i="8" s="1"/>
  <c r="Q214" i="5"/>
  <c r="M214" i="8" s="1"/>
  <c r="Q215" i="5"/>
  <c r="M215" i="8" s="1"/>
  <c r="Q216" i="5"/>
  <c r="M216" i="8" s="1"/>
  <c r="Q217" i="5"/>
  <c r="M217" i="8" s="1"/>
  <c r="Q218" i="5"/>
  <c r="M218" i="8" s="1"/>
  <c r="Q219" i="5"/>
  <c r="M219" i="8" s="1"/>
  <c r="Q220" i="5"/>
  <c r="M220" i="8" s="1"/>
  <c r="Q221" i="5"/>
  <c r="M221" i="8" s="1"/>
  <c r="Q222" i="5"/>
  <c r="M222" i="8" s="1"/>
  <c r="Q223" i="5"/>
  <c r="M223" i="8" s="1"/>
  <c r="Q224" i="5"/>
  <c r="M224" i="8" s="1"/>
  <c r="Q225" i="5"/>
  <c r="M225" i="8" s="1"/>
  <c r="Q226" i="5"/>
  <c r="M226" i="8" s="1"/>
  <c r="Q227" i="5"/>
  <c r="M227" i="8" s="1"/>
  <c r="Q228" i="5"/>
  <c r="M228" i="8" s="1"/>
  <c r="Q229" i="5"/>
  <c r="M229" i="8" s="1"/>
  <c r="Q230" i="5"/>
  <c r="M230" i="8" s="1"/>
  <c r="Q231" i="5"/>
  <c r="M231" i="8" s="1"/>
  <c r="Q232" i="5"/>
  <c r="M232" i="8" s="1"/>
  <c r="Q233" i="5"/>
  <c r="M233" i="8" s="1"/>
  <c r="Q234" i="5"/>
  <c r="M234" i="8" s="1"/>
  <c r="Q235" i="5"/>
  <c r="M235" i="8" s="1"/>
  <c r="Q236" i="5"/>
  <c r="M236" i="8" s="1"/>
  <c r="Q237" i="5"/>
  <c r="M237" i="8" s="1"/>
  <c r="Q238" i="5"/>
  <c r="M238" i="8" s="1"/>
  <c r="Q239" i="5"/>
  <c r="M239" i="8" s="1"/>
  <c r="Q240" i="5"/>
  <c r="M240" i="8" s="1"/>
  <c r="Q241" i="5"/>
  <c r="M241" i="8" s="1"/>
  <c r="Q242" i="5"/>
  <c r="M242" i="8" s="1"/>
  <c r="Q243" i="5"/>
  <c r="M243" i="8" s="1"/>
  <c r="Q244" i="5"/>
  <c r="M244" i="8" s="1"/>
  <c r="Q245" i="5"/>
  <c r="M245" i="8" s="1"/>
  <c r="Q246" i="5"/>
  <c r="M246" i="8" s="1"/>
  <c r="Q247" i="5"/>
  <c r="M247" i="8" s="1"/>
  <c r="Q248" i="5"/>
  <c r="M248" i="8" s="1"/>
  <c r="Q249" i="5"/>
  <c r="M249" i="8" s="1"/>
  <c r="Q250" i="5"/>
  <c r="M250" i="8" s="1"/>
  <c r="Q251" i="5"/>
  <c r="M251" i="8" s="1"/>
  <c r="Q252" i="5"/>
  <c r="M252" i="8" s="1"/>
  <c r="Q253" i="5"/>
  <c r="M253" i="8" s="1"/>
  <c r="Q254" i="5"/>
  <c r="M254" i="8" s="1"/>
  <c r="Q255" i="5"/>
  <c r="M255" i="8" s="1"/>
  <c r="Q256" i="5"/>
  <c r="M256" i="8" s="1"/>
  <c r="Q257" i="5"/>
  <c r="M257" i="8" s="1"/>
  <c r="Q258" i="5"/>
  <c r="M258" i="8" s="1"/>
  <c r="Q259" i="5"/>
  <c r="M259" i="8" s="1"/>
  <c r="Q260" i="5"/>
  <c r="M260" i="8" s="1"/>
  <c r="Q261" i="5"/>
  <c r="M261" i="8" s="1"/>
  <c r="Q262" i="5"/>
  <c r="M262" i="8" s="1"/>
  <c r="Q263" i="5"/>
  <c r="M263" i="8" s="1"/>
  <c r="Q264" i="5"/>
  <c r="M264" i="8" s="1"/>
  <c r="Q265" i="5"/>
  <c r="M265" i="8" s="1"/>
  <c r="Q266" i="5"/>
  <c r="M266" i="8" s="1"/>
  <c r="Q267" i="5"/>
  <c r="M267" i="8" s="1"/>
  <c r="Q268" i="5"/>
  <c r="M268" i="8" s="1"/>
  <c r="Q269" i="5"/>
  <c r="M269" i="8" s="1"/>
  <c r="Q270" i="5"/>
  <c r="M270" i="8" s="1"/>
  <c r="Q271" i="5"/>
  <c r="M271" i="8" s="1"/>
  <c r="Q272" i="5"/>
  <c r="M272" i="8" s="1"/>
  <c r="Q273" i="5"/>
  <c r="M273" i="8" s="1"/>
  <c r="Q274" i="5"/>
  <c r="M274" i="8" s="1"/>
  <c r="Q275" i="5"/>
  <c r="M275" i="8" s="1"/>
  <c r="Q276" i="5"/>
  <c r="M276" i="8" s="1"/>
  <c r="Q277" i="5"/>
  <c r="M277" i="8" s="1"/>
  <c r="Q278" i="5"/>
  <c r="M278" i="8" s="1"/>
  <c r="Q279" i="5"/>
  <c r="M279" i="8" s="1"/>
  <c r="Q280" i="5"/>
  <c r="M280" i="8" s="1"/>
  <c r="Q281" i="5"/>
  <c r="M281" i="8" s="1"/>
  <c r="Q282" i="5"/>
  <c r="M282" i="8" s="1"/>
  <c r="Q283" i="5"/>
  <c r="M283" i="8" s="1"/>
  <c r="Q284" i="5"/>
  <c r="M284" i="8" s="1"/>
  <c r="Q285" i="5"/>
  <c r="M285" i="8" s="1"/>
  <c r="Q286" i="5"/>
  <c r="M286" i="8" s="1"/>
  <c r="Q287" i="5"/>
  <c r="M287" i="8" s="1"/>
  <c r="Q288" i="5"/>
  <c r="M288" i="8" s="1"/>
  <c r="Q289" i="5"/>
  <c r="M289" i="8" s="1"/>
  <c r="Q290" i="5"/>
  <c r="M290" i="8" s="1"/>
  <c r="Q291" i="5"/>
  <c r="M291" i="8" s="1"/>
  <c r="Q292" i="5"/>
  <c r="M292" i="8" s="1"/>
  <c r="Q293" i="5"/>
  <c r="M293" i="8" s="1"/>
  <c r="Q294" i="5"/>
  <c r="M294" i="8" s="1"/>
  <c r="Q295" i="5"/>
  <c r="M295" i="8" s="1"/>
  <c r="Q296" i="5"/>
  <c r="M296" i="8" s="1"/>
  <c r="Q297" i="5"/>
  <c r="M297" i="8" s="1"/>
  <c r="Q298" i="5"/>
  <c r="M298" i="8" s="1"/>
  <c r="Q299" i="5"/>
  <c r="M299" i="8" s="1"/>
  <c r="Q300" i="5"/>
  <c r="M300" i="8" s="1"/>
  <c r="Q301" i="5"/>
  <c r="M301" i="8" s="1"/>
  <c r="Q302" i="5"/>
  <c r="M302" i="8" s="1"/>
  <c r="Q303" i="5"/>
  <c r="M303" i="8" s="1"/>
  <c r="Q304" i="5"/>
  <c r="M304" i="8" s="1"/>
  <c r="Q305" i="5"/>
  <c r="M305" i="8" s="1"/>
  <c r="Q306" i="5"/>
  <c r="M306" i="8" s="1"/>
  <c r="Q307" i="5"/>
  <c r="M307" i="8" s="1"/>
  <c r="Q308" i="5"/>
  <c r="M308" i="8" s="1"/>
  <c r="Q309" i="5"/>
  <c r="M309" i="8" s="1"/>
  <c r="Q310" i="5"/>
  <c r="M310" i="8" s="1"/>
  <c r="Q311" i="5"/>
  <c r="M311" i="8" s="1"/>
  <c r="Q312" i="5"/>
  <c r="M312" i="8" s="1"/>
  <c r="Q313" i="5"/>
  <c r="M313" i="8" s="1"/>
  <c r="Q314" i="5"/>
  <c r="M314" i="8" s="1"/>
  <c r="Q315" i="5"/>
  <c r="M315" i="8" s="1"/>
  <c r="Q316" i="5"/>
  <c r="M316" i="8" s="1"/>
  <c r="Q317" i="5"/>
  <c r="M317" i="8" s="1"/>
  <c r="Q318" i="5"/>
  <c r="M318" i="8" s="1"/>
  <c r="Q319" i="5"/>
  <c r="M319" i="8" s="1"/>
  <c r="Q320" i="5"/>
  <c r="M320" i="8" s="1"/>
  <c r="Q321" i="5"/>
  <c r="M321" i="8" s="1"/>
  <c r="Q322" i="5"/>
  <c r="M322" i="8" s="1"/>
  <c r="Q323" i="5"/>
  <c r="M323" i="8" s="1"/>
  <c r="Q324" i="5"/>
  <c r="M324" i="8" s="1"/>
  <c r="Q325" i="5"/>
  <c r="M325" i="8" s="1"/>
  <c r="Q326" i="5"/>
  <c r="M326" i="8" s="1"/>
  <c r="Q327" i="5"/>
  <c r="M327" i="8" s="1"/>
  <c r="Q328" i="5"/>
  <c r="M328" i="8" s="1"/>
  <c r="Q329" i="5"/>
  <c r="M329" i="8" s="1"/>
  <c r="Q330" i="5"/>
  <c r="M330" i="8" s="1"/>
  <c r="Q331" i="5"/>
  <c r="M331" i="8" s="1"/>
  <c r="Q332" i="5"/>
  <c r="M332" i="8" s="1"/>
  <c r="Q333" i="5"/>
  <c r="M333" i="8" s="1"/>
  <c r="Q334" i="5"/>
  <c r="M334" i="8" s="1"/>
  <c r="Q335" i="5"/>
  <c r="M335" i="8" s="1"/>
  <c r="Q336" i="5"/>
  <c r="M336" i="8" s="1"/>
  <c r="Q337" i="5"/>
  <c r="M337" i="8" s="1"/>
  <c r="Q338" i="5"/>
  <c r="M338" i="8" s="1"/>
  <c r="Q339" i="5"/>
  <c r="M339" i="8" s="1"/>
  <c r="Q340" i="5"/>
  <c r="M340" i="8" s="1"/>
  <c r="Q341" i="5"/>
  <c r="M341" i="8" s="1"/>
  <c r="Q342" i="5"/>
  <c r="M342" i="8" s="1"/>
  <c r="Q343" i="5"/>
  <c r="M343" i="8" s="1"/>
  <c r="Q344" i="5"/>
  <c r="M344" i="8" s="1"/>
  <c r="Q345" i="5"/>
  <c r="M345" i="8" s="1"/>
  <c r="Q346" i="5"/>
  <c r="M346" i="8" s="1"/>
  <c r="Q347" i="5"/>
  <c r="M347" i="8" s="1"/>
  <c r="Q348" i="5"/>
  <c r="M348" i="8" s="1"/>
  <c r="Q349" i="5"/>
  <c r="M349" i="8" s="1"/>
  <c r="Q350" i="5"/>
  <c r="M350" i="8" s="1"/>
  <c r="Q351" i="5"/>
  <c r="M351" i="8" s="1"/>
  <c r="Q352" i="5"/>
  <c r="M352" i="8" s="1"/>
  <c r="Q353" i="5"/>
  <c r="M353" i="8" s="1"/>
  <c r="Q354" i="5"/>
  <c r="M354" i="8" s="1"/>
  <c r="Q355" i="5"/>
  <c r="M355" i="8" s="1"/>
  <c r="Q356" i="5"/>
  <c r="M356" i="8" s="1"/>
  <c r="Q357" i="5"/>
  <c r="M357" i="8" s="1"/>
  <c r="Q358" i="5"/>
  <c r="M358" i="8" s="1"/>
  <c r="Q359" i="5"/>
  <c r="M359" i="8" s="1"/>
  <c r="Q360" i="5"/>
  <c r="M360" i="8" s="1"/>
  <c r="Q361" i="5"/>
  <c r="M361" i="8" s="1"/>
  <c r="Q362" i="5"/>
  <c r="M362" i="8" s="1"/>
  <c r="Q363" i="5"/>
  <c r="M363" i="8" s="1"/>
  <c r="Q364" i="5"/>
  <c r="M364" i="8" s="1"/>
  <c r="Q365" i="5"/>
  <c r="M365" i="8" s="1"/>
  <c r="Q366" i="5"/>
  <c r="M366" i="8" s="1"/>
  <c r="Q367" i="5"/>
  <c r="M367" i="8" s="1"/>
  <c r="Q368" i="5"/>
  <c r="M368" i="8" s="1"/>
  <c r="Q369" i="5"/>
  <c r="M369" i="8" s="1"/>
  <c r="Q370" i="5"/>
  <c r="M370" i="8" s="1"/>
  <c r="Q371" i="5"/>
  <c r="M371" i="8" s="1"/>
  <c r="Q372" i="5"/>
  <c r="M372" i="8" s="1"/>
  <c r="Q373" i="5"/>
  <c r="M373" i="8" s="1"/>
  <c r="Q374" i="5"/>
  <c r="M374" i="8" s="1"/>
  <c r="Q375" i="5"/>
  <c r="M375" i="8" s="1"/>
  <c r="Q376" i="5"/>
  <c r="M376" i="8" s="1"/>
  <c r="C14" i="10" s="1"/>
  <c r="Q377" i="5"/>
  <c r="M377" i="8" s="1"/>
  <c r="Q378" i="5"/>
  <c r="M378" i="8" s="1"/>
  <c r="Q379" i="5"/>
  <c r="M379" i="8" s="1"/>
  <c r="Q380" i="5"/>
  <c r="M380" i="8" s="1"/>
  <c r="Q381" i="5"/>
  <c r="M381" i="8" s="1"/>
  <c r="Q382" i="5"/>
  <c r="M382" i="8" s="1"/>
  <c r="Q383" i="5"/>
  <c r="M383" i="8" s="1"/>
  <c r="Q384" i="5"/>
  <c r="M384" i="8" s="1"/>
  <c r="Q385" i="5"/>
  <c r="M385" i="8" s="1"/>
  <c r="Q386" i="5"/>
  <c r="M386" i="8" s="1"/>
  <c r="Q387" i="5"/>
  <c r="M387" i="8" s="1"/>
  <c r="Q388" i="5"/>
  <c r="M388" i="8" s="1"/>
  <c r="Q389" i="5"/>
  <c r="M389" i="8" s="1"/>
  <c r="Q390" i="5"/>
  <c r="M390" i="8" s="1"/>
  <c r="Q391" i="5"/>
  <c r="M391" i="8" s="1"/>
  <c r="Q392" i="5"/>
  <c r="M392" i="8" s="1"/>
  <c r="Q393" i="5"/>
  <c r="M393" i="8" s="1"/>
  <c r="Q394" i="5"/>
  <c r="M394" i="8" s="1"/>
  <c r="Q395" i="5"/>
  <c r="M395" i="8" s="1"/>
  <c r="Q396" i="5"/>
  <c r="M396" i="8" s="1"/>
  <c r="Q397" i="5"/>
  <c r="M397" i="8" s="1"/>
  <c r="Q398" i="5"/>
  <c r="M398" i="8" s="1"/>
  <c r="Q399" i="5"/>
  <c r="M399" i="8" s="1"/>
  <c r="Q400" i="5"/>
  <c r="M400" i="8" s="1"/>
  <c r="Q401" i="5"/>
  <c r="M401" i="8" s="1"/>
  <c r="Q402" i="5"/>
  <c r="M402" i="8" s="1"/>
  <c r="Q403" i="5"/>
  <c r="M403" i="8" s="1"/>
  <c r="Q404" i="5"/>
  <c r="M404" i="8" s="1"/>
  <c r="Q405" i="5"/>
  <c r="M405" i="8" s="1"/>
  <c r="Q406" i="5"/>
  <c r="M406" i="8" s="1"/>
  <c r="Q407" i="5"/>
  <c r="M407" i="8" s="1"/>
  <c r="Q408" i="5"/>
  <c r="M408" i="8" s="1"/>
  <c r="Q409" i="5"/>
  <c r="M409" i="8" s="1"/>
  <c r="Q410" i="5"/>
  <c r="M410" i="8" s="1"/>
  <c r="Q411" i="5"/>
  <c r="M411" i="8" s="1"/>
  <c r="Q412" i="5"/>
  <c r="M412" i="8" s="1"/>
  <c r="Q413" i="5"/>
  <c r="M413" i="8" s="1"/>
  <c r="Q414" i="5"/>
  <c r="M414" i="8" s="1"/>
  <c r="Q415" i="5"/>
  <c r="M415" i="8" s="1"/>
  <c r="Q416" i="5"/>
  <c r="M416" i="8" s="1"/>
  <c r="Q417" i="5"/>
  <c r="M417" i="8" s="1"/>
  <c r="Q418" i="5"/>
  <c r="M418" i="8" s="1"/>
  <c r="Q419" i="5"/>
  <c r="M419" i="8" s="1"/>
  <c r="Q420" i="5"/>
  <c r="M420" i="8" s="1"/>
  <c r="Q421" i="5"/>
  <c r="M421" i="8" s="1"/>
  <c r="Q422" i="5"/>
  <c r="M422" i="8" s="1"/>
  <c r="Q423" i="5"/>
  <c r="M423" i="8" s="1"/>
  <c r="Q424" i="5"/>
  <c r="M424" i="8" s="1"/>
  <c r="Q425" i="5"/>
  <c r="M425" i="8" s="1"/>
  <c r="Q426" i="5"/>
  <c r="M426" i="8" s="1"/>
  <c r="Q427" i="5"/>
  <c r="M427" i="8" s="1"/>
  <c r="Q428" i="5"/>
  <c r="M428" i="8" s="1"/>
  <c r="Q429" i="5"/>
  <c r="M429" i="8" s="1"/>
  <c r="Q430" i="5"/>
  <c r="M430" i="8" s="1"/>
  <c r="Q431" i="5"/>
  <c r="M431" i="8" s="1"/>
  <c r="Q432" i="5"/>
  <c r="M432" i="8" s="1"/>
  <c r="Q433" i="5"/>
  <c r="M433" i="8" s="1"/>
  <c r="Q434" i="5"/>
  <c r="M434" i="8" s="1"/>
  <c r="Q435" i="5"/>
  <c r="M435" i="8" s="1"/>
  <c r="Q436" i="5"/>
  <c r="M436" i="8" s="1"/>
  <c r="Q437" i="5"/>
  <c r="M437" i="8" s="1"/>
  <c r="Q438" i="5"/>
  <c r="M438" i="8" s="1"/>
  <c r="Q439" i="5"/>
  <c r="M439" i="8" s="1"/>
  <c r="Q440" i="5"/>
  <c r="M440" i="8" s="1"/>
  <c r="Q441" i="5"/>
  <c r="M441" i="8" s="1"/>
  <c r="Q442" i="5"/>
  <c r="M442" i="8" s="1"/>
  <c r="Q443" i="5"/>
  <c r="M443" i="8" s="1"/>
  <c r="Q444" i="5"/>
  <c r="M444" i="8" s="1"/>
  <c r="Q445" i="5"/>
  <c r="M445" i="8" s="1"/>
  <c r="Q446" i="5"/>
  <c r="M446" i="8" s="1"/>
  <c r="Q447" i="5"/>
  <c r="M447" i="8" s="1"/>
  <c r="Q448" i="5"/>
  <c r="M448" i="8" s="1"/>
  <c r="Q449" i="5"/>
  <c r="M449" i="8" s="1"/>
  <c r="Q450" i="5"/>
  <c r="M450" i="8" s="1"/>
  <c r="Q451" i="5"/>
  <c r="M451" i="8" s="1"/>
  <c r="Q452" i="5"/>
  <c r="M452" i="8" s="1"/>
  <c r="Q453" i="5"/>
  <c r="M453" i="8" s="1"/>
  <c r="Q454" i="5"/>
  <c r="M454" i="8" s="1"/>
  <c r="Q455" i="5"/>
  <c r="M455" i="8" s="1"/>
  <c r="Q456" i="5"/>
  <c r="M456" i="8" s="1"/>
  <c r="Q457" i="5"/>
  <c r="M457" i="8" s="1"/>
  <c r="Q458" i="5"/>
  <c r="M458" i="8" s="1"/>
  <c r="Q459" i="5"/>
  <c r="M459" i="8" s="1"/>
  <c r="Q460" i="5"/>
  <c r="M460" i="8" s="1"/>
  <c r="Q461" i="5"/>
  <c r="M461" i="8" s="1"/>
  <c r="Q462" i="5"/>
  <c r="M462" i="8" s="1"/>
  <c r="Q463" i="5"/>
  <c r="M463" i="8" s="1"/>
  <c r="Q464" i="5"/>
  <c r="M464" i="8" s="1"/>
  <c r="Q465" i="5"/>
  <c r="M465" i="8" s="1"/>
  <c r="Q466" i="5"/>
  <c r="M466" i="8" s="1"/>
  <c r="Q467" i="5"/>
  <c r="M467" i="8" s="1"/>
  <c r="Q468" i="5"/>
  <c r="M468" i="8" s="1"/>
  <c r="Q469" i="5"/>
  <c r="M469" i="8" s="1"/>
  <c r="Q470" i="5"/>
  <c r="M470" i="8" s="1"/>
  <c r="Q471" i="5"/>
  <c r="M471" i="8" s="1"/>
  <c r="Q472" i="5"/>
  <c r="M472" i="8" s="1"/>
  <c r="Q473" i="5"/>
  <c r="M473" i="8" s="1"/>
  <c r="Q474" i="5"/>
  <c r="M474" i="8" s="1"/>
  <c r="Q475" i="5"/>
  <c r="M475" i="8" s="1"/>
  <c r="Q476" i="5"/>
  <c r="M476" i="8" s="1"/>
  <c r="Q477" i="5"/>
  <c r="M477" i="8" s="1"/>
  <c r="Q478" i="5"/>
  <c r="M478" i="8" s="1"/>
  <c r="Q479" i="5"/>
  <c r="M479" i="8" s="1"/>
  <c r="Q480" i="5"/>
  <c r="M480" i="8" s="1"/>
  <c r="Q481" i="5"/>
  <c r="M481" i="8" s="1"/>
  <c r="Q482" i="5"/>
  <c r="M482" i="8" s="1"/>
  <c r="Q483" i="5"/>
  <c r="M483" i="8" s="1"/>
  <c r="Q484" i="5"/>
  <c r="M484" i="8" s="1"/>
  <c r="Q485" i="5"/>
  <c r="M485" i="8" s="1"/>
  <c r="Q486" i="5"/>
  <c r="M486" i="8" s="1"/>
  <c r="Q487" i="5"/>
  <c r="M487" i="8" s="1"/>
  <c r="Q488" i="5"/>
  <c r="M488" i="8" s="1"/>
  <c r="Q489" i="5"/>
  <c r="M489" i="8" s="1"/>
  <c r="Q490" i="5"/>
  <c r="M490" i="8" s="1"/>
  <c r="Q491" i="5"/>
  <c r="M491" i="8" s="1"/>
  <c r="Q492" i="5"/>
  <c r="M492" i="8" s="1"/>
  <c r="Q493" i="5"/>
  <c r="M493" i="8" s="1"/>
  <c r="Q494" i="5"/>
  <c r="M494" i="8" s="1"/>
  <c r="Q495" i="5"/>
  <c r="M495" i="8" s="1"/>
  <c r="Q496" i="5"/>
  <c r="M496" i="8" s="1"/>
  <c r="Q497" i="5"/>
  <c r="M497" i="8" s="1"/>
  <c r="Q498" i="5"/>
  <c r="M498" i="8" s="1"/>
  <c r="Q499" i="5"/>
  <c r="M499" i="8" s="1"/>
  <c r="Q500" i="5"/>
  <c r="M500" i="8" s="1"/>
  <c r="Q501" i="5"/>
  <c r="M501" i="8" s="1"/>
  <c r="Q502" i="5"/>
  <c r="M502" i="8" s="1"/>
  <c r="Q503" i="5"/>
  <c r="M503" i="8" s="1"/>
  <c r="Q504" i="5"/>
  <c r="M504" i="8" s="1"/>
  <c r="Q505" i="5"/>
  <c r="M505" i="8" s="1"/>
  <c r="Q506" i="5"/>
  <c r="M506" i="8" s="1"/>
  <c r="Q507" i="5"/>
  <c r="M507" i="8" s="1"/>
  <c r="Q508" i="5"/>
  <c r="M508" i="8" s="1"/>
  <c r="Q509" i="5"/>
  <c r="M509" i="8" s="1"/>
  <c r="Q510" i="5"/>
  <c r="M510" i="8" s="1"/>
  <c r="Q511" i="5"/>
  <c r="M511" i="8" s="1"/>
  <c r="Q512" i="5"/>
  <c r="M512" i="8" s="1"/>
  <c r="Q513" i="5"/>
  <c r="M513" i="8" s="1"/>
  <c r="Q514" i="5"/>
  <c r="M514" i="8" s="1"/>
  <c r="Q515" i="5"/>
  <c r="M515" i="8" s="1"/>
  <c r="Q516" i="5"/>
  <c r="M516" i="8" s="1"/>
  <c r="Q517" i="5"/>
  <c r="M517" i="8" s="1"/>
  <c r="Q518" i="5"/>
  <c r="M518" i="8" s="1"/>
  <c r="Q519" i="5"/>
  <c r="M519" i="8" s="1"/>
  <c r="Q520" i="5"/>
  <c r="M520" i="8" s="1"/>
  <c r="Q521" i="5"/>
  <c r="M521" i="8" s="1"/>
  <c r="Q522" i="5"/>
  <c r="M522" i="8" s="1"/>
  <c r="Q523" i="5"/>
  <c r="M523" i="8" s="1"/>
  <c r="Q524" i="5"/>
  <c r="M524" i="8" s="1"/>
  <c r="Q525" i="5"/>
  <c r="M525" i="8" s="1"/>
  <c r="Q526" i="5"/>
  <c r="M526" i="8" s="1"/>
  <c r="Q527" i="5"/>
  <c r="M527" i="8" s="1"/>
  <c r="Q528" i="5"/>
  <c r="M528" i="8" s="1"/>
  <c r="Q529" i="5"/>
  <c r="M529" i="8" s="1"/>
  <c r="Q530" i="5"/>
  <c r="M530" i="8" s="1"/>
  <c r="Q531" i="5"/>
  <c r="M531" i="8" s="1"/>
  <c r="Q532" i="5"/>
  <c r="M532" i="8" s="1"/>
  <c r="Q533" i="5"/>
  <c r="M533" i="8" s="1"/>
  <c r="Q534" i="5"/>
  <c r="M534" i="8" s="1"/>
  <c r="Q535" i="5"/>
  <c r="M535" i="8" s="1"/>
  <c r="Q536" i="5"/>
  <c r="M536" i="8" s="1"/>
  <c r="Q537" i="5"/>
  <c r="M537" i="8" s="1"/>
  <c r="Q538" i="5"/>
  <c r="M538" i="8" s="1"/>
  <c r="Q539" i="5"/>
  <c r="M539" i="8" s="1"/>
  <c r="Q540" i="5"/>
  <c r="M540" i="8" s="1"/>
  <c r="Q541" i="5"/>
  <c r="M541" i="8" s="1"/>
  <c r="Q542" i="5"/>
  <c r="M542" i="8" s="1"/>
  <c r="Q543" i="5"/>
  <c r="M543" i="8" s="1"/>
  <c r="Q544" i="5"/>
  <c r="M544" i="8" s="1"/>
  <c r="Q545" i="5"/>
  <c r="M545" i="8" s="1"/>
  <c r="Q546" i="5"/>
  <c r="M546" i="8" s="1"/>
  <c r="Q547" i="5"/>
  <c r="M547" i="8" s="1"/>
  <c r="Q548" i="5"/>
  <c r="M548" i="8" s="1"/>
  <c r="Q549" i="5"/>
  <c r="M549" i="8" s="1"/>
  <c r="Q550" i="5"/>
  <c r="M550" i="8" s="1"/>
  <c r="Q551" i="5"/>
  <c r="M551" i="8" s="1"/>
  <c r="Q552" i="5"/>
  <c r="M552" i="8" s="1"/>
  <c r="Q553" i="5"/>
  <c r="M553" i="8" s="1"/>
  <c r="Q554" i="5"/>
  <c r="M554" i="8" s="1"/>
  <c r="Q555" i="5"/>
  <c r="M555" i="8" s="1"/>
  <c r="Q556" i="5"/>
  <c r="M556" i="8" s="1"/>
  <c r="Q557" i="5"/>
  <c r="M557" i="8" s="1"/>
  <c r="Q558" i="5"/>
  <c r="M558" i="8" s="1"/>
  <c r="Q559" i="5"/>
  <c r="M559" i="8" s="1"/>
  <c r="Q560" i="5"/>
  <c r="M560" i="8" s="1"/>
  <c r="Q561" i="5"/>
  <c r="M561" i="8" s="1"/>
  <c r="Q562" i="5"/>
  <c r="M562" i="8" s="1"/>
  <c r="Q563" i="5"/>
  <c r="M563" i="8" s="1"/>
  <c r="Q564" i="5"/>
  <c r="M564" i="8" s="1"/>
  <c r="Q565" i="5"/>
  <c r="M565" i="8" s="1"/>
  <c r="Q566" i="5"/>
  <c r="M566" i="8" s="1"/>
  <c r="Q567" i="5"/>
  <c r="M567" i="8" s="1"/>
  <c r="Q568" i="5"/>
  <c r="M568" i="8" s="1"/>
  <c r="Q569" i="5"/>
  <c r="M569" i="8" s="1"/>
  <c r="Q570" i="5"/>
  <c r="M570" i="8" s="1"/>
  <c r="Q571" i="5"/>
  <c r="M571" i="8" s="1"/>
  <c r="Q2" i="5"/>
  <c r="M2" i="8" s="1"/>
  <c r="Q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U22" i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2" i="6"/>
  <c r="O22" i="1"/>
  <c r="AZ3" i="1"/>
  <c r="AZ4" i="1"/>
  <c r="AZ5" i="1"/>
  <c r="AZ6" i="1"/>
  <c r="AZ7" i="1"/>
  <c r="AZ8" i="1"/>
  <c r="AZ10" i="1"/>
  <c r="AZ11" i="1"/>
  <c r="AZ12" i="1"/>
  <c r="AZ13" i="1"/>
  <c r="AZ14" i="1"/>
  <c r="AZ15" i="1"/>
  <c r="AZ16" i="1"/>
  <c r="AZ18" i="1"/>
  <c r="AZ19" i="1"/>
  <c r="AZ20" i="1"/>
  <c r="AZ21" i="1"/>
  <c r="AZ22" i="1"/>
  <c r="AZ23" i="1"/>
  <c r="AZ24" i="1"/>
  <c r="AZ26" i="1"/>
  <c r="AZ27" i="1"/>
  <c r="AZ28" i="1"/>
  <c r="AZ29" i="1"/>
  <c r="AZ30" i="1"/>
  <c r="AZ31" i="1"/>
  <c r="AZ32" i="1"/>
  <c r="AZ34" i="1"/>
  <c r="AZ35" i="1"/>
  <c r="AZ36" i="1"/>
  <c r="AZ37" i="1"/>
  <c r="AZ38" i="1"/>
  <c r="AZ39" i="1"/>
  <c r="AZ40" i="1"/>
  <c r="AZ42" i="1"/>
  <c r="AZ43" i="1"/>
  <c r="AZ44" i="1"/>
  <c r="AZ45" i="1"/>
  <c r="AZ46" i="1"/>
  <c r="AZ47" i="1"/>
  <c r="AZ48" i="1"/>
  <c r="AZ50" i="1"/>
  <c r="AZ51" i="1"/>
  <c r="AZ52" i="1"/>
  <c r="AZ53" i="1"/>
  <c r="AZ54" i="1"/>
  <c r="AZ55" i="1"/>
  <c r="AZ56" i="1"/>
  <c r="AZ58" i="1"/>
  <c r="AZ59" i="1"/>
  <c r="AZ60" i="1"/>
  <c r="AZ61" i="1"/>
  <c r="AZ62" i="1"/>
  <c r="AZ63" i="1"/>
  <c r="AZ64" i="1"/>
  <c r="AZ65" i="1"/>
  <c r="BB65" i="1" s="1"/>
  <c r="AZ66" i="1"/>
  <c r="AZ67" i="1"/>
  <c r="AZ68" i="1"/>
  <c r="AZ69" i="1"/>
  <c r="AZ70" i="1"/>
  <c r="AZ71" i="1"/>
  <c r="AZ72" i="1"/>
  <c r="AZ74" i="1"/>
  <c r="AZ75" i="1"/>
  <c r="AZ76" i="1"/>
  <c r="AZ77" i="1"/>
  <c r="AZ78" i="1"/>
  <c r="AZ79" i="1"/>
  <c r="AZ80" i="1"/>
  <c r="AZ81" i="1"/>
  <c r="BB81" i="1" s="1"/>
  <c r="AZ82" i="1"/>
  <c r="AZ83" i="1"/>
  <c r="AZ84" i="1"/>
  <c r="AZ85" i="1"/>
  <c r="AZ86" i="1"/>
  <c r="AZ87" i="1"/>
  <c r="AZ88" i="1"/>
  <c r="AZ90" i="1"/>
  <c r="AZ91" i="1"/>
  <c r="AZ92" i="1"/>
  <c r="AZ93" i="1"/>
  <c r="AZ94" i="1"/>
  <c r="AZ95" i="1"/>
  <c r="AZ96" i="1"/>
  <c r="AZ97" i="1"/>
  <c r="BB97" i="1" s="1"/>
  <c r="AZ98" i="1"/>
  <c r="AZ99" i="1"/>
  <c r="AZ100" i="1"/>
  <c r="AZ101" i="1"/>
  <c r="AZ102" i="1"/>
  <c r="AZ103" i="1"/>
  <c r="AZ104" i="1"/>
  <c r="AZ106" i="1"/>
  <c r="AZ107" i="1"/>
  <c r="AZ108" i="1"/>
  <c r="AZ109" i="1"/>
  <c r="AZ110" i="1"/>
  <c r="AZ111" i="1"/>
  <c r="AZ112" i="1"/>
  <c r="AZ114" i="1"/>
  <c r="AZ115" i="1"/>
  <c r="AZ116" i="1"/>
  <c r="AZ117" i="1"/>
  <c r="AZ118" i="1"/>
  <c r="AZ119" i="1"/>
  <c r="AZ120" i="1"/>
  <c r="AZ122" i="1"/>
  <c r="AZ123" i="1"/>
  <c r="AZ124" i="1"/>
  <c r="AZ125" i="1"/>
  <c r="AZ126" i="1"/>
  <c r="AZ127" i="1"/>
  <c r="AZ128" i="1"/>
  <c r="AZ130" i="1"/>
  <c r="AZ131" i="1"/>
  <c r="AZ132" i="1"/>
  <c r="AZ133" i="1"/>
  <c r="AZ134" i="1"/>
  <c r="AZ135" i="1"/>
  <c r="AZ136" i="1"/>
  <c r="AZ137" i="1"/>
  <c r="BB137" i="1" s="1"/>
  <c r="AZ138" i="1"/>
  <c r="AZ139" i="1"/>
  <c r="AZ140" i="1"/>
  <c r="AZ141" i="1"/>
  <c r="AZ142" i="1"/>
  <c r="AZ143" i="1"/>
  <c r="AZ144" i="1"/>
  <c r="AZ146" i="1"/>
  <c r="AZ147" i="1"/>
  <c r="AZ148" i="1"/>
  <c r="AZ149" i="1"/>
  <c r="AZ150" i="1"/>
  <c r="AZ151" i="1"/>
  <c r="AZ152" i="1"/>
  <c r="AZ154" i="1"/>
  <c r="AZ155" i="1"/>
  <c r="AZ156" i="1"/>
  <c r="AZ157" i="1"/>
  <c r="AZ158" i="1"/>
  <c r="AZ159" i="1"/>
  <c r="AZ160" i="1"/>
  <c r="AZ161" i="1"/>
  <c r="BB161" i="1" s="1"/>
  <c r="AZ162" i="1"/>
  <c r="AZ163" i="1"/>
  <c r="AZ164" i="1"/>
  <c r="AZ165" i="1"/>
  <c r="AZ166" i="1"/>
  <c r="AZ167" i="1"/>
  <c r="AZ168" i="1"/>
  <c r="AZ169" i="1"/>
  <c r="BB169" i="1" s="1"/>
  <c r="AZ170" i="1"/>
  <c r="AZ171" i="1"/>
  <c r="AZ172" i="1"/>
  <c r="AZ173" i="1"/>
  <c r="AZ174" i="1"/>
  <c r="AZ175" i="1"/>
  <c r="AZ176" i="1"/>
  <c r="AZ177" i="1"/>
  <c r="BB177" i="1" s="1"/>
  <c r="AZ178" i="1"/>
  <c r="AZ179" i="1"/>
  <c r="AZ180" i="1"/>
  <c r="AZ181" i="1"/>
  <c r="AZ182" i="1"/>
  <c r="AZ183" i="1"/>
  <c r="AZ184" i="1"/>
  <c r="AZ185" i="1"/>
  <c r="BB185" i="1" s="1"/>
  <c r="AZ186" i="1"/>
  <c r="AZ187" i="1"/>
  <c r="AZ188" i="1"/>
  <c r="AZ189" i="1"/>
  <c r="AZ190" i="1"/>
  <c r="AZ191" i="1"/>
  <c r="AZ192" i="1"/>
  <c r="AZ193" i="1"/>
  <c r="BB193" i="1" s="1"/>
  <c r="AZ194" i="1"/>
  <c r="AZ195" i="1"/>
  <c r="AZ196" i="1"/>
  <c r="AZ197" i="1"/>
  <c r="AZ198" i="1"/>
  <c r="AZ199" i="1"/>
  <c r="AZ200" i="1"/>
  <c r="AZ201" i="1"/>
  <c r="BB201" i="1" s="1"/>
  <c r="AZ202" i="1"/>
  <c r="AZ203" i="1"/>
  <c r="AZ204" i="1"/>
  <c r="AZ205" i="1"/>
  <c r="AZ206" i="1"/>
  <c r="AZ207" i="1"/>
  <c r="AZ208" i="1"/>
  <c r="AZ209" i="1"/>
  <c r="BB209" i="1" s="1"/>
  <c r="AZ210" i="1"/>
  <c r="AZ211" i="1"/>
  <c r="AZ212" i="1"/>
  <c r="AZ213" i="1"/>
  <c r="AZ214" i="1"/>
  <c r="AZ215" i="1"/>
  <c r="AZ216" i="1"/>
  <c r="AZ217" i="1"/>
  <c r="BB217" i="1" s="1"/>
  <c r="AZ218" i="1"/>
  <c r="AZ219" i="1"/>
  <c r="AZ220" i="1"/>
  <c r="AZ221" i="1"/>
  <c r="AZ222" i="1"/>
  <c r="AZ223" i="1"/>
  <c r="AZ224" i="1"/>
  <c r="AZ225" i="1"/>
  <c r="BB225" i="1" s="1"/>
  <c r="AZ226" i="1"/>
  <c r="AZ227" i="1"/>
  <c r="AZ228" i="1"/>
  <c r="AZ229" i="1"/>
  <c r="AZ230" i="1"/>
  <c r="AZ231" i="1"/>
  <c r="AZ232" i="1"/>
  <c r="AZ233" i="1"/>
  <c r="BB233" i="1" s="1"/>
  <c r="AZ234" i="1"/>
  <c r="AZ235" i="1"/>
  <c r="AZ236" i="1"/>
  <c r="AZ237" i="1"/>
  <c r="AZ238" i="1"/>
  <c r="AZ239" i="1"/>
  <c r="AZ240" i="1"/>
  <c r="AZ241" i="1"/>
  <c r="BB241" i="1" s="1"/>
  <c r="AZ242" i="1"/>
  <c r="AZ243" i="1"/>
  <c r="AZ244" i="1"/>
  <c r="AZ245" i="1"/>
  <c r="AZ246" i="1"/>
  <c r="AZ247" i="1"/>
  <c r="AZ248" i="1"/>
  <c r="AZ249" i="1"/>
  <c r="BB249" i="1" s="1"/>
  <c r="AZ250" i="1"/>
  <c r="AZ251" i="1"/>
  <c r="AZ252" i="1"/>
  <c r="AZ253" i="1"/>
  <c r="AZ254" i="1"/>
  <c r="AZ255" i="1"/>
  <c r="AZ256" i="1"/>
  <c r="AZ257" i="1"/>
  <c r="BB257" i="1" s="1"/>
  <c r="AZ258" i="1"/>
  <c r="AZ259" i="1"/>
  <c r="AZ260" i="1"/>
  <c r="AZ261" i="1"/>
  <c r="AZ262" i="1"/>
  <c r="AZ263" i="1"/>
  <c r="AZ264" i="1"/>
  <c r="AZ265" i="1"/>
  <c r="BB265" i="1" s="1"/>
  <c r="AZ266" i="1"/>
  <c r="AZ267" i="1"/>
  <c r="AZ268" i="1"/>
  <c r="AZ269" i="1"/>
  <c r="AZ270" i="1"/>
  <c r="AZ271" i="1"/>
  <c r="AZ272" i="1"/>
  <c r="AZ273" i="1"/>
  <c r="BB273" i="1" s="1"/>
  <c r="AZ274" i="1"/>
  <c r="AZ275" i="1"/>
  <c r="AZ276" i="1"/>
  <c r="AZ277" i="1"/>
  <c r="AZ278" i="1"/>
  <c r="AZ279" i="1"/>
  <c r="AZ280" i="1"/>
  <c r="AZ281" i="1"/>
  <c r="BB281" i="1" s="1"/>
  <c r="AZ282" i="1"/>
  <c r="AZ283" i="1"/>
  <c r="AZ284" i="1"/>
  <c r="AZ285" i="1"/>
  <c r="AZ286" i="1"/>
  <c r="AZ287" i="1"/>
  <c r="AZ288" i="1"/>
  <c r="AZ289" i="1"/>
  <c r="BB289" i="1" s="1"/>
  <c r="AZ290" i="1"/>
  <c r="AZ291" i="1"/>
  <c r="AZ292" i="1"/>
  <c r="AZ293" i="1"/>
  <c r="AZ294" i="1"/>
  <c r="AZ295" i="1"/>
  <c r="AZ296" i="1"/>
  <c r="AZ297" i="1"/>
  <c r="BB297" i="1" s="1"/>
  <c r="AZ298" i="1"/>
  <c r="AZ299" i="1"/>
  <c r="AZ300" i="1"/>
  <c r="AZ301" i="1"/>
  <c r="AZ302" i="1"/>
  <c r="AZ303" i="1"/>
  <c r="AZ304" i="1"/>
  <c r="AZ305" i="1"/>
  <c r="BB305" i="1" s="1"/>
  <c r="AZ306" i="1"/>
  <c r="AZ307" i="1"/>
  <c r="AZ308" i="1"/>
  <c r="AZ309" i="1"/>
  <c r="AZ310" i="1"/>
  <c r="AZ311" i="1"/>
  <c r="AZ312" i="1"/>
  <c r="AZ313" i="1"/>
  <c r="BB313" i="1" s="1"/>
  <c r="AZ314" i="1"/>
  <c r="AZ315" i="1"/>
  <c r="AZ316" i="1"/>
  <c r="AZ317" i="1"/>
  <c r="AZ318" i="1"/>
  <c r="AZ319" i="1"/>
  <c r="AZ320" i="1"/>
  <c r="AZ321" i="1"/>
  <c r="BB321" i="1" s="1"/>
  <c r="AZ322" i="1"/>
  <c r="AZ323" i="1"/>
  <c r="AZ324" i="1"/>
  <c r="AZ325" i="1"/>
  <c r="AZ326" i="1"/>
  <c r="AZ327" i="1"/>
  <c r="AZ328" i="1"/>
  <c r="AZ329" i="1"/>
  <c r="BB329" i="1" s="1"/>
  <c r="AZ330" i="1"/>
  <c r="AZ331" i="1"/>
  <c r="AZ332" i="1"/>
  <c r="AZ333" i="1"/>
  <c r="AZ334" i="1"/>
  <c r="AZ335" i="1"/>
  <c r="AZ336" i="1"/>
  <c r="AZ337" i="1"/>
  <c r="BB337" i="1" s="1"/>
  <c r="AZ338" i="1"/>
  <c r="AZ339" i="1"/>
  <c r="AZ340" i="1"/>
  <c r="AZ341" i="1"/>
  <c r="AZ342" i="1"/>
  <c r="AZ343" i="1"/>
  <c r="AZ344" i="1"/>
  <c r="AZ345" i="1"/>
  <c r="BB345" i="1" s="1"/>
  <c r="AZ346" i="1"/>
  <c r="AZ347" i="1"/>
  <c r="AZ348" i="1"/>
  <c r="AZ349" i="1"/>
  <c r="AZ350" i="1"/>
  <c r="AZ351" i="1"/>
  <c r="AZ352" i="1"/>
  <c r="AZ353" i="1"/>
  <c r="BB353" i="1" s="1"/>
  <c r="AZ354" i="1"/>
  <c r="AZ355" i="1"/>
  <c r="AZ356" i="1"/>
  <c r="AZ357" i="1"/>
  <c r="AZ358" i="1"/>
  <c r="AZ359" i="1"/>
  <c r="AZ360" i="1"/>
  <c r="AZ361" i="1"/>
  <c r="BB361" i="1" s="1"/>
  <c r="AZ362" i="1"/>
  <c r="AZ363" i="1"/>
  <c r="AZ364" i="1"/>
  <c r="AZ365" i="1"/>
  <c r="AZ366" i="1"/>
  <c r="AZ367" i="1"/>
  <c r="AZ368" i="1"/>
  <c r="AZ369" i="1"/>
  <c r="BB369" i="1" s="1"/>
  <c r="AZ370" i="1"/>
  <c r="AZ371" i="1"/>
  <c r="AZ372" i="1"/>
  <c r="AZ373" i="1"/>
  <c r="AZ374" i="1"/>
  <c r="AZ375" i="1"/>
  <c r="AZ376" i="1"/>
  <c r="AZ377" i="1"/>
  <c r="BB377" i="1" s="1"/>
  <c r="AZ378" i="1"/>
  <c r="AZ379" i="1"/>
  <c r="AZ380" i="1"/>
  <c r="AZ381" i="1"/>
  <c r="AZ382" i="1"/>
  <c r="AZ383" i="1"/>
  <c r="AZ384" i="1"/>
  <c r="AZ385" i="1"/>
  <c r="BB385" i="1" s="1"/>
  <c r="AZ386" i="1"/>
  <c r="AZ387" i="1"/>
  <c r="AZ388" i="1"/>
  <c r="AZ389" i="1"/>
  <c r="AZ390" i="1"/>
  <c r="AZ391" i="1"/>
  <c r="AZ392" i="1"/>
  <c r="AZ393" i="1"/>
  <c r="BB393" i="1" s="1"/>
  <c r="AZ394" i="1"/>
  <c r="AZ395" i="1"/>
  <c r="AZ396" i="1"/>
  <c r="AZ397" i="1"/>
  <c r="AZ398" i="1"/>
  <c r="AZ399" i="1"/>
  <c r="AZ400" i="1"/>
  <c r="AZ401" i="1"/>
  <c r="BB401" i="1" s="1"/>
  <c r="AZ402" i="1"/>
  <c r="AZ403" i="1"/>
  <c r="AZ404" i="1"/>
  <c r="AZ405" i="1"/>
  <c r="AZ406" i="1"/>
  <c r="AZ407" i="1"/>
  <c r="AZ408" i="1"/>
  <c r="AZ409" i="1"/>
  <c r="BB409" i="1" s="1"/>
  <c r="AZ410" i="1"/>
  <c r="AZ411" i="1"/>
  <c r="AZ412" i="1"/>
  <c r="AZ413" i="1"/>
  <c r="AZ414" i="1"/>
  <c r="AZ415" i="1"/>
  <c r="AZ416" i="1"/>
  <c r="AZ417" i="1"/>
  <c r="BB417" i="1" s="1"/>
  <c r="AZ418" i="1"/>
  <c r="AZ419" i="1"/>
  <c r="AZ420" i="1"/>
  <c r="AZ421" i="1"/>
  <c r="AZ422" i="1"/>
  <c r="AZ423" i="1"/>
  <c r="AZ424" i="1"/>
  <c r="AZ425" i="1"/>
  <c r="BB425" i="1" s="1"/>
  <c r="AZ426" i="1"/>
  <c r="AZ427" i="1"/>
  <c r="AZ428" i="1"/>
  <c r="AZ429" i="1"/>
  <c r="AZ430" i="1"/>
  <c r="AZ431" i="1"/>
  <c r="AZ432" i="1"/>
  <c r="AZ433" i="1"/>
  <c r="BB433" i="1" s="1"/>
  <c r="AZ434" i="1"/>
  <c r="AZ435" i="1"/>
  <c r="AZ436" i="1"/>
  <c r="AZ437" i="1"/>
  <c r="AZ438" i="1"/>
  <c r="AZ439" i="1"/>
  <c r="AZ440" i="1"/>
  <c r="AZ441" i="1"/>
  <c r="BB441" i="1" s="1"/>
  <c r="AZ442" i="1"/>
  <c r="AZ443" i="1"/>
  <c r="AZ444" i="1"/>
  <c r="AZ445" i="1"/>
  <c r="AZ446" i="1"/>
  <c r="AZ447" i="1"/>
  <c r="AZ448" i="1"/>
  <c r="AZ449" i="1"/>
  <c r="BB449" i="1" s="1"/>
  <c r="AZ450" i="1"/>
  <c r="AZ451" i="1"/>
  <c r="AZ452" i="1"/>
  <c r="AZ453" i="1"/>
  <c r="AZ454" i="1"/>
  <c r="AZ455" i="1"/>
  <c r="AZ456" i="1"/>
  <c r="AZ457" i="1"/>
  <c r="BB457" i="1" s="1"/>
  <c r="AZ458" i="1"/>
  <c r="AZ459" i="1"/>
  <c r="AZ460" i="1"/>
  <c r="AZ461" i="1"/>
  <c r="AZ462" i="1"/>
  <c r="AZ463" i="1"/>
  <c r="AZ464" i="1"/>
  <c r="AZ465" i="1"/>
  <c r="BB465" i="1" s="1"/>
  <c r="AZ466" i="1"/>
  <c r="AZ467" i="1"/>
  <c r="AZ468" i="1"/>
  <c r="AZ469" i="1"/>
  <c r="AZ470" i="1"/>
  <c r="AZ471" i="1"/>
  <c r="AZ472" i="1"/>
  <c r="AZ473" i="1"/>
  <c r="BB473" i="1" s="1"/>
  <c r="AZ474" i="1"/>
  <c r="AZ475" i="1"/>
  <c r="AZ476" i="1"/>
  <c r="AZ477" i="1"/>
  <c r="AZ478" i="1"/>
  <c r="AZ479" i="1"/>
  <c r="AZ480" i="1"/>
  <c r="AZ481" i="1"/>
  <c r="BB481" i="1" s="1"/>
  <c r="AZ482" i="1"/>
  <c r="AZ483" i="1"/>
  <c r="AZ484" i="1"/>
  <c r="AZ485" i="1"/>
  <c r="AZ486" i="1"/>
  <c r="AZ487" i="1"/>
  <c r="AZ488" i="1"/>
  <c r="AZ489" i="1"/>
  <c r="BB489" i="1" s="1"/>
  <c r="AZ490" i="1"/>
  <c r="AZ491" i="1"/>
  <c r="AZ492" i="1"/>
  <c r="AZ493" i="1"/>
  <c r="AZ494" i="1"/>
  <c r="AZ495" i="1"/>
  <c r="AZ496" i="1"/>
  <c r="AZ497" i="1"/>
  <c r="BB497" i="1" s="1"/>
  <c r="AZ498" i="1"/>
  <c r="AZ499" i="1"/>
  <c r="AZ500" i="1"/>
  <c r="AZ501" i="1"/>
  <c r="AZ502" i="1"/>
  <c r="AZ503" i="1"/>
  <c r="AZ504" i="1"/>
  <c r="AZ505" i="1"/>
  <c r="BB505" i="1" s="1"/>
  <c r="AZ506" i="1"/>
  <c r="AZ507" i="1"/>
  <c r="AZ508" i="1"/>
  <c r="AZ509" i="1"/>
  <c r="AZ510" i="1"/>
  <c r="AZ511" i="1"/>
  <c r="AZ512" i="1"/>
  <c r="AZ513" i="1"/>
  <c r="BB513" i="1" s="1"/>
  <c r="AZ514" i="1"/>
  <c r="AZ515" i="1"/>
  <c r="AZ516" i="1"/>
  <c r="AZ517" i="1"/>
  <c r="AZ518" i="1"/>
  <c r="AZ519" i="1"/>
  <c r="AZ520" i="1"/>
  <c r="AZ521" i="1"/>
  <c r="BB521" i="1" s="1"/>
  <c r="AZ522" i="1"/>
  <c r="AZ523" i="1"/>
  <c r="AZ524" i="1"/>
  <c r="AZ525" i="1"/>
  <c r="AZ526" i="1"/>
  <c r="AZ527" i="1"/>
  <c r="AZ528" i="1"/>
  <c r="AZ529" i="1"/>
  <c r="BB529" i="1" s="1"/>
  <c r="AZ530" i="1"/>
  <c r="AZ531" i="1"/>
  <c r="AZ532" i="1"/>
  <c r="AZ533" i="1"/>
  <c r="AZ534" i="1"/>
  <c r="AZ535" i="1"/>
  <c r="AZ536" i="1"/>
  <c r="AZ537" i="1"/>
  <c r="BB537" i="1" s="1"/>
  <c r="AZ538" i="1"/>
  <c r="AZ539" i="1"/>
  <c r="AZ540" i="1"/>
  <c r="AZ541" i="1"/>
  <c r="AZ542" i="1"/>
  <c r="AZ543" i="1"/>
  <c r="AZ544" i="1"/>
  <c r="AZ545" i="1"/>
  <c r="BB545" i="1" s="1"/>
  <c r="AZ546" i="1"/>
  <c r="AZ547" i="1"/>
  <c r="AZ548" i="1"/>
  <c r="AZ549" i="1"/>
  <c r="AZ550" i="1"/>
  <c r="AZ551" i="1"/>
  <c r="AZ552" i="1"/>
  <c r="AZ553" i="1"/>
  <c r="BB553" i="1" s="1"/>
  <c r="AZ554" i="1"/>
  <c r="AZ555" i="1"/>
  <c r="AZ556" i="1"/>
  <c r="AZ557" i="1"/>
  <c r="AZ558" i="1"/>
  <c r="AZ559" i="1"/>
  <c r="AZ560" i="1"/>
  <c r="AZ561" i="1"/>
  <c r="BB561" i="1" s="1"/>
  <c r="AZ562" i="1"/>
  <c r="AZ563" i="1"/>
  <c r="AZ564" i="1"/>
  <c r="AZ565" i="1"/>
  <c r="AZ566" i="1"/>
  <c r="AZ567" i="1"/>
  <c r="AZ568" i="1"/>
  <c r="AZ569" i="1"/>
  <c r="BB569" i="1" s="1"/>
  <c r="AZ570" i="1"/>
  <c r="AZ571" i="1"/>
  <c r="AZ2" i="1"/>
  <c r="BA11" i="1"/>
  <c r="BB11" i="1" s="1"/>
  <c r="BA12" i="1"/>
  <c r="BB12" i="1" s="1"/>
  <c r="BA13" i="1"/>
  <c r="BB13" i="1" s="1"/>
  <c r="BA14" i="1"/>
  <c r="BB14" i="1" s="1"/>
  <c r="BA15" i="1"/>
  <c r="BB15" i="1" s="1"/>
  <c r="BA19" i="1"/>
  <c r="BB19" i="1" s="1"/>
  <c r="BA20" i="1"/>
  <c r="BB20" i="1" s="1"/>
  <c r="BA21" i="1"/>
  <c r="BB21" i="1" s="1"/>
  <c r="BA22" i="1"/>
  <c r="BB22" i="1" s="1"/>
  <c r="BA23" i="1"/>
  <c r="BB23" i="1" s="1"/>
  <c r="BA27" i="1"/>
  <c r="BB27" i="1" s="1"/>
  <c r="BA28" i="1"/>
  <c r="BB28" i="1" s="1"/>
  <c r="BA29" i="1"/>
  <c r="BB29" i="1" s="1"/>
  <c r="BA30" i="1"/>
  <c r="BB30" i="1" s="1"/>
  <c r="BA31" i="1"/>
  <c r="BB31" i="1" s="1"/>
  <c r="BA35" i="1"/>
  <c r="BB35" i="1" s="1"/>
  <c r="BA36" i="1"/>
  <c r="BB36" i="1" s="1"/>
  <c r="BA37" i="1"/>
  <c r="BB37" i="1" s="1"/>
  <c r="BA38" i="1"/>
  <c r="BB38" i="1" s="1"/>
  <c r="BA39" i="1"/>
  <c r="BB39" i="1" s="1"/>
  <c r="BA43" i="1"/>
  <c r="BB43" i="1" s="1"/>
  <c r="BA44" i="1"/>
  <c r="BB44" i="1" s="1"/>
  <c r="BA45" i="1"/>
  <c r="BB45" i="1" s="1"/>
  <c r="BA46" i="1"/>
  <c r="BB46" i="1" s="1"/>
  <c r="BA47" i="1"/>
  <c r="BB47" i="1" s="1"/>
  <c r="BA51" i="1"/>
  <c r="BB51" i="1" s="1"/>
  <c r="BA52" i="1"/>
  <c r="BB52" i="1" s="1"/>
  <c r="BA53" i="1"/>
  <c r="BB53" i="1" s="1"/>
  <c r="BA54" i="1"/>
  <c r="BB54" i="1" s="1"/>
  <c r="BA55" i="1"/>
  <c r="BB55" i="1" s="1"/>
  <c r="BA59" i="1"/>
  <c r="BB59" i="1" s="1"/>
  <c r="BA60" i="1"/>
  <c r="BB60" i="1" s="1"/>
  <c r="BA61" i="1"/>
  <c r="BB61" i="1" s="1"/>
  <c r="BA62" i="1"/>
  <c r="BB62" i="1" s="1"/>
  <c r="BA63" i="1"/>
  <c r="BB63" i="1" s="1"/>
  <c r="BA67" i="1"/>
  <c r="BB67" i="1" s="1"/>
  <c r="BA68" i="1"/>
  <c r="BB68" i="1" s="1"/>
  <c r="BA69" i="1"/>
  <c r="BB69" i="1" s="1"/>
  <c r="BA70" i="1"/>
  <c r="BB70" i="1" s="1"/>
  <c r="BA71" i="1"/>
  <c r="BB71" i="1" s="1"/>
  <c r="BA75" i="1"/>
  <c r="BB75" i="1" s="1"/>
  <c r="BA76" i="1"/>
  <c r="BB76" i="1" s="1"/>
  <c r="BA77" i="1"/>
  <c r="BB77" i="1" s="1"/>
  <c r="BA78" i="1"/>
  <c r="BB78" i="1" s="1"/>
  <c r="BA79" i="1"/>
  <c r="BB79" i="1" s="1"/>
  <c r="BA83" i="1"/>
  <c r="BB83" i="1" s="1"/>
  <c r="BA84" i="1"/>
  <c r="BB84" i="1" s="1"/>
  <c r="BA85" i="1"/>
  <c r="BB85" i="1" s="1"/>
  <c r="BA86" i="1"/>
  <c r="BB86" i="1" s="1"/>
  <c r="BA87" i="1"/>
  <c r="BB87" i="1" s="1"/>
  <c r="BA91" i="1"/>
  <c r="BB91" i="1" s="1"/>
  <c r="BA92" i="1"/>
  <c r="BB92" i="1" s="1"/>
  <c r="BA93" i="1"/>
  <c r="BB93" i="1" s="1"/>
  <c r="BA94" i="1"/>
  <c r="BB94" i="1" s="1"/>
  <c r="BA95" i="1"/>
  <c r="BB95" i="1" s="1"/>
  <c r="BA99" i="1"/>
  <c r="BB99" i="1" s="1"/>
  <c r="BA100" i="1"/>
  <c r="BB100" i="1" s="1"/>
  <c r="BA101" i="1"/>
  <c r="BB101" i="1" s="1"/>
  <c r="BA102" i="1"/>
  <c r="BB102" i="1" s="1"/>
  <c r="BA103" i="1"/>
  <c r="BB103" i="1" s="1"/>
  <c r="BA107" i="1"/>
  <c r="BB107" i="1" s="1"/>
  <c r="BA108" i="1"/>
  <c r="BB108" i="1" s="1"/>
  <c r="BA109" i="1"/>
  <c r="BB109" i="1" s="1"/>
  <c r="BA110" i="1"/>
  <c r="BB110" i="1" s="1"/>
  <c r="BA111" i="1"/>
  <c r="BB111" i="1" s="1"/>
  <c r="BA115" i="1"/>
  <c r="BB115" i="1" s="1"/>
  <c r="BA116" i="1"/>
  <c r="BB116" i="1" s="1"/>
  <c r="BA117" i="1"/>
  <c r="BB117" i="1" s="1"/>
  <c r="BA118" i="1"/>
  <c r="BB118" i="1" s="1"/>
  <c r="BA119" i="1"/>
  <c r="BB119" i="1" s="1"/>
  <c r="BA123" i="1"/>
  <c r="BB123" i="1" s="1"/>
  <c r="BA124" i="1"/>
  <c r="BB124" i="1" s="1"/>
  <c r="BA125" i="1"/>
  <c r="BB125" i="1" s="1"/>
  <c r="BA126" i="1"/>
  <c r="BB126" i="1" s="1"/>
  <c r="BA127" i="1"/>
  <c r="BB127" i="1" s="1"/>
  <c r="BA131" i="1"/>
  <c r="BB131" i="1" s="1"/>
  <c r="BA132" i="1"/>
  <c r="BB132" i="1" s="1"/>
  <c r="BA133" i="1"/>
  <c r="BB133" i="1" s="1"/>
  <c r="BA134" i="1"/>
  <c r="BB134" i="1" s="1"/>
  <c r="BA135" i="1"/>
  <c r="BB135" i="1" s="1"/>
  <c r="BA139" i="1"/>
  <c r="BB139" i="1" s="1"/>
  <c r="BA140" i="1"/>
  <c r="BB140" i="1" s="1"/>
  <c r="BA141" i="1"/>
  <c r="BB141" i="1" s="1"/>
  <c r="BA142" i="1"/>
  <c r="BB142" i="1" s="1"/>
  <c r="BA143" i="1"/>
  <c r="BB143" i="1" s="1"/>
  <c r="BA147" i="1"/>
  <c r="BB147" i="1" s="1"/>
  <c r="BA148" i="1"/>
  <c r="BB148" i="1" s="1"/>
  <c r="BA149" i="1"/>
  <c r="BB149" i="1" s="1"/>
  <c r="BA150" i="1"/>
  <c r="BB150" i="1" s="1"/>
  <c r="BA151" i="1"/>
  <c r="BB151" i="1" s="1"/>
  <c r="BA155" i="1"/>
  <c r="BB155" i="1" s="1"/>
  <c r="BA156" i="1"/>
  <c r="BB156" i="1" s="1"/>
  <c r="BA157" i="1"/>
  <c r="BB157" i="1" s="1"/>
  <c r="BA158" i="1"/>
  <c r="BB158" i="1" s="1"/>
  <c r="BA159" i="1"/>
  <c r="BB159" i="1" s="1"/>
  <c r="BA163" i="1"/>
  <c r="BB163" i="1" s="1"/>
  <c r="BA164" i="1"/>
  <c r="BB164" i="1" s="1"/>
  <c r="BA165" i="1"/>
  <c r="BB165" i="1" s="1"/>
  <c r="BA166" i="1"/>
  <c r="BB166" i="1" s="1"/>
  <c r="BA167" i="1"/>
  <c r="BB167" i="1" s="1"/>
  <c r="BA171" i="1"/>
  <c r="BB171" i="1" s="1"/>
  <c r="BA172" i="1"/>
  <c r="BB172" i="1" s="1"/>
  <c r="BA173" i="1"/>
  <c r="BB173" i="1" s="1"/>
  <c r="BA174" i="1"/>
  <c r="BB174" i="1" s="1"/>
  <c r="BA175" i="1"/>
  <c r="BB175" i="1" s="1"/>
  <c r="BA179" i="1"/>
  <c r="BB179" i="1" s="1"/>
  <c r="BA180" i="1"/>
  <c r="BB180" i="1" s="1"/>
  <c r="BA181" i="1"/>
  <c r="BB181" i="1" s="1"/>
  <c r="BA182" i="1"/>
  <c r="BB182" i="1" s="1"/>
  <c r="BA183" i="1"/>
  <c r="BB183" i="1" s="1"/>
  <c r="BA187" i="1"/>
  <c r="BB187" i="1" s="1"/>
  <c r="BA188" i="1"/>
  <c r="BB188" i="1" s="1"/>
  <c r="BA189" i="1"/>
  <c r="BB189" i="1" s="1"/>
  <c r="BA190" i="1"/>
  <c r="BB190" i="1" s="1"/>
  <c r="BA191" i="1"/>
  <c r="BB191" i="1" s="1"/>
  <c r="BA195" i="1"/>
  <c r="BB195" i="1" s="1"/>
  <c r="BA196" i="1"/>
  <c r="BB196" i="1" s="1"/>
  <c r="BA197" i="1"/>
  <c r="BB197" i="1" s="1"/>
  <c r="BA198" i="1"/>
  <c r="BB198" i="1" s="1"/>
  <c r="BA199" i="1"/>
  <c r="BB199" i="1" s="1"/>
  <c r="BA203" i="1"/>
  <c r="BB203" i="1" s="1"/>
  <c r="BA204" i="1"/>
  <c r="BB204" i="1" s="1"/>
  <c r="BA205" i="1"/>
  <c r="BB205" i="1" s="1"/>
  <c r="BA206" i="1"/>
  <c r="BB206" i="1" s="1"/>
  <c r="BA207" i="1"/>
  <c r="BB207" i="1" s="1"/>
  <c r="BA211" i="1"/>
  <c r="BB211" i="1" s="1"/>
  <c r="BA212" i="1"/>
  <c r="BB212" i="1" s="1"/>
  <c r="BA213" i="1"/>
  <c r="BB213" i="1" s="1"/>
  <c r="BA214" i="1"/>
  <c r="BB214" i="1" s="1"/>
  <c r="BA215" i="1"/>
  <c r="BB215" i="1" s="1"/>
  <c r="BA219" i="1"/>
  <c r="BB219" i="1" s="1"/>
  <c r="BA220" i="1"/>
  <c r="BB220" i="1" s="1"/>
  <c r="BA221" i="1"/>
  <c r="BB221" i="1" s="1"/>
  <c r="BA222" i="1"/>
  <c r="BB222" i="1" s="1"/>
  <c r="BA223" i="1"/>
  <c r="BB223" i="1" s="1"/>
  <c r="BA227" i="1"/>
  <c r="BB227" i="1" s="1"/>
  <c r="BA228" i="1"/>
  <c r="BB228" i="1" s="1"/>
  <c r="BA229" i="1"/>
  <c r="BB229" i="1" s="1"/>
  <c r="BA230" i="1"/>
  <c r="BB230" i="1" s="1"/>
  <c r="BA231" i="1"/>
  <c r="BB231" i="1" s="1"/>
  <c r="BA235" i="1"/>
  <c r="BB235" i="1" s="1"/>
  <c r="BA236" i="1"/>
  <c r="BB236" i="1" s="1"/>
  <c r="BA237" i="1"/>
  <c r="BB237" i="1" s="1"/>
  <c r="BA238" i="1"/>
  <c r="BB238" i="1" s="1"/>
  <c r="BA239" i="1"/>
  <c r="BB239" i="1" s="1"/>
  <c r="BA243" i="1"/>
  <c r="BB243" i="1" s="1"/>
  <c r="BA244" i="1"/>
  <c r="BB244" i="1" s="1"/>
  <c r="BA245" i="1"/>
  <c r="BB245" i="1" s="1"/>
  <c r="BA246" i="1"/>
  <c r="BB246" i="1" s="1"/>
  <c r="BA247" i="1"/>
  <c r="BB247" i="1" s="1"/>
  <c r="BA251" i="1"/>
  <c r="BB251" i="1" s="1"/>
  <c r="BA252" i="1"/>
  <c r="BB252" i="1" s="1"/>
  <c r="BA253" i="1"/>
  <c r="BB253" i="1" s="1"/>
  <c r="BA254" i="1"/>
  <c r="BB254" i="1" s="1"/>
  <c r="BA255" i="1"/>
  <c r="BB255" i="1" s="1"/>
  <c r="BA259" i="1"/>
  <c r="BB259" i="1" s="1"/>
  <c r="BA260" i="1"/>
  <c r="BB260" i="1" s="1"/>
  <c r="BA261" i="1"/>
  <c r="BB261" i="1" s="1"/>
  <c r="BA262" i="1"/>
  <c r="BB262" i="1" s="1"/>
  <c r="BA263" i="1"/>
  <c r="BB263" i="1" s="1"/>
  <c r="BA267" i="1"/>
  <c r="BB267" i="1" s="1"/>
  <c r="BA268" i="1"/>
  <c r="BB268" i="1" s="1"/>
  <c r="BA269" i="1"/>
  <c r="BB269" i="1" s="1"/>
  <c r="BA270" i="1"/>
  <c r="BB270" i="1" s="1"/>
  <c r="BA271" i="1"/>
  <c r="BB271" i="1" s="1"/>
  <c r="BA275" i="1"/>
  <c r="BB275" i="1" s="1"/>
  <c r="BA276" i="1"/>
  <c r="BB276" i="1" s="1"/>
  <c r="BA277" i="1"/>
  <c r="BB277" i="1" s="1"/>
  <c r="BA278" i="1"/>
  <c r="BB278" i="1" s="1"/>
  <c r="BA279" i="1"/>
  <c r="BB279" i="1" s="1"/>
  <c r="BA283" i="1"/>
  <c r="BB283" i="1" s="1"/>
  <c r="BA284" i="1"/>
  <c r="BB284" i="1" s="1"/>
  <c r="BA285" i="1"/>
  <c r="BB285" i="1" s="1"/>
  <c r="BA286" i="1"/>
  <c r="BB286" i="1" s="1"/>
  <c r="BA287" i="1"/>
  <c r="BB287" i="1" s="1"/>
  <c r="BA291" i="1"/>
  <c r="BB291" i="1" s="1"/>
  <c r="BA292" i="1"/>
  <c r="BB292" i="1" s="1"/>
  <c r="BA293" i="1"/>
  <c r="BB293" i="1" s="1"/>
  <c r="BA294" i="1"/>
  <c r="BB294" i="1" s="1"/>
  <c r="BA295" i="1"/>
  <c r="BB295" i="1" s="1"/>
  <c r="BA299" i="1"/>
  <c r="BB299" i="1" s="1"/>
  <c r="BA300" i="1"/>
  <c r="BB300" i="1" s="1"/>
  <c r="BA301" i="1"/>
  <c r="BB301" i="1" s="1"/>
  <c r="BA302" i="1"/>
  <c r="BB302" i="1" s="1"/>
  <c r="BA303" i="1"/>
  <c r="BB303" i="1" s="1"/>
  <c r="BA307" i="1"/>
  <c r="BB307" i="1" s="1"/>
  <c r="BA308" i="1"/>
  <c r="BB308" i="1" s="1"/>
  <c r="BA309" i="1"/>
  <c r="BB309" i="1" s="1"/>
  <c r="BA310" i="1"/>
  <c r="BB310" i="1" s="1"/>
  <c r="BA311" i="1"/>
  <c r="BB311" i="1" s="1"/>
  <c r="BA315" i="1"/>
  <c r="BB315" i="1" s="1"/>
  <c r="BA316" i="1"/>
  <c r="BB316" i="1" s="1"/>
  <c r="BA317" i="1"/>
  <c r="BB317" i="1" s="1"/>
  <c r="BA318" i="1"/>
  <c r="BB318" i="1" s="1"/>
  <c r="BA319" i="1"/>
  <c r="BB319" i="1" s="1"/>
  <c r="BA323" i="1"/>
  <c r="BB323" i="1" s="1"/>
  <c r="BA324" i="1"/>
  <c r="BB324" i="1" s="1"/>
  <c r="BA325" i="1"/>
  <c r="BB325" i="1" s="1"/>
  <c r="BA326" i="1"/>
  <c r="BB326" i="1" s="1"/>
  <c r="BA327" i="1"/>
  <c r="BB327" i="1" s="1"/>
  <c r="BA331" i="1"/>
  <c r="BB331" i="1" s="1"/>
  <c r="BA332" i="1"/>
  <c r="BB332" i="1" s="1"/>
  <c r="BA333" i="1"/>
  <c r="BB333" i="1" s="1"/>
  <c r="BA334" i="1"/>
  <c r="BB334" i="1" s="1"/>
  <c r="BA335" i="1"/>
  <c r="BB335" i="1" s="1"/>
  <c r="BA339" i="1"/>
  <c r="BB339" i="1" s="1"/>
  <c r="BA340" i="1"/>
  <c r="BB340" i="1" s="1"/>
  <c r="BA341" i="1"/>
  <c r="BB341" i="1" s="1"/>
  <c r="BA342" i="1"/>
  <c r="BB342" i="1" s="1"/>
  <c r="BA343" i="1"/>
  <c r="BB343" i="1" s="1"/>
  <c r="BA347" i="1"/>
  <c r="BB347" i="1" s="1"/>
  <c r="BA348" i="1"/>
  <c r="BB348" i="1" s="1"/>
  <c r="BA349" i="1"/>
  <c r="BB349" i="1" s="1"/>
  <c r="BA350" i="1"/>
  <c r="BB350" i="1" s="1"/>
  <c r="BA351" i="1"/>
  <c r="BB351" i="1" s="1"/>
  <c r="BA355" i="1"/>
  <c r="BB355" i="1" s="1"/>
  <c r="BA356" i="1"/>
  <c r="BB356" i="1" s="1"/>
  <c r="BA357" i="1"/>
  <c r="BB357" i="1" s="1"/>
  <c r="BA358" i="1"/>
  <c r="BB358" i="1" s="1"/>
  <c r="BA359" i="1"/>
  <c r="BB359" i="1" s="1"/>
  <c r="BA363" i="1"/>
  <c r="BB363" i="1" s="1"/>
  <c r="BA364" i="1"/>
  <c r="BB364" i="1" s="1"/>
  <c r="BA365" i="1"/>
  <c r="BB365" i="1" s="1"/>
  <c r="BA366" i="1"/>
  <c r="BB366" i="1" s="1"/>
  <c r="BA367" i="1"/>
  <c r="BB367" i="1" s="1"/>
  <c r="BA371" i="1"/>
  <c r="BB371" i="1" s="1"/>
  <c r="BA372" i="1"/>
  <c r="BB372" i="1" s="1"/>
  <c r="BA373" i="1"/>
  <c r="BB373" i="1" s="1"/>
  <c r="BA374" i="1"/>
  <c r="BB374" i="1" s="1"/>
  <c r="BA375" i="1"/>
  <c r="BB375" i="1" s="1"/>
  <c r="BA379" i="1"/>
  <c r="BB379" i="1" s="1"/>
  <c r="BA380" i="1"/>
  <c r="BB380" i="1" s="1"/>
  <c r="BA381" i="1"/>
  <c r="BB381" i="1" s="1"/>
  <c r="BA382" i="1"/>
  <c r="BB382" i="1" s="1"/>
  <c r="BA383" i="1"/>
  <c r="BB383" i="1" s="1"/>
  <c r="BA387" i="1"/>
  <c r="BB387" i="1" s="1"/>
  <c r="BA388" i="1"/>
  <c r="BB388" i="1" s="1"/>
  <c r="BA389" i="1"/>
  <c r="BB389" i="1" s="1"/>
  <c r="BA390" i="1"/>
  <c r="BB390" i="1" s="1"/>
  <c r="BA391" i="1"/>
  <c r="BB391" i="1" s="1"/>
  <c r="BA395" i="1"/>
  <c r="BB395" i="1" s="1"/>
  <c r="BA396" i="1"/>
  <c r="BB396" i="1" s="1"/>
  <c r="BA397" i="1"/>
  <c r="BB397" i="1" s="1"/>
  <c r="BA398" i="1"/>
  <c r="BB398" i="1" s="1"/>
  <c r="BA399" i="1"/>
  <c r="BB399" i="1" s="1"/>
  <c r="BA403" i="1"/>
  <c r="BB403" i="1" s="1"/>
  <c r="BA404" i="1"/>
  <c r="BB404" i="1" s="1"/>
  <c r="BA405" i="1"/>
  <c r="BB405" i="1" s="1"/>
  <c r="BA406" i="1"/>
  <c r="BB406" i="1" s="1"/>
  <c r="BA407" i="1"/>
  <c r="BB407" i="1" s="1"/>
  <c r="BA411" i="1"/>
  <c r="BB411" i="1" s="1"/>
  <c r="BA412" i="1"/>
  <c r="BB412" i="1" s="1"/>
  <c r="BA413" i="1"/>
  <c r="BB413" i="1" s="1"/>
  <c r="BA414" i="1"/>
  <c r="BB414" i="1" s="1"/>
  <c r="BA415" i="1"/>
  <c r="BB415" i="1" s="1"/>
  <c r="BA419" i="1"/>
  <c r="BB419" i="1" s="1"/>
  <c r="BA420" i="1"/>
  <c r="BB420" i="1" s="1"/>
  <c r="BA421" i="1"/>
  <c r="BB421" i="1" s="1"/>
  <c r="BA422" i="1"/>
  <c r="BB422" i="1" s="1"/>
  <c r="BA423" i="1"/>
  <c r="BB423" i="1" s="1"/>
  <c r="BA427" i="1"/>
  <c r="BB427" i="1" s="1"/>
  <c r="BA428" i="1"/>
  <c r="BB428" i="1" s="1"/>
  <c r="BA429" i="1"/>
  <c r="BB429" i="1" s="1"/>
  <c r="BA430" i="1"/>
  <c r="BB430" i="1" s="1"/>
  <c r="BA431" i="1"/>
  <c r="BB431" i="1" s="1"/>
  <c r="BA435" i="1"/>
  <c r="BB435" i="1" s="1"/>
  <c r="BA436" i="1"/>
  <c r="BB436" i="1" s="1"/>
  <c r="BA437" i="1"/>
  <c r="BB437" i="1" s="1"/>
  <c r="BA438" i="1"/>
  <c r="BB438" i="1" s="1"/>
  <c r="BA439" i="1"/>
  <c r="BB439" i="1" s="1"/>
  <c r="BA443" i="1"/>
  <c r="BB443" i="1" s="1"/>
  <c r="BA444" i="1"/>
  <c r="BB444" i="1" s="1"/>
  <c r="BA445" i="1"/>
  <c r="BB445" i="1" s="1"/>
  <c r="BA446" i="1"/>
  <c r="BB446" i="1" s="1"/>
  <c r="BA447" i="1"/>
  <c r="BB447" i="1" s="1"/>
  <c r="BA451" i="1"/>
  <c r="BB451" i="1" s="1"/>
  <c r="BA452" i="1"/>
  <c r="BB452" i="1" s="1"/>
  <c r="BA453" i="1"/>
  <c r="BB453" i="1" s="1"/>
  <c r="BA454" i="1"/>
  <c r="BB454" i="1" s="1"/>
  <c r="BA455" i="1"/>
  <c r="BB455" i="1" s="1"/>
  <c r="BA459" i="1"/>
  <c r="BB459" i="1" s="1"/>
  <c r="BA460" i="1"/>
  <c r="BB460" i="1" s="1"/>
  <c r="BA461" i="1"/>
  <c r="BB461" i="1" s="1"/>
  <c r="BA462" i="1"/>
  <c r="BB462" i="1" s="1"/>
  <c r="BA463" i="1"/>
  <c r="BB463" i="1" s="1"/>
  <c r="BA467" i="1"/>
  <c r="BB467" i="1" s="1"/>
  <c r="BA468" i="1"/>
  <c r="BB468" i="1" s="1"/>
  <c r="BA469" i="1"/>
  <c r="BB469" i="1" s="1"/>
  <c r="BA470" i="1"/>
  <c r="BB470" i="1" s="1"/>
  <c r="BA471" i="1"/>
  <c r="BB471" i="1" s="1"/>
  <c r="BA475" i="1"/>
  <c r="BB475" i="1" s="1"/>
  <c r="BA476" i="1"/>
  <c r="BB476" i="1" s="1"/>
  <c r="BA477" i="1"/>
  <c r="BB477" i="1" s="1"/>
  <c r="BA478" i="1"/>
  <c r="BB478" i="1" s="1"/>
  <c r="BA479" i="1"/>
  <c r="BB479" i="1" s="1"/>
  <c r="BA483" i="1"/>
  <c r="BB483" i="1" s="1"/>
  <c r="BA484" i="1"/>
  <c r="BB484" i="1" s="1"/>
  <c r="BA485" i="1"/>
  <c r="BB485" i="1" s="1"/>
  <c r="BA486" i="1"/>
  <c r="BB486" i="1" s="1"/>
  <c r="BA487" i="1"/>
  <c r="BB487" i="1" s="1"/>
  <c r="BA491" i="1"/>
  <c r="BB491" i="1" s="1"/>
  <c r="BA492" i="1"/>
  <c r="BB492" i="1" s="1"/>
  <c r="BA493" i="1"/>
  <c r="BB493" i="1" s="1"/>
  <c r="BA494" i="1"/>
  <c r="BB494" i="1" s="1"/>
  <c r="BA495" i="1"/>
  <c r="BB495" i="1" s="1"/>
  <c r="BA499" i="1"/>
  <c r="BB499" i="1" s="1"/>
  <c r="BA500" i="1"/>
  <c r="BB500" i="1" s="1"/>
  <c r="BA501" i="1"/>
  <c r="BB501" i="1" s="1"/>
  <c r="BA502" i="1"/>
  <c r="BB502" i="1" s="1"/>
  <c r="BA503" i="1"/>
  <c r="BB503" i="1" s="1"/>
  <c r="BA507" i="1"/>
  <c r="BB507" i="1" s="1"/>
  <c r="BA508" i="1"/>
  <c r="BB508" i="1" s="1"/>
  <c r="BA509" i="1"/>
  <c r="BB509" i="1" s="1"/>
  <c r="BA510" i="1"/>
  <c r="BB510" i="1" s="1"/>
  <c r="BA511" i="1"/>
  <c r="BB511" i="1" s="1"/>
  <c r="BA515" i="1"/>
  <c r="BB515" i="1" s="1"/>
  <c r="BA516" i="1"/>
  <c r="BB516" i="1" s="1"/>
  <c r="BA517" i="1"/>
  <c r="BB517" i="1" s="1"/>
  <c r="BA518" i="1"/>
  <c r="BB518" i="1" s="1"/>
  <c r="BA519" i="1"/>
  <c r="BB519" i="1" s="1"/>
  <c r="BA523" i="1"/>
  <c r="BB523" i="1" s="1"/>
  <c r="BA524" i="1"/>
  <c r="BB524" i="1" s="1"/>
  <c r="BA525" i="1"/>
  <c r="BB525" i="1" s="1"/>
  <c r="BA526" i="1"/>
  <c r="BB526" i="1" s="1"/>
  <c r="BA527" i="1"/>
  <c r="BB527" i="1" s="1"/>
  <c r="BA531" i="1"/>
  <c r="BB531" i="1" s="1"/>
  <c r="BA532" i="1"/>
  <c r="BB532" i="1" s="1"/>
  <c r="BA533" i="1"/>
  <c r="BB533" i="1" s="1"/>
  <c r="BA534" i="1"/>
  <c r="BB534" i="1" s="1"/>
  <c r="BA535" i="1"/>
  <c r="BB535" i="1" s="1"/>
  <c r="BA539" i="1"/>
  <c r="BB539" i="1" s="1"/>
  <c r="BA540" i="1"/>
  <c r="BB540" i="1" s="1"/>
  <c r="BA541" i="1"/>
  <c r="BB541" i="1" s="1"/>
  <c r="BA542" i="1"/>
  <c r="BB542" i="1" s="1"/>
  <c r="BA543" i="1"/>
  <c r="BB543" i="1" s="1"/>
  <c r="BA547" i="1"/>
  <c r="BB547" i="1" s="1"/>
  <c r="BA548" i="1"/>
  <c r="BB548" i="1" s="1"/>
  <c r="BA549" i="1"/>
  <c r="BB549" i="1" s="1"/>
  <c r="BA550" i="1"/>
  <c r="BB550" i="1" s="1"/>
  <c r="BA551" i="1"/>
  <c r="BB551" i="1" s="1"/>
  <c r="BA555" i="1"/>
  <c r="BB555" i="1" s="1"/>
  <c r="BA556" i="1"/>
  <c r="BB556" i="1" s="1"/>
  <c r="BA557" i="1"/>
  <c r="BB557" i="1" s="1"/>
  <c r="BA558" i="1"/>
  <c r="BB558" i="1" s="1"/>
  <c r="BA559" i="1"/>
  <c r="BB559" i="1" s="1"/>
  <c r="BA563" i="1"/>
  <c r="BB563" i="1" s="1"/>
  <c r="BA564" i="1"/>
  <c r="BB564" i="1" s="1"/>
  <c r="BA565" i="1"/>
  <c r="BB565" i="1" s="1"/>
  <c r="BA566" i="1"/>
  <c r="BB566" i="1" s="1"/>
  <c r="BA567" i="1"/>
  <c r="BB567" i="1" s="1"/>
  <c r="BA571" i="1"/>
  <c r="BB571" i="1" s="1"/>
  <c r="BA7" i="1"/>
  <c r="BB7" i="1" s="1"/>
  <c r="BA6" i="1"/>
  <c r="BB6" i="1" s="1"/>
  <c r="BA5" i="1"/>
  <c r="BB5" i="1" s="1"/>
  <c r="BA4" i="1"/>
  <c r="BB4" i="1" s="1"/>
  <c r="BA3" i="1"/>
  <c r="BB3" i="1" s="1"/>
  <c r="A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2" i="1"/>
  <c r="S2" i="7" l="1"/>
  <c r="O2" i="7"/>
  <c r="Q3" i="7"/>
  <c r="Q7" i="7"/>
  <c r="Q19" i="7"/>
  <c r="P2" i="7"/>
  <c r="P3" i="7"/>
  <c r="S4" i="7"/>
  <c r="O4" i="7"/>
  <c r="R5" i="7"/>
  <c r="Q6" i="7"/>
  <c r="P7" i="7"/>
  <c r="S8" i="7"/>
  <c r="O8" i="7"/>
  <c r="R9" i="7"/>
  <c r="Q10" i="7"/>
  <c r="P11" i="7"/>
  <c r="S12" i="7"/>
  <c r="O12" i="7"/>
  <c r="R13" i="7"/>
  <c r="Q14" i="7"/>
  <c r="P15" i="7"/>
  <c r="S16" i="7"/>
  <c r="O16" i="7"/>
  <c r="R17" i="7"/>
  <c r="Q18" i="7"/>
  <c r="P19" i="7"/>
  <c r="S20" i="7"/>
  <c r="O20" i="7"/>
  <c r="Q11" i="7"/>
  <c r="S3" i="7"/>
  <c r="O3" i="7"/>
  <c r="R4" i="7"/>
  <c r="Q5" i="7"/>
  <c r="P6" i="7"/>
  <c r="S7" i="7"/>
  <c r="O7" i="7"/>
  <c r="R8" i="7"/>
  <c r="Q9" i="7"/>
  <c r="P10" i="7"/>
  <c r="S11" i="7"/>
  <c r="O11" i="7"/>
  <c r="R12" i="7"/>
  <c r="Q13" i="7"/>
  <c r="P14" i="7"/>
  <c r="S15" i="7"/>
  <c r="O15" i="7"/>
  <c r="R16" i="7"/>
  <c r="Q17" i="7"/>
  <c r="P18" i="7"/>
  <c r="S19" i="7"/>
  <c r="O19" i="7"/>
  <c r="R20" i="7"/>
  <c r="Q15" i="7"/>
  <c r="R2" i="7"/>
  <c r="R3" i="7"/>
  <c r="Q4" i="7"/>
  <c r="P5" i="7"/>
  <c r="S6" i="7"/>
  <c r="O6" i="7"/>
  <c r="R7" i="7"/>
  <c r="Q8" i="7"/>
  <c r="P9" i="7"/>
  <c r="S10" i="7"/>
  <c r="O10" i="7"/>
  <c r="R11" i="7"/>
  <c r="Q12" i="7"/>
  <c r="P13" i="7"/>
  <c r="S14" i="7"/>
  <c r="O14" i="7"/>
  <c r="R15" i="7"/>
  <c r="Q16" i="7"/>
  <c r="P17" i="7"/>
  <c r="S18" i="7"/>
  <c r="O18" i="7"/>
  <c r="R19" i="7"/>
  <c r="Q20" i="7"/>
  <c r="J21" i="7"/>
  <c r="F21" i="7"/>
  <c r="E19" i="7"/>
  <c r="N19" i="7" s="1"/>
  <c r="E17" i="7"/>
  <c r="N17" i="7" s="1"/>
  <c r="E15" i="7"/>
  <c r="N15" i="7" s="1"/>
  <c r="E13" i="7"/>
  <c r="N13" i="7" s="1"/>
  <c r="E11" i="7"/>
  <c r="N11" i="7" s="1"/>
  <c r="E9" i="7"/>
  <c r="N9" i="7" s="1"/>
  <c r="E7" i="7"/>
  <c r="N7" i="7" s="1"/>
  <c r="E5" i="7"/>
  <c r="N5" i="7" s="1"/>
  <c r="E3" i="7"/>
  <c r="N3" i="7" s="1"/>
  <c r="I21" i="7"/>
  <c r="C21" i="7"/>
  <c r="E20" i="7"/>
  <c r="N20" i="7" s="1"/>
  <c r="E18" i="7"/>
  <c r="N18" i="7" s="1"/>
  <c r="E16" i="7"/>
  <c r="N16" i="7" s="1"/>
  <c r="E14" i="7"/>
  <c r="N14" i="7" s="1"/>
  <c r="E12" i="7"/>
  <c r="N12" i="7" s="1"/>
  <c r="E10" i="7"/>
  <c r="N10" i="7" s="1"/>
  <c r="E8" i="7"/>
  <c r="N8" i="7" s="1"/>
  <c r="E6" i="7"/>
  <c r="N6" i="7" s="1"/>
  <c r="E4" i="7"/>
  <c r="N4" i="7" s="1"/>
  <c r="G21" i="7"/>
  <c r="K13" i="7"/>
  <c r="T13" i="7" s="1"/>
  <c r="K9" i="7"/>
  <c r="T9" i="7" s="1"/>
  <c r="K5" i="7"/>
  <c r="T5" i="7" s="1"/>
  <c r="K20" i="7"/>
  <c r="T20" i="7" s="1"/>
  <c r="K18" i="7"/>
  <c r="T18" i="7" s="1"/>
  <c r="K16" i="7"/>
  <c r="T16" i="7" s="1"/>
  <c r="K14" i="7"/>
  <c r="T14" i="7" s="1"/>
  <c r="K12" i="7"/>
  <c r="T12" i="7" s="1"/>
  <c r="K10" i="7"/>
  <c r="T10" i="7" s="1"/>
  <c r="K8" i="7"/>
  <c r="T8" i="7" s="1"/>
  <c r="K6" i="7"/>
  <c r="T6" i="7" s="1"/>
  <c r="K4" i="7"/>
  <c r="T4" i="7" s="1"/>
  <c r="K2" i="7"/>
  <c r="T2" i="7" s="1"/>
  <c r="E2" i="7"/>
  <c r="N2" i="7" s="1"/>
  <c r="K17" i="7"/>
  <c r="T17" i="7" s="1"/>
  <c r="K19" i="7"/>
  <c r="T19" i="7" s="1"/>
  <c r="K15" i="7"/>
  <c r="T15" i="7" s="1"/>
  <c r="K11" i="7"/>
  <c r="T11" i="7" s="1"/>
  <c r="K7" i="7"/>
  <c r="T7" i="7" s="1"/>
  <c r="K3" i="7"/>
  <c r="T3" i="7" s="1"/>
  <c r="H21" i="7"/>
  <c r="D21" i="7"/>
  <c r="B21" i="7"/>
  <c r="AY3" i="1"/>
  <c r="BA554" i="1"/>
  <c r="BB554" i="1" s="1"/>
  <c r="BA546" i="1"/>
  <c r="BB546" i="1" s="1"/>
  <c r="BA562" i="1"/>
  <c r="BB562" i="1" s="1"/>
  <c r="BA570" i="1"/>
  <c r="BB570" i="1" s="1"/>
  <c r="BA322" i="1"/>
  <c r="BB322" i="1" s="1"/>
  <c r="BA314" i="1"/>
  <c r="BB314" i="1" s="1"/>
  <c r="BA306" i="1"/>
  <c r="BB306" i="1" s="1"/>
  <c r="BA330" i="1"/>
  <c r="BB330" i="1" s="1"/>
  <c r="BA130" i="1"/>
  <c r="BB130" i="1" s="1"/>
  <c r="BA122" i="1"/>
  <c r="BB122" i="1" s="1"/>
  <c r="BA146" i="1"/>
  <c r="BB146" i="1" s="1"/>
  <c r="BA138" i="1"/>
  <c r="BB138" i="1" s="1"/>
  <c r="AY570" i="1"/>
  <c r="AY566" i="1"/>
  <c r="AY562" i="1"/>
  <c r="AY558" i="1"/>
  <c r="AY554" i="1"/>
  <c r="AY550" i="1"/>
  <c r="AY546" i="1"/>
  <c r="AY542" i="1"/>
  <c r="AY538" i="1"/>
  <c r="AY534" i="1"/>
  <c r="AY530" i="1"/>
  <c r="AY526" i="1"/>
  <c r="AY522" i="1"/>
  <c r="AY518" i="1"/>
  <c r="AY514" i="1"/>
  <c r="AY510" i="1"/>
  <c r="AY506" i="1"/>
  <c r="AY502" i="1"/>
  <c r="AY498" i="1"/>
  <c r="AY494" i="1"/>
  <c r="AY490" i="1"/>
  <c r="AY486" i="1"/>
  <c r="AY482" i="1"/>
  <c r="AY478" i="1"/>
  <c r="AY474" i="1"/>
  <c r="AY470" i="1"/>
  <c r="AY465" i="1"/>
  <c r="AY460" i="1"/>
  <c r="AY454" i="1"/>
  <c r="AY449" i="1"/>
  <c r="AY444" i="1"/>
  <c r="AY438" i="1"/>
  <c r="AY433" i="1"/>
  <c r="AY428" i="1"/>
  <c r="AY422" i="1"/>
  <c r="AY417" i="1"/>
  <c r="AY412" i="1"/>
  <c r="AY406" i="1"/>
  <c r="AY401" i="1"/>
  <c r="AY396" i="1"/>
  <c r="AY390" i="1"/>
  <c r="AY385" i="1"/>
  <c r="AY380" i="1"/>
  <c r="AY373" i="1"/>
  <c r="AY367" i="1"/>
  <c r="AY360" i="1"/>
  <c r="AY352" i="1"/>
  <c r="AY345" i="1"/>
  <c r="AY339" i="1"/>
  <c r="AY331" i="1"/>
  <c r="AY324" i="1"/>
  <c r="AY317" i="1"/>
  <c r="AY309" i="1"/>
  <c r="AY303" i="1"/>
  <c r="AY296" i="1"/>
  <c r="AY288" i="1"/>
  <c r="AY277" i="1"/>
  <c r="AY267" i="1"/>
  <c r="AY256" i="1"/>
  <c r="AY245" i="1"/>
  <c r="AY235" i="1"/>
  <c r="AY224" i="1"/>
  <c r="AY213" i="1"/>
  <c r="AY203" i="1"/>
  <c r="AY190" i="1"/>
  <c r="AY175" i="1"/>
  <c r="AY162" i="1"/>
  <c r="AY147" i="1"/>
  <c r="AY132" i="1"/>
  <c r="AY119" i="1"/>
  <c r="AY104" i="1"/>
  <c r="AY90" i="1"/>
  <c r="AY76" i="1"/>
  <c r="AY62" i="1"/>
  <c r="AY47" i="1"/>
  <c r="AY34" i="1"/>
  <c r="AY19" i="1"/>
  <c r="AY4" i="1"/>
  <c r="BA482" i="1"/>
  <c r="BB482" i="1" s="1"/>
  <c r="BA490" i="1"/>
  <c r="BB490" i="1" s="1"/>
  <c r="BA498" i="1"/>
  <c r="BB498" i="1" s="1"/>
  <c r="BA506" i="1"/>
  <c r="BB506" i="1" s="1"/>
  <c r="BA450" i="1"/>
  <c r="BB450" i="1" s="1"/>
  <c r="BA434" i="1"/>
  <c r="BB434" i="1" s="1"/>
  <c r="BA426" i="1"/>
  <c r="BB426" i="1" s="1"/>
  <c r="BA442" i="1"/>
  <c r="BB442" i="1" s="1"/>
  <c r="BA258" i="1"/>
  <c r="BB258" i="1" s="1"/>
  <c r="BA250" i="1"/>
  <c r="BB250" i="1" s="1"/>
  <c r="BA242" i="1"/>
  <c r="BB242" i="1" s="1"/>
  <c r="BA266" i="1"/>
  <c r="BB266" i="1" s="1"/>
  <c r="BA544" i="1"/>
  <c r="BB544" i="1" s="1"/>
  <c r="BA560" i="1"/>
  <c r="BB560" i="1" s="1"/>
  <c r="BA552" i="1"/>
  <c r="BB552" i="1" s="1"/>
  <c r="BA568" i="1"/>
  <c r="BB568" i="1" s="1"/>
  <c r="BA504" i="1"/>
  <c r="BB504" i="1" s="1"/>
  <c r="BA488" i="1"/>
  <c r="BB488" i="1" s="1"/>
  <c r="BA496" i="1"/>
  <c r="BB496" i="1" s="1"/>
  <c r="BA440" i="1"/>
  <c r="BB440" i="1" s="1"/>
  <c r="BA424" i="1"/>
  <c r="BB424" i="1" s="1"/>
  <c r="BA448" i="1"/>
  <c r="BB448" i="1" s="1"/>
  <c r="BA432" i="1"/>
  <c r="BB432" i="1" s="1"/>
  <c r="BA376" i="1"/>
  <c r="BB376" i="1" s="1"/>
  <c r="BA368" i="1"/>
  <c r="BB368" i="1" s="1"/>
  <c r="BA384" i="1"/>
  <c r="BB384" i="1" s="1"/>
  <c r="BA312" i="1"/>
  <c r="BB312" i="1" s="1"/>
  <c r="BA304" i="1"/>
  <c r="BB304" i="1" s="1"/>
  <c r="BA328" i="1"/>
  <c r="BB328" i="1" s="1"/>
  <c r="BA320" i="1"/>
  <c r="BB320" i="1" s="1"/>
  <c r="BA248" i="1"/>
  <c r="BB248" i="1" s="1"/>
  <c r="BA264" i="1"/>
  <c r="BB264" i="1" s="1"/>
  <c r="BA256" i="1"/>
  <c r="BB256" i="1" s="1"/>
  <c r="BA184" i="1"/>
  <c r="BB184" i="1" s="1"/>
  <c r="BA208" i="1"/>
  <c r="BB208" i="1" s="1"/>
  <c r="BA200" i="1"/>
  <c r="BB200" i="1" s="1"/>
  <c r="BA192" i="1"/>
  <c r="BB192" i="1" s="1"/>
  <c r="BA144" i="1"/>
  <c r="BB144" i="1" s="1"/>
  <c r="BA136" i="1"/>
  <c r="BB136" i="1" s="1"/>
  <c r="BA128" i="1"/>
  <c r="BB128" i="1" s="1"/>
  <c r="BA88" i="1"/>
  <c r="BB88" i="1" s="1"/>
  <c r="BA80" i="1"/>
  <c r="BB80" i="1" s="1"/>
  <c r="BA72" i="1"/>
  <c r="BB72" i="1" s="1"/>
  <c r="BA64" i="1"/>
  <c r="BB64" i="1" s="1"/>
  <c r="AY569" i="1"/>
  <c r="AY565" i="1"/>
  <c r="AY561" i="1"/>
  <c r="AY557" i="1"/>
  <c r="AY553" i="1"/>
  <c r="AY549" i="1"/>
  <c r="AY545" i="1"/>
  <c r="AY541" i="1"/>
  <c r="AY537" i="1"/>
  <c r="AY533" i="1"/>
  <c r="AY529" i="1"/>
  <c r="AY525" i="1"/>
  <c r="AY521" i="1"/>
  <c r="AY517" i="1"/>
  <c r="AY513" i="1"/>
  <c r="AY509" i="1"/>
  <c r="AY505" i="1"/>
  <c r="AY501" i="1"/>
  <c r="AY497" i="1"/>
  <c r="AY493" i="1"/>
  <c r="AY489" i="1"/>
  <c r="AY485" i="1"/>
  <c r="AY481" i="1"/>
  <c r="AY477" i="1"/>
  <c r="AY473" i="1"/>
  <c r="AY469" i="1"/>
  <c r="AY464" i="1"/>
  <c r="AY458" i="1"/>
  <c r="AY453" i="1"/>
  <c r="AY448" i="1"/>
  <c r="AY442" i="1"/>
  <c r="AY437" i="1"/>
  <c r="AY432" i="1"/>
  <c r="AY426" i="1"/>
  <c r="AY421" i="1"/>
  <c r="AY416" i="1"/>
  <c r="AY410" i="1"/>
  <c r="AY405" i="1"/>
  <c r="AY400" i="1"/>
  <c r="AY394" i="1"/>
  <c r="AY389" i="1"/>
  <c r="AY384" i="1"/>
  <c r="AY378" i="1"/>
  <c r="AY372" i="1"/>
  <c r="AY365" i="1"/>
  <c r="AY357" i="1"/>
  <c r="AY351" i="1"/>
  <c r="AY344" i="1"/>
  <c r="AY336" i="1"/>
  <c r="AY329" i="1"/>
  <c r="AY323" i="1"/>
  <c r="AY315" i="1"/>
  <c r="AY308" i="1"/>
  <c r="AY301" i="1"/>
  <c r="AY293" i="1"/>
  <c r="AY287" i="1"/>
  <c r="AY276" i="1"/>
  <c r="AY265" i="1"/>
  <c r="AY255" i="1"/>
  <c r="AY244" i="1"/>
  <c r="AY233" i="1"/>
  <c r="AY223" i="1"/>
  <c r="AY212" i="1"/>
  <c r="AY201" i="1"/>
  <c r="AY188" i="1"/>
  <c r="AY174" i="1"/>
  <c r="AY159" i="1"/>
  <c r="AY146" i="1"/>
  <c r="AY131" i="1"/>
  <c r="AY116" i="1"/>
  <c r="AY103" i="1"/>
  <c r="AY88" i="1"/>
  <c r="AY74" i="1"/>
  <c r="AY60" i="1"/>
  <c r="AY46" i="1"/>
  <c r="AY31" i="1"/>
  <c r="AY18" i="1"/>
  <c r="BA386" i="1"/>
  <c r="BB386" i="1" s="1"/>
  <c r="BA378" i="1"/>
  <c r="BB378" i="1" s="1"/>
  <c r="BA370" i="1"/>
  <c r="BB370" i="1" s="1"/>
  <c r="BA362" i="1"/>
  <c r="BB362" i="1" s="1"/>
  <c r="BA194" i="1"/>
  <c r="BB194" i="1" s="1"/>
  <c r="BA186" i="1"/>
  <c r="BB186" i="1" s="1"/>
  <c r="BA210" i="1"/>
  <c r="BB210" i="1" s="1"/>
  <c r="BA202" i="1"/>
  <c r="BB202" i="1" s="1"/>
  <c r="BA66" i="1"/>
  <c r="BB66" i="1" s="1"/>
  <c r="BA90" i="1"/>
  <c r="BB90" i="1" s="1"/>
  <c r="BA82" i="1"/>
  <c r="BB82" i="1" s="1"/>
  <c r="BA74" i="1"/>
  <c r="BB74" i="1" s="1"/>
  <c r="BA26" i="1"/>
  <c r="BB26" i="1" s="1"/>
  <c r="BA2" i="1"/>
  <c r="BB2" i="1" s="1"/>
  <c r="BA18" i="1"/>
  <c r="BB18" i="1" s="1"/>
  <c r="BA10" i="1"/>
  <c r="BB10" i="1" s="1"/>
  <c r="AY5" i="1"/>
  <c r="AY13" i="1"/>
  <c r="AY21" i="1"/>
  <c r="AY29" i="1"/>
  <c r="AY37" i="1"/>
  <c r="AY45" i="1"/>
  <c r="AY53" i="1"/>
  <c r="AY61" i="1"/>
  <c r="AY65" i="1"/>
  <c r="AY69" i="1"/>
  <c r="AY77" i="1"/>
  <c r="AY81" i="1"/>
  <c r="AY85" i="1"/>
  <c r="AY93" i="1"/>
  <c r="AY97" i="1"/>
  <c r="AY101" i="1"/>
  <c r="AY109" i="1"/>
  <c r="AY117" i="1"/>
  <c r="AY125" i="1"/>
  <c r="AY133" i="1"/>
  <c r="AY137" i="1"/>
  <c r="AY141" i="1"/>
  <c r="AY149" i="1"/>
  <c r="AY157" i="1"/>
  <c r="AY161" i="1"/>
  <c r="AY165" i="1"/>
  <c r="AY169" i="1"/>
  <c r="AY173" i="1"/>
  <c r="AY177" i="1"/>
  <c r="AY181" i="1"/>
  <c r="AY185" i="1"/>
  <c r="AY189" i="1"/>
  <c r="AY193" i="1"/>
  <c r="AY197" i="1"/>
  <c r="AY6" i="1"/>
  <c r="AY11" i="1"/>
  <c r="AY16" i="1"/>
  <c r="AY22" i="1"/>
  <c r="AY27" i="1"/>
  <c r="AY32" i="1"/>
  <c r="AY38" i="1"/>
  <c r="AY43" i="1"/>
  <c r="AY48" i="1"/>
  <c r="AY54" i="1"/>
  <c r="AY59" i="1"/>
  <c r="AY64" i="1"/>
  <c r="AY70" i="1"/>
  <c r="AY75" i="1"/>
  <c r="AY80" i="1"/>
  <c r="AY86" i="1"/>
  <c r="AY91" i="1"/>
  <c r="AY96" i="1"/>
  <c r="AY102" i="1"/>
  <c r="AY107" i="1"/>
  <c r="AY112" i="1"/>
  <c r="AY118" i="1"/>
  <c r="AY123" i="1"/>
  <c r="AY128" i="1"/>
  <c r="AY134" i="1"/>
  <c r="AY139" i="1"/>
  <c r="AY144" i="1"/>
  <c r="AY150" i="1"/>
  <c r="AY155" i="1"/>
  <c r="AY160" i="1"/>
  <c r="AY166" i="1"/>
  <c r="AY171" i="1"/>
  <c r="AY176" i="1"/>
  <c r="AY182" i="1"/>
  <c r="AY187" i="1"/>
  <c r="AY192" i="1"/>
  <c r="AY198" i="1"/>
  <c r="AY202" i="1"/>
  <c r="AY206" i="1"/>
  <c r="AY210" i="1"/>
  <c r="AY214" i="1"/>
  <c r="AY218" i="1"/>
  <c r="AY222" i="1"/>
  <c r="AY226" i="1"/>
  <c r="AY230" i="1"/>
  <c r="AY234" i="1"/>
  <c r="AY238" i="1"/>
  <c r="AY242" i="1"/>
  <c r="AY246" i="1"/>
  <c r="AY250" i="1"/>
  <c r="AY254" i="1"/>
  <c r="AY258" i="1"/>
  <c r="AY262" i="1"/>
  <c r="AY266" i="1"/>
  <c r="AY270" i="1"/>
  <c r="AY274" i="1"/>
  <c r="AY278" i="1"/>
  <c r="AY282" i="1"/>
  <c r="AY286" i="1"/>
  <c r="AY290" i="1"/>
  <c r="AY294" i="1"/>
  <c r="AY298" i="1"/>
  <c r="AY302" i="1"/>
  <c r="AY306" i="1"/>
  <c r="AY310" i="1"/>
  <c r="AY314" i="1"/>
  <c r="AY318" i="1"/>
  <c r="AY322" i="1"/>
  <c r="AY326" i="1"/>
  <c r="AY330" i="1"/>
  <c r="AY334" i="1"/>
  <c r="AY338" i="1"/>
  <c r="AY342" i="1"/>
  <c r="AY346" i="1"/>
  <c r="AY350" i="1"/>
  <c r="AY354" i="1"/>
  <c r="AY358" i="1"/>
  <c r="AY362" i="1"/>
  <c r="AY366" i="1"/>
  <c r="AY370" i="1"/>
  <c r="AY374" i="1"/>
  <c r="AY7" i="1"/>
  <c r="AY14" i="1"/>
  <c r="AY20" i="1"/>
  <c r="AY28" i="1"/>
  <c r="AY35" i="1"/>
  <c r="AY42" i="1"/>
  <c r="AY50" i="1"/>
  <c r="AY56" i="1"/>
  <c r="AY63" i="1"/>
  <c r="AY71" i="1"/>
  <c r="AY78" i="1"/>
  <c r="AY84" i="1"/>
  <c r="AY92" i="1"/>
  <c r="AY99" i="1"/>
  <c r="AY106" i="1"/>
  <c r="AY114" i="1"/>
  <c r="AY120" i="1"/>
  <c r="AY127" i="1"/>
  <c r="AY135" i="1"/>
  <c r="AY142" i="1"/>
  <c r="AY148" i="1"/>
  <c r="AY156" i="1"/>
  <c r="AY163" i="1"/>
  <c r="AY170" i="1"/>
  <c r="AY178" i="1"/>
  <c r="AY184" i="1"/>
  <c r="AY191" i="1"/>
  <c r="AY199" i="1"/>
  <c r="AY204" i="1"/>
  <c r="AY209" i="1"/>
  <c r="AY215" i="1"/>
  <c r="AY220" i="1"/>
  <c r="AY225" i="1"/>
  <c r="AY231" i="1"/>
  <c r="AY236" i="1"/>
  <c r="AY241" i="1"/>
  <c r="AY247" i="1"/>
  <c r="AY252" i="1"/>
  <c r="AY257" i="1"/>
  <c r="AY263" i="1"/>
  <c r="AY268" i="1"/>
  <c r="AY273" i="1"/>
  <c r="AY279" i="1"/>
  <c r="AY284" i="1"/>
  <c r="AY289" i="1"/>
  <c r="AY295" i="1"/>
  <c r="AY300" i="1"/>
  <c r="AY305" i="1"/>
  <c r="AY311" i="1"/>
  <c r="AY316" i="1"/>
  <c r="AY321" i="1"/>
  <c r="AY327" i="1"/>
  <c r="AY332" i="1"/>
  <c r="AY337" i="1"/>
  <c r="AY343" i="1"/>
  <c r="AY348" i="1"/>
  <c r="AY353" i="1"/>
  <c r="AY359" i="1"/>
  <c r="AY364" i="1"/>
  <c r="AY369" i="1"/>
  <c r="AY375" i="1"/>
  <c r="AY379" i="1"/>
  <c r="AY383" i="1"/>
  <c r="AY387" i="1"/>
  <c r="AY391" i="1"/>
  <c r="AY395" i="1"/>
  <c r="AY399" i="1"/>
  <c r="AY403" i="1"/>
  <c r="AY407" i="1"/>
  <c r="AY411" i="1"/>
  <c r="AY415" i="1"/>
  <c r="AY419" i="1"/>
  <c r="AY423" i="1"/>
  <c r="AY427" i="1"/>
  <c r="AY431" i="1"/>
  <c r="AY435" i="1"/>
  <c r="AY439" i="1"/>
  <c r="AY443" i="1"/>
  <c r="AY447" i="1"/>
  <c r="AY451" i="1"/>
  <c r="AY455" i="1"/>
  <c r="AY459" i="1"/>
  <c r="AY463" i="1"/>
  <c r="AY467" i="1"/>
  <c r="AY8" i="1"/>
  <c r="AY15" i="1"/>
  <c r="AY23" i="1"/>
  <c r="AY30" i="1"/>
  <c r="AY36" i="1"/>
  <c r="AY44" i="1"/>
  <c r="AY51" i="1"/>
  <c r="AY58" i="1"/>
  <c r="AY66" i="1"/>
  <c r="AY72" i="1"/>
  <c r="AY79" i="1"/>
  <c r="AY87" i="1"/>
  <c r="AY94" i="1"/>
  <c r="AY100" i="1"/>
  <c r="AY108" i="1"/>
  <c r="AY115" i="1"/>
  <c r="AY122" i="1"/>
  <c r="AY130" i="1"/>
  <c r="AY136" i="1"/>
  <c r="AY143" i="1"/>
  <c r="AY151" i="1"/>
  <c r="AY158" i="1"/>
  <c r="AY164" i="1"/>
  <c r="AY172" i="1"/>
  <c r="AY179" i="1"/>
  <c r="AY186" i="1"/>
  <c r="AY194" i="1"/>
  <c r="AY200" i="1"/>
  <c r="AY205" i="1"/>
  <c r="AY211" i="1"/>
  <c r="AY216" i="1"/>
  <c r="AY221" i="1"/>
  <c r="AY227" i="1"/>
  <c r="AY232" i="1"/>
  <c r="AY237" i="1"/>
  <c r="AY243" i="1"/>
  <c r="AY248" i="1"/>
  <c r="AY253" i="1"/>
  <c r="AY259" i="1"/>
  <c r="AY264" i="1"/>
  <c r="AY269" i="1"/>
  <c r="AY275" i="1"/>
  <c r="AY280" i="1"/>
  <c r="AY285" i="1"/>
  <c r="BA514" i="1"/>
  <c r="BB514" i="1" s="1"/>
  <c r="BA522" i="1"/>
  <c r="BB522" i="1" s="1"/>
  <c r="BA530" i="1"/>
  <c r="BB530" i="1" s="1"/>
  <c r="BA538" i="1"/>
  <c r="BB538" i="1" s="1"/>
  <c r="BA458" i="1"/>
  <c r="BB458" i="1" s="1"/>
  <c r="BA466" i="1"/>
  <c r="BB466" i="1" s="1"/>
  <c r="BA474" i="1"/>
  <c r="BB474" i="1" s="1"/>
  <c r="BA418" i="1"/>
  <c r="BB418" i="1" s="1"/>
  <c r="BA402" i="1"/>
  <c r="BB402" i="1" s="1"/>
  <c r="BA394" i="1"/>
  <c r="BB394" i="1" s="1"/>
  <c r="BA410" i="1"/>
  <c r="BB410" i="1" s="1"/>
  <c r="BA354" i="1"/>
  <c r="BB354" i="1" s="1"/>
  <c r="BA346" i="1"/>
  <c r="BB346" i="1" s="1"/>
  <c r="BA338" i="1"/>
  <c r="BB338" i="1" s="1"/>
  <c r="BA290" i="1"/>
  <c r="BB290" i="1" s="1"/>
  <c r="BA282" i="1"/>
  <c r="BB282" i="1" s="1"/>
  <c r="BA274" i="1"/>
  <c r="BB274" i="1" s="1"/>
  <c r="BA298" i="1"/>
  <c r="BB298" i="1" s="1"/>
  <c r="BA226" i="1"/>
  <c r="BB226" i="1" s="1"/>
  <c r="BA218" i="1"/>
  <c r="BB218" i="1" s="1"/>
  <c r="BA234" i="1"/>
  <c r="BB234" i="1" s="1"/>
  <c r="BA162" i="1"/>
  <c r="BB162" i="1" s="1"/>
  <c r="BA154" i="1"/>
  <c r="BB154" i="1" s="1"/>
  <c r="BA178" i="1"/>
  <c r="BB178" i="1" s="1"/>
  <c r="BA170" i="1"/>
  <c r="BB170" i="1" s="1"/>
  <c r="BA98" i="1"/>
  <c r="BB98" i="1" s="1"/>
  <c r="BA114" i="1"/>
  <c r="BB114" i="1" s="1"/>
  <c r="BA106" i="1"/>
  <c r="BB106" i="1" s="1"/>
  <c r="BA34" i="1"/>
  <c r="BB34" i="1" s="1"/>
  <c r="BA58" i="1"/>
  <c r="BB58" i="1" s="1"/>
  <c r="BA50" i="1"/>
  <c r="BB50" i="1" s="1"/>
  <c r="BA42" i="1"/>
  <c r="BB42" i="1" s="1"/>
  <c r="AY2" i="1"/>
  <c r="AY568" i="1"/>
  <c r="AY564" i="1"/>
  <c r="AY560" i="1"/>
  <c r="AY556" i="1"/>
  <c r="AY552" i="1"/>
  <c r="AY548" i="1"/>
  <c r="AY544" i="1"/>
  <c r="AY540" i="1"/>
  <c r="AY536" i="1"/>
  <c r="AY532" i="1"/>
  <c r="AY528" i="1"/>
  <c r="AY524" i="1"/>
  <c r="AY520" i="1"/>
  <c r="AY516" i="1"/>
  <c r="AY512" i="1"/>
  <c r="AY508" i="1"/>
  <c r="AY504" i="1"/>
  <c r="AY500" i="1"/>
  <c r="AY496" i="1"/>
  <c r="AY492" i="1"/>
  <c r="AY488" i="1"/>
  <c r="AY484" i="1"/>
  <c r="AY480" i="1"/>
  <c r="AY476" i="1"/>
  <c r="AY472" i="1"/>
  <c r="AY468" i="1"/>
  <c r="AY462" i="1"/>
  <c r="AY457" i="1"/>
  <c r="AY452" i="1"/>
  <c r="AY446" i="1"/>
  <c r="AY441" i="1"/>
  <c r="AY436" i="1"/>
  <c r="AY430" i="1"/>
  <c r="AY425" i="1"/>
  <c r="AY420" i="1"/>
  <c r="AY414" i="1"/>
  <c r="AY409" i="1"/>
  <c r="AY404" i="1"/>
  <c r="AY398" i="1"/>
  <c r="AY393" i="1"/>
  <c r="AY388" i="1"/>
  <c r="AY382" i="1"/>
  <c r="AY377" i="1"/>
  <c r="AY371" i="1"/>
  <c r="AY363" i="1"/>
  <c r="AY356" i="1"/>
  <c r="AY349" i="1"/>
  <c r="AY341" i="1"/>
  <c r="AY335" i="1"/>
  <c r="AY328" i="1"/>
  <c r="AY320" i="1"/>
  <c r="AY313" i="1"/>
  <c r="AY307" i="1"/>
  <c r="AY299" i="1"/>
  <c r="AY292" i="1"/>
  <c r="AY283" i="1"/>
  <c r="AY272" i="1"/>
  <c r="AY261" i="1"/>
  <c r="AY251" i="1"/>
  <c r="AY240" i="1"/>
  <c r="AY229" i="1"/>
  <c r="AY219" i="1"/>
  <c r="AY208" i="1"/>
  <c r="AY196" i="1"/>
  <c r="AY183" i="1"/>
  <c r="AY168" i="1"/>
  <c r="AY154" i="1"/>
  <c r="AY140" i="1"/>
  <c r="AY126" i="1"/>
  <c r="AY111" i="1"/>
  <c r="AY98" i="1"/>
  <c r="AY83" i="1"/>
  <c r="AY68" i="1"/>
  <c r="AY55" i="1"/>
  <c r="AY40" i="1"/>
  <c r="AY26" i="1"/>
  <c r="AY12" i="1"/>
  <c r="BA24" i="1"/>
  <c r="BB24" i="1" s="1"/>
  <c r="BA16" i="1"/>
  <c r="BB16" i="1" s="1"/>
  <c r="BA8" i="1"/>
  <c r="BB8" i="1" s="1"/>
  <c r="BA512" i="1"/>
  <c r="BB512" i="1" s="1"/>
  <c r="BA520" i="1"/>
  <c r="BB520" i="1" s="1"/>
  <c r="BA536" i="1"/>
  <c r="BB536" i="1" s="1"/>
  <c r="BA528" i="1"/>
  <c r="BB528" i="1" s="1"/>
  <c r="BA472" i="1"/>
  <c r="BB472" i="1" s="1"/>
  <c r="BA456" i="1"/>
  <c r="BB456" i="1" s="1"/>
  <c r="BA480" i="1"/>
  <c r="BB480" i="1" s="1"/>
  <c r="BA464" i="1"/>
  <c r="BB464" i="1" s="1"/>
  <c r="BA408" i="1"/>
  <c r="BB408" i="1" s="1"/>
  <c r="BA392" i="1"/>
  <c r="BB392" i="1" s="1"/>
  <c r="BA416" i="1"/>
  <c r="BB416" i="1" s="1"/>
  <c r="BA400" i="1"/>
  <c r="BB400" i="1" s="1"/>
  <c r="BA344" i="1"/>
  <c r="BB344" i="1" s="1"/>
  <c r="BA336" i="1"/>
  <c r="BB336" i="1" s="1"/>
  <c r="BA360" i="1"/>
  <c r="BB360" i="1" s="1"/>
  <c r="BA352" i="1"/>
  <c r="BB352" i="1" s="1"/>
  <c r="BA280" i="1"/>
  <c r="BB280" i="1" s="1"/>
  <c r="BA272" i="1"/>
  <c r="BB272" i="1" s="1"/>
  <c r="BA296" i="1"/>
  <c r="BB296" i="1" s="1"/>
  <c r="BA288" i="1"/>
  <c r="BB288" i="1" s="1"/>
  <c r="BA216" i="1"/>
  <c r="BB216" i="1" s="1"/>
  <c r="BA240" i="1"/>
  <c r="BB240" i="1" s="1"/>
  <c r="BA232" i="1"/>
  <c r="BB232" i="1" s="1"/>
  <c r="BA224" i="1"/>
  <c r="BB224" i="1" s="1"/>
  <c r="BA152" i="1"/>
  <c r="BB152" i="1" s="1"/>
  <c r="BA176" i="1"/>
  <c r="BB176" i="1" s="1"/>
  <c r="BA168" i="1"/>
  <c r="BB168" i="1" s="1"/>
  <c r="BA160" i="1"/>
  <c r="BB160" i="1" s="1"/>
  <c r="BA120" i="1"/>
  <c r="BB120" i="1" s="1"/>
  <c r="BA112" i="1"/>
  <c r="BB112" i="1" s="1"/>
  <c r="BA104" i="1"/>
  <c r="BB104" i="1" s="1"/>
  <c r="BA96" i="1"/>
  <c r="BB96" i="1" s="1"/>
  <c r="BA56" i="1"/>
  <c r="BB56" i="1" s="1"/>
  <c r="BA48" i="1"/>
  <c r="BB48" i="1" s="1"/>
  <c r="BA40" i="1"/>
  <c r="BB40" i="1" s="1"/>
  <c r="BA32" i="1"/>
  <c r="BB32" i="1" s="1"/>
  <c r="AY571" i="1"/>
  <c r="AY567" i="1"/>
  <c r="AY563" i="1"/>
  <c r="AY559" i="1"/>
  <c r="AY555" i="1"/>
  <c r="AY551" i="1"/>
  <c r="AY547" i="1"/>
  <c r="AY543" i="1"/>
  <c r="AY539" i="1"/>
  <c r="AY535" i="1"/>
  <c r="AY531" i="1"/>
  <c r="AY527" i="1"/>
  <c r="AY523" i="1"/>
  <c r="AY519" i="1"/>
  <c r="AY515" i="1"/>
  <c r="AY511" i="1"/>
  <c r="AY507" i="1"/>
  <c r="AY503" i="1"/>
  <c r="AY499" i="1"/>
  <c r="AY495" i="1"/>
  <c r="AY491" i="1"/>
  <c r="AY487" i="1"/>
  <c r="AY483" i="1"/>
  <c r="AY479" i="1"/>
  <c r="AY475" i="1"/>
  <c r="AY471" i="1"/>
  <c r="AY466" i="1"/>
  <c r="AY461" i="1"/>
  <c r="AY456" i="1"/>
  <c r="AY450" i="1"/>
  <c r="AY445" i="1"/>
  <c r="AY440" i="1"/>
  <c r="AY434" i="1"/>
  <c r="AY429" i="1"/>
  <c r="AY424" i="1"/>
  <c r="AY418" i="1"/>
  <c r="AY413" i="1"/>
  <c r="AY408" i="1"/>
  <c r="AY402" i="1"/>
  <c r="AY397" i="1"/>
  <c r="AY392" i="1"/>
  <c r="AY386" i="1"/>
  <c r="AY381" i="1"/>
  <c r="AY376" i="1"/>
  <c r="AY368" i="1"/>
  <c r="AY361" i="1"/>
  <c r="AY355" i="1"/>
  <c r="AY347" i="1"/>
  <c r="AY340" i="1"/>
  <c r="AY333" i="1"/>
  <c r="AY325" i="1"/>
  <c r="AY319" i="1"/>
  <c r="AY312" i="1"/>
  <c r="AY304" i="1"/>
  <c r="AY297" i="1"/>
  <c r="AY291" i="1"/>
  <c r="AY281" i="1"/>
  <c r="AY271" i="1"/>
  <c r="AY260" i="1"/>
  <c r="AY249" i="1"/>
  <c r="AY239" i="1"/>
  <c r="AY228" i="1"/>
  <c r="AY217" i="1"/>
  <c r="AY207" i="1"/>
  <c r="AY195" i="1"/>
  <c r="AY180" i="1"/>
  <c r="AY167" i="1"/>
  <c r="AY152" i="1"/>
  <c r="AY138" i="1"/>
  <c r="AY124" i="1"/>
  <c r="AY110" i="1"/>
  <c r="AY95" i="1"/>
  <c r="AY82" i="1"/>
  <c r="AY67" i="1"/>
  <c r="AY52" i="1"/>
  <c r="AY39" i="1"/>
  <c r="AY24" i="1"/>
  <c r="AY10" i="1"/>
  <c r="AN51" i="1"/>
  <c r="AN47" i="1"/>
  <c r="AN43" i="1"/>
  <c r="AN39" i="1"/>
  <c r="AN35" i="1"/>
  <c r="AN31" i="1"/>
  <c r="AN27" i="1"/>
  <c r="AN23" i="1"/>
  <c r="AN19" i="1"/>
  <c r="AN15" i="1"/>
  <c r="AN11" i="1"/>
  <c r="AN7" i="1"/>
  <c r="AN3" i="1"/>
  <c r="AN571" i="1"/>
  <c r="AN567" i="1"/>
  <c r="AN563" i="1"/>
  <c r="AN559" i="1"/>
  <c r="AN555" i="1"/>
  <c r="AN551" i="1"/>
  <c r="AN547" i="1"/>
  <c r="AN543" i="1"/>
  <c r="AN539" i="1"/>
  <c r="AN535" i="1"/>
  <c r="AN531" i="1"/>
  <c r="AN527" i="1"/>
  <c r="AN523" i="1"/>
  <c r="AN519" i="1"/>
  <c r="AN515" i="1"/>
  <c r="AN511" i="1"/>
  <c r="AN507" i="1"/>
  <c r="AN503" i="1"/>
  <c r="AN499" i="1"/>
  <c r="AN495" i="1"/>
  <c r="AN491" i="1"/>
  <c r="AN487" i="1"/>
  <c r="AN483" i="1"/>
  <c r="AN479" i="1"/>
  <c r="AN475" i="1"/>
  <c r="AN471" i="1"/>
  <c r="AN467" i="1"/>
  <c r="AN463" i="1"/>
  <c r="AN459" i="1"/>
  <c r="AN455" i="1"/>
  <c r="AN451" i="1"/>
  <c r="AN447" i="1"/>
  <c r="AN443" i="1"/>
  <c r="AN439" i="1"/>
  <c r="AN435" i="1"/>
  <c r="AN431" i="1"/>
  <c r="AN427" i="1"/>
  <c r="AN423" i="1"/>
  <c r="AN419" i="1"/>
  <c r="AN415" i="1"/>
  <c r="AN411" i="1"/>
  <c r="AN407" i="1"/>
  <c r="AN403" i="1"/>
  <c r="AN399" i="1"/>
  <c r="AN395" i="1"/>
  <c r="AN391" i="1"/>
  <c r="AN387" i="1"/>
  <c r="AN383" i="1"/>
  <c r="AN379" i="1"/>
  <c r="AN375" i="1"/>
  <c r="AN371" i="1"/>
  <c r="AN367" i="1"/>
  <c r="AN363" i="1"/>
  <c r="AN359" i="1"/>
  <c r="AN355" i="1"/>
  <c r="AN351" i="1"/>
  <c r="AN347" i="1"/>
  <c r="AN343" i="1"/>
  <c r="AN339" i="1"/>
  <c r="AN335" i="1"/>
  <c r="AN331" i="1"/>
  <c r="AN327" i="1"/>
  <c r="AN323" i="1"/>
  <c r="AN319" i="1"/>
  <c r="AN315" i="1"/>
  <c r="AN311" i="1"/>
  <c r="AN307" i="1"/>
  <c r="AN303" i="1"/>
  <c r="AN299" i="1"/>
  <c r="AN295" i="1"/>
  <c r="AN291" i="1"/>
  <c r="AN287" i="1"/>
  <c r="AN283" i="1"/>
  <c r="AN279" i="1"/>
  <c r="AN275" i="1"/>
  <c r="AN271" i="1"/>
  <c r="AN267" i="1"/>
  <c r="AN263" i="1"/>
  <c r="AN259" i="1"/>
  <c r="AN255" i="1"/>
  <c r="AN251" i="1"/>
  <c r="AN247" i="1"/>
  <c r="AN243" i="1"/>
  <c r="AN239" i="1"/>
  <c r="AN235" i="1"/>
  <c r="AN231" i="1"/>
  <c r="AN227" i="1"/>
  <c r="AN223" i="1"/>
  <c r="AN219" i="1"/>
  <c r="AN215" i="1"/>
  <c r="AN211" i="1"/>
  <c r="AN207" i="1"/>
  <c r="AN203" i="1"/>
  <c r="AN199" i="1"/>
  <c r="AN195" i="1"/>
  <c r="AN191" i="1"/>
  <c r="AN187" i="1"/>
  <c r="AN183" i="1"/>
  <c r="AN179" i="1"/>
  <c r="AN175" i="1"/>
  <c r="AN171" i="1"/>
  <c r="AN167" i="1"/>
  <c r="AN163" i="1"/>
  <c r="AN159" i="1"/>
  <c r="AN155" i="1"/>
  <c r="AN151" i="1"/>
  <c r="AN147" i="1"/>
  <c r="AN143" i="1"/>
  <c r="AN139" i="1"/>
  <c r="AN135" i="1"/>
  <c r="AN131" i="1"/>
  <c r="AN127" i="1"/>
  <c r="AN123" i="1"/>
  <c r="AN119" i="1"/>
  <c r="AN115" i="1"/>
  <c r="AN111" i="1"/>
  <c r="AN107" i="1"/>
  <c r="AN103" i="1"/>
  <c r="AN99" i="1"/>
  <c r="AN95" i="1"/>
  <c r="AN91" i="1"/>
  <c r="AN87" i="1"/>
  <c r="AN83" i="1"/>
  <c r="AN79" i="1"/>
  <c r="AN75" i="1"/>
  <c r="AN71" i="1"/>
  <c r="AN67" i="1"/>
  <c r="AN63" i="1"/>
  <c r="AN59" i="1"/>
  <c r="AN55" i="1"/>
  <c r="AN565" i="1"/>
  <c r="AN557" i="1"/>
  <c r="AN553" i="1"/>
  <c r="AN549" i="1"/>
  <c r="AN537" i="1"/>
  <c r="AN529" i="1"/>
  <c r="AN525" i="1"/>
  <c r="AN513" i="1"/>
  <c r="AN509" i="1"/>
  <c r="AN501" i="1"/>
  <c r="AN493" i="1"/>
  <c r="AN485" i="1"/>
  <c r="AN477" i="1"/>
  <c r="AN465" i="1"/>
  <c r="AN461" i="1"/>
  <c r="AN449" i="1"/>
  <c r="AN441" i="1"/>
  <c r="AN437" i="1"/>
  <c r="AN425" i="1"/>
  <c r="AN417" i="1"/>
  <c r="AN409" i="1"/>
  <c r="AN401" i="1"/>
  <c r="AN393" i="1"/>
  <c r="AN385" i="1"/>
  <c r="AN377" i="1"/>
  <c r="AN373" i="1"/>
  <c r="AN365" i="1"/>
  <c r="AN357" i="1"/>
  <c r="AN349" i="1"/>
  <c r="AN341" i="1"/>
  <c r="AN329" i="1"/>
  <c r="AN321" i="1"/>
  <c r="AN313" i="1"/>
  <c r="AN305" i="1"/>
  <c r="AN297" i="1"/>
  <c r="AN289" i="1"/>
  <c r="AN281" i="1"/>
  <c r="AN273" i="1"/>
  <c r="AN265" i="1"/>
  <c r="AN257" i="1"/>
  <c r="AN249" i="1"/>
  <c r="AN241" i="1"/>
  <c r="AN233" i="1"/>
  <c r="AN225" i="1"/>
  <c r="AN217" i="1"/>
  <c r="AN209" i="1"/>
  <c r="AN201" i="1"/>
  <c r="AN197" i="1"/>
  <c r="AN189" i="1"/>
  <c r="AN177" i="1"/>
  <c r="AN169" i="1"/>
  <c r="AN161" i="1"/>
  <c r="AN153" i="1"/>
  <c r="AN145" i="1"/>
  <c r="AN137" i="1"/>
  <c r="AN129" i="1"/>
  <c r="AN121" i="1"/>
  <c r="AN113" i="1"/>
  <c r="AN105" i="1"/>
  <c r="AN97" i="1"/>
  <c r="AN89" i="1"/>
  <c r="AN81" i="1"/>
  <c r="AN73" i="1"/>
  <c r="AN61" i="1"/>
  <c r="AN569" i="1"/>
  <c r="AN561" i="1"/>
  <c r="AN545" i="1"/>
  <c r="AN541" i="1"/>
  <c r="AN533" i="1"/>
  <c r="AN521" i="1"/>
  <c r="AN517" i="1"/>
  <c r="AN505" i="1"/>
  <c r="AN497" i="1"/>
  <c r="AN489" i="1"/>
  <c r="AN481" i="1"/>
  <c r="AN473" i="1"/>
  <c r="AN469" i="1"/>
  <c r="AN457" i="1"/>
  <c r="AN453" i="1"/>
  <c r="AN445" i="1"/>
  <c r="AN433" i="1"/>
  <c r="AN429" i="1"/>
  <c r="AN421" i="1"/>
  <c r="AN413" i="1"/>
  <c r="AN405" i="1"/>
  <c r="AN397" i="1"/>
  <c r="AN389" i="1"/>
  <c r="AN381" i="1"/>
  <c r="AN369" i="1"/>
  <c r="AN361" i="1"/>
  <c r="AN353" i="1"/>
  <c r="AN345" i="1"/>
  <c r="AN337" i="1"/>
  <c r="AN333" i="1"/>
  <c r="AN325" i="1"/>
  <c r="AN317" i="1"/>
  <c r="AN309" i="1"/>
  <c r="AN301" i="1"/>
  <c r="AN293" i="1"/>
  <c r="AN285" i="1"/>
  <c r="AN277" i="1"/>
  <c r="AN269" i="1"/>
  <c r="AN261" i="1"/>
  <c r="AN253" i="1"/>
  <c r="AN245" i="1"/>
  <c r="AN237" i="1"/>
  <c r="AN229" i="1"/>
  <c r="AN221" i="1"/>
  <c r="AN213" i="1"/>
  <c r="AN205" i="1"/>
  <c r="AN193" i="1"/>
  <c r="AN185" i="1"/>
  <c r="AN181" i="1"/>
  <c r="AN173" i="1"/>
  <c r="AN165" i="1"/>
  <c r="AN157" i="1"/>
  <c r="AN149" i="1"/>
  <c r="AN141" i="1"/>
  <c r="AN133" i="1"/>
  <c r="AN125" i="1"/>
  <c r="AN117" i="1"/>
  <c r="AN109" i="1"/>
  <c r="AN101" i="1"/>
  <c r="AN93" i="1"/>
  <c r="AN85" i="1"/>
  <c r="AN77" i="1"/>
  <c r="AN69" i="1"/>
  <c r="AN65" i="1"/>
  <c r="AN57" i="1"/>
  <c r="AN53" i="1"/>
  <c r="AN49" i="1"/>
  <c r="AN45" i="1"/>
  <c r="AN41" i="1"/>
  <c r="AN37" i="1"/>
  <c r="AN33" i="1"/>
  <c r="AN29" i="1"/>
  <c r="AN25" i="1"/>
  <c r="AN21" i="1"/>
  <c r="AN17" i="1"/>
  <c r="AN13" i="1"/>
  <c r="AN9" i="1"/>
  <c r="AN5" i="1"/>
  <c r="AN570" i="1"/>
  <c r="AN566" i="1"/>
  <c r="AN562" i="1"/>
  <c r="AN558" i="1"/>
  <c r="AN554" i="1"/>
  <c r="AN550" i="1"/>
  <c r="AN546" i="1"/>
  <c r="AN542" i="1"/>
  <c r="AN538" i="1"/>
  <c r="AN534" i="1"/>
  <c r="AN530" i="1"/>
  <c r="AN526" i="1"/>
  <c r="AN522" i="1"/>
  <c r="AN518" i="1"/>
  <c r="AN514" i="1"/>
  <c r="AN510" i="1"/>
  <c r="AN506" i="1"/>
  <c r="AN502" i="1"/>
  <c r="AN498" i="1"/>
  <c r="AN494" i="1"/>
  <c r="AN490" i="1"/>
  <c r="AN486" i="1"/>
  <c r="AN482" i="1"/>
  <c r="AN478" i="1"/>
  <c r="AN474" i="1"/>
  <c r="AN470" i="1"/>
  <c r="AN466" i="1"/>
  <c r="AN462" i="1"/>
  <c r="AN226" i="1"/>
  <c r="AN162" i="1"/>
  <c r="AN2" i="1"/>
  <c r="AN52" i="1"/>
  <c r="AN48" i="1"/>
  <c r="AN44" i="1"/>
  <c r="AN40" i="1"/>
  <c r="AN36" i="1"/>
  <c r="AN32" i="1"/>
  <c r="AN28" i="1"/>
  <c r="AN24" i="1"/>
  <c r="AN20" i="1"/>
  <c r="AN16" i="1"/>
  <c r="AN12" i="1"/>
  <c r="AN8" i="1"/>
  <c r="AN4" i="1"/>
  <c r="AN338" i="1"/>
  <c r="AN322" i="1"/>
  <c r="AN306" i="1"/>
  <c r="AN290" i="1"/>
  <c r="AN274" i="1"/>
  <c r="AN258" i="1"/>
  <c r="AN242" i="1"/>
  <c r="AN210" i="1"/>
  <c r="AN194" i="1"/>
  <c r="AN178" i="1"/>
  <c r="AN146" i="1"/>
  <c r="AN130" i="1"/>
  <c r="AN114" i="1"/>
  <c r="AN98" i="1"/>
  <c r="AN82" i="1"/>
  <c r="AN66" i="1"/>
  <c r="AN50" i="1"/>
  <c r="AN34" i="1"/>
  <c r="AN18" i="1"/>
  <c r="AN458" i="1"/>
  <c r="AN454" i="1"/>
  <c r="AN450" i="1"/>
  <c r="AN446" i="1"/>
  <c r="AN442" i="1"/>
  <c r="AN438" i="1"/>
  <c r="AN434" i="1"/>
  <c r="AN430" i="1"/>
  <c r="AN426" i="1"/>
  <c r="AN422" i="1"/>
  <c r="AN418" i="1"/>
  <c r="AN414" i="1"/>
  <c r="AN410" i="1"/>
  <c r="AN406" i="1"/>
  <c r="AN402" i="1"/>
  <c r="AN398" i="1"/>
  <c r="AN394" i="1"/>
  <c r="AN390" i="1"/>
  <c r="AN386" i="1"/>
  <c r="AN382" i="1"/>
  <c r="AN378" i="1"/>
  <c r="AN374" i="1"/>
  <c r="AN370" i="1"/>
  <c r="AN366" i="1"/>
  <c r="AN362" i="1"/>
  <c r="AN358" i="1"/>
  <c r="AN354" i="1"/>
  <c r="AN350" i="1"/>
  <c r="AN346" i="1"/>
  <c r="AN342" i="1"/>
  <c r="AN334" i="1"/>
  <c r="AN330" i="1"/>
  <c r="AN326" i="1"/>
  <c r="AN318" i="1"/>
  <c r="AN314" i="1"/>
  <c r="AN310" i="1"/>
  <c r="AN302" i="1"/>
  <c r="AN298" i="1"/>
  <c r="AN294" i="1"/>
  <c r="AN286" i="1"/>
  <c r="AN282" i="1"/>
  <c r="AN278" i="1"/>
  <c r="AN270" i="1"/>
  <c r="AN266" i="1"/>
  <c r="AN262" i="1"/>
  <c r="AN254" i="1"/>
  <c r="AN250" i="1"/>
  <c r="AN246" i="1"/>
  <c r="AN238" i="1"/>
  <c r="AN234" i="1"/>
  <c r="AN230" i="1"/>
  <c r="AN222" i="1"/>
  <c r="AN218" i="1"/>
  <c r="AN214" i="1"/>
  <c r="AN206" i="1"/>
  <c r="AN202" i="1"/>
  <c r="AN198" i="1"/>
  <c r="AN190" i="1"/>
  <c r="AN186" i="1"/>
  <c r="AN182" i="1"/>
  <c r="AN174" i="1"/>
  <c r="AN170" i="1"/>
  <c r="AN166" i="1"/>
  <c r="AN158" i="1"/>
  <c r="AN154" i="1"/>
  <c r="AN150" i="1"/>
  <c r="AN142" i="1"/>
  <c r="AN138" i="1"/>
  <c r="AN134" i="1"/>
  <c r="AN126" i="1"/>
  <c r="AN122" i="1"/>
  <c r="AN118" i="1"/>
  <c r="AN110" i="1"/>
  <c r="AN106" i="1"/>
  <c r="AN102" i="1"/>
  <c r="AN94" i="1"/>
  <c r="AN90" i="1"/>
  <c r="AN86" i="1"/>
  <c r="AN78" i="1"/>
  <c r="AN74" i="1"/>
  <c r="AN70" i="1"/>
  <c r="AN62" i="1"/>
  <c r="AN58" i="1"/>
  <c r="AN54" i="1"/>
  <c r="AN46" i="1"/>
  <c r="AN42" i="1"/>
  <c r="AN38" i="1"/>
  <c r="AN30" i="1"/>
  <c r="AN26" i="1"/>
  <c r="AN22" i="1"/>
  <c r="AN14" i="1"/>
  <c r="AN10" i="1"/>
  <c r="AN6" i="1"/>
  <c r="AN568" i="1"/>
  <c r="AN564" i="1"/>
  <c r="AN560" i="1"/>
  <c r="AN556" i="1"/>
  <c r="AN552" i="1"/>
  <c r="AN548" i="1"/>
  <c r="AN544" i="1"/>
  <c r="AN540" i="1"/>
  <c r="AN536" i="1"/>
  <c r="AN532" i="1"/>
  <c r="AN528" i="1"/>
  <c r="AN524" i="1"/>
  <c r="AN520" i="1"/>
  <c r="AN516" i="1"/>
  <c r="AN512" i="1"/>
  <c r="AN508" i="1"/>
  <c r="AN504" i="1"/>
  <c r="AN500" i="1"/>
  <c r="AN496" i="1"/>
  <c r="AN492" i="1"/>
  <c r="AN488" i="1"/>
  <c r="AN484" i="1"/>
  <c r="AN480" i="1"/>
  <c r="AN476" i="1"/>
  <c r="AN472" i="1"/>
  <c r="AN468" i="1"/>
  <c r="AN464" i="1"/>
  <c r="AN460" i="1"/>
  <c r="AN456" i="1"/>
  <c r="AN452" i="1"/>
  <c r="AN448" i="1"/>
  <c r="AN444" i="1"/>
  <c r="AN440" i="1"/>
  <c r="AN436" i="1"/>
  <c r="AN432" i="1"/>
  <c r="AN428" i="1"/>
  <c r="AN424" i="1"/>
  <c r="AN420" i="1"/>
  <c r="AN416" i="1"/>
  <c r="AN412" i="1"/>
  <c r="AN408" i="1"/>
  <c r="AN404" i="1"/>
  <c r="AN400" i="1"/>
  <c r="AN396" i="1"/>
  <c r="AN392" i="1"/>
  <c r="AN388" i="1"/>
  <c r="AN384" i="1"/>
  <c r="AN380" i="1"/>
  <c r="AN376" i="1"/>
  <c r="AN372" i="1"/>
  <c r="AN368" i="1"/>
  <c r="AN364" i="1"/>
  <c r="AN360" i="1"/>
  <c r="AN356" i="1"/>
  <c r="AN352" i="1"/>
  <c r="AN348" i="1"/>
  <c r="AN344" i="1"/>
  <c r="AN340" i="1"/>
  <c r="AN336" i="1"/>
  <c r="AN332" i="1"/>
  <c r="AN328" i="1"/>
  <c r="AN324" i="1"/>
  <c r="AN320" i="1"/>
  <c r="AN316" i="1"/>
  <c r="AN312" i="1"/>
  <c r="AN308" i="1"/>
  <c r="AN304" i="1"/>
  <c r="AN300" i="1"/>
  <c r="AN296" i="1"/>
  <c r="AN292" i="1"/>
  <c r="AN288" i="1"/>
  <c r="AN284" i="1"/>
  <c r="AN280" i="1"/>
  <c r="AN276" i="1"/>
  <c r="AN272" i="1"/>
  <c r="AN268" i="1"/>
  <c r="AN264" i="1"/>
  <c r="AN260" i="1"/>
  <c r="AN256" i="1"/>
  <c r="AN252" i="1"/>
  <c r="AN248" i="1"/>
  <c r="AN244" i="1"/>
  <c r="AN240" i="1"/>
  <c r="AN236" i="1"/>
  <c r="AN232" i="1"/>
  <c r="AN228" i="1"/>
  <c r="AN224" i="1"/>
  <c r="AN220" i="1"/>
  <c r="AN216" i="1"/>
  <c r="AN212" i="1"/>
  <c r="AN208" i="1"/>
  <c r="AN204" i="1"/>
  <c r="AN200" i="1"/>
  <c r="AN196" i="1"/>
  <c r="AN192" i="1"/>
  <c r="AN188" i="1"/>
  <c r="AN184" i="1"/>
  <c r="AN180" i="1"/>
  <c r="AN176" i="1"/>
  <c r="AN172" i="1"/>
  <c r="AN168" i="1"/>
  <c r="AN164" i="1"/>
  <c r="AN160" i="1"/>
  <c r="AN156" i="1"/>
  <c r="AN152" i="1"/>
  <c r="AN148" i="1"/>
  <c r="AN144" i="1"/>
  <c r="AN140" i="1"/>
  <c r="AN136" i="1"/>
  <c r="AN132" i="1"/>
  <c r="AN128" i="1"/>
  <c r="AN124" i="1"/>
  <c r="AN120" i="1"/>
  <c r="AN116" i="1"/>
  <c r="AN112" i="1"/>
  <c r="AN108" i="1"/>
  <c r="AN104" i="1"/>
  <c r="AN100" i="1"/>
  <c r="AN96" i="1"/>
  <c r="AN92" i="1"/>
  <c r="AN88" i="1"/>
  <c r="AN84" i="1"/>
  <c r="AN80" i="1"/>
  <c r="AN76" i="1"/>
  <c r="AN72" i="1"/>
  <c r="AN68" i="1"/>
  <c r="AN64" i="1"/>
  <c r="AN60" i="1"/>
  <c r="AN56" i="1"/>
  <c r="AH322" i="1"/>
  <c r="AH258" i="1"/>
  <c r="AH194" i="1"/>
  <c r="AH130" i="1"/>
  <c r="AH98" i="1"/>
  <c r="AH82" i="1"/>
  <c r="AH66" i="1"/>
  <c r="AH50" i="1"/>
  <c r="AH34" i="1"/>
  <c r="AH18" i="1"/>
  <c r="AH561" i="1"/>
  <c r="AH545" i="1"/>
  <c r="AH529" i="1"/>
  <c r="AH513" i="1"/>
  <c r="AH497" i="1"/>
  <c r="AH481" i="1"/>
  <c r="AH465" i="1"/>
  <c r="AH449" i="1"/>
  <c r="AH433" i="1"/>
  <c r="AH417" i="1"/>
  <c r="AH401" i="1"/>
  <c r="AH385" i="1"/>
  <c r="AH369" i="1"/>
  <c r="AH353" i="1"/>
  <c r="AH2" i="1"/>
  <c r="AH568" i="1"/>
  <c r="AH564" i="1"/>
  <c r="AH560" i="1"/>
  <c r="AH556" i="1"/>
  <c r="AH552" i="1"/>
  <c r="AH548" i="1"/>
  <c r="AH544" i="1"/>
  <c r="AH540" i="1"/>
  <c r="AH536" i="1"/>
  <c r="AH532" i="1"/>
  <c r="AH528" i="1"/>
  <c r="AH524" i="1"/>
  <c r="AH520" i="1"/>
  <c r="AH516" i="1"/>
  <c r="AH512" i="1"/>
  <c r="AH508" i="1"/>
  <c r="AH504" i="1"/>
  <c r="AH500" i="1"/>
  <c r="AH496" i="1"/>
  <c r="AH492" i="1"/>
  <c r="AH488" i="1"/>
  <c r="AH484" i="1"/>
  <c r="AH480" i="1"/>
  <c r="AH476" i="1"/>
  <c r="AH472" i="1"/>
  <c r="AH468" i="1"/>
  <c r="AH464" i="1"/>
  <c r="AH460" i="1"/>
  <c r="AH456" i="1"/>
  <c r="AH452" i="1"/>
  <c r="AH448" i="1"/>
  <c r="AH444" i="1"/>
  <c r="AH440" i="1"/>
  <c r="AH436" i="1"/>
  <c r="AH432" i="1"/>
  <c r="AH428" i="1"/>
  <c r="AH424" i="1"/>
  <c r="AH420" i="1"/>
  <c r="AH416" i="1"/>
  <c r="AH412" i="1"/>
  <c r="AH408" i="1"/>
  <c r="AH404" i="1"/>
  <c r="AH400" i="1"/>
  <c r="AH396" i="1"/>
  <c r="AH392" i="1"/>
  <c r="AH388" i="1"/>
  <c r="AH384" i="1"/>
  <c r="AH380" i="1"/>
  <c r="AH376" i="1"/>
  <c r="AH372" i="1"/>
  <c r="AH368" i="1"/>
  <c r="AH364" i="1"/>
  <c r="AH360" i="1"/>
  <c r="AH356" i="1"/>
  <c r="AH352" i="1"/>
  <c r="AH348" i="1"/>
  <c r="AH344" i="1"/>
  <c r="AH340" i="1"/>
  <c r="AH336" i="1"/>
  <c r="AH332" i="1"/>
  <c r="AH328" i="1"/>
  <c r="AH324" i="1"/>
  <c r="AH320" i="1"/>
  <c r="AH316" i="1"/>
  <c r="AH312" i="1"/>
  <c r="AH308" i="1"/>
  <c r="AH304" i="1"/>
  <c r="AH300" i="1"/>
  <c r="AH296" i="1"/>
  <c r="AH292" i="1"/>
  <c r="AH288" i="1"/>
  <c r="AH284" i="1"/>
  <c r="AH280" i="1"/>
  <c r="AH276" i="1"/>
  <c r="AH272" i="1"/>
  <c r="AH268" i="1"/>
  <c r="AH264" i="1"/>
  <c r="AH260" i="1"/>
  <c r="AH256" i="1"/>
  <c r="AH252" i="1"/>
  <c r="AH248" i="1"/>
  <c r="AH244" i="1"/>
  <c r="AH240" i="1"/>
  <c r="AH236" i="1"/>
  <c r="AH232" i="1"/>
  <c r="AH228" i="1"/>
  <c r="AH224" i="1"/>
  <c r="AH220" i="1"/>
  <c r="AH216" i="1"/>
  <c r="AH212" i="1"/>
  <c r="AH208" i="1"/>
  <c r="AH204" i="1"/>
  <c r="AH200" i="1"/>
  <c r="AH196" i="1"/>
  <c r="AH192" i="1"/>
  <c r="AH188" i="1"/>
  <c r="AH184" i="1"/>
  <c r="AH180" i="1"/>
  <c r="AH176" i="1"/>
  <c r="AH172" i="1"/>
  <c r="AH168" i="1"/>
  <c r="AH164" i="1"/>
  <c r="AH160" i="1"/>
  <c r="AH156" i="1"/>
  <c r="AH152" i="1"/>
  <c r="AH148" i="1"/>
  <c r="AH144" i="1"/>
  <c r="AH140" i="1"/>
  <c r="AH136" i="1"/>
  <c r="AH132" i="1"/>
  <c r="AH128" i="1"/>
  <c r="AH124" i="1"/>
  <c r="AH120" i="1"/>
  <c r="AH116" i="1"/>
  <c r="AH112" i="1"/>
  <c r="AH108" i="1"/>
  <c r="AH104" i="1"/>
  <c r="AH100" i="1"/>
  <c r="AH96" i="1"/>
  <c r="AH92" i="1"/>
  <c r="AH88" i="1"/>
  <c r="AH84" i="1"/>
  <c r="AH80" i="1"/>
  <c r="AH76" i="1"/>
  <c r="AH72" i="1"/>
  <c r="AH68" i="1"/>
  <c r="AH64" i="1"/>
  <c r="AH60" i="1"/>
  <c r="AH56" i="1"/>
  <c r="AH52" i="1"/>
  <c r="AH48" i="1"/>
  <c r="AH44" i="1"/>
  <c r="AH40" i="1"/>
  <c r="AH36" i="1"/>
  <c r="AH32" i="1"/>
  <c r="AH28" i="1"/>
  <c r="AH24" i="1"/>
  <c r="AH20" i="1"/>
  <c r="AH16" i="1"/>
  <c r="AH12" i="1"/>
  <c r="AH8" i="1"/>
  <c r="AH4" i="1"/>
  <c r="AH338" i="1"/>
  <c r="AH306" i="1"/>
  <c r="AH290" i="1"/>
  <c r="AH274" i="1"/>
  <c r="AH242" i="1"/>
  <c r="AH226" i="1"/>
  <c r="AH210" i="1"/>
  <c r="AH178" i="1"/>
  <c r="AH162" i="1"/>
  <c r="AH146" i="1"/>
  <c r="AH114" i="1"/>
  <c r="AH569" i="1"/>
  <c r="AH565" i="1"/>
  <c r="AH557" i="1"/>
  <c r="AH553" i="1"/>
  <c r="AH549" i="1"/>
  <c r="AH541" i="1"/>
  <c r="AH537" i="1"/>
  <c r="AH533" i="1"/>
  <c r="AH525" i="1"/>
  <c r="AH521" i="1"/>
  <c r="AH517" i="1"/>
  <c r="AH509" i="1"/>
  <c r="AH505" i="1"/>
  <c r="AH501" i="1"/>
  <c r="AH493" i="1"/>
  <c r="AH489" i="1"/>
  <c r="AH485" i="1"/>
  <c r="AH477" i="1"/>
  <c r="AH473" i="1"/>
  <c r="AH469" i="1"/>
  <c r="AH461" i="1"/>
  <c r="AH457" i="1"/>
  <c r="AH453" i="1"/>
  <c r="AH445" i="1"/>
  <c r="AH441" i="1"/>
  <c r="AH437" i="1"/>
  <c r="AH429" i="1"/>
  <c r="AH425" i="1"/>
  <c r="AH421" i="1"/>
  <c r="AH413" i="1"/>
  <c r="AH409" i="1"/>
  <c r="AH405" i="1"/>
  <c r="AH397" i="1"/>
  <c r="AH393" i="1"/>
  <c r="AH389" i="1"/>
  <c r="AH381" i="1"/>
  <c r="AH377" i="1"/>
  <c r="AH373" i="1"/>
  <c r="AH365" i="1"/>
  <c r="AH361" i="1"/>
  <c r="AH357" i="1"/>
  <c r="AH349" i="1"/>
  <c r="AH345" i="1"/>
  <c r="AH571" i="1"/>
  <c r="AH567" i="1"/>
  <c r="AH563" i="1"/>
  <c r="AH559" i="1"/>
  <c r="AH555" i="1"/>
  <c r="AH551" i="1"/>
  <c r="AH547" i="1"/>
  <c r="AH543" i="1"/>
  <c r="AH539" i="1"/>
  <c r="AH535" i="1"/>
  <c r="AH531" i="1"/>
  <c r="AH527" i="1"/>
  <c r="AH523" i="1"/>
  <c r="AH519" i="1"/>
  <c r="AH515" i="1"/>
  <c r="AH511" i="1"/>
  <c r="AH507" i="1"/>
  <c r="AH503" i="1"/>
  <c r="AH499" i="1"/>
  <c r="AH495" i="1"/>
  <c r="AH491" i="1"/>
  <c r="AH487" i="1"/>
  <c r="AH483" i="1"/>
  <c r="AH479" i="1"/>
  <c r="AH475" i="1"/>
  <c r="AH471" i="1"/>
  <c r="AH467" i="1"/>
  <c r="AH463" i="1"/>
  <c r="AH459" i="1"/>
  <c r="AH455" i="1"/>
  <c r="AH451" i="1"/>
  <c r="AH447" i="1"/>
  <c r="AH443" i="1"/>
  <c r="AH439" i="1"/>
  <c r="AH435" i="1"/>
  <c r="AH431" i="1"/>
  <c r="AH427" i="1"/>
  <c r="AH423" i="1"/>
  <c r="AH419" i="1"/>
  <c r="AH415" i="1"/>
  <c r="AH411" i="1"/>
  <c r="AH407" i="1"/>
  <c r="AH403" i="1"/>
  <c r="AH399" i="1"/>
  <c r="AH395" i="1"/>
  <c r="AH391" i="1"/>
  <c r="AH387" i="1"/>
  <c r="AH383" i="1"/>
  <c r="AH379" i="1"/>
  <c r="AH375" i="1"/>
  <c r="AH371" i="1"/>
  <c r="AH367" i="1"/>
  <c r="AH363" i="1"/>
  <c r="AH359" i="1"/>
  <c r="AH355" i="1"/>
  <c r="AH351" i="1"/>
  <c r="AH347" i="1"/>
  <c r="AH343" i="1"/>
  <c r="AH339" i="1"/>
  <c r="AH335" i="1"/>
  <c r="AH331" i="1"/>
  <c r="AH327" i="1"/>
  <c r="AH323" i="1"/>
  <c r="AH319" i="1"/>
  <c r="AH315" i="1"/>
  <c r="AH311" i="1"/>
  <c r="AH307" i="1"/>
  <c r="AH303" i="1"/>
  <c r="AH299" i="1"/>
  <c r="AH295" i="1"/>
  <c r="AH291" i="1"/>
  <c r="AH287" i="1"/>
  <c r="AH283" i="1"/>
  <c r="AH279" i="1"/>
  <c r="AH275" i="1"/>
  <c r="AH271" i="1"/>
  <c r="AH267" i="1"/>
  <c r="AH263" i="1"/>
  <c r="AH259" i="1"/>
  <c r="AH255" i="1"/>
  <c r="AH251" i="1"/>
  <c r="AH247" i="1"/>
  <c r="AH243" i="1"/>
  <c r="AH239" i="1"/>
  <c r="AH235" i="1"/>
  <c r="AH231" i="1"/>
  <c r="AH227" i="1"/>
  <c r="AH223" i="1"/>
  <c r="AH219" i="1"/>
  <c r="AH215" i="1"/>
  <c r="AH211" i="1"/>
  <c r="AH207" i="1"/>
  <c r="AH203" i="1"/>
  <c r="AH199" i="1"/>
  <c r="AH195" i="1"/>
  <c r="AH191" i="1"/>
  <c r="AH187" i="1"/>
  <c r="AH183" i="1"/>
  <c r="AH179" i="1"/>
  <c r="AH175" i="1"/>
  <c r="AH171" i="1"/>
  <c r="AH167" i="1"/>
  <c r="AH163" i="1"/>
  <c r="AH159" i="1"/>
  <c r="AH155" i="1"/>
  <c r="AH151" i="1"/>
  <c r="AH147" i="1"/>
  <c r="AH143" i="1"/>
  <c r="AH139" i="1"/>
  <c r="AH135" i="1"/>
  <c r="AH131" i="1"/>
  <c r="AH127" i="1"/>
  <c r="AH123" i="1"/>
  <c r="AH119" i="1"/>
  <c r="AH115" i="1"/>
  <c r="AH111" i="1"/>
  <c r="AH107" i="1"/>
  <c r="AH103" i="1"/>
  <c r="AH99" i="1"/>
  <c r="AH95" i="1"/>
  <c r="AH91" i="1"/>
  <c r="AH87" i="1"/>
  <c r="AH83" i="1"/>
  <c r="AH79" i="1"/>
  <c r="AH75" i="1"/>
  <c r="AH71" i="1"/>
  <c r="AH67" i="1"/>
  <c r="AH63" i="1"/>
  <c r="AH59" i="1"/>
  <c r="AH55" i="1"/>
  <c r="AH51" i="1"/>
  <c r="AH47" i="1"/>
  <c r="AH43" i="1"/>
  <c r="AH39" i="1"/>
  <c r="AH35" i="1"/>
  <c r="AH31" i="1"/>
  <c r="AH570" i="1"/>
  <c r="AH566" i="1"/>
  <c r="AH562" i="1"/>
  <c r="AH558" i="1"/>
  <c r="AH554" i="1"/>
  <c r="AH550" i="1"/>
  <c r="AH546" i="1"/>
  <c r="AH542" i="1"/>
  <c r="AH538" i="1"/>
  <c r="AH534" i="1"/>
  <c r="AH530" i="1"/>
  <c r="AH526" i="1"/>
  <c r="AH522" i="1"/>
  <c r="AH518" i="1"/>
  <c r="AH514" i="1"/>
  <c r="AH510" i="1"/>
  <c r="AH506" i="1"/>
  <c r="AH502" i="1"/>
  <c r="AH498" i="1"/>
  <c r="AH494" i="1"/>
  <c r="AH490" i="1"/>
  <c r="AH486" i="1"/>
  <c r="AH482" i="1"/>
  <c r="AH478" i="1"/>
  <c r="AH474" i="1"/>
  <c r="AH470" i="1"/>
  <c r="AH466" i="1"/>
  <c r="AH462" i="1"/>
  <c r="AH458" i="1"/>
  <c r="AH454" i="1"/>
  <c r="AH450" i="1"/>
  <c r="AH446" i="1"/>
  <c r="AH442" i="1"/>
  <c r="AH438" i="1"/>
  <c r="AH434" i="1"/>
  <c r="AH430" i="1"/>
  <c r="AH426" i="1"/>
  <c r="AH422" i="1"/>
  <c r="AH418" i="1"/>
  <c r="AH414" i="1"/>
  <c r="AH410" i="1"/>
  <c r="AH406" i="1"/>
  <c r="AH402" i="1"/>
  <c r="AH398" i="1"/>
  <c r="AH394" i="1"/>
  <c r="AH390" i="1"/>
  <c r="AH386" i="1"/>
  <c r="AH382" i="1"/>
  <c r="AH378" i="1"/>
  <c r="AH374" i="1"/>
  <c r="AH370" i="1"/>
  <c r="AH366" i="1"/>
  <c r="AH362" i="1"/>
  <c r="AH358" i="1"/>
  <c r="AH354" i="1"/>
  <c r="AH350" i="1"/>
  <c r="AH346" i="1"/>
  <c r="AH342" i="1"/>
  <c r="AH334" i="1"/>
  <c r="AH330" i="1"/>
  <c r="AH326" i="1"/>
  <c r="AH318" i="1"/>
  <c r="AH314" i="1"/>
  <c r="AH310" i="1"/>
  <c r="AH302" i="1"/>
  <c r="AH298" i="1"/>
  <c r="AH294" i="1"/>
  <c r="AH286" i="1"/>
  <c r="AH282" i="1"/>
  <c r="AH278" i="1"/>
  <c r="AH270" i="1"/>
  <c r="AH266" i="1"/>
  <c r="AH262" i="1"/>
  <c r="AH254" i="1"/>
  <c r="AH250" i="1"/>
  <c r="AH246" i="1"/>
  <c r="AH238" i="1"/>
  <c r="AH234" i="1"/>
  <c r="AH230" i="1"/>
  <c r="AH222" i="1"/>
  <c r="AH218" i="1"/>
  <c r="AH214" i="1"/>
  <c r="AH206" i="1"/>
  <c r="AH202" i="1"/>
  <c r="AH198" i="1"/>
  <c r="AH190" i="1"/>
  <c r="AH186" i="1"/>
  <c r="AH182" i="1"/>
  <c r="AH174" i="1"/>
  <c r="AH170" i="1"/>
  <c r="AH166" i="1"/>
  <c r="AH158" i="1"/>
  <c r="AH154" i="1"/>
  <c r="AH150" i="1"/>
  <c r="AH142" i="1"/>
  <c r="AH138" i="1"/>
  <c r="AH134" i="1"/>
  <c r="AH126" i="1"/>
  <c r="AH122" i="1"/>
  <c r="AH118" i="1"/>
  <c r="AH110" i="1"/>
  <c r="AH106" i="1"/>
  <c r="AH102" i="1"/>
  <c r="AH94" i="1"/>
  <c r="AH90" i="1"/>
  <c r="AH86" i="1"/>
  <c r="AH78" i="1"/>
  <c r="AH74" i="1"/>
  <c r="AH70" i="1"/>
  <c r="AH62" i="1"/>
  <c r="AH58" i="1"/>
  <c r="AH54" i="1"/>
  <c r="AH46" i="1"/>
  <c r="AH42" i="1"/>
  <c r="AH38" i="1"/>
  <c r="AH30" i="1"/>
  <c r="AH26" i="1"/>
  <c r="AH22" i="1"/>
  <c r="AH14" i="1"/>
  <c r="AH10" i="1"/>
  <c r="AH6" i="1"/>
  <c r="AH341" i="1"/>
  <c r="AH337" i="1"/>
  <c r="AH333" i="1"/>
  <c r="AH329" i="1"/>
  <c r="AH325" i="1"/>
  <c r="AH321" i="1"/>
  <c r="AH317" i="1"/>
  <c r="AH313" i="1"/>
  <c r="AH309" i="1"/>
  <c r="AH305" i="1"/>
  <c r="AH301" i="1"/>
  <c r="AH297" i="1"/>
  <c r="AH293" i="1"/>
  <c r="AH289" i="1"/>
  <c r="AH285" i="1"/>
  <c r="AH281" i="1"/>
  <c r="AH277" i="1"/>
  <c r="AH273" i="1"/>
  <c r="AH269" i="1"/>
  <c r="AH265" i="1"/>
  <c r="AH261" i="1"/>
  <c r="AH257" i="1"/>
  <c r="AH253" i="1"/>
  <c r="AH249" i="1"/>
  <c r="AH245" i="1"/>
  <c r="AH241" i="1"/>
  <c r="AH237" i="1"/>
  <c r="AH233" i="1"/>
  <c r="AH229" i="1"/>
  <c r="AH225" i="1"/>
  <c r="AH221" i="1"/>
  <c r="AH217" i="1"/>
  <c r="AH213" i="1"/>
  <c r="AH209" i="1"/>
  <c r="AH205" i="1"/>
  <c r="AH201" i="1"/>
  <c r="AH197" i="1"/>
  <c r="AH193" i="1"/>
  <c r="AH189" i="1"/>
  <c r="AH185" i="1"/>
  <c r="AH181" i="1"/>
  <c r="AH177" i="1"/>
  <c r="AH173" i="1"/>
  <c r="AH169" i="1"/>
  <c r="AH165" i="1"/>
  <c r="AH161" i="1"/>
  <c r="AH157" i="1"/>
  <c r="AH153" i="1"/>
  <c r="AH149" i="1"/>
  <c r="AH145" i="1"/>
  <c r="AH141" i="1"/>
  <c r="AH137" i="1"/>
  <c r="AH133" i="1"/>
  <c r="AH129" i="1"/>
  <c r="AH125" i="1"/>
  <c r="AH121" i="1"/>
  <c r="AH117" i="1"/>
  <c r="AH113" i="1"/>
  <c r="AH109" i="1"/>
  <c r="AH105" i="1"/>
  <c r="AH101" i="1"/>
  <c r="AH97" i="1"/>
  <c r="AH93" i="1"/>
  <c r="AH89" i="1"/>
  <c r="AH85" i="1"/>
  <c r="AH81" i="1"/>
  <c r="AH77" i="1"/>
  <c r="AH73" i="1"/>
  <c r="AH69" i="1"/>
  <c r="AH65" i="1"/>
  <c r="AH61" i="1"/>
  <c r="AH57" i="1"/>
  <c r="AH53" i="1"/>
  <c r="AH49" i="1"/>
  <c r="AH45" i="1"/>
  <c r="AH41" i="1"/>
  <c r="AH37" i="1"/>
  <c r="AH33" i="1"/>
  <c r="AH29" i="1"/>
  <c r="AH25" i="1"/>
  <c r="AH21" i="1"/>
  <c r="AH17" i="1"/>
  <c r="AH27" i="1"/>
  <c r="AH23" i="1"/>
  <c r="AH19" i="1"/>
  <c r="AH15" i="1"/>
  <c r="AH11" i="1"/>
  <c r="AH7" i="1"/>
  <c r="AH3" i="1"/>
  <c r="AH13" i="1"/>
  <c r="AH9" i="1"/>
  <c r="AH5" i="1"/>
  <c r="S21" i="7" l="1"/>
  <c r="Q21" i="7"/>
  <c r="R21" i="7"/>
  <c r="P21" i="7"/>
  <c r="O21" i="7"/>
  <c r="E21" i="7"/>
  <c r="N21" i="7" s="1"/>
  <c r="K21" i="7"/>
  <c r="T21" i="7" s="1"/>
  <c r="F39" i="3"/>
  <c r="I6" i="3" s="1"/>
  <c r="E39" i="3"/>
  <c r="I5" i="3" s="1"/>
  <c r="D39" i="3"/>
  <c r="I4" i="3" s="1"/>
  <c r="C39" i="3"/>
  <c r="I3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546D9E-BA25-844D-AFB8-F3843400E4CE}" name="TeamFinalProject" type="6" refreshedVersion="6" background="1" saveData="1">
    <textPr codePage="65001" sourceFile="/Users/michaeldemartino/Downloads/TeamFinalProject.csv" comma="1">
      <textFields count="36"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<sst xmlns="http://schemas.openxmlformats.org/spreadsheetml/2006/main" count="9229" uniqueCount="836">
  <si>
    <t>yearID</t>
  </si>
  <si>
    <t>name</t>
  </si>
  <si>
    <t>teamID</t>
  </si>
  <si>
    <t>Rank</t>
  </si>
  <si>
    <t>DivWin</t>
  </si>
  <si>
    <t>WCWin</t>
  </si>
  <si>
    <t>LgWin</t>
  </si>
  <si>
    <t>WSWin</t>
  </si>
  <si>
    <t>W</t>
  </si>
  <si>
    <t>L</t>
  </si>
  <si>
    <t>R</t>
  </si>
  <si>
    <t>AB</t>
  </si>
  <si>
    <t>H</t>
  </si>
  <si>
    <t>2B</t>
  </si>
  <si>
    <t>3B</t>
  </si>
  <si>
    <t>HR</t>
  </si>
  <si>
    <t>BB</t>
  </si>
  <si>
    <t>SO</t>
  </si>
  <si>
    <t>SB</t>
  </si>
  <si>
    <t>CS</t>
  </si>
  <si>
    <t>HBP</t>
  </si>
  <si>
    <t>SF</t>
  </si>
  <si>
    <t>RA</t>
  </si>
  <si>
    <t>ER</t>
  </si>
  <si>
    <t>ERA</t>
  </si>
  <si>
    <t>CG</t>
  </si>
  <si>
    <t>SHO</t>
  </si>
  <si>
    <t>SV</t>
  </si>
  <si>
    <t>IPouts</t>
  </si>
  <si>
    <t>HA</t>
  </si>
  <si>
    <t>HRA</t>
  </si>
  <si>
    <t>BBA</t>
  </si>
  <si>
    <t>SOA</t>
  </si>
  <si>
    <t>E</t>
  </si>
  <si>
    <t>DP</t>
  </si>
  <si>
    <t>FP</t>
  </si>
  <si>
    <t>Anaheim Angels</t>
  </si>
  <si>
    <t>ANA</t>
  </si>
  <si>
    <t>N</t>
  </si>
  <si>
    <t>Arizona Diamondbacks</t>
  </si>
  <si>
    <t>ARI</t>
  </si>
  <si>
    <t>Atlanta Braves</t>
  </si>
  <si>
    <t>ATL</t>
  </si>
  <si>
    <t>Y</t>
  </si>
  <si>
    <t>Baltimore Orioles</t>
  </si>
  <si>
    <t>BAL</t>
  </si>
  <si>
    <t>Boston Red Sox</t>
  </si>
  <si>
    <t>BOS</t>
  </si>
  <si>
    <t>Chicago White Sox</t>
  </si>
  <si>
    <t>CHA</t>
  </si>
  <si>
    <t>Chicago Cubs</t>
  </si>
  <si>
    <t>CHN</t>
  </si>
  <si>
    <t>Cincinnati Reds</t>
  </si>
  <si>
    <t>CIN</t>
  </si>
  <si>
    <t>Cleveland Indians</t>
  </si>
  <si>
    <t>CLE</t>
  </si>
  <si>
    <t>Colorado Rockies</t>
  </si>
  <si>
    <t>COL</t>
  </si>
  <si>
    <t>Detroit Tigers</t>
  </si>
  <si>
    <t>DET</t>
  </si>
  <si>
    <t>Florida Marlins</t>
  </si>
  <si>
    <t>FLO</t>
  </si>
  <si>
    <t>Houston Astros</t>
  </si>
  <si>
    <t>HOU</t>
  </si>
  <si>
    <t>Kansas City Royals</t>
  </si>
  <si>
    <t>KCA</t>
  </si>
  <si>
    <t>Los Angeles Dodgers</t>
  </si>
  <si>
    <t>LAN</t>
  </si>
  <si>
    <t>Milwaukee Brewers</t>
  </si>
  <si>
    <t>MIL</t>
  </si>
  <si>
    <t>Minnesota Twins</t>
  </si>
  <si>
    <t>MIN</t>
  </si>
  <si>
    <t>Montreal Expos</t>
  </si>
  <si>
    <t>MON</t>
  </si>
  <si>
    <t>New York Yankees</t>
  </si>
  <si>
    <t>NYA</t>
  </si>
  <si>
    <t>New York Mets</t>
  </si>
  <si>
    <t>NYN</t>
  </si>
  <si>
    <t>Oakland Athletics</t>
  </si>
  <si>
    <t>OAK</t>
  </si>
  <si>
    <t>Philadelphia Phillies</t>
  </si>
  <si>
    <t>PHI</t>
  </si>
  <si>
    <t>Pittsburgh Pirates</t>
  </si>
  <si>
    <t>PIT</t>
  </si>
  <si>
    <t>San Diego Padres</t>
  </si>
  <si>
    <t>SDN</t>
  </si>
  <si>
    <t>Seattle Mariners</t>
  </si>
  <si>
    <t>SEA</t>
  </si>
  <si>
    <t>San Francisco Giants</t>
  </si>
  <si>
    <t>SFN</t>
  </si>
  <si>
    <t>St. Louis Cardinals</t>
  </si>
  <si>
    <t>SLN</t>
  </si>
  <si>
    <t>Tampa Bay Devil Rays</t>
  </si>
  <si>
    <t>TBA</t>
  </si>
  <si>
    <t>Texas Rangers</t>
  </si>
  <si>
    <t>TEX</t>
  </si>
  <si>
    <t>Toronto Blue Jays</t>
  </si>
  <si>
    <t>TOR</t>
  </si>
  <si>
    <t>Los Angeles Angels of Anaheim</t>
  </si>
  <si>
    <t>LAA</t>
  </si>
  <si>
    <t>Washington Nationals</t>
  </si>
  <si>
    <t>WAS</t>
  </si>
  <si>
    <t>Tampa Bay Rays</t>
  </si>
  <si>
    <t>Miami Marlins</t>
  </si>
  <si>
    <t>MIA</t>
  </si>
  <si>
    <t>Team Name</t>
  </si>
  <si>
    <t>Year</t>
  </si>
  <si>
    <t>Yearly Wins</t>
  </si>
  <si>
    <t>Name</t>
  </si>
  <si>
    <t>Yearly Losses</t>
  </si>
  <si>
    <t>Grand Total</t>
  </si>
  <si>
    <t>Sum of AB</t>
  </si>
  <si>
    <t>Sum of H</t>
  </si>
  <si>
    <t>Sum of 2B</t>
  </si>
  <si>
    <t>Sum of 3B</t>
  </si>
  <si>
    <t>Sum of HR</t>
  </si>
  <si>
    <t>Hit Leader</t>
  </si>
  <si>
    <t>2B Leader</t>
  </si>
  <si>
    <t>3B Leader</t>
  </si>
  <si>
    <t>HR Leader</t>
  </si>
  <si>
    <t>Leading Values</t>
  </si>
  <si>
    <t>-</t>
  </si>
  <si>
    <t>1B</t>
  </si>
  <si>
    <t>BFP</t>
  </si>
  <si>
    <t>2Bp</t>
  </si>
  <si>
    <t>3Bp</t>
  </si>
  <si>
    <t>HRp</t>
  </si>
  <si>
    <t>1Bp</t>
  </si>
  <si>
    <t>Hp</t>
  </si>
  <si>
    <t>BBp</t>
  </si>
  <si>
    <t>HPBp</t>
  </si>
  <si>
    <t>Outs</t>
  </si>
  <si>
    <t>OutsP</t>
  </si>
  <si>
    <t>League Avg. by Yr.</t>
  </si>
  <si>
    <t>z1</t>
  </si>
  <si>
    <t>z2</t>
  </si>
  <si>
    <t>z3</t>
  </si>
  <si>
    <t>z4</t>
  </si>
  <si>
    <t>z5</t>
  </si>
  <si>
    <t>z6</t>
  </si>
  <si>
    <t>z7</t>
  </si>
  <si>
    <t>z8</t>
  </si>
  <si>
    <t>STL</t>
  </si>
  <si>
    <t>CHI</t>
  </si>
  <si>
    <t>NY</t>
  </si>
  <si>
    <t>LA</t>
  </si>
  <si>
    <t>FLA</t>
  </si>
  <si>
    <t>SD</t>
  </si>
  <si>
    <t>Total</t>
  </si>
  <si>
    <t>A</t>
  </si>
  <si>
    <t>KC</t>
  </si>
  <si>
    <t>TB</t>
  </si>
  <si>
    <t>Team</t>
  </si>
  <si>
    <t>G</t>
  </si>
  <si>
    <t>GS</t>
  </si>
  <si>
    <t>GF</t>
  </si>
  <si>
    <t>IP</t>
  </si>
  <si>
    <t>IB</t>
  </si>
  <si>
    <t>SH</t>
  </si>
  <si>
    <t>BK</t>
  </si>
  <si>
    <t>GDP</t>
  </si>
  <si>
    <t>ROE</t>
  </si>
  <si>
    <t>WP</t>
  </si>
  <si>
    <t>RBI</t>
  </si>
  <si>
    <t>IBB</t>
  </si>
  <si>
    <t>XI</t>
  </si>
  <si>
    <t>AVG</t>
  </si>
  <si>
    <t>OBP</t>
  </si>
  <si>
    <t>SLG</t>
  </si>
  <si>
    <t>League</t>
  </si>
  <si>
    <t>Baseball Simulation</t>
  </si>
  <si>
    <t>Scoreboard</t>
  </si>
  <si>
    <t>Home Team</t>
  </si>
  <si>
    <t>VS.</t>
  </si>
  <si>
    <t>Visiting Team</t>
  </si>
  <si>
    <t>Franchise</t>
  </si>
  <si>
    <t>Season</t>
  </si>
  <si>
    <t>inning</t>
  </si>
  <si>
    <t>Final</t>
  </si>
  <si>
    <t>Interest</t>
  </si>
  <si>
    <t>Table Info</t>
  </si>
  <si>
    <t>Index</t>
  </si>
  <si>
    <t>Single</t>
  </si>
  <si>
    <t>Double</t>
  </si>
  <si>
    <t>Triple</t>
  </si>
  <si>
    <t>Home Run</t>
  </si>
  <si>
    <t>Walk</t>
  </si>
  <si>
    <t>Hit by Pitch</t>
  </si>
  <si>
    <t>Out</t>
  </si>
  <si>
    <t>Event ID #</t>
  </si>
  <si>
    <t>Event Calucations</t>
  </si>
  <si>
    <t>Visitor</t>
  </si>
  <si>
    <t>Home</t>
  </si>
  <si>
    <t>2004</t>
  </si>
  <si>
    <t>2007</t>
  </si>
  <si>
    <t>2005</t>
  </si>
  <si>
    <t>2012</t>
  </si>
  <si>
    <t>blah</t>
  </si>
  <si>
    <t>bloo</t>
  </si>
  <si>
    <t>x1</t>
  </si>
  <si>
    <t>Input Name</t>
  </si>
  <si>
    <t>Top of Inning</t>
  </si>
  <si>
    <t>Bottom of Inning</t>
  </si>
  <si>
    <t>Player</t>
  </si>
  <si>
    <t>x2</t>
  </si>
  <si>
    <t>x3</t>
  </si>
  <si>
    <t>x4</t>
  </si>
  <si>
    <t>x5</t>
  </si>
  <si>
    <t>x6</t>
  </si>
  <si>
    <t>x7</t>
  </si>
  <si>
    <t>y1</t>
  </si>
  <si>
    <t>y2</t>
  </si>
  <si>
    <t>y3</t>
  </si>
  <si>
    <t>y4</t>
  </si>
  <si>
    <t>y5</t>
  </si>
  <si>
    <t>y6</t>
  </si>
  <si>
    <t>y7</t>
  </si>
  <si>
    <t>x1y1</t>
  </si>
  <si>
    <t>x2y2</t>
  </si>
  <si>
    <t>x3y3</t>
  </si>
  <si>
    <t>x4y4</t>
  </si>
  <si>
    <t>x5y5</t>
  </si>
  <si>
    <t>x6y6</t>
  </si>
  <si>
    <t>x7y7</t>
  </si>
  <si>
    <t>Single = 1, Double = 2, Triple = 3, Homerun = 4, Walk = 5, Hit by Pitch = 6, Out = 7</t>
  </si>
  <si>
    <t>2008</t>
  </si>
  <si>
    <t>2000</t>
  </si>
  <si>
    <t>2001</t>
  </si>
  <si>
    <t>2002</t>
  </si>
  <si>
    <t>2003</t>
  </si>
  <si>
    <t>2006</t>
  </si>
  <si>
    <t>2009</t>
  </si>
  <si>
    <t>2010</t>
  </si>
  <si>
    <t>2011</t>
  </si>
  <si>
    <t>2013</t>
  </si>
  <si>
    <t>2014</t>
  </si>
  <si>
    <t>2015</t>
  </si>
  <si>
    <t>2016</t>
  </si>
  <si>
    <t>2017</t>
  </si>
  <si>
    <t>2018</t>
  </si>
  <si>
    <t>Runs</t>
  </si>
  <si>
    <t>Duration Table Input Parameters</t>
  </si>
  <si>
    <t>First Discount Rate</t>
  </si>
  <si>
    <t>default 5%</t>
  </si>
  <si>
    <t>Discount Rate Increase</t>
  </si>
  <si>
    <t>default 0.5%</t>
  </si>
  <si>
    <t>Total Number of Points</t>
  </si>
  <si>
    <t>default = 20, Max = 20</t>
  </si>
  <si>
    <t>Duration and Convexity Output Table</t>
  </si>
  <si>
    <t>P = PV</t>
  </si>
  <si>
    <t>D = Duration</t>
  </si>
  <si>
    <t>D* = Effective Duration</t>
  </si>
  <si>
    <t>C = Effective Convexity</t>
  </si>
  <si>
    <t>2000 Anaheim Angels</t>
  </si>
  <si>
    <t>2000 Arizona Diamondbacks</t>
  </si>
  <si>
    <t>2000 Atlanta Braves</t>
  </si>
  <si>
    <t>2000 Baltimore Orioles</t>
  </si>
  <si>
    <t>2000 Boston Red Sox</t>
  </si>
  <si>
    <t>2000 Chicago Cubs</t>
  </si>
  <si>
    <t>2000 Chicago White Sox</t>
  </si>
  <si>
    <t>2000 Cincinnati Reds</t>
  </si>
  <si>
    <t>2000 Cleveland Indians</t>
  </si>
  <si>
    <t>2000 Colorado Rockies</t>
  </si>
  <si>
    <t>2000 Detroit Tigers</t>
  </si>
  <si>
    <t>2000 Florida Marlins</t>
  </si>
  <si>
    <t>2000 Houston Astros</t>
  </si>
  <si>
    <t>2000 Kansas City Royals</t>
  </si>
  <si>
    <t>2000 Los Angeles Dodgers</t>
  </si>
  <si>
    <t>2000 Milwaukee Brewers</t>
  </si>
  <si>
    <t>2000 Minnesota Twins</t>
  </si>
  <si>
    <t>2000 Montreal Expos</t>
  </si>
  <si>
    <t>2000 New York Mets</t>
  </si>
  <si>
    <t>2000 New York Yankees</t>
  </si>
  <si>
    <t>2000 Oakland Athletics</t>
  </si>
  <si>
    <t>2000 Philadelphia Phillies</t>
  </si>
  <si>
    <t>2000 Pittsburgh Pirates</t>
  </si>
  <si>
    <t>2000 San Diego Padres</t>
  </si>
  <si>
    <t>2000 Seattle Mariners</t>
  </si>
  <si>
    <t>2000 San Francisco Giants</t>
  </si>
  <si>
    <t>2000 St. Louis Cardinals</t>
  </si>
  <si>
    <t>2000 Tampa Bay Devil Rays</t>
  </si>
  <si>
    <t>2000 Texas Rangers</t>
  </si>
  <si>
    <t>2000 Toronto Blue Jays</t>
  </si>
  <si>
    <t>2001 Anaheim Angels</t>
  </si>
  <si>
    <t>2001 Arizona Diamondbacks</t>
  </si>
  <si>
    <t>2001 Atlanta Braves</t>
  </si>
  <si>
    <t>2001 Baltimore Orioles</t>
  </si>
  <si>
    <t>2001 Boston Red Sox</t>
  </si>
  <si>
    <t>2001 Chicago Cubs</t>
  </si>
  <si>
    <t>2001 Chicago White Sox</t>
  </si>
  <si>
    <t>2001 Cincinnati Reds</t>
  </si>
  <si>
    <t>2001 Cleveland Indians</t>
  </si>
  <si>
    <t>2001 Colorado Rockies</t>
  </si>
  <si>
    <t>2001 Detroit Tigers</t>
  </si>
  <si>
    <t>2001 Florida Marlins</t>
  </si>
  <si>
    <t>2001 Houston Astros</t>
  </si>
  <si>
    <t>2001 Kansas City Royals</t>
  </si>
  <si>
    <t>2001 Los Angeles Dodgers</t>
  </si>
  <si>
    <t>2001 Milwaukee Brewers</t>
  </si>
  <si>
    <t>2001 Minnesota Twins</t>
  </si>
  <si>
    <t>2001 Montreal Expos</t>
  </si>
  <si>
    <t>2001 New York Mets</t>
  </si>
  <si>
    <t>2001 New York Yankees</t>
  </si>
  <si>
    <t>2001 Oakland Athletics</t>
  </si>
  <si>
    <t>2001 Philadelphia Phillies</t>
  </si>
  <si>
    <t>2001 Pittsburgh Pirates</t>
  </si>
  <si>
    <t>2001 San Diego Padres</t>
  </si>
  <si>
    <t>2001 Seattle Mariners</t>
  </si>
  <si>
    <t>2001 San Francisco Giants</t>
  </si>
  <si>
    <t>2001 St. Louis Cardinals</t>
  </si>
  <si>
    <t>2001 Tampa Bay Devil Rays</t>
  </si>
  <si>
    <t>2001 Texas Rangers</t>
  </si>
  <si>
    <t>2001 Toronto Blue Jays</t>
  </si>
  <si>
    <t>2002 Anaheim Angels</t>
  </si>
  <si>
    <t>2002 Arizona Diamondbacks</t>
  </si>
  <si>
    <t>2002 Atlanta Braves</t>
  </si>
  <si>
    <t>2002 Baltimore Orioles</t>
  </si>
  <si>
    <t>2002 Boston Red Sox</t>
  </si>
  <si>
    <t>2002 Chicago Cubs</t>
  </si>
  <si>
    <t>2002 Chicago White Sox</t>
  </si>
  <si>
    <t>2002 Cincinnati Reds</t>
  </si>
  <si>
    <t>2002 Cleveland Indians</t>
  </si>
  <si>
    <t>2002 Colorado Rockies</t>
  </si>
  <si>
    <t>2002 Detroit Tigers</t>
  </si>
  <si>
    <t>2002 Florida Marlins</t>
  </si>
  <si>
    <t>2002 Houston Astros</t>
  </si>
  <si>
    <t>2002 Kansas City Royals</t>
  </si>
  <si>
    <t>2002 Los Angeles Dodgers</t>
  </si>
  <si>
    <t>2002 Milwaukee Brewers</t>
  </si>
  <si>
    <t>2002 Minnesota Twins</t>
  </si>
  <si>
    <t>2002 Montreal Expos</t>
  </si>
  <si>
    <t>2002 New York Mets</t>
  </si>
  <si>
    <t>2002 New York Yankees</t>
  </si>
  <si>
    <t>2002 Oakland Athletics</t>
  </si>
  <si>
    <t>2002 Philadelphia Phillies</t>
  </si>
  <si>
    <t>2002 Pittsburgh Pirates</t>
  </si>
  <si>
    <t>2002 San Diego Padres</t>
  </si>
  <si>
    <t>2002 Seattle Mariners</t>
  </si>
  <si>
    <t>2002 San Francisco Giants</t>
  </si>
  <si>
    <t>2002 St. Louis Cardinals</t>
  </si>
  <si>
    <t>2002 Tampa Bay Devil Rays</t>
  </si>
  <si>
    <t>2002 Texas Rangers</t>
  </si>
  <si>
    <t>2002 Toronto Blue Jays</t>
  </si>
  <si>
    <t>2003 Anaheim Angels</t>
  </si>
  <si>
    <t>2003 Arizona Diamondbacks</t>
  </si>
  <si>
    <t>2003 Atlanta Braves</t>
  </si>
  <si>
    <t>2003 Baltimore Orioles</t>
  </si>
  <si>
    <t>2003 Boston Red Sox</t>
  </si>
  <si>
    <t>2003 Chicago Cubs</t>
  </si>
  <si>
    <t>2003 Chicago White Sox</t>
  </si>
  <si>
    <t>2003 Cincinnati Reds</t>
  </si>
  <si>
    <t>2003 Cleveland Indians</t>
  </si>
  <si>
    <t>2003 Colorado Rockies</t>
  </si>
  <si>
    <t>2003 Detroit Tigers</t>
  </si>
  <si>
    <t>2003 Florida Marlins</t>
  </si>
  <si>
    <t>2003 Houston Astros</t>
  </si>
  <si>
    <t>2003 Kansas City Royals</t>
  </si>
  <si>
    <t>2003 Los Angeles Dodgers</t>
  </si>
  <si>
    <t>2003 Milwaukee Brewers</t>
  </si>
  <si>
    <t>2003 Minnesota Twins</t>
  </si>
  <si>
    <t>2003 Montreal Expos</t>
  </si>
  <si>
    <t>2003 New York Mets</t>
  </si>
  <si>
    <t>2003 New York Yankees</t>
  </si>
  <si>
    <t>2003 Oakland Athletics</t>
  </si>
  <si>
    <t>2003 Philadelphia Phillies</t>
  </si>
  <si>
    <t>2003 Pittsburgh Pirates</t>
  </si>
  <si>
    <t>2003 San Diego Padres</t>
  </si>
  <si>
    <t>2003 Seattle Mariners</t>
  </si>
  <si>
    <t>2003 San Francisco Giants</t>
  </si>
  <si>
    <t>2003 St. Louis Cardinals</t>
  </si>
  <si>
    <t>2003 Tampa Bay Devil Rays</t>
  </si>
  <si>
    <t>2003 Texas Rangers</t>
  </si>
  <si>
    <t>2003 Toronto Blue Jays</t>
  </si>
  <si>
    <t>2004 Anaheim Angels</t>
  </si>
  <si>
    <t>2004 Arizona Diamondbacks</t>
  </si>
  <si>
    <t>2004 Atlanta Braves</t>
  </si>
  <si>
    <t>2004 Baltimore Orioles</t>
  </si>
  <si>
    <t>2004 Boston Red Sox</t>
  </si>
  <si>
    <t>2004 Chicago Cubs</t>
  </si>
  <si>
    <t>2004 Chicago White Sox</t>
  </si>
  <si>
    <t>2004 Cincinnati Reds</t>
  </si>
  <si>
    <t>2004 Cleveland Indians</t>
  </si>
  <si>
    <t>2004 Colorado Rockies</t>
  </si>
  <si>
    <t>2004 Detroit Tigers</t>
  </si>
  <si>
    <t>2004 Florida Marlins</t>
  </si>
  <si>
    <t>2004 Houston Astros</t>
  </si>
  <si>
    <t>2004 Kansas City Royals</t>
  </si>
  <si>
    <t>2004 Los Angeles Dodgers</t>
  </si>
  <si>
    <t>2004 Milwaukee Brewers</t>
  </si>
  <si>
    <t>2004 Minnesota Twins</t>
  </si>
  <si>
    <t>2004 Montreal Expos</t>
  </si>
  <si>
    <t>2004 New York Mets</t>
  </si>
  <si>
    <t>2004 New York Yankees</t>
  </si>
  <si>
    <t>2004 Oakland Athletics</t>
  </si>
  <si>
    <t>2004 Philadelphia Phillies</t>
  </si>
  <si>
    <t>2004 Pittsburgh Pirates</t>
  </si>
  <si>
    <t>2004 San Diego Padres</t>
  </si>
  <si>
    <t>2004 Seattle Mariners</t>
  </si>
  <si>
    <t>2004 San Francisco Giants</t>
  </si>
  <si>
    <t>2004 St. Louis Cardinals</t>
  </si>
  <si>
    <t>2004 Tampa Bay Devil Rays</t>
  </si>
  <si>
    <t>2004 Texas Rangers</t>
  </si>
  <si>
    <t>2004 Toronto Blue Jays</t>
  </si>
  <si>
    <t>2005 Anaheim Angels</t>
  </si>
  <si>
    <t>2005 Arizona Diamondbacks</t>
  </si>
  <si>
    <t>2005 Atlanta Braves</t>
  </si>
  <si>
    <t>2005 Baltimore Orioles</t>
  </si>
  <si>
    <t>2005 Boston Red Sox</t>
  </si>
  <si>
    <t>2005 Chicago Cubs</t>
  </si>
  <si>
    <t>2005 Chicago White Sox</t>
  </si>
  <si>
    <t>2005 Cincinnati Reds</t>
  </si>
  <si>
    <t>2005 Cleveland Indians</t>
  </si>
  <si>
    <t>2005 Colorado Rockies</t>
  </si>
  <si>
    <t>2005 Detroit Tigers</t>
  </si>
  <si>
    <t>2005 Florida Marlins</t>
  </si>
  <si>
    <t>2005 Houston Astros</t>
  </si>
  <si>
    <t>2005 Kansas City Royals</t>
  </si>
  <si>
    <t>2005 Los Angeles Dodgers</t>
  </si>
  <si>
    <t>2005 Milwaukee Brewers</t>
  </si>
  <si>
    <t>2005 Minnesota Twins</t>
  </si>
  <si>
    <t>2005 New York Mets</t>
  </si>
  <si>
    <t>2005 New York Yankees</t>
  </si>
  <si>
    <t>2005 Oakland Athletics</t>
  </si>
  <si>
    <t>2005 Philadelphia Phillies</t>
  </si>
  <si>
    <t>2005 Pittsburgh Pirates</t>
  </si>
  <si>
    <t>2005 San Diego Padres</t>
  </si>
  <si>
    <t>2005 Seattle Mariners</t>
  </si>
  <si>
    <t>2005 San Francisco Giants</t>
  </si>
  <si>
    <t>2005 St. Louis Cardinals</t>
  </si>
  <si>
    <t>2005 Tampa Bay Devil Rays</t>
  </si>
  <si>
    <t>2005 Texas Rangers</t>
  </si>
  <si>
    <t>2005 Toronto Blue Jays</t>
  </si>
  <si>
    <t>2005 Washington Nationals</t>
  </si>
  <si>
    <t>2006 Anaheim Angels</t>
  </si>
  <si>
    <t>2006 Arizona Diamondbacks</t>
  </si>
  <si>
    <t>2006 Atlanta Braves</t>
  </si>
  <si>
    <t>2006 Baltimore Orioles</t>
  </si>
  <si>
    <t>2006 Boston Red Sox</t>
  </si>
  <si>
    <t>2006 Chicago Cubs</t>
  </si>
  <si>
    <t>2006 Chicago White Sox</t>
  </si>
  <si>
    <t>2006 Cincinnati Reds</t>
  </si>
  <si>
    <t>2006 Cleveland Indians</t>
  </si>
  <si>
    <t>2006 Colorado Rockies</t>
  </si>
  <si>
    <t>2006 Detroit Tigers</t>
  </si>
  <si>
    <t>2006 Florida Marlins</t>
  </si>
  <si>
    <t>2006 Houston Astros</t>
  </si>
  <si>
    <t>2006 Kansas City Royals</t>
  </si>
  <si>
    <t>2006 Los Angeles Dodgers</t>
  </si>
  <si>
    <t>2006 Milwaukee Brewers</t>
  </si>
  <si>
    <t>2006 Minnesota Twins</t>
  </si>
  <si>
    <t>2006 New York Mets</t>
  </si>
  <si>
    <t>2006 New York Yankees</t>
  </si>
  <si>
    <t>2006 Oakland Athletics</t>
  </si>
  <si>
    <t>2006 Philadelphia Phillies</t>
  </si>
  <si>
    <t>2006 Pittsburgh Pirates</t>
  </si>
  <si>
    <t>2006 San Diego Padres</t>
  </si>
  <si>
    <t>2006 Seattle Mariners</t>
  </si>
  <si>
    <t>2006 San Francisco Giants</t>
  </si>
  <si>
    <t>2006 St. Louis Cardinals</t>
  </si>
  <si>
    <t>2006 Tampa Bay Devil Rays</t>
  </si>
  <si>
    <t>2006 Texas Rangers</t>
  </si>
  <si>
    <t>2006 Toronto Blue Jays</t>
  </si>
  <si>
    <t>2006 Washington Nationals</t>
  </si>
  <si>
    <t>2007 Anaheim Angels</t>
  </si>
  <si>
    <t>2007 Arizona Diamondbacks</t>
  </si>
  <si>
    <t>2007 Atlanta Braves</t>
  </si>
  <si>
    <t>2007 Baltimore Orioles</t>
  </si>
  <si>
    <t>2007 Boston Red Sox</t>
  </si>
  <si>
    <t>2007 Chicago Cubs</t>
  </si>
  <si>
    <t>2007 Chicago White Sox</t>
  </si>
  <si>
    <t>2007 Cincinnati Reds</t>
  </si>
  <si>
    <t>2007 Cleveland Indians</t>
  </si>
  <si>
    <t>2007 Colorado Rockies</t>
  </si>
  <si>
    <t>2007 Detroit Tigers</t>
  </si>
  <si>
    <t>2007 Florida Marlins</t>
  </si>
  <si>
    <t>2007 Houston Astros</t>
  </si>
  <si>
    <t>2007 Kansas City Royals</t>
  </si>
  <si>
    <t>2007 Los Angeles Dodgers</t>
  </si>
  <si>
    <t>2007 Milwaukee Brewers</t>
  </si>
  <si>
    <t>2007 Minnesota Twins</t>
  </si>
  <si>
    <t>2007 New York Mets</t>
  </si>
  <si>
    <t>2007 New York Yankees</t>
  </si>
  <si>
    <t>2007 Oakland Athletics</t>
  </si>
  <si>
    <t>2007 Philadelphia Phillies</t>
  </si>
  <si>
    <t>2007 Pittsburgh Pirates</t>
  </si>
  <si>
    <t>2007 San Diego Padres</t>
  </si>
  <si>
    <t>2007 Seattle Mariners</t>
  </si>
  <si>
    <t>2007 San Francisco Giants</t>
  </si>
  <si>
    <t>2007 St. Louis Cardinals</t>
  </si>
  <si>
    <t>2007 Tampa Bay Devil Rays</t>
  </si>
  <si>
    <t>2007 Texas Rangers</t>
  </si>
  <si>
    <t>2007 Toronto Blue Jays</t>
  </si>
  <si>
    <t>2007 Washington Nationals</t>
  </si>
  <si>
    <t>2008 Anaheim Angels</t>
  </si>
  <si>
    <t>2008 Arizona Diamondbacks</t>
  </si>
  <si>
    <t>2008 Atlanta Braves</t>
  </si>
  <si>
    <t>2008 Baltimore Orioles</t>
  </si>
  <si>
    <t>2008 Boston Red Sox</t>
  </si>
  <si>
    <t>2008 Chicago Cubs</t>
  </si>
  <si>
    <t>2008 Chicago White Sox</t>
  </si>
  <si>
    <t>2008 Cincinnati Reds</t>
  </si>
  <si>
    <t>2008 Cleveland Indians</t>
  </si>
  <si>
    <t>2008 Colorado Rockies</t>
  </si>
  <si>
    <t>2008 Detroit Tigers</t>
  </si>
  <si>
    <t>2008 Florida Marlins</t>
  </si>
  <si>
    <t>2008 Houston Astros</t>
  </si>
  <si>
    <t>2008 Kansas City Royals</t>
  </si>
  <si>
    <t>2008 Los Angeles Dodgers</t>
  </si>
  <si>
    <t>2008 Milwaukee Brewers</t>
  </si>
  <si>
    <t>2008 Minnesota Twins</t>
  </si>
  <si>
    <t>2008 New York Mets</t>
  </si>
  <si>
    <t>2008 New York Yankees</t>
  </si>
  <si>
    <t>2008 Oakland Athletics</t>
  </si>
  <si>
    <t>2008 Philadelphia Phillies</t>
  </si>
  <si>
    <t>2008 Pittsburgh Pirates</t>
  </si>
  <si>
    <t>2008 San Diego Padres</t>
  </si>
  <si>
    <t>2008 Seattle Mariners</t>
  </si>
  <si>
    <t>2008 San Francisco Giants</t>
  </si>
  <si>
    <t>2008 St. Louis Cardinals</t>
  </si>
  <si>
    <t>2008 Tampa Bay Devil Rays</t>
  </si>
  <si>
    <t>2008 Texas Rangers</t>
  </si>
  <si>
    <t>2008 Toronto Blue Jays</t>
  </si>
  <si>
    <t>2008 Washington Nationals</t>
  </si>
  <si>
    <t>2009 Anaheim Angels</t>
  </si>
  <si>
    <t>2009 Arizona Diamondbacks</t>
  </si>
  <si>
    <t>2009 Atlanta Braves</t>
  </si>
  <si>
    <t>2009 Baltimore Orioles</t>
  </si>
  <si>
    <t>2009 Boston Red Sox</t>
  </si>
  <si>
    <t>2009 Chicago Cubs</t>
  </si>
  <si>
    <t>2009 Chicago White Sox</t>
  </si>
  <si>
    <t>2009 Cincinnati Reds</t>
  </si>
  <si>
    <t>2009 Cleveland Indians</t>
  </si>
  <si>
    <t>2009 Colorado Rockies</t>
  </si>
  <si>
    <t>2009 Detroit Tigers</t>
  </si>
  <si>
    <t>2009 Florida Marlins</t>
  </si>
  <si>
    <t>2009 Houston Astros</t>
  </si>
  <si>
    <t>2009 Kansas City Royals</t>
  </si>
  <si>
    <t>2009 Los Angeles Dodgers</t>
  </si>
  <si>
    <t>2009 Milwaukee Brewers</t>
  </si>
  <si>
    <t>2009 Minnesota Twins</t>
  </si>
  <si>
    <t>2009 New York Mets</t>
  </si>
  <si>
    <t>2009 New York Yankees</t>
  </si>
  <si>
    <t>2009 Oakland Athletics</t>
  </si>
  <si>
    <t>2009 Philadelphia Phillies</t>
  </si>
  <si>
    <t>2009 Pittsburgh Pirates</t>
  </si>
  <si>
    <t>2009 San Diego Padres</t>
  </si>
  <si>
    <t>2009 Seattle Mariners</t>
  </si>
  <si>
    <t>2009 San Francisco Giants</t>
  </si>
  <si>
    <t>2009 St. Louis Cardinals</t>
  </si>
  <si>
    <t>2009 Tampa Bay Devil Rays</t>
  </si>
  <si>
    <t>2009 Texas Rangers</t>
  </si>
  <si>
    <t>2009 Toronto Blue Jays</t>
  </si>
  <si>
    <t>2009 Washington Nationals</t>
  </si>
  <si>
    <t>2010 Anaheim Angels</t>
  </si>
  <si>
    <t>2010 Arizona Diamondbacks</t>
  </si>
  <si>
    <t>2010 Atlanta Braves</t>
  </si>
  <si>
    <t>2010 Baltimore Orioles</t>
  </si>
  <si>
    <t>2010 Boston Red Sox</t>
  </si>
  <si>
    <t>2010 Chicago Cubs</t>
  </si>
  <si>
    <t>2010 Chicago White Sox</t>
  </si>
  <si>
    <t>2010 Cincinnati Reds</t>
  </si>
  <si>
    <t>2010 Cleveland Indians</t>
  </si>
  <si>
    <t>2010 Colorado Rockies</t>
  </si>
  <si>
    <t>2010 Detroit Tigers</t>
  </si>
  <si>
    <t>2010 Florida Marlins</t>
  </si>
  <si>
    <t>2010 Houston Astros</t>
  </si>
  <si>
    <t>2010 Kansas City Royals</t>
  </si>
  <si>
    <t>2010 Los Angeles Dodgers</t>
  </si>
  <si>
    <t>2010 Milwaukee Brewers</t>
  </si>
  <si>
    <t>2010 Minnesota Twins</t>
  </si>
  <si>
    <t>2010 New York Mets</t>
  </si>
  <si>
    <t>2010 New York Yankees</t>
  </si>
  <si>
    <t>2010 Oakland Athletics</t>
  </si>
  <si>
    <t>2010 Philadelphia Phillies</t>
  </si>
  <si>
    <t>2010 Pittsburgh Pirates</t>
  </si>
  <si>
    <t>2010 San Diego Padres</t>
  </si>
  <si>
    <t>2010 Seattle Mariners</t>
  </si>
  <si>
    <t>2010 San Francisco Giants</t>
  </si>
  <si>
    <t>2010 St. Louis Cardinals</t>
  </si>
  <si>
    <t>2010 Tampa Bay Devil Rays</t>
  </si>
  <si>
    <t>2010 Texas Rangers</t>
  </si>
  <si>
    <t>2010 Toronto Blue Jays</t>
  </si>
  <si>
    <t>2010 Washington Nationals</t>
  </si>
  <si>
    <t>2011 Anaheim Angels</t>
  </si>
  <si>
    <t>2011 Arizona Diamondbacks</t>
  </si>
  <si>
    <t>2011 Atlanta Braves</t>
  </si>
  <si>
    <t>2011 Baltimore Orioles</t>
  </si>
  <si>
    <t>2011 Boston Red Sox</t>
  </si>
  <si>
    <t>2011 Chicago Cubs</t>
  </si>
  <si>
    <t>2011 Chicago White Sox</t>
  </si>
  <si>
    <t>2011 Cincinnati Reds</t>
  </si>
  <si>
    <t>2011 Cleveland Indians</t>
  </si>
  <si>
    <t>2011 Colorado Rockies</t>
  </si>
  <si>
    <t>2011 Detroit Tigers</t>
  </si>
  <si>
    <t>2011 Florida Marlins</t>
  </si>
  <si>
    <t>2011 Houston Astros</t>
  </si>
  <si>
    <t>2011 Kansas City Royals</t>
  </si>
  <si>
    <t>2011 Los Angeles Dodgers</t>
  </si>
  <si>
    <t>2011 Milwaukee Brewers</t>
  </si>
  <si>
    <t>2011 Minnesota Twins</t>
  </si>
  <si>
    <t>2011 New York Mets</t>
  </si>
  <si>
    <t>2011 New York Yankees</t>
  </si>
  <si>
    <t>2011 Oakland Athletics</t>
  </si>
  <si>
    <t>2011 Philadelphia Phillies</t>
  </si>
  <si>
    <t>2011 Pittsburgh Pirates</t>
  </si>
  <si>
    <t>2011 San Diego Padres</t>
  </si>
  <si>
    <t>2011 Seattle Mariners</t>
  </si>
  <si>
    <t>2011 San Francisco Giants</t>
  </si>
  <si>
    <t>2011 St. Louis Cardinals</t>
  </si>
  <si>
    <t>2011 Tampa Bay Devil Rays</t>
  </si>
  <si>
    <t>2011 Texas Rangers</t>
  </si>
  <si>
    <t>2011 Toronto Blue Jays</t>
  </si>
  <si>
    <t>2011 Washington Nationals</t>
  </si>
  <si>
    <t>2012 Anaheim Angels</t>
  </si>
  <si>
    <t>2012 Arizona Diamondbacks</t>
  </si>
  <si>
    <t>2012 Atlanta Braves</t>
  </si>
  <si>
    <t>2012 Baltimore Orioles</t>
  </si>
  <si>
    <t>2012 Boston Red Sox</t>
  </si>
  <si>
    <t>2012 Chicago Cubs</t>
  </si>
  <si>
    <t>2012 Chicago White Sox</t>
  </si>
  <si>
    <t>2012 Cincinnati Reds</t>
  </si>
  <si>
    <t>2012 Cleveland Indians</t>
  </si>
  <si>
    <t>2012 Colorado Rockies</t>
  </si>
  <si>
    <t>2012 Detroit Tigers</t>
  </si>
  <si>
    <t>2012 Florida Marlins</t>
  </si>
  <si>
    <t>2012 Houston Astros</t>
  </si>
  <si>
    <t>2012 Kansas City Royals</t>
  </si>
  <si>
    <t>2012 Los Angeles Dodgers</t>
  </si>
  <si>
    <t>2012 Milwaukee Brewers</t>
  </si>
  <si>
    <t>2012 Minnesota Twins</t>
  </si>
  <si>
    <t>2012 New York Mets</t>
  </si>
  <si>
    <t>2012 New York Yankees</t>
  </si>
  <si>
    <t>2012 Oakland Athletics</t>
  </si>
  <si>
    <t>2012 Philadelphia Phillies</t>
  </si>
  <si>
    <t>2012 Pittsburgh Pirates</t>
  </si>
  <si>
    <t>2012 San Diego Padres</t>
  </si>
  <si>
    <t>2012 Seattle Mariners</t>
  </si>
  <si>
    <t>2012 San Francisco Giants</t>
  </si>
  <si>
    <t>2012 St. Louis Cardinals</t>
  </si>
  <si>
    <t>2012 Tampa Bay Devil Rays</t>
  </si>
  <si>
    <t>2012 Texas Rangers</t>
  </si>
  <si>
    <t>2012 Toronto Blue Jays</t>
  </si>
  <si>
    <t>2012 Washington Nationals</t>
  </si>
  <si>
    <t>2013 Anaheim Angels</t>
  </si>
  <si>
    <t>2013 Arizona Diamondbacks</t>
  </si>
  <si>
    <t>2013 Atlanta Braves</t>
  </si>
  <si>
    <t>2013 Baltimore Orioles</t>
  </si>
  <si>
    <t>2013 Boston Red Sox</t>
  </si>
  <si>
    <t>2013 Chicago Cubs</t>
  </si>
  <si>
    <t>2013 Chicago White Sox</t>
  </si>
  <si>
    <t>2013 Cincinnati Reds</t>
  </si>
  <si>
    <t>2013 Cleveland Indians</t>
  </si>
  <si>
    <t>2013 Colorado Rockies</t>
  </si>
  <si>
    <t>2013 Detroit Tigers</t>
  </si>
  <si>
    <t>2013 Florida Marlins</t>
  </si>
  <si>
    <t>2013 Houston Astros</t>
  </si>
  <si>
    <t>2013 Kansas City Royals</t>
  </si>
  <si>
    <t>2013 Los Angeles Dodgers</t>
  </si>
  <si>
    <t>2013 Milwaukee Brewers</t>
  </si>
  <si>
    <t>2013 Minnesota Twins</t>
  </si>
  <si>
    <t>2013 New York Mets</t>
  </si>
  <si>
    <t>2013 New York Yankees</t>
  </si>
  <si>
    <t>2013 Oakland Athletics</t>
  </si>
  <si>
    <t>2013 Philadelphia Phillies</t>
  </si>
  <si>
    <t>2013 Pittsburgh Pirates</t>
  </si>
  <si>
    <t>2013 San Diego Padres</t>
  </si>
  <si>
    <t>2013 Seattle Mariners</t>
  </si>
  <si>
    <t>2013 San Francisco Giants</t>
  </si>
  <si>
    <t>2013 St. Louis Cardinals</t>
  </si>
  <si>
    <t>2013 Tampa Bay Devil Rays</t>
  </si>
  <si>
    <t>2013 Texas Rangers</t>
  </si>
  <si>
    <t>2013 Toronto Blue Jays</t>
  </si>
  <si>
    <t>2013 Washington Nationals</t>
  </si>
  <si>
    <t>2014 Anaheim Angels</t>
  </si>
  <si>
    <t>2014 Arizona Diamondbacks</t>
  </si>
  <si>
    <t>2014 Atlanta Braves</t>
  </si>
  <si>
    <t>2014 Baltimore Orioles</t>
  </si>
  <si>
    <t>2014 Boston Red Sox</t>
  </si>
  <si>
    <t>2014 Chicago Cubs</t>
  </si>
  <si>
    <t>2014 Chicago White Sox</t>
  </si>
  <si>
    <t>2014 Cincinnati Reds</t>
  </si>
  <si>
    <t>2014 Cleveland Indians</t>
  </si>
  <si>
    <t>2014 Colorado Rockies</t>
  </si>
  <si>
    <t>2014 Detroit Tigers</t>
  </si>
  <si>
    <t>2014 Florida Marlins</t>
  </si>
  <si>
    <t>2014 Houston Astros</t>
  </si>
  <si>
    <t>2014 Kansas City Royals</t>
  </si>
  <si>
    <t>2014 Los Angeles Dodgers</t>
  </si>
  <si>
    <t>2014 Milwaukee Brewers</t>
  </si>
  <si>
    <t>2014 Minnesota Twins</t>
  </si>
  <si>
    <t>2014 New York Mets</t>
  </si>
  <si>
    <t>2014 New York Yankees</t>
  </si>
  <si>
    <t>2014 Oakland Athletics</t>
  </si>
  <si>
    <t>2014 Philadelphia Phillies</t>
  </si>
  <si>
    <t>2014 Pittsburgh Pirates</t>
  </si>
  <si>
    <t>2014 San Diego Padres</t>
  </si>
  <si>
    <t>2014 Seattle Mariners</t>
  </si>
  <si>
    <t>2014 San Francisco Giants</t>
  </si>
  <si>
    <t>2014 St. Louis Cardinals</t>
  </si>
  <si>
    <t>2014 Tampa Bay Devil Rays</t>
  </si>
  <si>
    <t>2014 Texas Rangers</t>
  </si>
  <si>
    <t>2014 Toronto Blue Jays</t>
  </si>
  <si>
    <t>2014 Washington Nationals</t>
  </si>
  <si>
    <t>2015 Anaheim Angels</t>
  </si>
  <si>
    <t>2015 Arizona Diamondbacks</t>
  </si>
  <si>
    <t>2015 Atlanta Braves</t>
  </si>
  <si>
    <t>2015 Baltimore Orioles</t>
  </si>
  <si>
    <t>2015 Boston Red Sox</t>
  </si>
  <si>
    <t>2015 Chicago Cubs</t>
  </si>
  <si>
    <t>2015 Chicago White Sox</t>
  </si>
  <si>
    <t>2015 Cincinnati Reds</t>
  </si>
  <si>
    <t>2015 Cleveland Indians</t>
  </si>
  <si>
    <t>2015 Colorado Rockies</t>
  </si>
  <si>
    <t>2015 Detroit Tigers</t>
  </si>
  <si>
    <t>2015 Florida Marlins</t>
  </si>
  <si>
    <t>2015 Houston Astros</t>
  </si>
  <si>
    <t>2015 Kansas City Royals</t>
  </si>
  <si>
    <t>2015 Los Angeles Dodgers</t>
  </si>
  <si>
    <t>2015 Milwaukee Brewers</t>
  </si>
  <si>
    <t>2015 Minnesota Twins</t>
  </si>
  <si>
    <t>2015 New York Mets</t>
  </si>
  <si>
    <t>2015 New York Yankees</t>
  </si>
  <si>
    <t>2015 Oakland Athletics</t>
  </si>
  <si>
    <t>2015 Philadelphia Phillies</t>
  </si>
  <si>
    <t>2015 Pittsburgh Pirates</t>
  </si>
  <si>
    <t>2015 San Diego Padres</t>
  </si>
  <si>
    <t>2015 Seattle Mariners</t>
  </si>
  <si>
    <t>2015 San Francisco Giants</t>
  </si>
  <si>
    <t>2015 St. Louis Cardinals</t>
  </si>
  <si>
    <t>2015 Tampa Bay Devil Rays</t>
  </si>
  <si>
    <t>2015 Texas Rangers</t>
  </si>
  <si>
    <t>2015 Toronto Blue Jays</t>
  </si>
  <si>
    <t>2015 Washington Nationals</t>
  </si>
  <si>
    <t>2016 Anaheim Angels</t>
  </si>
  <si>
    <t>2016 Arizona Diamondbacks</t>
  </si>
  <si>
    <t>2016 Atlanta Braves</t>
  </si>
  <si>
    <t>2016 Baltimore Orioles</t>
  </si>
  <si>
    <t>2016 Boston Red Sox</t>
  </si>
  <si>
    <t>2016 Chicago Cubs</t>
  </si>
  <si>
    <t>2016 Chicago White Sox</t>
  </si>
  <si>
    <t>2016 Cincinnati Reds</t>
  </si>
  <si>
    <t>2016 Cleveland Indians</t>
  </si>
  <si>
    <t>2016 Colorado Rockies</t>
  </si>
  <si>
    <t>2016 Detroit Tigers</t>
  </si>
  <si>
    <t>2016 Florida Marlins</t>
  </si>
  <si>
    <t>2016 Houston Astros</t>
  </si>
  <si>
    <t>2016 Kansas City Royals</t>
  </si>
  <si>
    <t>2016 Los Angeles Dodgers</t>
  </si>
  <si>
    <t>2016 Milwaukee Brewers</t>
  </si>
  <si>
    <t>2016 Minnesota Twins</t>
  </si>
  <si>
    <t>2016 New York Mets</t>
  </si>
  <si>
    <t>2016 New York Yankees</t>
  </si>
  <si>
    <t>2016 Oakland Athletics</t>
  </si>
  <si>
    <t>2016 Philadelphia Phillies</t>
  </si>
  <si>
    <t>2016 Pittsburgh Pirates</t>
  </si>
  <si>
    <t>2016 San Diego Padres</t>
  </si>
  <si>
    <t>2016 Seattle Mariners</t>
  </si>
  <si>
    <t>2016 San Francisco Giants</t>
  </si>
  <si>
    <t>2016 St. Louis Cardinals</t>
  </si>
  <si>
    <t>2016 Tampa Bay Devil Rays</t>
  </si>
  <si>
    <t>2016 Texas Rangers</t>
  </si>
  <si>
    <t>2016 Toronto Blue Jays</t>
  </si>
  <si>
    <t>2016 Washington Nationals</t>
  </si>
  <si>
    <t>2017 Anaheim Angels</t>
  </si>
  <si>
    <t>2017 Arizona Diamondbacks</t>
  </si>
  <si>
    <t>2017 Atlanta Braves</t>
  </si>
  <si>
    <t>2017 Baltimore Orioles</t>
  </si>
  <si>
    <t>2017 Boston Red Sox</t>
  </si>
  <si>
    <t>2017 Chicago Cubs</t>
  </si>
  <si>
    <t>2017 Chicago White Sox</t>
  </si>
  <si>
    <t>2017 Cincinnati Reds</t>
  </si>
  <si>
    <t>2017 Cleveland Indians</t>
  </si>
  <si>
    <t>2017 Colorado Rockies</t>
  </si>
  <si>
    <t>2017 Detroit Tigers</t>
  </si>
  <si>
    <t>2017 Florida Marlins</t>
  </si>
  <si>
    <t>2017 Houston Astros</t>
  </si>
  <si>
    <t>2017 Kansas City Royals</t>
  </si>
  <si>
    <t>2017 Los Angeles Dodgers</t>
  </si>
  <si>
    <t>2017 Milwaukee Brewers</t>
  </si>
  <si>
    <t>2017 Minnesota Twins</t>
  </si>
  <si>
    <t>2017 New York Mets</t>
  </si>
  <si>
    <t>2017 New York Yankees</t>
  </si>
  <si>
    <t>2017 Oakland Athletics</t>
  </si>
  <si>
    <t>2017 Philadelphia Phillies</t>
  </si>
  <si>
    <t>2017 Pittsburgh Pirates</t>
  </si>
  <si>
    <t>2017 San Diego Padres</t>
  </si>
  <si>
    <t>2017 Seattle Mariners</t>
  </si>
  <si>
    <t>2017 San Francisco Giants</t>
  </si>
  <si>
    <t>2017 St. Louis Cardinals</t>
  </si>
  <si>
    <t>2017 Tampa Bay Devil Rays</t>
  </si>
  <si>
    <t>2017 Texas Rangers</t>
  </si>
  <si>
    <t>2017 Toronto Blue Jays</t>
  </si>
  <si>
    <t>2017 Washington Nationals</t>
  </si>
  <si>
    <t>2018 Anaheim Angels</t>
  </si>
  <si>
    <t>2018 Arizona Diamondbacks</t>
  </si>
  <si>
    <t>2018 Atlanta Braves</t>
  </si>
  <si>
    <t>2018 Baltimore Orioles</t>
  </si>
  <si>
    <t>2018 Boston Red Sox</t>
  </si>
  <si>
    <t>2018 Chicago Cubs</t>
  </si>
  <si>
    <t>2018 Chicago White Sox</t>
  </si>
  <si>
    <t>2018 Cincinnati Reds</t>
  </si>
  <si>
    <t>2018 Cleveland Indians</t>
  </si>
  <si>
    <t>2018 Colorado Rockies</t>
  </si>
  <si>
    <t>2018 Detroit Tigers</t>
  </si>
  <si>
    <t>2018 Florida Marlins</t>
  </si>
  <si>
    <t>2018 Houston Astros</t>
  </si>
  <si>
    <t>2018 Kansas City Royals</t>
  </si>
  <si>
    <t>2018 Los Angeles Dodgers</t>
  </si>
  <si>
    <t>2018 Milwaukee Brewers</t>
  </si>
  <si>
    <t>2018 Minnesota Twins</t>
  </si>
  <si>
    <t>2018 New York Mets</t>
  </si>
  <si>
    <t>2018 New York Yankees</t>
  </si>
  <si>
    <t>2018 Oakland Athletics</t>
  </si>
  <si>
    <t>2018 Philadelphia Phillies</t>
  </si>
  <si>
    <t>2018 Pittsburgh Pirates</t>
  </si>
  <si>
    <t>2018 San Diego Padres</t>
  </si>
  <si>
    <t>2018 Seattle Mariners</t>
  </si>
  <si>
    <t>2018 San Francisco Giants</t>
  </si>
  <si>
    <t>2018 St. Louis Cardinals</t>
  </si>
  <si>
    <t>2018 Tampa Bay Devil Rays</t>
  </si>
  <si>
    <t>2018 Texas Rangers</t>
  </si>
  <si>
    <t>2018 Toronto Blue Jays</t>
  </si>
  <si>
    <t>2018 Washington Nationals</t>
  </si>
  <si>
    <t>Sum of 1B</t>
  </si>
  <si>
    <t>Team A</t>
  </si>
  <si>
    <t>Win Percentage</t>
  </si>
  <si>
    <t>Home Runs</t>
  </si>
  <si>
    <t>Team B</t>
  </si>
  <si>
    <t>top</t>
  </si>
  <si>
    <t>Game Summary</t>
  </si>
  <si>
    <t>Inning</t>
  </si>
  <si>
    <t>V.</t>
  </si>
  <si>
    <t>Batter</t>
  </si>
  <si>
    <t>Result</t>
  </si>
  <si>
    <t>Game Over</t>
  </si>
  <si>
    <t>Half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</si>
</sst>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0000000"/>
    <numFmt numFmtId="167" formatCode="#,##0.0000"/>
    <numFmt numFmtId="168" formatCode="0.000000"/>
    <numFmt numFmtId="169" formatCode="0.0000000"/>
  </numFmts>
  <fonts count="3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007E39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12"/>
      <color rgb="FFC0000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000000"/>
      <name val="Constantia"/>
      <family val="1"/>
    </font>
    <font>
      <b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6CC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71"/>
        <bgColor indexed="64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</cellStyleXfs>
  <cellXfs count="188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NumberFormat="1"/>
    <xf numFmtId="0" fontId="0" fillId="2" borderId="0" xfId="0" applyNumberFormat="1" applyFill="1"/>
    <xf numFmtId="0" fontId="0" fillId="0" borderId="6" xfId="0" applyBorder="1"/>
    <xf numFmtId="0" fontId="0" fillId="0" borderId="0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3" xfId="0" applyBorder="1"/>
    <xf numFmtId="0" fontId="0" fillId="0" borderId="8" xfId="0" applyBorder="1"/>
    <xf numFmtId="0" fontId="2" fillId="0" borderId="1" xfId="0" applyFont="1" applyBorder="1"/>
    <xf numFmtId="0" fontId="2" fillId="0" borderId="7" xfId="0" applyFont="1" applyBorder="1"/>
    <xf numFmtId="0" fontId="2" fillId="0" borderId="4" xfId="0" applyFont="1" applyBorder="1"/>
    <xf numFmtId="0" fontId="0" fillId="0" borderId="9" xfId="0" applyBorder="1" applyAlignment="1">
      <alignment horizontal="left"/>
    </xf>
    <xf numFmtId="0" fontId="0" fillId="0" borderId="10" xfId="0" applyNumberFormat="1" applyBorder="1" applyAlignment="1">
      <alignment horizontal="center"/>
    </xf>
    <xf numFmtId="165" fontId="0" fillId="0" borderId="0" xfId="0" applyNumberFormat="1"/>
    <xf numFmtId="165" fontId="0" fillId="0" borderId="10" xfId="1" applyNumberFormat="1" applyFont="1" applyBorder="1"/>
    <xf numFmtId="165" fontId="0" fillId="0" borderId="11" xfId="1" applyNumberFormat="1" applyFont="1" applyBorder="1"/>
    <xf numFmtId="164" fontId="0" fillId="0" borderId="0" xfId="0" applyNumberFormat="1"/>
    <xf numFmtId="0" fontId="0" fillId="5" borderId="0" xfId="0" applyFill="1"/>
    <xf numFmtId="0" fontId="0" fillId="0" borderId="5" xfId="0" applyFill="1" applyBorder="1"/>
    <xf numFmtId="49" fontId="3" fillId="0" borderId="5" xfId="0" applyNumberFormat="1" applyFont="1" applyBorder="1"/>
    <xf numFmtId="0" fontId="3" fillId="0" borderId="5" xfId="0" applyFont="1" applyBorder="1"/>
    <xf numFmtId="0" fontId="3" fillId="5" borderId="5" xfId="0" applyFont="1" applyFill="1" applyBorder="1"/>
    <xf numFmtId="0" fontId="3" fillId="4" borderId="5" xfId="0" applyFont="1" applyFill="1" applyBorder="1"/>
    <xf numFmtId="0" fontId="0" fillId="0" borderId="5" xfId="0" applyBorder="1"/>
    <xf numFmtId="0" fontId="0" fillId="4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right"/>
    </xf>
    <xf numFmtId="166" fontId="0" fillId="2" borderId="0" xfId="0" applyNumberFormat="1" applyFill="1"/>
    <xf numFmtId="1" fontId="0" fillId="2" borderId="0" xfId="0" applyNumberFormat="1" applyFill="1"/>
    <xf numFmtId="0" fontId="0" fillId="4" borderId="0" xfId="0" applyNumberFormat="1" applyFill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2" fontId="0" fillId="0" borderId="0" xfId="0" applyNumberFormat="1"/>
    <xf numFmtId="0" fontId="9" fillId="0" borderId="0" xfId="0" applyFont="1" applyAlignment="1">
      <alignment horizontal="center" vertical="center"/>
    </xf>
    <xf numFmtId="0" fontId="0" fillId="0" borderId="12" xfId="0" applyBorder="1" applyAlignment="1">
      <alignment horizontal="center"/>
    </xf>
    <xf numFmtId="2" fontId="0" fillId="0" borderId="12" xfId="0" applyNumberFormat="1" applyBorder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4" fillId="0" borderId="0" xfId="0" applyFont="1" applyFill="1"/>
    <xf numFmtId="10" fontId="0" fillId="0" borderId="0" xfId="2" applyNumberFormat="1" applyFont="1" applyFill="1"/>
    <xf numFmtId="0" fontId="5" fillId="0" borderId="0" xfId="0" applyFont="1" applyFill="1"/>
    <xf numFmtId="2" fontId="0" fillId="0" borderId="0" xfId="0" applyNumberFormat="1" applyFill="1"/>
    <xf numFmtId="10" fontId="4" fillId="0" borderId="0" xfId="2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10" fontId="2" fillId="0" borderId="0" xfId="2" applyNumberFormat="1" applyFont="1" applyFill="1"/>
    <xf numFmtId="0" fontId="2" fillId="0" borderId="0" xfId="0" applyFont="1" applyFill="1"/>
    <xf numFmtId="0" fontId="0" fillId="0" borderId="0" xfId="0" applyBorder="1"/>
    <xf numFmtId="0" fontId="8" fillId="3" borderId="0" xfId="0" applyFont="1" applyFill="1" applyAlignment="1">
      <alignment horizontal="center" vertical="center"/>
    </xf>
    <xf numFmtId="0" fontId="0" fillId="3" borderId="0" xfId="0" applyFill="1"/>
    <xf numFmtId="0" fontId="9" fillId="7" borderId="0" xfId="0" applyFont="1" applyFill="1" applyAlignment="1">
      <alignment horizontal="center" vertical="center"/>
    </xf>
    <xf numFmtId="0" fontId="0" fillId="7" borderId="0" xfId="0" applyFill="1"/>
    <xf numFmtId="0" fontId="15" fillId="0" borderId="0" xfId="3" applyFont="1" applyBorder="1" applyAlignment="1">
      <alignment horizontal="left" vertical="center"/>
    </xf>
    <xf numFmtId="0" fontId="18" fillId="0" borderId="0" xfId="3" applyFont="1" applyFill="1" applyBorder="1" applyAlignment="1">
      <alignment horizontal="center" vertical="center"/>
    </xf>
    <xf numFmtId="10" fontId="0" fillId="0" borderId="18" xfId="0" applyNumberFormat="1" applyBorder="1" applyAlignment="1">
      <alignment horizontal="center" vertical="center"/>
    </xf>
    <xf numFmtId="0" fontId="4" fillId="0" borderId="7" xfId="0" applyFont="1" applyBorder="1"/>
    <xf numFmtId="0" fontId="4" fillId="0" borderId="4" xfId="0" applyFont="1" applyBorder="1"/>
    <xf numFmtId="0" fontId="0" fillId="10" borderId="6" xfId="0" applyFill="1" applyBorder="1"/>
    <xf numFmtId="0" fontId="15" fillId="0" borderId="0" xfId="3" applyFont="1" applyFill="1" applyBorder="1" applyAlignment="1">
      <alignment horizontal="left" vertical="center"/>
    </xf>
    <xf numFmtId="0" fontId="15" fillId="0" borderId="0" xfId="3" applyFont="1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15" fillId="0" borderId="0" xfId="2" applyNumberFormat="1" applyFont="1" applyBorder="1" applyAlignment="1">
      <alignment horizontal="left" vertical="center"/>
    </xf>
    <xf numFmtId="0" fontId="0" fillId="10" borderId="8" xfId="2" applyNumberFormat="1" applyFont="1" applyFill="1" applyBorder="1"/>
    <xf numFmtId="0" fontId="0" fillId="0" borderId="0" xfId="0" applyAlignment="1">
      <alignment horizontal="left" vertical="center"/>
    </xf>
    <xf numFmtId="0" fontId="19" fillId="0" borderId="0" xfId="0" applyFont="1"/>
    <xf numFmtId="0" fontId="17" fillId="0" borderId="18" xfId="3" applyFont="1" applyBorder="1" applyAlignment="1">
      <alignment horizontal="center" vertical="center"/>
    </xf>
    <xf numFmtId="0" fontId="17" fillId="0" borderId="18" xfId="3" applyFont="1" applyFill="1" applyBorder="1" applyAlignment="1">
      <alignment horizontal="center" vertical="center"/>
    </xf>
    <xf numFmtId="10" fontId="2" fillId="0" borderId="18" xfId="0" applyNumberFormat="1" applyFont="1" applyBorder="1" applyAlignment="1">
      <alignment horizontal="center" vertical="center"/>
    </xf>
    <xf numFmtId="0" fontId="15" fillId="0" borderId="18" xfId="3" applyFon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0" fillId="13" borderId="0" xfId="0" applyFill="1"/>
    <xf numFmtId="0" fontId="7" fillId="13" borderId="0" xfId="0" applyFont="1" applyFill="1"/>
    <xf numFmtId="168" fontId="0" fillId="0" borderId="12" xfId="0" applyNumberFormat="1" applyBorder="1"/>
    <xf numFmtId="0" fontId="11" fillId="0" borderId="5" xfId="0" applyFont="1" applyFill="1" applyBorder="1" applyAlignment="1">
      <alignment horizontal="center" vertical="center"/>
    </xf>
    <xf numFmtId="0" fontId="9" fillId="7" borderId="5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169" fontId="17" fillId="0" borderId="15" xfId="3" applyNumberFormat="1" applyFont="1" applyBorder="1" applyAlignment="1">
      <alignment horizontal="center" vertical="center"/>
    </xf>
    <xf numFmtId="169" fontId="15" fillId="0" borderId="18" xfId="3" applyNumberFormat="1" applyFont="1" applyBorder="1" applyAlignment="1">
      <alignment horizontal="center" vertical="center"/>
    </xf>
    <xf numFmtId="169" fontId="0" fillId="0" borderId="18" xfId="0" applyNumberFormat="1" applyFill="1" applyBorder="1"/>
    <xf numFmtId="169" fontId="0" fillId="0" borderId="18" xfId="0" applyNumberFormat="1" applyBorder="1"/>
    <xf numFmtId="0" fontId="6" fillId="0" borderId="0" xfId="0" applyFont="1" applyFill="1" applyAlignment="1">
      <alignment horizontal="right"/>
    </xf>
    <xf numFmtId="0" fontId="0" fillId="0" borderId="0" xfId="0" applyFill="1" applyAlignment="1">
      <alignment horizontal="left"/>
    </xf>
    <xf numFmtId="10" fontId="0" fillId="0" borderId="0" xfId="0" applyNumberFormat="1" applyFill="1" applyBorder="1" applyAlignment="1">
      <alignment horizontal="right" vertical="center"/>
    </xf>
    <xf numFmtId="167" fontId="20" fillId="0" borderId="0" xfId="3" applyNumberFormat="1" applyFont="1" applyFill="1" applyBorder="1" applyAlignment="1">
      <alignment horizontal="left" vertical="center"/>
    </xf>
    <xf numFmtId="0" fontId="6" fillId="0" borderId="0" xfId="3" applyFont="1" applyBorder="1" applyAlignment="1">
      <alignment horizontal="left" vertical="center"/>
    </xf>
    <xf numFmtId="0" fontId="21" fillId="0" borderId="0" xfId="0" applyFont="1" applyAlignment="1">
      <alignment horizontal="center" wrapText="1"/>
    </xf>
    <xf numFmtId="169" fontId="17" fillId="0" borderId="16" xfId="3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12" xfId="0" applyFill="1" applyBorder="1" applyAlignment="1">
      <alignment horizontal="center"/>
    </xf>
    <xf numFmtId="168" fontId="0" fillId="0" borderId="12" xfId="0" applyNumberFormat="1" applyFill="1" applyBorder="1"/>
    <xf numFmtId="0" fontId="10" fillId="0" borderId="0" xfId="0" applyFont="1" applyFill="1" applyAlignment="1">
      <alignment horizontal="center"/>
    </xf>
    <xf numFmtId="49" fontId="0" fillId="0" borderId="0" xfId="0" quotePrefix="1" applyNumberFormat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0" fontId="22" fillId="0" borderId="0" xfId="0" applyFont="1"/>
    <xf numFmtId="0" fontId="22" fillId="0" borderId="0" xfId="0" applyFont="1" applyFill="1"/>
    <xf numFmtId="0" fontId="11" fillId="0" borderId="13" xfId="0" applyFont="1" applyFill="1" applyBorder="1" applyAlignment="1">
      <alignment horizontal="right"/>
    </xf>
    <xf numFmtId="0" fontId="3" fillId="0" borderId="13" xfId="0" applyFont="1" applyBorder="1"/>
    <xf numFmtId="0" fontId="0" fillId="0" borderId="13" xfId="0" applyBorder="1"/>
    <xf numFmtId="0" fontId="4" fillId="0" borderId="13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10" fontId="4" fillId="0" borderId="13" xfId="2" applyNumberFormat="1" applyFont="1" applyBorder="1" applyAlignment="1">
      <alignment horizontal="center"/>
    </xf>
    <xf numFmtId="0" fontId="0" fillId="0" borderId="0" xfId="0"/>
    <xf numFmtId="0" fontId="0" fillId="0" borderId="0" xfId="0" applyNumberFormat="1"/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4" fillId="0" borderId="2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10" fontId="4" fillId="0" borderId="25" xfId="2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65" fontId="4" fillId="0" borderId="10" xfId="1" applyNumberFormat="1" applyFont="1" applyBorder="1" applyAlignment="1"/>
    <xf numFmtId="165" fontId="4" fillId="0" borderId="10" xfId="1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0" fontId="0" fillId="0" borderId="5" xfId="2" applyNumberFormat="1" applyFont="1" applyBorder="1" applyAlignment="1">
      <alignment horizontal="center"/>
    </xf>
    <xf numFmtId="10" fontId="2" fillId="0" borderId="0" xfId="0" applyNumberFormat="1" applyFont="1" applyAlignment="1">
      <alignment horizontal="center"/>
    </xf>
    <xf numFmtId="10" fontId="0" fillId="0" borderId="0" xfId="0" applyNumberFormat="1"/>
    <xf numFmtId="0" fontId="0" fillId="0" borderId="0" xfId="2" applyNumberFormat="1" applyFont="1"/>
    <xf numFmtId="0" fontId="2" fillId="14" borderId="1" xfId="0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2" fillId="14" borderId="3" xfId="0" applyFont="1" applyFill="1" applyBorder="1" applyAlignment="1">
      <alignment horizontal="center"/>
    </xf>
    <xf numFmtId="0" fontId="2" fillId="14" borderId="20" xfId="0" applyFont="1" applyFill="1" applyBorder="1" applyAlignment="1">
      <alignment horizontal="center"/>
    </xf>
    <xf numFmtId="0" fontId="23" fillId="0" borderId="0" xfId="0" applyFont="1" applyAlignment="1">
      <alignment vertical="center"/>
    </xf>
    <xf numFmtId="164" fontId="22" fillId="0" borderId="0" xfId="0" applyNumberFormat="1" applyFont="1"/>
    <xf numFmtId="0" fontId="6" fillId="13" borderId="0" xfId="0" applyFont="1" applyFill="1"/>
    <xf numFmtId="0" fontId="6" fillId="13" borderId="0" xfId="0" applyFont="1" applyFill="1" applyAlignment="1">
      <alignment horizontal="left"/>
    </xf>
    <xf numFmtId="0" fontId="6" fillId="13" borderId="0" xfId="0" applyNumberFormat="1" applyFont="1" applyFill="1"/>
    <xf numFmtId="10" fontId="0" fillId="18" borderId="0" xfId="2" applyNumberFormat="1" applyFont="1" applyFill="1"/>
    <xf numFmtId="2" fontId="0" fillId="18" borderId="0" xfId="0" applyNumberFormat="1" applyFill="1"/>
    <xf numFmtId="0" fontId="0" fillId="0" borderId="4" xfId="0" applyBorder="1" applyAlignment="1">
      <alignment horizontal="center"/>
    </xf>
    <xf numFmtId="10" fontId="2" fillId="0" borderId="21" xfId="0" applyNumberFormat="1" applyFont="1" applyBorder="1" applyAlignment="1">
      <alignment horizontal="center"/>
    </xf>
    <xf numFmtId="0" fontId="2" fillId="19" borderId="18" xfId="0" applyFont="1" applyFill="1" applyBorder="1" applyAlignment="1">
      <alignment horizontal="center" vertical="center"/>
    </xf>
    <xf numFmtId="0" fontId="29" fillId="14" borderId="2" xfId="0" applyFont="1" applyFill="1" applyBorder="1" applyAlignment="1">
      <alignment horizontal="center" vertical="center" wrapText="1"/>
    </xf>
    <xf numFmtId="10" fontId="13" fillId="0" borderId="0" xfId="2" applyNumberFormat="1" applyFont="1" applyBorder="1" applyAlignment="1">
      <alignment horizontal="center"/>
    </xf>
    <xf numFmtId="0" fontId="4" fillId="0" borderId="0" xfId="0" applyFont="1" applyBorder="1" applyAlignment="1"/>
    <xf numFmtId="0" fontId="12" fillId="0" borderId="0" xfId="0" applyFont="1" applyFill="1" applyBorder="1" applyAlignment="1"/>
    <xf numFmtId="10" fontId="4" fillId="19" borderId="0" xfId="2" applyNumberFormat="1" applyFont="1" applyFill="1" applyBorder="1" applyAlignment="1">
      <alignment horizontal="center"/>
    </xf>
    <xf numFmtId="0" fontId="4" fillId="19" borderId="0" xfId="0" applyFont="1" applyFill="1" applyBorder="1" applyAlignment="1"/>
    <xf numFmtId="0" fontId="0" fillId="2" borderId="5" xfId="0" applyFill="1" applyBorder="1" applyAlignment="1">
      <alignment horizontal="center"/>
    </xf>
    <xf numFmtId="0" fontId="24" fillId="15" borderId="0" xfId="0" applyFont="1" applyFill="1" applyAlignment="1">
      <alignment horizontal="center" vertical="center"/>
    </xf>
    <xf numFmtId="0" fontId="26" fillId="16" borderId="9" xfId="0" applyFont="1" applyFill="1" applyBorder="1" applyAlignment="1">
      <alignment horizontal="center"/>
    </xf>
    <xf numFmtId="0" fontId="26" fillId="16" borderId="10" xfId="0" applyFont="1" applyFill="1" applyBorder="1" applyAlignment="1">
      <alignment horizontal="center"/>
    </xf>
    <xf numFmtId="0" fontId="26" fillId="16" borderId="11" xfId="0" applyFont="1" applyFill="1" applyBorder="1" applyAlignment="1">
      <alignment horizontal="center"/>
    </xf>
    <xf numFmtId="0" fontId="3" fillId="17" borderId="22" xfId="0" applyFont="1" applyFill="1" applyBorder="1" applyAlignment="1">
      <alignment horizontal="center"/>
    </xf>
    <xf numFmtId="0" fontId="3" fillId="17" borderId="23" xfId="0" applyFont="1" applyFill="1" applyBorder="1" applyAlignment="1">
      <alignment horizontal="center"/>
    </xf>
    <xf numFmtId="0" fontId="3" fillId="17" borderId="24" xfId="0" applyFont="1" applyFill="1" applyBorder="1" applyAlignment="1">
      <alignment horizontal="center"/>
    </xf>
    <xf numFmtId="0" fontId="16" fillId="8" borderId="17" xfId="3" applyFont="1" applyFill="1" applyBorder="1" applyAlignment="1">
      <alignment horizontal="center" vertical="center"/>
    </xf>
    <xf numFmtId="0" fontId="16" fillId="8" borderId="0" xfId="3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/>
    </xf>
    <xf numFmtId="0" fontId="2" fillId="9" borderId="3" xfId="0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0" fontId="2" fillId="11" borderId="18" xfId="0" applyNumberFormat="1" applyFont="1" applyFill="1" applyBorder="1" applyAlignment="1">
      <alignment horizontal="center" vertical="center"/>
    </xf>
    <xf numFmtId="0" fontId="17" fillId="12" borderId="18" xfId="3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/>
    </xf>
    <xf numFmtId="0" fontId="3" fillId="13" borderId="9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4" fillId="19" borderId="0" xfId="0" applyFont="1" applyFill="1" applyBorder="1" applyAlignment="1">
      <alignment horizontal="center"/>
    </xf>
    <xf numFmtId="0" fontId="12" fillId="6" borderId="9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0" fontId="12" fillId="6" borderId="1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7" fillId="17" borderId="9" xfId="0" applyFont="1" applyFill="1" applyBorder="1" applyAlignment="1">
      <alignment horizontal="center" vertical="center"/>
    </xf>
    <xf numFmtId="0" fontId="27" fillId="17" borderId="10" xfId="0" applyFont="1" applyFill="1" applyBorder="1" applyAlignment="1">
      <alignment horizontal="center" vertical="center"/>
    </xf>
    <xf numFmtId="0" fontId="27" fillId="17" borderId="11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 wrapText="1"/>
    </xf>
    <xf numFmtId="0" fontId="19" fillId="14" borderId="2" xfId="0" applyFont="1" applyFill="1" applyBorder="1" applyAlignment="1">
      <alignment horizontal="center" vertical="center" wrapText="1"/>
    </xf>
    <xf numFmtId="0" fontId="28" fillId="14" borderId="2" xfId="0" applyFont="1" applyFill="1" applyBorder="1" applyAlignment="1">
      <alignment horizontal="center" vertical="center" wrapText="1"/>
    </xf>
    <xf numFmtId="0" fontId="28" fillId="14" borderId="3" xfId="0" applyFont="1" applyFill="1" applyBorder="1" applyAlignment="1">
      <alignment horizontal="center" vertical="center" wrapText="1"/>
    </xf>
    <xf numFmtId="0" fontId="2" fillId="19" borderId="18" xfId="0" applyFont="1" applyFill="1" applyBorder="1" applyAlignment="1">
      <alignment horizontal="center" vertical="center"/>
    </xf>
  </cellXfs>
  <cellStyles count="4">
    <cellStyle name="Comma" xfId="1" builtinId="3"/>
    <cellStyle name="Normal" xfId="0" builtinId="0"/>
    <cellStyle name="Normal 2" xfId="3" xr:uid="{8234764F-3F36-4C05-BD43-99032E8B345F}"/>
    <cellStyle name="Percent" xfId="2" builtinId="5"/>
  </cellStyles>
  <dxfs count="12"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PivotTable Style " table="0" count="1" xr9:uid="{5AA40481-1D72-457B-964F-AD61256FDEF6}">
      <tableStyleElement type="wholeTable" dxfId="11"/>
    </tableStyle>
  </tableStyles>
  <colors>
    <mruColors>
      <color rgb="FFCCCCFF"/>
      <color rgb="FFFFFF71"/>
      <color rgb="FFFBEC7D"/>
      <color rgb="FF007E39"/>
      <color rgb="FF99CCFF"/>
      <color rgb="FFFF9999"/>
      <color rgb="FFFF7C80"/>
      <color rgb="FFE6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24523916889247E-2"/>
          <c:y val="5.6338028169014086E-2"/>
          <c:w val="0.91797547608311081"/>
          <c:h val="0.8623812164324530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'Team &amp; Year'!$B$23:$C$23</c:f>
              <c:strCache>
                <c:ptCount val="2"/>
                <c:pt idx="0">
                  <c:v>2005 Minnesota Twins</c:v>
                </c:pt>
                <c:pt idx="1">
                  <c:v>2010 Atlanta Braves</c:v>
                </c:pt>
              </c:strCache>
            </c:strRef>
          </c:cat>
          <c:val>
            <c:numRef>
              <c:f>'Team &amp; Year'!$B$24:$C$24</c:f>
              <c:numCache>
                <c:formatCode>General</c:formatCode>
                <c:ptCount val="2"/>
                <c:pt idx="0">
                  <c:v>134</c:v>
                </c:pt>
                <c:pt idx="1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C-470C-B670-B2FF65CD0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638854208"/>
        <c:axId val="1608497584"/>
      </c:barChart>
      <c:catAx>
        <c:axId val="1638854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8497584"/>
        <c:crosses val="autoZero"/>
        <c:auto val="1"/>
        <c:lblAlgn val="ctr"/>
        <c:lblOffset val="100"/>
        <c:noMultiLvlLbl val="0"/>
      </c:catAx>
      <c:valAx>
        <c:axId val="16084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85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List" dx="15" fmlaLink="$A$2" fmlaRange="[1]Data!$BD$2:$BD$34" noThreeD="1" sel="0" val="0"/>
</file>

<file path=xl/ctrlProps/ctrlProp2.xml><?xml version="1.0" encoding="utf-8"?>
<formControlPr xmlns="http://schemas.microsoft.com/office/spreadsheetml/2009/9/main" objectType="Scroll" dx="15" fmlaLink="$I$4" horiz="1" max="2018" min="2000" page="10" val="2005"/>
</file>

<file path=xl/ctrlProps/ctrlProp3.xml><?xml version="1.0" encoding="utf-8"?>
<formControlPr xmlns="http://schemas.microsoft.com/office/spreadsheetml/2009/9/main" objectType="List" dx="15" fmlaLink="$A$3" fmlaRange="[1]Data!$BD$2:$BD$34" noThreeD="1" sel="0" val="0"/>
</file>

<file path=xl/ctrlProps/ctrlProp4.xml><?xml version="1.0" encoding="utf-8"?>
<formControlPr xmlns="http://schemas.microsoft.com/office/spreadsheetml/2009/9/main" objectType="Scroll" dx="15" fmlaLink="$I$10" horiz="1" max="2018" min="2000" page="10" val="201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croll" dx="22" fmlaLink="$A$25" max="4" min="1" page="10" val="4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38100</xdr:rowOff>
        </xdr:from>
        <xdr:to>
          <xdr:col>4</xdr:col>
          <xdr:colOff>76200</xdr:colOff>
          <xdr:row>5</xdr:row>
          <xdr:rowOff>85725</xdr:rowOff>
        </xdr:to>
        <xdr:sp macro="" textlink="">
          <xdr:nvSpPr>
            <xdr:cNvPr id="1034" name="List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2</xdr:row>
          <xdr:rowOff>9525</xdr:rowOff>
        </xdr:from>
        <xdr:to>
          <xdr:col>6</xdr:col>
          <xdr:colOff>523875</xdr:colOff>
          <xdr:row>3</xdr:row>
          <xdr:rowOff>190500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6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180975</xdr:rowOff>
        </xdr:from>
        <xdr:to>
          <xdr:col>4</xdr:col>
          <xdr:colOff>47625</xdr:colOff>
          <xdr:row>11</xdr:row>
          <xdr:rowOff>19050</xdr:rowOff>
        </xdr:to>
        <xdr:sp macro="" textlink="">
          <xdr:nvSpPr>
            <xdr:cNvPr id="1036" name="List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6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8</xdr:row>
          <xdr:rowOff>9525</xdr:rowOff>
        </xdr:from>
        <xdr:to>
          <xdr:col>6</xdr:col>
          <xdr:colOff>504825</xdr:colOff>
          <xdr:row>9</xdr:row>
          <xdr:rowOff>190500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6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31750</xdr:colOff>
      <xdr:row>20</xdr:row>
      <xdr:rowOff>25400</xdr:rowOff>
    </xdr:from>
    <xdr:to>
      <xdr:col>11</xdr:col>
      <xdr:colOff>349250</xdr:colOff>
      <xdr:row>35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11</xdr:row>
          <xdr:rowOff>114300</xdr:rowOff>
        </xdr:from>
        <xdr:to>
          <xdr:col>6</xdr:col>
          <xdr:colOff>333375</xdr:colOff>
          <xdr:row>14</xdr:row>
          <xdr:rowOff>190500</xdr:rowOff>
        </xdr:to>
        <xdr:sp macro="" textlink="">
          <xdr:nvSpPr>
            <xdr:cNvPr id="1038" name="Expected Winner" descr="Expected W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onstantia"/>
                </a:rPr>
                <a:t>Expected Winner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1019175</xdr:colOff>
          <xdr:row>20</xdr:row>
          <xdr:rowOff>9525</xdr:rowOff>
        </xdr:from>
        <xdr:to>
          <xdr:col>6</xdr:col>
          <xdr:colOff>9525</xdr:colOff>
          <xdr:row>35</xdr:row>
          <xdr:rowOff>28575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3</xdr:row>
          <xdr:rowOff>0</xdr:rowOff>
        </xdr:from>
        <xdr:to>
          <xdr:col>18</xdr:col>
          <xdr:colOff>590550</xdr:colOff>
          <xdr:row>6</xdr:row>
          <xdr:rowOff>38100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19050</xdr:rowOff>
        </xdr:from>
        <xdr:to>
          <xdr:col>5</xdr:col>
          <xdr:colOff>190500</xdr:colOff>
          <xdr:row>7</xdr:row>
          <xdr:rowOff>57150</xdr:rowOff>
        </xdr:to>
        <xdr:sp macro="" textlink="">
          <xdr:nvSpPr>
            <xdr:cNvPr id="4097" name="HomeTeam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180975</xdr:rowOff>
        </xdr:from>
        <xdr:to>
          <xdr:col>22</xdr:col>
          <xdr:colOff>447675</xdr:colOff>
          <xdr:row>7</xdr:row>
          <xdr:rowOff>28575</xdr:rowOff>
        </xdr:to>
        <xdr:sp macro="" textlink="">
          <xdr:nvSpPr>
            <xdr:cNvPr id="4098" name="VisitTeam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5</xdr:col>
          <xdr:colOff>190500</xdr:colOff>
          <xdr:row>5</xdr:row>
          <xdr:rowOff>28575</xdr:rowOff>
        </xdr:to>
        <xdr:sp macro="" textlink="">
          <xdr:nvSpPr>
            <xdr:cNvPr id="4099" name="HomeTeamSeas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B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0</xdr:rowOff>
        </xdr:from>
        <xdr:to>
          <xdr:col>22</xdr:col>
          <xdr:colOff>466725</xdr:colOff>
          <xdr:row>5</xdr:row>
          <xdr:rowOff>38100</xdr:rowOff>
        </xdr:to>
        <xdr:sp macro="" textlink="">
          <xdr:nvSpPr>
            <xdr:cNvPr id="4100" name="VisitTeamSeas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B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7</xdr:row>
          <xdr:rowOff>200025</xdr:rowOff>
        </xdr:from>
        <xdr:to>
          <xdr:col>28</xdr:col>
          <xdr:colOff>9525</xdr:colOff>
          <xdr:row>10</xdr:row>
          <xdr:rowOff>76200</xdr:rowOff>
        </xdr:to>
        <xdr:sp macro="" textlink="">
          <xdr:nvSpPr>
            <xdr:cNvPr id="4101" name="Play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B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85725</xdr:rowOff>
        </xdr:from>
        <xdr:to>
          <xdr:col>12</xdr:col>
          <xdr:colOff>161925</xdr:colOff>
          <xdr:row>3</xdr:row>
          <xdr:rowOff>104775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B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tal\AppData\Local\Microsoft\Windows\INetCache\Content.Outlook\D1M45I3Y\ExcelVBA%20Final_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Batting Data"/>
      <sheetName val="Pitching Data"/>
      <sheetName val="MLB Avg"/>
      <sheetName val="Team &amp; Year"/>
      <sheetName val="Pivot Hits"/>
      <sheetName val="Data Table"/>
      <sheetName val="ExcelVBA Final_ (002)"/>
    </sheetNames>
    <definedNames>
      <definedName name="WinPrediction"/>
    </definedNames>
    <sheetDataSet>
      <sheetData sheetId="0">
        <row r="2">
          <cell r="B2">
            <v>2000</v>
          </cell>
          <cell r="C2" t="str">
            <v>Anaheim Angels</v>
          </cell>
          <cell r="E2">
            <v>3</v>
          </cell>
          <cell r="J2">
            <v>82</v>
          </cell>
          <cell r="K2">
            <v>80</v>
          </cell>
          <cell r="L2">
            <v>864</v>
          </cell>
          <cell r="R2">
            <v>236</v>
          </cell>
          <cell r="AB2">
            <v>5</v>
          </cell>
        </row>
        <row r="3">
          <cell r="B3">
            <v>2000</v>
          </cell>
          <cell r="C3" t="str">
            <v>Arizona Diamondbacks</v>
          </cell>
          <cell r="E3">
            <v>3</v>
          </cell>
          <cell r="J3">
            <v>85</v>
          </cell>
          <cell r="K3">
            <v>77</v>
          </cell>
          <cell r="L3">
            <v>792</v>
          </cell>
          <cell r="R3">
            <v>179</v>
          </cell>
          <cell r="AB3">
            <v>4.3499999999999996</v>
          </cell>
        </row>
        <row r="4">
          <cell r="B4">
            <v>2000</v>
          </cell>
          <cell r="C4" t="str">
            <v>Atlanta Braves</v>
          </cell>
          <cell r="E4">
            <v>1</v>
          </cell>
          <cell r="J4">
            <v>95</v>
          </cell>
          <cell r="K4">
            <v>67</v>
          </cell>
          <cell r="L4">
            <v>810</v>
          </cell>
          <cell r="R4">
            <v>179</v>
          </cell>
          <cell r="AB4">
            <v>4.05</v>
          </cell>
        </row>
        <row r="5">
          <cell r="B5">
            <v>2000</v>
          </cell>
          <cell r="C5" t="str">
            <v>Baltimore Orioles</v>
          </cell>
          <cell r="E5">
            <v>4</v>
          </cell>
          <cell r="J5">
            <v>74</v>
          </cell>
          <cell r="K5">
            <v>88</v>
          </cell>
          <cell r="L5">
            <v>794</v>
          </cell>
          <cell r="R5">
            <v>184</v>
          </cell>
          <cell r="AB5">
            <v>5.37</v>
          </cell>
        </row>
        <row r="6">
          <cell r="B6">
            <v>2000</v>
          </cell>
          <cell r="C6" t="str">
            <v>Boston Red Sox</v>
          </cell>
          <cell r="E6">
            <v>2</v>
          </cell>
          <cell r="J6">
            <v>85</v>
          </cell>
          <cell r="K6">
            <v>77</v>
          </cell>
          <cell r="L6">
            <v>792</v>
          </cell>
          <cell r="R6">
            <v>167</v>
          </cell>
          <cell r="AB6">
            <v>4.2300000000000004</v>
          </cell>
        </row>
        <row r="7">
          <cell r="B7">
            <v>2000</v>
          </cell>
          <cell r="C7" t="str">
            <v>Chicago White Sox</v>
          </cell>
          <cell r="E7">
            <v>1</v>
          </cell>
          <cell r="J7">
            <v>95</v>
          </cell>
          <cell r="K7">
            <v>67</v>
          </cell>
          <cell r="L7">
            <v>978</v>
          </cell>
          <cell r="R7">
            <v>216</v>
          </cell>
          <cell r="AB7">
            <v>4.66</v>
          </cell>
        </row>
        <row r="8">
          <cell r="B8">
            <v>2000</v>
          </cell>
          <cell r="C8" t="str">
            <v>Chicago Cubs</v>
          </cell>
          <cell r="E8">
            <v>6</v>
          </cell>
          <cell r="J8">
            <v>65</v>
          </cell>
          <cell r="K8">
            <v>97</v>
          </cell>
          <cell r="L8">
            <v>764</v>
          </cell>
          <cell r="R8">
            <v>183</v>
          </cell>
          <cell r="AB8">
            <v>5.25</v>
          </cell>
        </row>
        <row r="9">
          <cell r="B9">
            <v>2000</v>
          </cell>
          <cell r="C9" t="str">
            <v>Cincinnati Reds</v>
          </cell>
          <cell r="E9">
            <v>2</v>
          </cell>
          <cell r="J9">
            <v>85</v>
          </cell>
          <cell r="K9">
            <v>77</v>
          </cell>
          <cell r="L9">
            <v>825</v>
          </cell>
          <cell r="R9">
            <v>200</v>
          </cell>
          <cell r="AB9">
            <v>4.33</v>
          </cell>
        </row>
        <row r="10">
          <cell r="B10">
            <v>2000</v>
          </cell>
          <cell r="C10" t="str">
            <v>Cleveland Indians</v>
          </cell>
          <cell r="E10">
            <v>2</v>
          </cell>
          <cell r="J10">
            <v>90</v>
          </cell>
          <cell r="K10">
            <v>72</v>
          </cell>
          <cell r="L10">
            <v>950</v>
          </cell>
          <cell r="R10">
            <v>221</v>
          </cell>
          <cell r="AB10">
            <v>4.84</v>
          </cell>
        </row>
        <row r="11">
          <cell r="B11">
            <v>2000</v>
          </cell>
          <cell r="C11" t="str">
            <v>Colorado Rockies</v>
          </cell>
          <cell r="E11">
            <v>4</v>
          </cell>
          <cell r="J11">
            <v>82</v>
          </cell>
          <cell r="K11">
            <v>80</v>
          </cell>
          <cell r="L11">
            <v>968</v>
          </cell>
          <cell r="R11">
            <v>161</v>
          </cell>
          <cell r="AB11">
            <v>5.26</v>
          </cell>
        </row>
        <row r="12">
          <cell r="B12">
            <v>2000</v>
          </cell>
          <cell r="C12" t="str">
            <v>Detroit Tigers</v>
          </cell>
          <cell r="E12">
            <v>3</v>
          </cell>
          <cell r="J12">
            <v>79</v>
          </cell>
          <cell r="K12">
            <v>83</v>
          </cell>
          <cell r="L12">
            <v>823</v>
          </cell>
          <cell r="R12">
            <v>177</v>
          </cell>
          <cell r="AB12">
            <v>4.71</v>
          </cell>
        </row>
        <row r="13">
          <cell r="B13">
            <v>2000</v>
          </cell>
          <cell r="C13" t="str">
            <v>Florida Marlins</v>
          </cell>
          <cell r="E13">
            <v>3</v>
          </cell>
          <cell r="J13">
            <v>79</v>
          </cell>
          <cell r="K13">
            <v>82</v>
          </cell>
          <cell r="L13">
            <v>731</v>
          </cell>
          <cell r="R13">
            <v>160</v>
          </cell>
          <cell r="AB13">
            <v>4.59</v>
          </cell>
        </row>
        <row r="14">
          <cell r="B14">
            <v>2000</v>
          </cell>
          <cell r="C14" t="str">
            <v>Houston Astros</v>
          </cell>
          <cell r="E14">
            <v>4</v>
          </cell>
          <cell r="J14">
            <v>72</v>
          </cell>
          <cell r="K14">
            <v>90</v>
          </cell>
          <cell r="L14">
            <v>938</v>
          </cell>
          <cell r="R14">
            <v>249</v>
          </cell>
          <cell r="AB14">
            <v>5.42</v>
          </cell>
        </row>
        <row r="15">
          <cell r="B15">
            <v>2000</v>
          </cell>
          <cell r="C15" t="str">
            <v>Kansas City Royals</v>
          </cell>
          <cell r="E15">
            <v>4</v>
          </cell>
          <cell r="J15">
            <v>77</v>
          </cell>
          <cell r="K15">
            <v>85</v>
          </cell>
          <cell r="L15">
            <v>879</v>
          </cell>
          <cell r="R15">
            <v>150</v>
          </cell>
          <cell r="AB15">
            <v>5.48</v>
          </cell>
        </row>
        <row r="16">
          <cell r="B16">
            <v>2000</v>
          </cell>
          <cell r="C16" t="str">
            <v>Los Angeles Dodgers</v>
          </cell>
          <cell r="E16">
            <v>2</v>
          </cell>
          <cell r="J16">
            <v>86</v>
          </cell>
          <cell r="K16">
            <v>76</v>
          </cell>
          <cell r="L16">
            <v>798</v>
          </cell>
          <cell r="R16">
            <v>211</v>
          </cell>
          <cell r="AB16">
            <v>4.0999999999999996</v>
          </cell>
        </row>
        <row r="17">
          <cell r="B17">
            <v>2000</v>
          </cell>
          <cell r="C17" t="str">
            <v>Milwaukee Brewers</v>
          </cell>
          <cell r="E17">
            <v>3</v>
          </cell>
          <cell r="J17">
            <v>73</v>
          </cell>
          <cell r="K17">
            <v>89</v>
          </cell>
          <cell r="L17">
            <v>740</v>
          </cell>
          <cell r="R17">
            <v>177</v>
          </cell>
          <cell r="AB17">
            <v>4.63</v>
          </cell>
        </row>
        <row r="18">
          <cell r="B18">
            <v>2000</v>
          </cell>
          <cell r="C18" t="str">
            <v>Minnesota Twins</v>
          </cell>
          <cell r="E18">
            <v>5</v>
          </cell>
          <cell r="J18">
            <v>69</v>
          </cell>
          <cell r="K18">
            <v>93</v>
          </cell>
          <cell r="L18">
            <v>748</v>
          </cell>
          <cell r="R18">
            <v>116</v>
          </cell>
          <cell r="AB18">
            <v>5.14</v>
          </cell>
        </row>
        <row r="19">
          <cell r="B19">
            <v>2000</v>
          </cell>
          <cell r="C19" t="str">
            <v>Montreal Expos</v>
          </cell>
          <cell r="E19">
            <v>4</v>
          </cell>
          <cell r="J19">
            <v>67</v>
          </cell>
          <cell r="K19">
            <v>95</v>
          </cell>
          <cell r="L19">
            <v>738</v>
          </cell>
          <cell r="R19">
            <v>178</v>
          </cell>
          <cell r="AB19">
            <v>5.13</v>
          </cell>
        </row>
        <row r="20">
          <cell r="B20">
            <v>2000</v>
          </cell>
          <cell r="C20" t="str">
            <v>New York Yankees</v>
          </cell>
          <cell r="E20">
            <v>1</v>
          </cell>
          <cell r="J20">
            <v>87</v>
          </cell>
          <cell r="K20">
            <v>74</v>
          </cell>
          <cell r="L20">
            <v>871</v>
          </cell>
          <cell r="R20">
            <v>205</v>
          </cell>
          <cell r="AB20">
            <v>4.76</v>
          </cell>
        </row>
        <row r="21">
          <cell r="B21">
            <v>2000</v>
          </cell>
          <cell r="C21" t="str">
            <v>New York Mets</v>
          </cell>
          <cell r="E21">
            <v>2</v>
          </cell>
          <cell r="J21">
            <v>94</v>
          </cell>
          <cell r="K21">
            <v>68</v>
          </cell>
          <cell r="L21">
            <v>807</v>
          </cell>
          <cell r="R21">
            <v>198</v>
          </cell>
          <cell r="AB21">
            <v>4.16</v>
          </cell>
        </row>
        <row r="22">
          <cell r="B22">
            <v>2000</v>
          </cell>
          <cell r="C22" t="str">
            <v>Oakland Athletics</v>
          </cell>
          <cell r="E22">
            <v>1</v>
          </cell>
          <cell r="J22">
            <v>91</v>
          </cell>
          <cell r="K22">
            <v>70</v>
          </cell>
          <cell r="L22">
            <v>947</v>
          </cell>
          <cell r="R22">
            <v>239</v>
          </cell>
          <cell r="AB22">
            <v>4.58</v>
          </cell>
        </row>
        <row r="23">
          <cell r="B23">
            <v>2000</v>
          </cell>
          <cell r="C23" t="str">
            <v>Philadelphia Phillies</v>
          </cell>
          <cell r="E23">
            <v>5</v>
          </cell>
          <cell r="J23">
            <v>65</v>
          </cell>
          <cell r="K23">
            <v>97</v>
          </cell>
          <cell r="L23">
            <v>708</v>
          </cell>
          <cell r="R23">
            <v>144</v>
          </cell>
          <cell r="AB23">
            <v>4.7699999999999996</v>
          </cell>
        </row>
        <row r="24">
          <cell r="B24">
            <v>2000</v>
          </cell>
          <cell r="C24" t="str">
            <v>Pittsburgh Pirates</v>
          </cell>
          <cell r="E24">
            <v>5</v>
          </cell>
          <cell r="J24">
            <v>69</v>
          </cell>
          <cell r="K24">
            <v>93</v>
          </cell>
          <cell r="L24">
            <v>793</v>
          </cell>
          <cell r="R24">
            <v>168</v>
          </cell>
          <cell r="AB24">
            <v>4.9400000000000004</v>
          </cell>
        </row>
        <row r="25">
          <cell r="B25">
            <v>2000</v>
          </cell>
          <cell r="C25" t="str">
            <v>San Diego Padres</v>
          </cell>
          <cell r="E25">
            <v>5</v>
          </cell>
          <cell r="J25">
            <v>76</v>
          </cell>
          <cell r="K25">
            <v>86</v>
          </cell>
          <cell r="L25">
            <v>752</v>
          </cell>
          <cell r="R25">
            <v>157</v>
          </cell>
          <cell r="AB25">
            <v>4.5199999999999996</v>
          </cell>
        </row>
        <row r="26">
          <cell r="B26">
            <v>2000</v>
          </cell>
          <cell r="C26" t="str">
            <v>Seattle Mariners</v>
          </cell>
          <cell r="E26">
            <v>2</v>
          </cell>
          <cell r="J26">
            <v>91</v>
          </cell>
          <cell r="K26">
            <v>71</v>
          </cell>
          <cell r="L26">
            <v>907</v>
          </cell>
          <cell r="R26">
            <v>198</v>
          </cell>
          <cell r="AB26">
            <v>4.49</v>
          </cell>
        </row>
        <row r="27">
          <cell r="B27">
            <v>2000</v>
          </cell>
          <cell r="C27" t="str">
            <v>San Francisco Giants</v>
          </cell>
          <cell r="E27">
            <v>1</v>
          </cell>
          <cell r="J27">
            <v>97</v>
          </cell>
          <cell r="K27">
            <v>65</v>
          </cell>
          <cell r="L27">
            <v>925</v>
          </cell>
          <cell r="R27">
            <v>226</v>
          </cell>
          <cell r="AB27">
            <v>4.21</v>
          </cell>
        </row>
        <row r="28">
          <cell r="B28">
            <v>2000</v>
          </cell>
          <cell r="C28" t="str">
            <v>St. Louis Cardinals</v>
          </cell>
          <cell r="E28">
            <v>1</v>
          </cell>
          <cell r="J28">
            <v>95</v>
          </cell>
          <cell r="K28">
            <v>67</v>
          </cell>
          <cell r="L28">
            <v>887</v>
          </cell>
          <cell r="R28">
            <v>235</v>
          </cell>
          <cell r="AB28">
            <v>4.38</v>
          </cell>
        </row>
        <row r="29">
          <cell r="B29">
            <v>2000</v>
          </cell>
          <cell r="C29" t="str">
            <v>Tampa Bay Devil Rays</v>
          </cell>
          <cell r="E29">
            <v>5</v>
          </cell>
          <cell r="J29">
            <v>69</v>
          </cell>
          <cell r="K29">
            <v>92</v>
          </cell>
          <cell r="L29">
            <v>733</v>
          </cell>
          <cell r="R29">
            <v>162</v>
          </cell>
          <cell r="AB29">
            <v>4.8600000000000003</v>
          </cell>
        </row>
        <row r="30">
          <cell r="B30">
            <v>2000</v>
          </cell>
          <cell r="C30" t="str">
            <v>Texas Rangers</v>
          </cell>
          <cell r="E30">
            <v>4</v>
          </cell>
          <cell r="J30">
            <v>71</v>
          </cell>
          <cell r="K30">
            <v>91</v>
          </cell>
          <cell r="L30">
            <v>848</v>
          </cell>
          <cell r="R30">
            <v>173</v>
          </cell>
          <cell r="AB30">
            <v>5.52</v>
          </cell>
        </row>
        <row r="31">
          <cell r="B31">
            <v>2000</v>
          </cell>
          <cell r="C31" t="str">
            <v>Toronto Blue Jays</v>
          </cell>
          <cell r="E31">
            <v>3</v>
          </cell>
          <cell r="J31">
            <v>83</v>
          </cell>
          <cell r="K31">
            <v>79</v>
          </cell>
          <cell r="L31">
            <v>861</v>
          </cell>
          <cell r="R31">
            <v>244</v>
          </cell>
          <cell r="AB31">
            <v>5.14</v>
          </cell>
        </row>
        <row r="32">
          <cell r="B32">
            <v>2001</v>
          </cell>
          <cell r="C32" t="str">
            <v>Anaheim Angels</v>
          </cell>
          <cell r="E32">
            <v>3</v>
          </cell>
          <cell r="J32">
            <v>75</v>
          </cell>
          <cell r="K32">
            <v>87</v>
          </cell>
          <cell r="L32">
            <v>691</v>
          </cell>
          <cell r="R32">
            <v>158</v>
          </cell>
          <cell r="AB32">
            <v>4.2</v>
          </cell>
        </row>
        <row r="33">
          <cell r="B33">
            <v>2001</v>
          </cell>
          <cell r="C33" t="str">
            <v>Arizona Diamondbacks</v>
          </cell>
          <cell r="E33">
            <v>1</v>
          </cell>
          <cell r="J33">
            <v>92</v>
          </cell>
          <cell r="K33">
            <v>70</v>
          </cell>
          <cell r="L33">
            <v>818</v>
          </cell>
          <cell r="R33">
            <v>208</v>
          </cell>
          <cell r="AB33">
            <v>3.87</v>
          </cell>
        </row>
        <row r="34">
          <cell r="B34">
            <v>2001</v>
          </cell>
          <cell r="C34" t="str">
            <v>Atlanta Braves</v>
          </cell>
          <cell r="E34">
            <v>1</v>
          </cell>
          <cell r="J34">
            <v>88</v>
          </cell>
          <cell r="K34">
            <v>74</v>
          </cell>
          <cell r="L34">
            <v>729</v>
          </cell>
          <cell r="R34">
            <v>174</v>
          </cell>
          <cell r="AB34">
            <v>3.59</v>
          </cell>
        </row>
        <row r="35">
          <cell r="B35">
            <v>2001</v>
          </cell>
          <cell r="C35" t="str">
            <v>Baltimore Orioles</v>
          </cell>
          <cell r="E35">
            <v>4</v>
          </cell>
          <cell r="J35">
            <v>63</v>
          </cell>
          <cell r="K35">
            <v>98</v>
          </cell>
          <cell r="L35">
            <v>687</v>
          </cell>
          <cell r="R35">
            <v>136</v>
          </cell>
          <cell r="AB35">
            <v>4.67</v>
          </cell>
        </row>
        <row r="36">
          <cell r="B36">
            <v>2001</v>
          </cell>
          <cell r="C36" t="str">
            <v>Boston Red Sox</v>
          </cell>
          <cell r="E36">
            <v>2</v>
          </cell>
          <cell r="J36">
            <v>82</v>
          </cell>
          <cell r="K36">
            <v>79</v>
          </cell>
          <cell r="L36">
            <v>772</v>
          </cell>
          <cell r="R36">
            <v>198</v>
          </cell>
          <cell r="AB36">
            <v>4.1500000000000004</v>
          </cell>
        </row>
        <row r="37">
          <cell r="B37">
            <v>2001</v>
          </cell>
          <cell r="C37" t="str">
            <v>Chicago White Sox</v>
          </cell>
          <cell r="E37">
            <v>3</v>
          </cell>
          <cell r="J37">
            <v>83</v>
          </cell>
          <cell r="K37">
            <v>79</v>
          </cell>
          <cell r="L37">
            <v>798</v>
          </cell>
          <cell r="R37">
            <v>214</v>
          </cell>
          <cell r="AB37">
            <v>4.55</v>
          </cell>
        </row>
        <row r="38">
          <cell r="B38">
            <v>2001</v>
          </cell>
          <cell r="C38" t="str">
            <v>Chicago Cubs</v>
          </cell>
          <cell r="E38">
            <v>3</v>
          </cell>
          <cell r="J38">
            <v>88</v>
          </cell>
          <cell r="K38">
            <v>74</v>
          </cell>
          <cell r="L38">
            <v>777</v>
          </cell>
          <cell r="R38">
            <v>194</v>
          </cell>
          <cell r="AB38">
            <v>4.03</v>
          </cell>
        </row>
        <row r="39">
          <cell r="B39">
            <v>2001</v>
          </cell>
          <cell r="C39" t="str">
            <v>Cincinnati Reds</v>
          </cell>
          <cell r="E39">
            <v>5</v>
          </cell>
          <cell r="J39">
            <v>66</v>
          </cell>
          <cell r="K39">
            <v>96</v>
          </cell>
          <cell r="L39">
            <v>735</v>
          </cell>
          <cell r="R39">
            <v>176</v>
          </cell>
          <cell r="AB39">
            <v>4.7699999999999996</v>
          </cell>
        </row>
        <row r="40">
          <cell r="B40">
            <v>2001</v>
          </cell>
          <cell r="C40" t="str">
            <v>Cleveland Indians</v>
          </cell>
          <cell r="E40">
            <v>1</v>
          </cell>
          <cell r="J40">
            <v>91</v>
          </cell>
          <cell r="K40">
            <v>71</v>
          </cell>
          <cell r="L40">
            <v>897</v>
          </cell>
          <cell r="R40">
            <v>212</v>
          </cell>
          <cell r="AB40">
            <v>4.6399999999999997</v>
          </cell>
        </row>
        <row r="41">
          <cell r="B41">
            <v>2001</v>
          </cell>
          <cell r="C41" t="str">
            <v>Colorado Rockies</v>
          </cell>
          <cell r="E41">
            <v>5</v>
          </cell>
          <cell r="J41">
            <v>73</v>
          </cell>
          <cell r="K41">
            <v>89</v>
          </cell>
          <cell r="L41">
            <v>923</v>
          </cell>
          <cell r="R41">
            <v>213</v>
          </cell>
          <cell r="AB41">
            <v>5.29</v>
          </cell>
        </row>
        <row r="42">
          <cell r="B42">
            <v>2001</v>
          </cell>
          <cell r="C42" t="str">
            <v>Detroit Tigers</v>
          </cell>
          <cell r="E42">
            <v>4</v>
          </cell>
          <cell r="J42">
            <v>66</v>
          </cell>
          <cell r="K42">
            <v>96</v>
          </cell>
          <cell r="L42">
            <v>724</v>
          </cell>
          <cell r="R42">
            <v>139</v>
          </cell>
          <cell r="AB42">
            <v>5.01</v>
          </cell>
        </row>
        <row r="43">
          <cell r="B43">
            <v>2001</v>
          </cell>
          <cell r="C43" t="str">
            <v>Florida Marlins</v>
          </cell>
          <cell r="E43">
            <v>4</v>
          </cell>
          <cell r="J43">
            <v>76</v>
          </cell>
          <cell r="K43">
            <v>86</v>
          </cell>
          <cell r="L43">
            <v>742</v>
          </cell>
          <cell r="R43">
            <v>166</v>
          </cell>
          <cell r="AB43">
            <v>4.32</v>
          </cell>
        </row>
        <row r="44">
          <cell r="B44">
            <v>2001</v>
          </cell>
          <cell r="C44" t="str">
            <v>Houston Astros</v>
          </cell>
          <cell r="E44">
            <v>1</v>
          </cell>
          <cell r="J44">
            <v>93</v>
          </cell>
          <cell r="K44">
            <v>69</v>
          </cell>
          <cell r="L44">
            <v>847</v>
          </cell>
          <cell r="R44">
            <v>208</v>
          </cell>
          <cell r="AB44">
            <v>4.37</v>
          </cell>
        </row>
        <row r="45">
          <cell r="B45">
            <v>2001</v>
          </cell>
          <cell r="C45" t="str">
            <v>Kansas City Royals</v>
          </cell>
          <cell r="E45">
            <v>5</v>
          </cell>
          <cell r="J45">
            <v>65</v>
          </cell>
          <cell r="K45">
            <v>97</v>
          </cell>
          <cell r="L45">
            <v>729</v>
          </cell>
          <cell r="R45">
            <v>152</v>
          </cell>
          <cell r="AB45">
            <v>4.87</v>
          </cell>
        </row>
        <row r="46">
          <cell r="B46">
            <v>2001</v>
          </cell>
          <cell r="C46" t="str">
            <v>Los Angeles Dodgers</v>
          </cell>
          <cell r="E46">
            <v>3</v>
          </cell>
          <cell r="J46">
            <v>86</v>
          </cell>
          <cell r="K46">
            <v>76</v>
          </cell>
          <cell r="L46">
            <v>758</v>
          </cell>
          <cell r="R46">
            <v>206</v>
          </cell>
          <cell r="AB46">
            <v>4.25</v>
          </cell>
        </row>
        <row r="47">
          <cell r="B47">
            <v>2001</v>
          </cell>
          <cell r="C47" t="str">
            <v>Milwaukee Brewers</v>
          </cell>
          <cell r="E47">
            <v>4</v>
          </cell>
          <cell r="J47">
            <v>68</v>
          </cell>
          <cell r="K47">
            <v>94</v>
          </cell>
          <cell r="L47">
            <v>740</v>
          </cell>
          <cell r="R47">
            <v>209</v>
          </cell>
          <cell r="AB47">
            <v>4.6399999999999997</v>
          </cell>
        </row>
        <row r="48">
          <cell r="B48">
            <v>2001</v>
          </cell>
          <cell r="C48" t="str">
            <v>Minnesota Twins</v>
          </cell>
          <cell r="E48">
            <v>2</v>
          </cell>
          <cell r="J48">
            <v>85</v>
          </cell>
          <cell r="K48">
            <v>77</v>
          </cell>
          <cell r="L48">
            <v>771</v>
          </cell>
          <cell r="R48">
            <v>164</v>
          </cell>
          <cell r="AB48">
            <v>4.51</v>
          </cell>
        </row>
        <row r="49">
          <cell r="B49">
            <v>2001</v>
          </cell>
          <cell r="C49" t="str">
            <v>Montreal Expos</v>
          </cell>
          <cell r="E49">
            <v>5</v>
          </cell>
          <cell r="J49">
            <v>68</v>
          </cell>
          <cell r="K49">
            <v>94</v>
          </cell>
          <cell r="L49">
            <v>670</v>
          </cell>
          <cell r="R49">
            <v>131</v>
          </cell>
          <cell r="AB49">
            <v>4.68</v>
          </cell>
        </row>
        <row r="50">
          <cell r="B50">
            <v>2001</v>
          </cell>
          <cell r="C50" t="str">
            <v>New York Yankees</v>
          </cell>
          <cell r="E50">
            <v>1</v>
          </cell>
          <cell r="J50">
            <v>95</v>
          </cell>
          <cell r="K50">
            <v>65</v>
          </cell>
          <cell r="L50">
            <v>804</v>
          </cell>
          <cell r="R50">
            <v>203</v>
          </cell>
          <cell r="AB50">
            <v>4.0199999999999996</v>
          </cell>
        </row>
        <row r="51">
          <cell r="B51">
            <v>2001</v>
          </cell>
          <cell r="C51" t="str">
            <v>New York Mets</v>
          </cell>
          <cell r="E51">
            <v>3</v>
          </cell>
          <cell r="J51">
            <v>82</v>
          </cell>
          <cell r="K51">
            <v>80</v>
          </cell>
          <cell r="L51">
            <v>642</v>
          </cell>
          <cell r="R51">
            <v>147</v>
          </cell>
          <cell r="AB51">
            <v>4.07</v>
          </cell>
        </row>
        <row r="52">
          <cell r="B52">
            <v>2001</v>
          </cell>
          <cell r="C52" t="str">
            <v>Oakland Athletics</v>
          </cell>
          <cell r="E52">
            <v>2</v>
          </cell>
          <cell r="J52">
            <v>102</v>
          </cell>
          <cell r="K52">
            <v>60</v>
          </cell>
          <cell r="L52">
            <v>884</v>
          </cell>
          <cell r="R52">
            <v>199</v>
          </cell>
          <cell r="AB52">
            <v>3.59</v>
          </cell>
        </row>
        <row r="53">
          <cell r="B53">
            <v>2001</v>
          </cell>
          <cell r="C53" t="str">
            <v>Philadelphia Phillies</v>
          </cell>
          <cell r="E53">
            <v>2</v>
          </cell>
          <cell r="J53">
            <v>86</v>
          </cell>
          <cell r="K53">
            <v>76</v>
          </cell>
          <cell r="L53">
            <v>746</v>
          </cell>
          <cell r="R53">
            <v>164</v>
          </cell>
          <cell r="AB53">
            <v>4.1500000000000004</v>
          </cell>
        </row>
        <row r="54">
          <cell r="B54">
            <v>2001</v>
          </cell>
          <cell r="C54" t="str">
            <v>Pittsburgh Pirates</v>
          </cell>
          <cell r="E54">
            <v>6</v>
          </cell>
          <cell r="J54">
            <v>62</v>
          </cell>
          <cell r="K54">
            <v>100</v>
          </cell>
          <cell r="L54">
            <v>657</v>
          </cell>
          <cell r="R54">
            <v>161</v>
          </cell>
          <cell r="AB54">
            <v>5.05</v>
          </cell>
        </row>
        <row r="55">
          <cell r="B55">
            <v>2001</v>
          </cell>
          <cell r="C55" t="str">
            <v>San Diego Padres</v>
          </cell>
          <cell r="E55">
            <v>4</v>
          </cell>
          <cell r="J55">
            <v>79</v>
          </cell>
          <cell r="K55">
            <v>83</v>
          </cell>
          <cell r="L55">
            <v>789</v>
          </cell>
          <cell r="R55">
            <v>161</v>
          </cell>
          <cell r="AB55">
            <v>4.5199999999999996</v>
          </cell>
        </row>
        <row r="56">
          <cell r="B56">
            <v>2001</v>
          </cell>
          <cell r="C56" t="str">
            <v>Seattle Mariners</v>
          </cell>
          <cell r="E56">
            <v>1</v>
          </cell>
          <cell r="J56">
            <v>116</v>
          </cell>
          <cell r="K56">
            <v>46</v>
          </cell>
          <cell r="L56">
            <v>927</v>
          </cell>
          <cell r="R56">
            <v>169</v>
          </cell>
          <cell r="AB56">
            <v>3.54</v>
          </cell>
        </row>
        <row r="57">
          <cell r="B57">
            <v>2001</v>
          </cell>
          <cell r="C57" t="str">
            <v>San Francisco Giants</v>
          </cell>
          <cell r="E57">
            <v>2</v>
          </cell>
          <cell r="J57">
            <v>90</v>
          </cell>
          <cell r="K57">
            <v>72</v>
          </cell>
          <cell r="L57">
            <v>799</v>
          </cell>
          <cell r="R57">
            <v>235</v>
          </cell>
          <cell r="AB57">
            <v>4.18</v>
          </cell>
        </row>
        <row r="58">
          <cell r="B58">
            <v>2001</v>
          </cell>
          <cell r="C58" t="str">
            <v>St. Louis Cardinals</v>
          </cell>
          <cell r="E58">
            <v>2</v>
          </cell>
          <cell r="J58">
            <v>93</v>
          </cell>
          <cell r="K58">
            <v>69</v>
          </cell>
          <cell r="L58">
            <v>814</v>
          </cell>
          <cell r="R58">
            <v>199</v>
          </cell>
          <cell r="AB58">
            <v>3.93</v>
          </cell>
        </row>
        <row r="59">
          <cell r="B59">
            <v>2001</v>
          </cell>
          <cell r="C59" t="str">
            <v>Tampa Bay Devil Rays</v>
          </cell>
          <cell r="E59">
            <v>5</v>
          </cell>
          <cell r="J59">
            <v>62</v>
          </cell>
          <cell r="K59">
            <v>100</v>
          </cell>
          <cell r="L59">
            <v>672</v>
          </cell>
          <cell r="R59">
            <v>121</v>
          </cell>
          <cell r="AB59">
            <v>4.9400000000000004</v>
          </cell>
        </row>
        <row r="60">
          <cell r="B60">
            <v>2001</v>
          </cell>
          <cell r="C60" t="str">
            <v>Texas Rangers</v>
          </cell>
          <cell r="E60">
            <v>4</v>
          </cell>
          <cell r="J60">
            <v>73</v>
          </cell>
          <cell r="K60">
            <v>89</v>
          </cell>
          <cell r="L60">
            <v>890</v>
          </cell>
          <cell r="R60">
            <v>246</v>
          </cell>
          <cell r="AB60">
            <v>5.71</v>
          </cell>
        </row>
        <row r="61">
          <cell r="B61">
            <v>2001</v>
          </cell>
          <cell r="C61" t="str">
            <v>Toronto Blue Jays</v>
          </cell>
          <cell r="E61">
            <v>3</v>
          </cell>
          <cell r="J61">
            <v>80</v>
          </cell>
          <cell r="K61">
            <v>82</v>
          </cell>
          <cell r="L61">
            <v>767</v>
          </cell>
          <cell r="R61">
            <v>195</v>
          </cell>
          <cell r="AB61">
            <v>4.28</v>
          </cell>
        </row>
        <row r="62">
          <cell r="B62">
            <v>2002</v>
          </cell>
          <cell r="C62" t="str">
            <v>Anaheim Angels</v>
          </cell>
          <cell r="E62">
            <v>2</v>
          </cell>
          <cell r="J62">
            <v>99</v>
          </cell>
          <cell r="K62">
            <v>63</v>
          </cell>
          <cell r="L62">
            <v>851</v>
          </cell>
          <cell r="R62">
            <v>152</v>
          </cell>
          <cell r="AB62">
            <v>3.69</v>
          </cell>
        </row>
        <row r="63">
          <cell r="B63">
            <v>2002</v>
          </cell>
          <cell r="C63" t="str">
            <v>Arizona Diamondbacks</v>
          </cell>
          <cell r="E63">
            <v>1</v>
          </cell>
          <cell r="J63">
            <v>98</v>
          </cell>
          <cell r="K63">
            <v>64</v>
          </cell>
          <cell r="L63">
            <v>819</v>
          </cell>
          <cell r="R63">
            <v>165</v>
          </cell>
          <cell r="AB63">
            <v>3.92</v>
          </cell>
        </row>
        <row r="64">
          <cell r="B64">
            <v>2002</v>
          </cell>
          <cell r="C64" t="str">
            <v>Atlanta Braves</v>
          </cell>
          <cell r="E64">
            <v>1</v>
          </cell>
          <cell r="J64">
            <v>101</v>
          </cell>
          <cell r="K64">
            <v>59</v>
          </cell>
          <cell r="L64">
            <v>708</v>
          </cell>
          <cell r="R64">
            <v>164</v>
          </cell>
          <cell r="AB64">
            <v>3.13</v>
          </cell>
        </row>
        <row r="65">
          <cell r="B65">
            <v>2002</v>
          </cell>
          <cell r="C65" t="str">
            <v>Baltimore Orioles</v>
          </cell>
          <cell r="E65">
            <v>4</v>
          </cell>
          <cell r="J65">
            <v>67</v>
          </cell>
          <cell r="K65">
            <v>95</v>
          </cell>
          <cell r="L65">
            <v>667</v>
          </cell>
          <cell r="R65">
            <v>165</v>
          </cell>
          <cell r="AB65">
            <v>4.46</v>
          </cell>
        </row>
        <row r="66">
          <cell r="B66">
            <v>2002</v>
          </cell>
          <cell r="C66" t="str">
            <v>Boston Red Sox</v>
          </cell>
          <cell r="E66">
            <v>2</v>
          </cell>
          <cell r="J66">
            <v>93</v>
          </cell>
          <cell r="K66">
            <v>69</v>
          </cell>
          <cell r="L66">
            <v>859</v>
          </cell>
          <cell r="R66">
            <v>177</v>
          </cell>
          <cell r="AB66">
            <v>3.75</v>
          </cell>
        </row>
        <row r="67">
          <cell r="B67">
            <v>2002</v>
          </cell>
          <cell r="C67" t="str">
            <v>Chicago White Sox</v>
          </cell>
          <cell r="E67">
            <v>2</v>
          </cell>
          <cell r="J67">
            <v>81</v>
          </cell>
          <cell r="K67">
            <v>81</v>
          </cell>
          <cell r="L67">
            <v>856</v>
          </cell>
          <cell r="R67">
            <v>217</v>
          </cell>
          <cell r="AB67">
            <v>4.53</v>
          </cell>
        </row>
        <row r="68">
          <cell r="B68">
            <v>2002</v>
          </cell>
          <cell r="C68" t="str">
            <v>Chicago Cubs</v>
          </cell>
          <cell r="E68">
            <v>5</v>
          </cell>
          <cell r="J68">
            <v>67</v>
          </cell>
          <cell r="K68">
            <v>95</v>
          </cell>
          <cell r="L68">
            <v>706</v>
          </cell>
          <cell r="R68">
            <v>200</v>
          </cell>
          <cell r="AB68">
            <v>4.29</v>
          </cell>
        </row>
        <row r="69">
          <cell r="B69">
            <v>2002</v>
          </cell>
          <cell r="C69" t="str">
            <v>Cincinnati Reds</v>
          </cell>
          <cell r="E69">
            <v>3</v>
          </cell>
          <cell r="J69">
            <v>78</v>
          </cell>
          <cell r="K69">
            <v>84</v>
          </cell>
          <cell r="L69">
            <v>709</v>
          </cell>
          <cell r="R69">
            <v>169</v>
          </cell>
          <cell r="AB69">
            <v>4.2699999999999996</v>
          </cell>
        </row>
        <row r="70">
          <cell r="B70">
            <v>2002</v>
          </cell>
          <cell r="C70" t="str">
            <v>Cleveland Indians</v>
          </cell>
          <cell r="E70">
            <v>3</v>
          </cell>
          <cell r="J70">
            <v>74</v>
          </cell>
          <cell r="K70">
            <v>88</v>
          </cell>
          <cell r="L70">
            <v>739</v>
          </cell>
          <cell r="R70">
            <v>192</v>
          </cell>
          <cell r="AB70">
            <v>4.91</v>
          </cell>
        </row>
        <row r="71">
          <cell r="B71">
            <v>2002</v>
          </cell>
          <cell r="C71" t="str">
            <v>Colorado Rockies</v>
          </cell>
          <cell r="E71">
            <v>4</v>
          </cell>
          <cell r="J71">
            <v>73</v>
          </cell>
          <cell r="K71">
            <v>89</v>
          </cell>
          <cell r="L71">
            <v>778</v>
          </cell>
          <cell r="R71">
            <v>152</v>
          </cell>
          <cell r="AB71">
            <v>5.2</v>
          </cell>
        </row>
        <row r="72">
          <cell r="B72">
            <v>2002</v>
          </cell>
          <cell r="C72" t="str">
            <v>Detroit Tigers</v>
          </cell>
          <cell r="E72">
            <v>5</v>
          </cell>
          <cell r="J72">
            <v>55</v>
          </cell>
          <cell r="K72">
            <v>106</v>
          </cell>
          <cell r="L72">
            <v>575</v>
          </cell>
          <cell r="R72">
            <v>124</v>
          </cell>
          <cell r="AB72">
            <v>4.92</v>
          </cell>
        </row>
        <row r="73">
          <cell r="B73">
            <v>2002</v>
          </cell>
          <cell r="C73" t="str">
            <v>Florida Marlins</v>
          </cell>
          <cell r="E73">
            <v>4</v>
          </cell>
          <cell r="J73">
            <v>79</v>
          </cell>
          <cell r="K73">
            <v>83</v>
          </cell>
          <cell r="L73">
            <v>699</v>
          </cell>
          <cell r="R73">
            <v>146</v>
          </cell>
          <cell r="AB73">
            <v>4.3600000000000003</v>
          </cell>
        </row>
        <row r="74">
          <cell r="B74">
            <v>2002</v>
          </cell>
          <cell r="C74" t="str">
            <v>Houston Astros</v>
          </cell>
          <cell r="E74">
            <v>2</v>
          </cell>
          <cell r="J74">
            <v>84</v>
          </cell>
          <cell r="K74">
            <v>78</v>
          </cell>
          <cell r="L74">
            <v>749</v>
          </cell>
          <cell r="R74">
            <v>167</v>
          </cell>
          <cell r="AB74">
            <v>4</v>
          </cell>
        </row>
        <row r="75">
          <cell r="B75">
            <v>2002</v>
          </cell>
          <cell r="C75" t="str">
            <v>Kansas City Royals</v>
          </cell>
          <cell r="E75">
            <v>4</v>
          </cell>
          <cell r="J75">
            <v>62</v>
          </cell>
          <cell r="K75">
            <v>100</v>
          </cell>
          <cell r="L75">
            <v>737</v>
          </cell>
          <cell r="R75">
            <v>140</v>
          </cell>
          <cell r="AB75">
            <v>5.21</v>
          </cell>
        </row>
        <row r="76">
          <cell r="B76">
            <v>2002</v>
          </cell>
          <cell r="C76" t="str">
            <v>Los Angeles Dodgers</v>
          </cell>
          <cell r="E76">
            <v>3</v>
          </cell>
          <cell r="J76">
            <v>92</v>
          </cell>
          <cell r="K76">
            <v>70</v>
          </cell>
          <cell r="L76">
            <v>713</v>
          </cell>
          <cell r="R76">
            <v>155</v>
          </cell>
          <cell r="AB76">
            <v>3.69</v>
          </cell>
        </row>
        <row r="77">
          <cell r="B77">
            <v>2002</v>
          </cell>
          <cell r="C77" t="str">
            <v>Milwaukee Brewers</v>
          </cell>
          <cell r="E77">
            <v>6</v>
          </cell>
          <cell r="J77">
            <v>56</v>
          </cell>
          <cell r="K77">
            <v>106</v>
          </cell>
          <cell r="L77">
            <v>627</v>
          </cell>
          <cell r="R77">
            <v>139</v>
          </cell>
          <cell r="AB77">
            <v>4.7300000000000004</v>
          </cell>
        </row>
        <row r="78">
          <cell r="B78">
            <v>2002</v>
          </cell>
          <cell r="C78" t="str">
            <v>Minnesota Twins</v>
          </cell>
          <cell r="E78">
            <v>1</v>
          </cell>
          <cell r="J78">
            <v>94</v>
          </cell>
          <cell r="K78">
            <v>67</v>
          </cell>
          <cell r="L78">
            <v>768</v>
          </cell>
          <cell r="R78">
            <v>167</v>
          </cell>
          <cell r="AB78">
            <v>4.12</v>
          </cell>
        </row>
        <row r="79">
          <cell r="B79">
            <v>2002</v>
          </cell>
          <cell r="C79" t="str">
            <v>Montreal Expos</v>
          </cell>
          <cell r="E79">
            <v>2</v>
          </cell>
          <cell r="J79">
            <v>83</v>
          </cell>
          <cell r="K79">
            <v>79</v>
          </cell>
          <cell r="L79">
            <v>735</v>
          </cell>
          <cell r="R79">
            <v>162</v>
          </cell>
          <cell r="AB79">
            <v>3.97</v>
          </cell>
        </row>
        <row r="80">
          <cell r="B80">
            <v>2002</v>
          </cell>
          <cell r="C80" t="str">
            <v>New York Yankees</v>
          </cell>
          <cell r="E80">
            <v>1</v>
          </cell>
          <cell r="J80">
            <v>103</v>
          </cell>
          <cell r="K80">
            <v>58</v>
          </cell>
          <cell r="L80">
            <v>897</v>
          </cell>
          <cell r="R80">
            <v>223</v>
          </cell>
          <cell r="AB80">
            <v>3.87</v>
          </cell>
        </row>
        <row r="81">
          <cell r="B81">
            <v>2002</v>
          </cell>
          <cell r="C81" t="str">
            <v>New York Mets</v>
          </cell>
          <cell r="E81">
            <v>5</v>
          </cell>
          <cell r="J81">
            <v>75</v>
          </cell>
          <cell r="K81">
            <v>86</v>
          </cell>
          <cell r="L81">
            <v>690</v>
          </cell>
          <cell r="R81">
            <v>160</v>
          </cell>
          <cell r="AB81">
            <v>3.89</v>
          </cell>
        </row>
        <row r="82">
          <cell r="B82">
            <v>2002</v>
          </cell>
          <cell r="C82" t="str">
            <v>Oakland Athletics</v>
          </cell>
          <cell r="E82">
            <v>1</v>
          </cell>
          <cell r="J82">
            <v>103</v>
          </cell>
          <cell r="K82">
            <v>59</v>
          </cell>
          <cell r="L82">
            <v>800</v>
          </cell>
          <cell r="R82">
            <v>205</v>
          </cell>
          <cell r="AB82">
            <v>3.68</v>
          </cell>
        </row>
        <row r="83">
          <cell r="B83">
            <v>2002</v>
          </cell>
          <cell r="C83" t="str">
            <v>Philadelphia Phillies</v>
          </cell>
          <cell r="E83">
            <v>3</v>
          </cell>
          <cell r="J83">
            <v>80</v>
          </cell>
          <cell r="K83">
            <v>81</v>
          </cell>
          <cell r="L83">
            <v>710</v>
          </cell>
          <cell r="R83">
            <v>165</v>
          </cell>
          <cell r="AB83">
            <v>4.17</v>
          </cell>
        </row>
        <row r="84">
          <cell r="B84">
            <v>2002</v>
          </cell>
          <cell r="C84" t="str">
            <v>Pittsburgh Pirates</v>
          </cell>
          <cell r="E84">
            <v>4</v>
          </cell>
          <cell r="J84">
            <v>72</v>
          </cell>
          <cell r="K84">
            <v>89</v>
          </cell>
          <cell r="L84">
            <v>641</v>
          </cell>
          <cell r="R84">
            <v>142</v>
          </cell>
          <cell r="AB84">
            <v>4.2300000000000004</v>
          </cell>
        </row>
        <row r="85">
          <cell r="B85">
            <v>2002</v>
          </cell>
          <cell r="C85" t="str">
            <v>San Diego Padres</v>
          </cell>
          <cell r="E85">
            <v>5</v>
          </cell>
          <cell r="J85">
            <v>66</v>
          </cell>
          <cell r="K85">
            <v>96</v>
          </cell>
          <cell r="L85">
            <v>662</v>
          </cell>
          <cell r="R85">
            <v>136</v>
          </cell>
          <cell r="AB85">
            <v>4.62</v>
          </cell>
        </row>
        <row r="86">
          <cell r="B86">
            <v>2002</v>
          </cell>
          <cell r="C86" t="str">
            <v>Seattle Mariners</v>
          </cell>
          <cell r="E86">
            <v>3</v>
          </cell>
          <cell r="J86">
            <v>93</v>
          </cell>
          <cell r="K86">
            <v>69</v>
          </cell>
          <cell r="L86">
            <v>814</v>
          </cell>
          <cell r="R86">
            <v>152</v>
          </cell>
          <cell r="AB86">
            <v>4.07</v>
          </cell>
        </row>
        <row r="87">
          <cell r="B87">
            <v>2002</v>
          </cell>
          <cell r="C87" t="str">
            <v>San Francisco Giants</v>
          </cell>
          <cell r="E87">
            <v>2</v>
          </cell>
          <cell r="J87">
            <v>95</v>
          </cell>
          <cell r="K87">
            <v>66</v>
          </cell>
          <cell r="L87">
            <v>783</v>
          </cell>
          <cell r="R87">
            <v>198</v>
          </cell>
          <cell r="AB87">
            <v>3.54</v>
          </cell>
        </row>
        <row r="88">
          <cell r="B88">
            <v>2002</v>
          </cell>
          <cell r="C88" t="str">
            <v>St. Louis Cardinals</v>
          </cell>
          <cell r="E88">
            <v>1</v>
          </cell>
          <cell r="J88">
            <v>97</v>
          </cell>
          <cell r="K88">
            <v>65</v>
          </cell>
          <cell r="L88">
            <v>787</v>
          </cell>
          <cell r="R88">
            <v>175</v>
          </cell>
          <cell r="AB88">
            <v>3.7</v>
          </cell>
        </row>
        <row r="89">
          <cell r="B89">
            <v>2002</v>
          </cell>
          <cell r="C89" t="str">
            <v>Tampa Bay Devil Rays</v>
          </cell>
          <cell r="E89">
            <v>5</v>
          </cell>
          <cell r="J89">
            <v>55</v>
          </cell>
          <cell r="K89">
            <v>106</v>
          </cell>
          <cell r="L89">
            <v>673</v>
          </cell>
          <cell r="R89">
            <v>133</v>
          </cell>
          <cell r="AB89">
            <v>5.29</v>
          </cell>
        </row>
        <row r="90">
          <cell r="B90">
            <v>2002</v>
          </cell>
          <cell r="C90" t="str">
            <v>Texas Rangers</v>
          </cell>
          <cell r="E90">
            <v>4</v>
          </cell>
          <cell r="J90">
            <v>72</v>
          </cell>
          <cell r="K90">
            <v>90</v>
          </cell>
          <cell r="L90">
            <v>843</v>
          </cell>
          <cell r="R90">
            <v>230</v>
          </cell>
          <cell r="AB90">
            <v>5.15</v>
          </cell>
        </row>
        <row r="91">
          <cell r="B91">
            <v>2002</v>
          </cell>
          <cell r="C91" t="str">
            <v>Toronto Blue Jays</v>
          </cell>
          <cell r="E91">
            <v>3</v>
          </cell>
          <cell r="J91">
            <v>78</v>
          </cell>
          <cell r="K91">
            <v>84</v>
          </cell>
          <cell r="L91">
            <v>813</v>
          </cell>
          <cell r="R91">
            <v>187</v>
          </cell>
          <cell r="AB91">
            <v>4.8</v>
          </cell>
        </row>
        <row r="92">
          <cell r="B92">
            <v>2003</v>
          </cell>
          <cell r="C92" t="str">
            <v>Anaheim Angels</v>
          </cell>
          <cell r="E92">
            <v>3</v>
          </cell>
          <cell r="J92">
            <v>77</v>
          </cell>
          <cell r="K92">
            <v>85</v>
          </cell>
          <cell r="L92">
            <v>736</v>
          </cell>
          <cell r="R92">
            <v>150</v>
          </cell>
          <cell r="AB92">
            <v>4.28</v>
          </cell>
        </row>
        <row r="93">
          <cell r="B93">
            <v>2003</v>
          </cell>
          <cell r="C93" t="str">
            <v>Arizona Diamondbacks</v>
          </cell>
          <cell r="E93">
            <v>3</v>
          </cell>
          <cell r="J93">
            <v>84</v>
          </cell>
          <cell r="K93">
            <v>78</v>
          </cell>
          <cell r="L93">
            <v>717</v>
          </cell>
          <cell r="R93">
            <v>152</v>
          </cell>
          <cell r="AB93">
            <v>3.84</v>
          </cell>
        </row>
        <row r="94">
          <cell r="B94">
            <v>2003</v>
          </cell>
          <cell r="C94" t="str">
            <v>Atlanta Braves</v>
          </cell>
          <cell r="E94">
            <v>1</v>
          </cell>
          <cell r="J94">
            <v>101</v>
          </cell>
          <cell r="K94">
            <v>61</v>
          </cell>
          <cell r="L94">
            <v>907</v>
          </cell>
          <cell r="R94">
            <v>235</v>
          </cell>
          <cell r="AB94">
            <v>4.0999999999999996</v>
          </cell>
        </row>
        <row r="95">
          <cell r="B95">
            <v>2003</v>
          </cell>
          <cell r="C95" t="str">
            <v>Baltimore Orioles</v>
          </cell>
          <cell r="E95">
            <v>4</v>
          </cell>
          <cell r="J95">
            <v>71</v>
          </cell>
          <cell r="K95">
            <v>91</v>
          </cell>
          <cell r="L95">
            <v>743</v>
          </cell>
          <cell r="R95">
            <v>152</v>
          </cell>
          <cell r="AB95">
            <v>4.76</v>
          </cell>
        </row>
        <row r="96">
          <cell r="B96">
            <v>2003</v>
          </cell>
          <cell r="C96" t="str">
            <v>Boston Red Sox</v>
          </cell>
          <cell r="E96">
            <v>2</v>
          </cell>
          <cell r="J96">
            <v>95</v>
          </cell>
          <cell r="K96">
            <v>67</v>
          </cell>
          <cell r="L96">
            <v>961</v>
          </cell>
          <cell r="R96">
            <v>238</v>
          </cell>
          <cell r="AB96">
            <v>4.4800000000000004</v>
          </cell>
        </row>
        <row r="97">
          <cell r="B97">
            <v>2003</v>
          </cell>
          <cell r="C97" t="str">
            <v>Chicago White Sox</v>
          </cell>
          <cell r="E97">
            <v>2</v>
          </cell>
          <cell r="J97">
            <v>86</v>
          </cell>
          <cell r="K97">
            <v>76</v>
          </cell>
          <cell r="L97">
            <v>791</v>
          </cell>
          <cell r="R97">
            <v>220</v>
          </cell>
          <cell r="AB97">
            <v>4.17</v>
          </cell>
        </row>
        <row r="98">
          <cell r="B98">
            <v>2003</v>
          </cell>
          <cell r="C98" t="str">
            <v>Chicago Cubs</v>
          </cell>
          <cell r="E98">
            <v>1</v>
          </cell>
          <cell r="J98">
            <v>88</v>
          </cell>
          <cell r="K98">
            <v>74</v>
          </cell>
          <cell r="L98">
            <v>724</v>
          </cell>
          <cell r="R98">
            <v>172</v>
          </cell>
          <cell r="AB98">
            <v>3.83</v>
          </cell>
        </row>
        <row r="99">
          <cell r="B99">
            <v>2003</v>
          </cell>
          <cell r="C99" t="str">
            <v>Cincinnati Reds</v>
          </cell>
          <cell r="E99">
            <v>5</v>
          </cell>
          <cell r="J99">
            <v>69</v>
          </cell>
          <cell r="K99">
            <v>93</v>
          </cell>
          <cell r="L99">
            <v>694</v>
          </cell>
          <cell r="R99">
            <v>182</v>
          </cell>
          <cell r="AB99">
            <v>5.09</v>
          </cell>
        </row>
        <row r="100">
          <cell r="B100">
            <v>2003</v>
          </cell>
          <cell r="C100" t="str">
            <v>Cleveland Indians</v>
          </cell>
          <cell r="E100">
            <v>4</v>
          </cell>
          <cell r="J100">
            <v>68</v>
          </cell>
          <cell r="K100">
            <v>94</v>
          </cell>
          <cell r="L100">
            <v>699</v>
          </cell>
          <cell r="R100">
            <v>158</v>
          </cell>
          <cell r="AB100">
            <v>4.21</v>
          </cell>
        </row>
        <row r="101">
          <cell r="B101">
            <v>2003</v>
          </cell>
          <cell r="C101" t="str">
            <v>Colorado Rockies</v>
          </cell>
          <cell r="E101">
            <v>4</v>
          </cell>
          <cell r="J101">
            <v>74</v>
          </cell>
          <cell r="K101">
            <v>88</v>
          </cell>
          <cell r="L101">
            <v>853</v>
          </cell>
          <cell r="R101">
            <v>198</v>
          </cell>
          <cell r="AB101">
            <v>5.2</v>
          </cell>
        </row>
        <row r="102">
          <cell r="B102">
            <v>2003</v>
          </cell>
          <cell r="C102" t="str">
            <v>Detroit Tigers</v>
          </cell>
          <cell r="E102">
            <v>5</v>
          </cell>
          <cell r="J102">
            <v>43</v>
          </cell>
          <cell r="K102">
            <v>119</v>
          </cell>
          <cell r="L102">
            <v>591</v>
          </cell>
          <cell r="R102">
            <v>153</v>
          </cell>
          <cell r="AB102">
            <v>5.3</v>
          </cell>
        </row>
        <row r="103">
          <cell r="B103">
            <v>2003</v>
          </cell>
          <cell r="C103" t="str">
            <v>Florida Marlins</v>
          </cell>
          <cell r="E103">
            <v>2</v>
          </cell>
          <cell r="J103">
            <v>91</v>
          </cell>
          <cell r="K103">
            <v>71</v>
          </cell>
          <cell r="L103">
            <v>751</v>
          </cell>
          <cell r="R103">
            <v>157</v>
          </cell>
          <cell r="AB103">
            <v>4.04</v>
          </cell>
        </row>
        <row r="104">
          <cell r="B104">
            <v>2003</v>
          </cell>
          <cell r="C104" t="str">
            <v>Houston Astros</v>
          </cell>
          <cell r="E104">
            <v>2</v>
          </cell>
          <cell r="J104">
            <v>87</v>
          </cell>
          <cell r="K104">
            <v>75</v>
          </cell>
          <cell r="L104">
            <v>805</v>
          </cell>
          <cell r="R104">
            <v>191</v>
          </cell>
          <cell r="AB104">
            <v>3.86</v>
          </cell>
        </row>
        <row r="105">
          <cell r="B105">
            <v>2003</v>
          </cell>
          <cell r="C105" t="str">
            <v>Kansas City Royals</v>
          </cell>
          <cell r="E105">
            <v>3</v>
          </cell>
          <cell r="J105">
            <v>83</v>
          </cell>
          <cell r="K105">
            <v>79</v>
          </cell>
          <cell r="L105">
            <v>836</v>
          </cell>
          <cell r="R105">
            <v>162</v>
          </cell>
          <cell r="AB105">
            <v>5.05</v>
          </cell>
        </row>
        <row r="106">
          <cell r="B106">
            <v>2003</v>
          </cell>
          <cell r="C106" t="str">
            <v>Los Angeles Dodgers</v>
          </cell>
          <cell r="E106">
            <v>2</v>
          </cell>
          <cell r="J106">
            <v>85</v>
          </cell>
          <cell r="K106">
            <v>77</v>
          </cell>
          <cell r="L106">
            <v>574</v>
          </cell>
          <cell r="R106">
            <v>124</v>
          </cell>
          <cell r="AB106">
            <v>3.16</v>
          </cell>
        </row>
        <row r="107">
          <cell r="B107">
            <v>2003</v>
          </cell>
          <cell r="C107" t="str">
            <v>Milwaukee Brewers</v>
          </cell>
          <cell r="E107">
            <v>6</v>
          </cell>
          <cell r="J107">
            <v>68</v>
          </cell>
          <cell r="K107">
            <v>94</v>
          </cell>
          <cell r="L107">
            <v>714</v>
          </cell>
          <cell r="R107">
            <v>196</v>
          </cell>
          <cell r="AB107">
            <v>5.0199999999999996</v>
          </cell>
        </row>
        <row r="108">
          <cell r="B108">
            <v>2003</v>
          </cell>
          <cell r="C108" t="str">
            <v>Minnesota Twins</v>
          </cell>
          <cell r="E108">
            <v>1</v>
          </cell>
          <cell r="J108">
            <v>90</v>
          </cell>
          <cell r="K108">
            <v>72</v>
          </cell>
          <cell r="L108">
            <v>801</v>
          </cell>
          <cell r="R108">
            <v>155</v>
          </cell>
          <cell r="AB108">
            <v>4.41</v>
          </cell>
        </row>
        <row r="109">
          <cell r="B109">
            <v>2003</v>
          </cell>
          <cell r="C109" t="str">
            <v>Montreal Expos</v>
          </cell>
          <cell r="E109">
            <v>4</v>
          </cell>
          <cell r="J109">
            <v>83</v>
          </cell>
          <cell r="K109">
            <v>79</v>
          </cell>
          <cell r="L109">
            <v>711</v>
          </cell>
          <cell r="R109">
            <v>144</v>
          </cell>
          <cell r="AB109">
            <v>4.01</v>
          </cell>
        </row>
        <row r="110">
          <cell r="B110">
            <v>2003</v>
          </cell>
          <cell r="C110" t="str">
            <v>New York Yankees</v>
          </cell>
          <cell r="E110">
            <v>1</v>
          </cell>
          <cell r="J110">
            <v>101</v>
          </cell>
          <cell r="K110">
            <v>61</v>
          </cell>
          <cell r="L110">
            <v>877</v>
          </cell>
          <cell r="R110">
            <v>230</v>
          </cell>
          <cell r="AB110">
            <v>4.0199999999999996</v>
          </cell>
        </row>
        <row r="111">
          <cell r="B111">
            <v>2003</v>
          </cell>
          <cell r="C111" t="str">
            <v>New York Mets</v>
          </cell>
          <cell r="E111">
            <v>5</v>
          </cell>
          <cell r="J111">
            <v>66</v>
          </cell>
          <cell r="K111">
            <v>95</v>
          </cell>
          <cell r="L111">
            <v>642</v>
          </cell>
          <cell r="R111">
            <v>124</v>
          </cell>
          <cell r="AB111">
            <v>4.4800000000000004</v>
          </cell>
        </row>
        <row r="112">
          <cell r="B112">
            <v>2003</v>
          </cell>
          <cell r="C112" t="str">
            <v>Oakland Athletics</v>
          </cell>
          <cell r="E112">
            <v>1</v>
          </cell>
          <cell r="J112">
            <v>96</v>
          </cell>
          <cell r="K112">
            <v>66</v>
          </cell>
          <cell r="L112">
            <v>768</v>
          </cell>
          <cell r="R112">
            <v>176</v>
          </cell>
          <cell r="AB112">
            <v>3.63</v>
          </cell>
        </row>
        <row r="113">
          <cell r="B113">
            <v>2003</v>
          </cell>
          <cell r="C113" t="str">
            <v>Philadelphia Phillies</v>
          </cell>
          <cell r="E113">
            <v>3</v>
          </cell>
          <cell r="J113">
            <v>86</v>
          </cell>
          <cell r="K113">
            <v>76</v>
          </cell>
          <cell r="L113">
            <v>791</v>
          </cell>
          <cell r="R113">
            <v>166</v>
          </cell>
          <cell r="AB113">
            <v>4.04</v>
          </cell>
        </row>
        <row r="114">
          <cell r="B114">
            <v>2003</v>
          </cell>
          <cell r="C114" t="str">
            <v>Pittsburgh Pirates</v>
          </cell>
          <cell r="E114">
            <v>4</v>
          </cell>
          <cell r="J114">
            <v>75</v>
          </cell>
          <cell r="K114">
            <v>87</v>
          </cell>
          <cell r="L114">
            <v>753</v>
          </cell>
          <cell r="R114">
            <v>163</v>
          </cell>
          <cell r="AB114">
            <v>4.6399999999999997</v>
          </cell>
        </row>
        <row r="115">
          <cell r="B115">
            <v>2003</v>
          </cell>
          <cell r="C115" t="str">
            <v>San Diego Padres</v>
          </cell>
          <cell r="E115">
            <v>5</v>
          </cell>
          <cell r="J115">
            <v>64</v>
          </cell>
          <cell r="K115">
            <v>98</v>
          </cell>
          <cell r="L115">
            <v>678</v>
          </cell>
          <cell r="R115">
            <v>128</v>
          </cell>
          <cell r="AB115">
            <v>4.87</v>
          </cell>
        </row>
        <row r="116">
          <cell r="B116">
            <v>2003</v>
          </cell>
          <cell r="C116" t="str">
            <v>Seattle Mariners</v>
          </cell>
          <cell r="E116">
            <v>2</v>
          </cell>
          <cell r="J116">
            <v>93</v>
          </cell>
          <cell r="K116">
            <v>69</v>
          </cell>
          <cell r="L116">
            <v>795</v>
          </cell>
          <cell r="R116">
            <v>139</v>
          </cell>
          <cell r="AB116">
            <v>3.76</v>
          </cell>
        </row>
        <row r="117">
          <cell r="B117">
            <v>2003</v>
          </cell>
          <cell r="C117" t="str">
            <v>San Francisco Giants</v>
          </cell>
          <cell r="E117">
            <v>1</v>
          </cell>
          <cell r="J117">
            <v>100</v>
          </cell>
          <cell r="K117">
            <v>61</v>
          </cell>
          <cell r="L117">
            <v>755</v>
          </cell>
          <cell r="R117">
            <v>180</v>
          </cell>
          <cell r="AB117">
            <v>3.73</v>
          </cell>
        </row>
        <row r="118">
          <cell r="B118">
            <v>2003</v>
          </cell>
          <cell r="C118" t="str">
            <v>St. Louis Cardinals</v>
          </cell>
          <cell r="E118">
            <v>3</v>
          </cell>
          <cell r="J118">
            <v>85</v>
          </cell>
          <cell r="K118">
            <v>77</v>
          </cell>
          <cell r="L118">
            <v>876</v>
          </cell>
          <cell r="R118">
            <v>196</v>
          </cell>
          <cell r="AB118">
            <v>4.5999999999999996</v>
          </cell>
        </row>
        <row r="119">
          <cell r="B119">
            <v>2003</v>
          </cell>
          <cell r="C119" t="str">
            <v>Tampa Bay Devil Rays</v>
          </cell>
          <cell r="E119">
            <v>5</v>
          </cell>
          <cell r="J119">
            <v>63</v>
          </cell>
          <cell r="K119">
            <v>99</v>
          </cell>
          <cell r="L119">
            <v>715</v>
          </cell>
          <cell r="R119">
            <v>137</v>
          </cell>
          <cell r="AB119">
            <v>4.93</v>
          </cell>
        </row>
        <row r="120">
          <cell r="B120">
            <v>2003</v>
          </cell>
          <cell r="C120" t="str">
            <v>Texas Rangers</v>
          </cell>
          <cell r="E120">
            <v>4</v>
          </cell>
          <cell r="J120">
            <v>71</v>
          </cell>
          <cell r="K120">
            <v>91</v>
          </cell>
          <cell r="L120">
            <v>826</v>
          </cell>
          <cell r="R120">
            <v>239</v>
          </cell>
          <cell r="AB120">
            <v>5.67</v>
          </cell>
        </row>
        <row r="121">
          <cell r="B121">
            <v>2003</v>
          </cell>
          <cell r="C121" t="str">
            <v>Toronto Blue Jays</v>
          </cell>
          <cell r="E121">
            <v>3</v>
          </cell>
          <cell r="J121">
            <v>86</v>
          </cell>
          <cell r="K121">
            <v>76</v>
          </cell>
          <cell r="L121">
            <v>894</v>
          </cell>
          <cell r="R121">
            <v>190</v>
          </cell>
          <cell r="AB121">
            <v>4.6900000000000004</v>
          </cell>
        </row>
        <row r="122">
          <cell r="B122">
            <v>2004</v>
          </cell>
          <cell r="C122" t="str">
            <v>Anaheim Angels</v>
          </cell>
          <cell r="E122">
            <v>1</v>
          </cell>
          <cell r="J122">
            <v>92</v>
          </cell>
          <cell r="K122">
            <v>70</v>
          </cell>
          <cell r="L122">
            <v>836</v>
          </cell>
          <cell r="R122">
            <v>162</v>
          </cell>
          <cell r="AB122">
            <v>4.28</v>
          </cell>
        </row>
        <row r="123">
          <cell r="B123">
            <v>2004</v>
          </cell>
          <cell r="C123" t="str">
            <v>Arizona Diamondbacks</v>
          </cell>
          <cell r="E123">
            <v>5</v>
          </cell>
          <cell r="J123">
            <v>51</v>
          </cell>
          <cell r="K123">
            <v>111</v>
          </cell>
          <cell r="L123">
            <v>615</v>
          </cell>
          <cell r="R123">
            <v>135</v>
          </cell>
          <cell r="AB123">
            <v>4.9800000000000004</v>
          </cell>
        </row>
        <row r="124">
          <cell r="B124">
            <v>2004</v>
          </cell>
          <cell r="C124" t="str">
            <v>Atlanta Braves</v>
          </cell>
          <cell r="E124">
            <v>1</v>
          </cell>
          <cell r="J124">
            <v>96</v>
          </cell>
          <cell r="K124">
            <v>66</v>
          </cell>
          <cell r="L124">
            <v>803</v>
          </cell>
          <cell r="R124">
            <v>178</v>
          </cell>
          <cell r="AB124">
            <v>3.74</v>
          </cell>
        </row>
        <row r="125">
          <cell r="B125">
            <v>2004</v>
          </cell>
          <cell r="C125" t="str">
            <v>Baltimore Orioles</v>
          </cell>
          <cell r="E125">
            <v>3</v>
          </cell>
          <cell r="J125">
            <v>78</v>
          </cell>
          <cell r="K125">
            <v>84</v>
          </cell>
          <cell r="L125">
            <v>842</v>
          </cell>
          <cell r="R125">
            <v>169</v>
          </cell>
          <cell r="AB125">
            <v>4.7</v>
          </cell>
        </row>
        <row r="126">
          <cell r="B126">
            <v>2004</v>
          </cell>
          <cell r="C126" t="str">
            <v>Boston Red Sox</v>
          </cell>
          <cell r="E126">
            <v>2</v>
          </cell>
          <cell r="J126">
            <v>98</v>
          </cell>
          <cell r="K126">
            <v>64</v>
          </cell>
          <cell r="L126">
            <v>949</v>
          </cell>
          <cell r="R126">
            <v>222</v>
          </cell>
          <cell r="AB126">
            <v>4.18</v>
          </cell>
        </row>
        <row r="127">
          <cell r="B127">
            <v>2004</v>
          </cell>
          <cell r="C127" t="str">
            <v>Chicago White Sox</v>
          </cell>
          <cell r="E127">
            <v>2</v>
          </cell>
          <cell r="J127">
            <v>83</v>
          </cell>
          <cell r="K127">
            <v>79</v>
          </cell>
          <cell r="L127">
            <v>865</v>
          </cell>
          <cell r="R127">
            <v>242</v>
          </cell>
          <cell r="AB127">
            <v>4.91</v>
          </cell>
        </row>
        <row r="128">
          <cell r="B128">
            <v>2004</v>
          </cell>
          <cell r="C128" t="str">
            <v>Chicago Cubs</v>
          </cell>
          <cell r="E128">
            <v>3</v>
          </cell>
          <cell r="J128">
            <v>89</v>
          </cell>
          <cell r="K128">
            <v>73</v>
          </cell>
          <cell r="L128">
            <v>789</v>
          </cell>
          <cell r="R128">
            <v>235</v>
          </cell>
          <cell r="AB128">
            <v>3.81</v>
          </cell>
        </row>
        <row r="129">
          <cell r="B129">
            <v>2004</v>
          </cell>
          <cell r="C129" t="str">
            <v>Cincinnati Reds</v>
          </cell>
          <cell r="E129">
            <v>4</v>
          </cell>
          <cell r="J129">
            <v>76</v>
          </cell>
          <cell r="K129">
            <v>86</v>
          </cell>
          <cell r="L129">
            <v>750</v>
          </cell>
          <cell r="R129">
            <v>194</v>
          </cell>
          <cell r="AB129">
            <v>5.19</v>
          </cell>
        </row>
        <row r="130">
          <cell r="B130">
            <v>2004</v>
          </cell>
          <cell r="C130" t="str">
            <v>Cleveland Indians</v>
          </cell>
          <cell r="E130">
            <v>3</v>
          </cell>
          <cell r="J130">
            <v>80</v>
          </cell>
          <cell r="K130">
            <v>82</v>
          </cell>
          <cell r="L130">
            <v>858</v>
          </cell>
          <cell r="R130">
            <v>184</v>
          </cell>
          <cell r="AB130">
            <v>4.8099999999999996</v>
          </cell>
        </row>
        <row r="131">
          <cell r="B131">
            <v>2004</v>
          </cell>
          <cell r="C131" t="str">
            <v>Colorado Rockies</v>
          </cell>
          <cell r="E131">
            <v>4</v>
          </cell>
          <cell r="J131">
            <v>68</v>
          </cell>
          <cell r="K131">
            <v>94</v>
          </cell>
          <cell r="L131">
            <v>833</v>
          </cell>
          <cell r="R131">
            <v>202</v>
          </cell>
          <cell r="AB131">
            <v>5.54</v>
          </cell>
        </row>
        <row r="132">
          <cell r="B132">
            <v>2004</v>
          </cell>
          <cell r="C132" t="str">
            <v>Detroit Tigers</v>
          </cell>
          <cell r="E132">
            <v>4</v>
          </cell>
          <cell r="J132">
            <v>72</v>
          </cell>
          <cell r="K132">
            <v>90</v>
          </cell>
          <cell r="L132">
            <v>827</v>
          </cell>
          <cell r="R132">
            <v>201</v>
          </cell>
          <cell r="AB132">
            <v>4.93</v>
          </cell>
        </row>
        <row r="133">
          <cell r="B133">
            <v>2004</v>
          </cell>
          <cell r="C133" t="str">
            <v>Florida Marlins</v>
          </cell>
          <cell r="E133">
            <v>3</v>
          </cell>
          <cell r="J133">
            <v>83</v>
          </cell>
          <cell r="K133">
            <v>79</v>
          </cell>
          <cell r="L133">
            <v>718</v>
          </cell>
          <cell r="R133">
            <v>148</v>
          </cell>
          <cell r="AB133">
            <v>4.0999999999999996</v>
          </cell>
        </row>
        <row r="134">
          <cell r="B134">
            <v>2004</v>
          </cell>
          <cell r="C134" t="str">
            <v>Houston Astros</v>
          </cell>
          <cell r="E134">
            <v>2</v>
          </cell>
          <cell r="J134">
            <v>92</v>
          </cell>
          <cell r="K134">
            <v>70</v>
          </cell>
          <cell r="L134">
            <v>803</v>
          </cell>
          <cell r="R134">
            <v>187</v>
          </cell>
          <cell r="AB134">
            <v>4.05</v>
          </cell>
        </row>
        <row r="135">
          <cell r="B135">
            <v>2004</v>
          </cell>
          <cell r="C135" t="str">
            <v>Kansas City Royals</v>
          </cell>
          <cell r="E135">
            <v>5</v>
          </cell>
          <cell r="J135">
            <v>58</v>
          </cell>
          <cell r="K135">
            <v>104</v>
          </cell>
          <cell r="L135">
            <v>720</v>
          </cell>
          <cell r="R135">
            <v>150</v>
          </cell>
          <cell r="AB135">
            <v>5.15</v>
          </cell>
        </row>
        <row r="136">
          <cell r="B136">
            <v>2004</v>
          </cell>
          <cell r="C136" t="str">
            <v>Los Angeles Dodgers</v>
          </cell>
          <cell r="E136">
            <v>1</v>
          </cell>
          <cell r="J136">
            <v>93</v>
          </cell>
          <cell r="K136">
            <v>69</v>
          </cell>
          <cell r="L136">
            <v>761</v>
          </cell>
          <cell r="R136">
            <v>203</v>
          </cell>
          <cell r="AB136">
            <v>4.01</v>
          </cell>
        </row>
        <row r="137">
          <cell r="B137">
            <v>2004</v>
          </cell>
          <cell r="C137" t="str">
            <v>Milwaukee Brewers</v>
          </cell>
          <cell r="E137">
            <v>6</v>
          </cell>
          <cell r="J137">
            <v>67</v>
          </cell>
          <cell r="K137">
            <v>94</v>
          </cell>
          <cell r="L137">
            <v>634</v>
          </cell>
          <cell r="R137">
            <v>135</v>
          </cell>
          <cell r="AB137">
            <v>4.24</v>
          </cell>
        </row>
        <row r="138">
          <cell r="B138">
            <v>2004</v>
          </cell>
          <cell r="C138" t="str">
            <v>Minnesota Twins</v>
          </cell>
          <cell r="E138">
            <v>1</v>
          </cell>
          <cell r="J138">
            <v>92</v>
          </cell>
          <cell r="K138">
            <v>70</v>
          </cell>
          <cell r="L138">
            <v>780</v>
          </cell>
          <cell r="R138">
            <v>191</v>
          </cell>
          <cell r="AB138">
            <v>4.03</v>
          </cell>
        </row>
        <row r="139">
          <cell r="B139">
            <v>2004</v>
          </cell>
          <cell r="C139" t="str">
            <v>Montreal Expos</v>
          </cell>
          <cell r="E139">
            <v>5</v>
          </cell>
          <cell r="J139">
            <v>67</v>
          </cell>
          <cell r="K139">
            <v>95</v>
          </cell>
          <cell r="L139">
            <v>635</v>
          </cell>
          <cell r="R139">
            <v>151</v>
          </cell>
          <cell r="AB139">
            <v>4.33</v>
          </cell>
        </row>
        <row r="140">
          <cell r="B140">
            <v>2004</v>
          </cell>
          <cell r="C140" t="str">
            <v>New York Yankees</v>
          </cell>
          <cell r="E140">
            <v>1</v>
          </cell>
          <cell r="J140">
            <v>101</v>
          </cell>
          <cell r="K140">
            <v>61</v>
          </cell>
          <cell r="L140">
            <v>897</v>
          </cell>
          <cell r="R140">
            <v>242</v>
          </cell>
          <cell r="AB140">
            <v>4.6900000000000004</v>
          </cell>
        </row>
        <row r="141">
          <cell r="B141">
            <v>2004</v>
          </cell>
          <cell r="C141" t="str">
            <v>New York Mets</v>
          </cell>
          <cell r="E141">
            <v>4</v>
          </cell>
          <cell r="J141">
            <v>71</v>
          </cell>
          <cell r="K141">
            <v>91</v>
          </cell>
          <cell r="L141">
            <v>684</v>
          </cell>
          <cell r="R141">
            <v>185</v>
          </cell>
          <cell r="AB141">
            <v>4.09</v>
          </cell>
        </row>
        <row r="142">
          <cell r="B142">
            <v>2004</v>
          </cell>
          <cell r="C142" t="str">
            <v>Oakland Athletics</v>
          </cell>
          <cell r="E142">
            <v>2</v>
          </cell>
          <cell r="J142">
            <v>91</v>
          </cell>
          <cell r="K142">
            <v>71</v>
          </cell>
          <cell r="L142">
            <v>793</v>
          </cell>
          <cell r="R142">
            <v>189</v>
          </cell>
          <cell r="AB142">
            <v>4.17</v>
          </cell>
        </row>
        <row r="143">
          <cell r="B143">
            <v>2004</v>
          </cell>
          <cell r="C143" t="str">
            <v>Philadelphia Phillies</v>
          </cell>
          <cell r="E143">
            <v>2</v>
          </cell>
          <cell r="J143">
            <v>86</v>
          </cell>
          <cell r="K143">
            <v>76</v>
          </cell>
          <cell r="L143">
            <v>840</v>
          </cell>
          <cell r="R143">
            <v>215</v>
          </cell>
          <cell r="AB143">
            <v>4.45</v>
          </cell>
        </row>
        <row r="144">
          <cell r="B144">
            <v>2004</v>
          </cell>
          <cell r="C144" t="str">
            <v>Pittsburgh Pirates</v>
          </cell>
          <cell r="E144">
            <v>5</v>
          </cell>
          <cell r="J144">
            <v>72</v>
          </cell>
          <cell r="K144">
            <v>89</v>
          </cell>
          <cell r="L144">
            <v>680</v>
          </cell>
          <cell r="R144">
            <v>142</v>
          </cell>
          <cell r="AB144">
            <v>4.29</v>
          </cell>
        </row>
        <row r="145">
          <cell r="B145">
            <v>2004</v>
          </cell>
          <cell r="C145" t="str">
            <v>San Diego Padres</v>
          </cell>
          <cell r="E145">
            <v>3</v>
          </cell>
          <cell r="J145">
            <v>87</v>
          </cell>
          <cell r="K145">
            <v>75</v>
          </cell>
          <cell r="L145">
            <v>768</v>
          </cell>
          <cell r="R145">
            <v>139</v>
          </cell>
          <cell r="AB145">
            <v>4.03</v>
          </cell>
        </row>
        <row r="146">
          <cell r="B146">
            <v>2004</v>
          </cell>
          <cell r="C146" t="str">
            <v>Seattle Mariners</v>
          </cell>
          <cell r="E146">
            <v>4</v>
          </cell>
          <cell r="J146">
            <v>63</v>
          </cell>
          <cell r="K146">
            <v>99</v>
          </cell>
          <cell r="L146">
            <v>698</v>
          </cell>
          <cell r="R146">
            <v>136</v>
          </cell>
          <cell r="AB146">
            <v>4.76</v>
          </cell>
        </row>
        <row r="147">
          <cell r="B147">
            <v>2004</v>
          </cell>
          <cell r="C147" t="str">
            <v>San Francisco Giants</v>
          </cell>
          <cell r="E147">
            <v>2</v>
          </cell>
          <cell r="J147">
            <v>91</v>
          </cell>
          <cell r="K147">
            <v>71</v>
          </cell>
          <cell r="L147">
            <v>850</v>
          </cell>
          <cell r="R147">
            <v>183</v>
          </cell>
          <cell r="AB147">
            <v>4.29</v>
          </cell>
        </row>
        <row r="148">
          <cell r="B148">
            <v>2004</v>
          </cell>
          <cell r="C148" t="str">
            <v>St. Louis Cardinals</v>
          </cell>
          <cell r="E148">
            <v>1</v>
          </cell>
          <cell r="J148">
            <v>105</v>
          </cell>
          <cell r="K148">
            <v>57</v>
          </cell>
          <cell r="L148">
            <v>855</v>
          </cell>
          <cell r="R148">
            <v>214</v>
          </cell>
          <cell r="AB148">
            <v>3.75</v>
          </cell>
        </row>
        <row r="149">
          <cell r="B149">
            <v>2004</v>
          </cell>
          <cell r="C149" t="str">
            <v>Tampa Bay Devil Rays</v>
          </cell>
          <cell r="E149">
            <v>4</v>
          </cell>
          <cell r="J149">
            <v>70</v>
          </cell>
          <cell r="K149">
            <v>91</v>
          </cell>
          <cell r="L149">
            <v>714</v>
          </cell>
          <cell r="R149">
            <v>145</v>
          </cell>
          <cell r="AB149">
            <v>4.8099999999999996</v>
          </cell>
        </row>
        <row r="150">
          <cell r="B150">
            <v>2004</v>
          </cell>
          <cell r="C150" t="str">
            <v>Texas Rangers</v>
          </cell>
          <cell r="E150">
            <v>3</v>
          </cell>
          <cell r="J150">
            <v>89</v>
          </cell>
          <cell r="K150">
            <v>73</v>
          </cell>
          <cell r="L150">
            <v>860</v>
          </cell>
          <cell r="R150">
            <v>227</v>
          </cell>
          <cell r="AB150">
            <v>4.53</v>
          </cell>
        </row>
        <row r="151">
          <cell r="B151">
            <v>2004</v>
          </cell>
          <cell r="C151" t="str">
            <v>Toronto Blue Jays</v>
          </cell>
          <cell r="E151">
            <v>5</v>
          </cell>
          <cell r="J151">
            <v>67</v>
          </cell>
          <cell r="K151">
            <v>94</v>
          </cell>
          <cell r="L151">
            <v>719</v>
          </cell>
          <cell r="R151">
            <v>145</v>
          </cell>
          <cell r="AB151">
            <v>4.91</v>
          </cell>
        </row>
        <row r="152">
          <cell r="B152">
            <v>2005</v>
          </cell>
          <cell r="C152" t="str">
            <v>Arizona Diamondbacks</v>
          </cell>
          <cell r="E152">
            <v>2</v>
          </cell>
          <cell r="J152">
            <v>77</v>
          </cell>
          <cell r="K152">
            <v>85</v>
          </cell>
          <cell r="L152">
            <v>696</v>
          </cell>
          <cell r="R152">
            <v>191</v>
          </cell>
          <cell r="AB152">
            <v>4.84</v>
          </cell>
        </row>
        <row r="153">
          <cell r="B153">
            <v>2005</v>
          </cell>
          <cell r="C153" t="str">
            <v>Atlanta Braves</v>
          </cell>
          <cell r="E153">
            <v>1</v>
          </cell>
          <cell r="J153">
            <v>90</v>
          </cell>
          <cell r="K153">
            <v>72</v>
          </cell>
          <cell r="L153">
            <v>769</v>
          </cell>
          <cell r="R153">
            <v>184</v>
          </cell>
          <cell r="AB153">
            <v>3.98</v>
          </cell>
        </row>
        <row r="154">
          <cell r="B154">
            <v>2005</v>
          </cell>
          <cell r="C154" t="str">
            <v>Baltimore Orioles</v>
          </cell>
          <cell r="E154">
            <v>4</v>
          </cell>
          <cell r="J154">
            <v>74</v>
          </cell>
          <cell r="K154">
            <v>88</v>
          </cell>
          <cell r="L154">
            <v>729</v>
          </cell>
          <cell r="R154">
            <v>189</v>
          </cell>
          <cell r="AB154">
            <v>4.5599999999999996</v>
          </cell>
        </row>
        <row r="155">
          <cell r="B155">
            <v>2005</v>
          </cell>
          <cell r="C155" t="str">
            <v>Boston Red Sox</v>
          </cell>
          <cell r="E155">
            <v>2</v>
          </cell>
          <cell r="J155">
            <v>95</v>
          </cell>
          <cell r="K155">
            <v>67</v>
          </cell>
          <cell r="L155">
            <v>910</v>
          </cell>
          <cell r="R155">
            <v>199</v>
          </cell>
          <cell r="AB155">
            <v>4.74</v>
          </cell>
        </row>
        <row r="156">
          <cell r="B156">
            <v>2005</v>
          </cell>
          <cell r="C156" t="str">
            <v>Chicago White Sox</v>
          </cell>
          <cell r="E156">
            <v>1</v>
          </cell>
          <cell r="J156">
            <v>99</v>
          </cell>
          <cell r="K156">
            <v>63</v>
          </cell>
          <cell r="L156">
            <v>741</v>
          </cell>
          <cell r="R156">
            <v>200</v>
          </cell>
          <cell r="AB156">
            <v>3.61</v>
          </cell>
        </row>
        <row r="157">
          <cell r="B157">
            <v>2005</v>
          </cell>
          <cell r="C157" t="str">
            <v>Chicago Cubs</v>
          </cell>
          <cell r="E157">
            <v>4</v>
          </cell>
          <cell r="J157">
            <v>79</v>
          </cell>
          <cell r="K157">
            <v>83</v>
          </cell>
          <cell r="L157">
            <v>703</v>
          </cell>
          <cell r="R157">
            <v>194</v>
          </cell>
          <cell r="AB157">
            <v>4.1900000000000004</v>
          </cell>
        </row>
        <row r="158">
          <cell r="B158">
            <v>2005</v>
          </cell>
          <cell r="C158" t="str">
            <v>Cincinnati Reds</v>
          </cell>
          <cell r="E158">
            <v>5</v>
          </cell>
          <cell r="J158">
            <v>73</v>
          </cell>
          <cell r="K158">
            <v>89</v>
          </cell>
          <cell r="L158">
            <v>820</v>
          </cell>
          <cell r="R158">
            <v>222</v>
          </cell>
          <cell r="AB158">
            <v>5.15</v>
          </cell>
        </row>
        <row r="159">
          <cell r="B159">
            <v>2005</v>
          </cell>
          <cell r="C159" t="str">
            <v>Cleveland Indians</v>
          </cell>
          <cell r="E159">
            <v>2</v>
          </cell>
          <cell r="J159">
            <v>93</v>
          </cell>
          <cell r="K159">
            <v>69</v>
          </cell>
          <cell r="L159">
            <v>790</v>
          </cell>
          <cell r="R159">
            <v>207</v>
          </cell>
          <cell r="AB159">
            <v>3.61</v>
          </cell>
        </row>
        <row r="160">
          <cell r="B160">
            <v>2005</v>
          </cell>
          <cell r="C160" t="str">
            <v>Colorado Rockies</v>
          </cell>
          <cell r="E160">
            <v>5</v>
          </cell>
          <cell r="J160">
            <v>67</v>
          </cell>
          <cell r="K160">
            <v>95</v>
          </cell>
          <cell r="L160">
            <v>740</v>
          </cell>
          <cell r="R160">
            <v>150</v>
          </cell>
          <cell r="AB160">
            <v>5.13</v>
          </cell>
        </row>
        <row r="161">
          <cell r="B161">
            <v>2005</v>
          </cell>
          <cell r="C161" t="str">
            <v>Detroit Tigers</v>
          </cell>
          <cell r="E161">
            <v>4</v>
          </cell>
          <cell r="J161">
            <v>71</v>
          </cell>
          <cell r="K161">
            <v>91</v>
          </cell>
          <cell r="L161">
            <v>723</v>
          </cell>
          <cell r="R161">
            <v>168</v>
          </cell>
          <cell r="AB161">
            <v>4.51</v>
          </cell>
        </row>
        <row r="162">
          <cell r="B162">
            <v>2005</v>
          </cell>
          <cell r="C162" t="str">
            <v>Florida Marlins</v>
          </cell>
          <cell r="E162">
            <v>3</v>
          </cell>
          <cell r="J162">
            <v>83</v>
          </cell>
          <cell r="K162">
            <v>79</v>
          </cell>
          <cell r="L162">
            <v>717</v>
          </cell>
          <cell r="R162">
            <v>128</v>
          </cell>
          <cell r="AB162">
            <v>4.16</v>
          </cell>
        </row>
        <row r="163">
          <cell r="B163">
            <v>2005</v>
          </cell>
          <cell r="C163" t="str">
            <v>Houston Astros</v>
          </cell>
          <cell r="E163">
            <v>2</v>
          </cell>
          <cell r="J163">
            <v>89</v>
          </cell>
          <cell r="K163">
            <v>73</v>
          </cell>
          <cell r="L163">
            <v>693</v>
          </cell>
          <cell r="R163">
            <v>161</v>
          </cell>
          <cell r="AB163">
            <v>3.51</v>
          </cell>
        </row>
        <row r="164">
          <cell r="B164">
            <v>2005</v>
          </cell>
          <cell r="C164" t="str">
            <v>Kansas City Royals</v>
          </cell>
          <cell r="E164">
            <v>5</v>
          </cell>
          <cell r="J164">
            <v>56</v>
          </cell>
          <cell r="K164">
            <v>106</v>
          </cell>
          <cell r="L164">
            <v>701</v>
          </cell>
          <cell r="R164">
            <v>126</v>
          </cell>
          <cell r="AB164">
            <v>5.49</v>
          </cell>
        </row>
        <row r="165">
          <cell r="B165">
            <v>2005</v>
          </cell>
          <cell r="C165" t="str">
            <v>Los Angeles Angels of Anaheim</v>
          </cell>
          <cell r="E165">
            <v>1</v>
          </cell>
          <cell r="J165">
            <v>95</v>
          </cell>
          <cell r="K165">
            <v>67</v>
          </cell>
          <cell r="L165">
            <v>761</v>
          </cell>
          <cell r="R165">
            <v>147</v>
          </cell>
          <cell r="AB165">
            <v>3.68</v>
          </cell>
        </row>
        <row r="166">
          <cell r="B166">
            <v>2005</v>
          </cell>
          <cell r="C166" t="str">
            <v>Los Angeles Dodgers</v>
          </cell>
          <cell r="E166">
            <v>4</v>
          </cell>
          <cell r="J166">
            <v>71</v>
          </cell>
          <cell r="K166">
            <v>91</v>
          </cell>
          <cell r="L166">
            <v>685</v>
          </cell>
          <cell r="R166">
            <v>149</v>
          </cell>
          <cell r="AB166">
            <v>4.38</v>
          </cell>
        </row>
        <row r="167">
          <cell r="B167">
            <v>2005</v>
          </cell>
          <cell r="C167" t="str">
            <v>Milwaukee Brewers</v>
          </cell>
          <cell r="E167">
            <v>3</v>
          </cell>
          <cell r="J167">
            <v>81</v>
          </cell>
          <cell r="K167">
            <v>81</v>
          </cell>
          <cell r="L167">
            <v>726</v>
          </cell>
          <cell r="R167">
            <v>175</v>
          </cell>
          <cell r="AB167">
            <v>3.97</v>
          </cell>
        </row>
        <row r="168">
          <cell r="B168">
            <v>2005</v>
          </cell>
          <cell r="C168" t="str">
            <v>Minnesota Twins</v>
          </cell>
          <cell r="E168">
            <v>3</v>
          </cell>
          <cell r="J168">
            <v>83</v>
          </cell>
          <cell r="K168">
            <v>79</v>
          </cell>
          <cell r="L168">
            <v>688</v>
          </cell>
          <cell r="R168">
            <v>134</v>
          </cell>
          <cell r="AB168">
            <v>3.71</v>
          </cell>
        </row>
        <row r="169">
          <cell r="B169">
            <v>2005</v>
          </cell>
          <cell r="C169" t="str">
            <v>New York Yankees</v>
          </cell>
          <cell r="E169">
            <v>1</v>
          </cell>
          <cell r="J169">
            <v>95</v>
          </cell>
          <cell r="K169">
            <v>67</v>
          </cell>
          <cell r="L169">
            <v>886</v>
          </cell>
          <cell r="R169">
            <v>229</v>
          </cell>
          <cell r="AB169">
            <v>4.5199999999999996</v>
          </cell>
        </row>
        <row r="170">
          <cell r="B170">
            <v>2005</v>
          </cell>
          <cell r="C170" t="str">
            <v>New York Mets</v>
          </cell>
          <cell r="E170">
            <v>3</v>
          </cell>
          <cell r="J170">
            <v>83</v>
          </cell>
          <cell r="K170">
            <v>79</v>
          </cell>
          <cell r="L170">
            <v>722</v>
          </cell>
          <cell r="R170">
            <v>175</v>
          </cell>
          <cell r="AB170">
            <v>3.76</v>
          </cell>
        </row>
        <row r="171">
          <cell r="B171">
            <v>2005</v>
          </cell>
          <cell r="C171" t="str">
            <v>Oakland Athletics</v>
          </cell>
          <cell r="E171">
            <v>2</v>
          </cell>
          <cell r="J171">
            <v>88</v>
          </cell>
          <cell r="K171">
            <v>74</v>
          </cell>
          <cell r="L171">
            <v>772</v>
          </cell>
          <cell r="R171">
            <v>155</v>
          </cell>
          <cell r="AB171">
            <v>3.69</v>
          </cell>
        </row>
        <row r="172">
          <cell r="B172">
            <v>2005</v>
          </cell>
          <cell r="C172" t="str">
            <v>Philadelphia Phillies</v>
          </cell>
          <cell r="E172">
            <v>2</v>
          </cell>
          <cell r="J172">
            <v>88</v>
          </cell>
          <cell r="K172">
            <v>74</v>
          </cell>
          <cell r="L172">
            <v>807</v>
          </cell>
          <cell r="R172">
            <v>167</v>
          </cell>
          <cell r="AB172">
            <v>4.21</v>
          </cell>
        </row>
        <row r="173">
          <cell r="B173">
            <v>2005</v>
          </cell>
          <cell r="C173" t="str">
            <v>Pittsburgh Pirates</v>
          </cell>
          <cell r="E173">
            <v>6</v>
          </cell>
          <cell r="J173">
            <v>67</v>
          </cell>
          <cell r="K173">
            <v>95</v>
          </cell>
          <cell r="L173">
            <v>680</v>
          </cell>
          <cell r="R173">
            <v>139</v>
          </cell>
          <cell r="AB173">
            <v>4.42</v>
          </cell>
        </row>
        <row r="174">
          <cell r="B174">
            <v>2005</v>
          </cell>
          <cell r="C174" t="str">
            <v>San Diego Padres</v>
          </cell>
          <cell r="E174">
            <v>1</v>
          </cell>
          <cell r="J174">
            <v>82</v>
          </cell>
          <cell r="K174">
            <v>80</v>
          </cell>
          <cell r="L174">
            <v>684</v>
          </cell>
          <cell r="R174">
            <v>130</v>
          </cell>
          <cell r="AB174">
            <v>4.13</v>
          </cell>
        </row>
        <row r="175">
          <cell r="B175">
            <v>2005</v>
          </cell>
          <cell r="C175" t="str">
            <v>Seattle Mariners</v>
          </cell>
          <cell r="E175">
            <v>4</v>
          </cell>
          <cell r="J175">
            <v>69</v>
          </cell>
          <cell r="K175">
            <v>93</v>
          </cell>
          <cell r="L175">
            <v>699</v>
          </cell>
          <cell r="R175">
            <v>130</v>
          </cell>
          <cell r="AB175">
            <v>4.49</v>
          </cell>
        </row>
        <row r="176">
          <cell r="B176">
            <v>2005</v>
          </cell>
          <cell r="C176" t="str">
            <v>San Francisco Giants</v>
          </cell>
          <cell r="E176">
            <v>3</v>
          </cell>
          <cell r="J176">
            <v>75</v>
          </cell>
          <cell r="K176">
            <v>87</v>
          </cell>
          <cell r="L176">
            <v>649</v>
          </cell>
          <cell r="R176">
            <v>128</v>
          </cell>
          <cell r="AB176">
            <v>4.33</v>
          </cell>
        </row>
        <row r="177">
          <cell r="B177">
            <v>2005</v>
          </cell>
          <cell r="C177" t="str">
            <v>St. Louis Cardinals</v>
          </cell>
          <cell r="E177">
            <v>1</v>
          </cell>
          <cell r="J177">
            <v>100</v>
          </cell>
          <cell r="K177">
            <v>62</v>
          </cell>
          <cell r="L177">
            <v>805</v>
          </cell>
          <cell r="R177">
            <v>170</v>
          </cell>
          <cell r="AB177">
            <v>3.49</v>
          </cell>
        </row>
        <row r="178">
          <cell r="B178">
            <v>2005</v>
          </cell>
          <cell r="C178" t="str">
            <v>Tampa Bay Devil Rays</v>
          </cell>
          <cell r="E178">
            <v>5</v>
          </cell>
          <cell r="J178">
            <v>67</v>
          </cell>
          <cell r="K178">
            <v>95</v>
          </cell>
          <cell r="L178">
            <v>750</v>
          </cell>
          <cell r="R178">
            <v>157</v>
          </cell>
          <cell r="AB178">
            <v>5.39</v>
          </cell>
        </row>
        <row r="179">
          <cell r="B179">
            <v>2005</v>
          </cell>
          <cell r="C179" t="str">
            <v>Texas Rangers</v>
          </cell>
          <cell r="E179">
            <v>3</v>
          </cell>
          <cell r="J179">
            <v>79</v>
          </cell>
          <cell r="K179">
            <v>83</v>
          </cell>
          <cell r="L179">
            <v>865</v>
          </cell>
          <cell r="R179">
            <v>260</v>
          </cell>
          <cell r="AB179">
            <v>4.96</v>
          </cell>
        </row>
        <row r="180">
          <cell r="B180">
            <v>2005</v>
          </cell>
          <cell r="C180" t="str">
            <v>Toronto Blue Jays</v>
          </cell>
          <cell r="E180">
            <v>3</v>
          </cell>
          <cell r="J180">
            <v>80</v>
          </cell>
          <cell r="K180">
            <v>82</v>
          </cell>
          <cell r="L180">
            <v>775</v>
          </cell>
          <cell r="R180">
            <v>136</v>
          </cell>
          <cell r="AB180">
            <v>4.0599999999999996</v>
          </cell>
        </row>
        <row r="181">
          <cell r="B181">
            <v>2005</v>
          </cell>
          <cell r="C181" t="str">
            <v>Washington Nationals</v>
          </cell>
          <cell r="E181">
            <v>5</v>
          </cell>
          <cell r="J181">
            <v>81</v>
          </cell>
          <cell r="K181">
            <v>81</v>
          </cell>
          <cell r="L181">
            <v>639</v>
          </cell>
          <cell r="R181">
            <v>117</v>
          </cell>
          <cell r="AB181">
            <v>3.87</v>
          </cell>
        </row>
        <row r="182">
          <cell r="B182">
            <v>2006</v>
          </cell>
          <cell r="C182" t="str">
            <v>Arizona Diamondbacks</v>
          </cell>
          <cell r="E182">
            <v>4</v>
          </cell>
          <cell r="J182">
            <v>76</v>
          </cell>
          <cell r="K182">
            <v>86</v>
          </cell>
          <cell r="L182">
            <v>773</v>
          </cell>
          <cell r="R182">
            <v>160</v>
          </cell>
          <cell r="AB182">
            <v>4.4800000000000004</v>
          </cell>
        </row>
        <row r="183">
          <cell r="B183">
            <v>2006</v>
          </cell>
          <cell r="C183" t="str">
            <v>Atlanta Braves</v>
          </cell>
          <cell r="E183">
            <v>3</v>
          </cell>
          <cell r="J183">
            <v>79</v>
          </cell>
          <cell r="K183">
            <v>83</v>
          </cell>
          <cell r="L183">
            <v>849</v>
          </cell>
          <cell r="R183">
            <v>222</v>
          </cell>
          <cell r="AB183">
            <v>4.5999999999999996</v>
          </cell>
        </row>
        <row r="184">
          <cell r="B184">
            <v>2006</v>
          </cell>
          <cell r="C184" t="str">
            <v>Baltimore Orioles</v>
          </cell>
          <cell r="E184">
            <v>4</v>
          </cell>
          <cell r="J184">
            <v>70</v>
          </cell>
          <cell r="K184">
            <v>92</v>
          </cell>
          <cell r="L184">
            <v>768</v>
          </cell>
          <cell r="R184">
            <v>164</v>
          </cell>
          <cell r="AB184">
            <v>5.35</v>
          </cell>
        </row>
        <row r="185">
          <cell r="B185">
            <v>2006</v>
          </cell>
          <cell r="C185" t="str">
            <v>Boston Red Sox</v>
          </cell>
          <cell r="E185">
            <v>3</v>
          </cell>
          <cell r="J185">
            <v>86</v>
          </cell>
          <cell r="K185">
            <v>76</v>
          </cell>
          <cell r="L185">
            <v>820</v>
          </cell>
          <cell r="R185">
            <v>192</v>
          </cell>
          <cell r="AB185">
            <v>4.83</v>
          </cell>
        </row>
        <row r="186">
          <cell r="B186">
            <v>2006</v>
          </cell>
          <cell r="C186" t="str">
            <v>Chicago White Sox</v>
          </cell>
          <cell r="E186">
            <v>3</v>
          </cell>
          <cell r="J186">
            <v>90</v>
          </cell>
          <cell r="K186">
            <v>72</v>
          </cell>
          <cell r="L186">
            <v>868</v>
          </cell>
          <cell r="R186">
            <v>236</v>
          </cell>
          <cell r="AB186">
            <v>4.6100000000000003</v>
          </cell>
        </row>
        <row r="187">
          <cell r="B187">
            <v>2006</v>
          </cell>
          <cell r="C187" t="str">
            <v>Chicago Cubs</v>
          </cell>
          <cell r="E187">
            <v>6</v>
          </cell>
          <cell r="J187">
            <v>66</v>
          </cell>
          <cell r="K187">
            <v>96</v>
          </cell>
          <cell r="L187">
            <v>716</v>
          </cell>
          <cell r="R187">
            <v>166</v>
          </cell>
          <cell r="AB187">
            <v>4.74</v>
          </cell>
        </row>
        <row r="188">
          <cell r="B188">
            <v>2006</v>
          </cell>
          <cell r="C188" t="str">
            <v>Cincinnati Reds</v>
          </cell>
          <cell r="E188">
            <v>3</v>
          </cell>
          <cell r="J188">
            <v>80</v>
          </cell>
          <cell r="K188">
            <v>82</v>
          </cell>
          <cell r="L188">
            <v>749</v>
          </cell>
          <cell r="R188">
            <v>217</v>
          </cell>
          <cell r="AB188">
            <v>4.51</v>
          </cell>
        </row>
        <row r="189">
          <cell r="B189">
            <v>2006</v>
          </cell>
          <cell r="C189" t="str">
            <v>Cleveland Indians</v>
          </cell>
          <cell r="E189">
            <v>4</v>
          </cell>
          <cell r="J189">
            <v>78</v>
          </cell>
          <cell r="K189">
            <v>84</v>
          </cell>
          <cell r="L189">
            <v>870</v>
          </cell>
          <cell r="R189">
            <v>196</v>
          </cell>
          <cell r="AB189">
            <v>4.41</v>
          </cell>
        </row>
        <row r="190">
          <cell r="B190">
            <v>2006</v>
          </cell>
          <cell r="C190" t="str">
            <v>Colorado Rockies</v>
          </cell>
          <cell r="E190">
            <v>4</v>
          </cell>
          <cell r="J190">
            <v>76</v>
          </cell>
          <cell r="K190">
            <v>86</v>
          </cell>
          <cell r="L190">
            <v>813</v>
          </cell>
          <cell r="R190">
            <v>157</v>
          </cell>
          <cell r="AB190">
            <v>4.66</v>
          </cell>
        </row>
        <row r="191">
          <cell r="B191">
            <v>2006</v>
          </cell>
          <cell r="C191" t="str">
            <v>Detroit Tigers</v>
          </cell>
          <cell r="E191">
            <v>2</v>
          </cell>
          <cell r="J191">
            <v>95</v>
          </cell>
          <cell r="K191">
            <v>67</v>
          </cell>
          <cell r="L191">
            <v>822</v>
          </cell>
          <cell r="R191">
            <v>203</v>
          </cell>
          <cell r="AB191">
            <v>3.84</v>
          </cell>
        </row>
        <row r="192">
          <cell r="B192">
            <v>2006</v>
          </cell>
          <cell r="C192" t="str">
            <v>Florida Marlins</v>
          </cell>
          <cell r="E192">
            <v>4</v>
          </cell>
          <cell r="J192">
            <v>78</v>
          </cell>
          <cell r="K192">
            <v>84</v>
          </cell>
          <cell r="L192">
            <v>758</v>
          </cell>
          <cell r="R192">
            <v>182</v>
          </cell>
          <cell r="AB192">
            <v>4.37</v>
          </cell>
        </row>
        <row r="193">
          <cell r="B193">
            <v>2006</v>
          </cell>
          <cell r="C193" t="str">
            <v>Houston Astros</v>
          </cell>
          <cell r="E193">
            <v>2</v>
          </cell>
          <cell r="J193">
            <v>82</v>
          </cell>
          <cell r="K193">
            <v>80</v>
          </cell>
          <cell r="L193">
            <v>735</v>
          </cell>
          <cell r="R193">
            <v>174</v>
          </cell>
          <cell r="AB193">
            <v>4.08</v>
          </cell>
        </row>
        <row r="194">
          <cell r="B194">
            <v>2006</v>
          </cell>
          <cell r="C194" t="str">
            <v>Kansas City Royals</v>
          </cell>
          <cell r="E194">
            <v>5</v>
          </cell>
          <cell r="J194">
            <v>62</v>
          </cell>
          <cell r="K194">
            <v>100</v>
          </cell>
          <cell r="L194">
            <v>757</v>
          </cell>
          <cell r="R194">
            <v>124</v>
          </cell>
          <cell r="AB194">
            <v>5.65</v>
          </cell>
        </row>
        <row r="195">
          <cell r="B195">
            <v>2006</v>
          </cell>
          <cell r="C195" t="str">
            <v>Los Angeles Angels of Anaheim</v>
          </cell>
          <cell r="E195">
            <v>2</v>
          </cell>
          <cell r="J195">
            <v>89</v>
          </cell>
          <cell r="K195">
            <v>73</v>
          </cell>
          <cell r="L195">
            <v>766</v>
          </cell>
          <cell r="R195">
            <v>159</v>
          </cell>
          <cell r="AB195">
            <v>4.04</v>
          </cell>
        </row>
        <row r="196">
          <cell r="B196">
            <v>2006</v>
          </cell>
          <cell r="C196" t="str">
            <v>Los Angeles Dodgers</v>
          </cell>
          <cell r="E196">
            <v>2</v>
          </cell>
          <cell r="J196">
            <v>88</v>
          </cell>
          <cell r="K196">
            <v>74</v>
          </cell>
          <cell r="L196">
            <v>820</v>
          </cell>
          <cell r="R196">
            <v>153</v>
          </cell>
          <cell r="AB196">
            <v>4.2300000000000004</v>
          </cell>
        </row>
        <row r="197">
          <cell r="B197">
            <v>2006</v>
          </cell>
          <cell r="C197" t="str">
            <v>Milwaukee Brewers</v>
          </cell>
          <cell r="E197">
            <v>4</v>
          </cell>
          <cell r="J197">
            <v>75</v>
          </cell>
          <cell r="K197">
            <v>87</v>
          </cell>
          <cell r="L197">
            <v>730</v>
          </cell>
          <cell r="R197">
            <v>180</v>
          </cell>
          <cell r="AB197">
            <v>4.82</v>
          </cell>
        </row>
        <row r="198">
          <cell r="B198">
            <v>2006</v>
          </cell>
          <cell r="C198" t="str">
            <v>Minnesota Twins</v>
          </cell>
          <cell r="E198">
            <v>1</v>
          </cell>
          <cell r="J198">
            <v>96</v>
          </cell>
          <cell r="K198">
            <v>66</v>
          </cell>
          <cell r="L198">
            <v>801</v>
          </cell>
          <cell r="R198">
            <v>143</v>
          </cell>
          <cell r="AB198">
            <v>3.95</v>
          </cell>
        </row>
        <row r="199">
          <cell r="B199">
            <v>2006</v>
          </cell>
          <cell r="C199" t="str">
            <v>New York Yankees</v>
          </cell>
          <cell r="E199">
            <v>1</v>
          </cell>
          <cell r="J199">
            <v>97</v>
          </cell>
          <cell r="K199">
            <v>65</v>
          </cell>
          <cell r="L199">
            <v>930</v>
          </cell>
          <cell r="R199">
            <v>210</v>
          </cell>
          <cell r="AB199">
            <v>4.41</v>
          </cell>
        </row>
        <row r="200">
          <cell r="B200">
            <v>2006</v>
          </cell>
          <cell r="C200" t="str">
            <v>New York Mets</v>
          </cell>
          <cell r="E200">
            <v>1</v>
          </cell>
          <cell r="J200">
            <v>97</v>
          </cell>
          <cell r="K200">
            <v>65</v>
          </cell>
          <cell r="L200">
            <v>834</v>
          </cell>
          <cell r="R200">
            <v>200</v>
          </cell>
          <cell r="AB200">
            <v>4.1399999999999997</v>
          </cell>
        </row>
        <row r="201">
          <cell r="B201">
            <v>2006</v>
          </cell>
          <cell r="C201" t="str">
            <v>Oakland Athletics</v>
          </cell>
          <cell r="E201">
            <v>1</v>
          </cell>
          <cell r="J201">
            <v>93</v>
          </cell>
          <cell r="K201">
            <v>69</v>
          </cell>
          <cell r="L201">
            <v>771</v>
          </cell>
          <cell r="R201">
            <v>175</v>
          </cell>
          <cell r="AB201">
            <v>4.21</v>
          </cell>
        </row>
        <row r="202">
          <cell r="B202">
            <v>2006</v>
          </cell>
          <cell r="C202" t="str">
            <v>Philadelphia Phillies</v>
          </cell>
          <cell r="E202">
            <v>2</v>
          </cell>
          <cell r="J202">
            <v>85</v>
          </cell>
          <cell r="K202">
            <v>77</v>
          </cell>
          <cell r="L202">
            <v>865</v>
          </cell>
          <cell r="R202">
            <v>216</v>
          </cell>
          <cell r="AB202">
            <v>4.5999999999999996</v>
          </cell>
        </row>
        <row r="203">
          <cell r="B203">
            <v>2006</v>
          </cell>
          <cell r="C203" t="str">
            <v>Pittsburgh Pirates</v>
          </cell>
          <cell r="E203">
            <v>5</v>
          </cell>
          <cell r="J203">
            <v>67</v>
          </cell>
          <cell r="K203">
            <v>95</v>
          </cell>
          <cell r="L203">
            <v>691</v>
          </cell>
          <cell r="R203">
            <v>141</v>
          </cell>
          <cell r="AB203">
            <v>4.5199999999999996</v>
          </cell>
        </row>
        <row r="204">
          <cell r="B204">
            <v>2006</v>
          </cell>
          <cell r="C204" t="str">
            <v>San Diego Padres</v>
          </cell>
          <cell r="E204">
            <v>1</v>
          </cell>
          <cell r="J204">
            <v>88</v>
          </cell>
          <cell r="K204">
            <v>74</v>
          </cell>
          <cell r="L204">
            <v>731</v>
          </cell>
          <cell r="R204">
            <v>161</v>
          </cell>
          <cell r="AB204">
            <v>3.87</v>
          </cell>
        </row>
        <row r="205">
          <cell r="B205">
            <v>2006</v>
          </cell>
          <cell r="C205" t="str">
            <v>Seattle Mariners</v>
          </cell>
          <cell r="E205">
            <v>4</v>
          </cell>
          <cell r="J205">
            <v>78</v>
          </cell>
          <cell r="K205">
            <v>84</v>
          </cell>
          <cell r="L205">
            <v>756</v>
          </cell>
          <cell r="R205">
            <v>172</v>
          </cell>
          <cell r="AB205">
            <v>4.5999999999999996</v>
          </cell>
        </row>
        <row r="206">
          <cell r="B206">
            <v>2006</v>
          </cell>
          <cell r="C206" t="str">
            <v>San Francisco Giants</v>
          </cell>
          <cell r="E206">
            <v>3</v>
          </cell>
          <cell r="J206">
            <v>76</v>
          </cell>
          <cell r="K206">
            <v>85</v>
          </cell>
          <cell r="L206">
            <v>746</v>
          </cell>
          <cell r="R206">
            <v>163</v>
          </cell>
          <cell r="AB206">
            <v>4.63</v>
          </cell>
        </row>
        <row r="207">
          <cell r="B207">
            <v>2006</v>
          </cell>
          <cell r="C207" t="str">
            <v>St. Louis Cardinals</v>
          </cell>
          <cell r="E207">
            <v>1</v>
          </cell>
          <cell r="J207">
            <v>83</v>
          </cell>
          <cell r="K207">
            <v>78</v>
          </cell>
          <cell r="L207">
            <v>781</v>
          </cell>
          <cell r="R207">
            <v>184</v>
          </cell>
          <cell r="AB207">
            <v>4.54</v>
          </cell>
        </row>
        <row r="208">
          <cell r="B208">
            <v>2006</v>
          </cell>
          <cell r="C208" t="str">
            <v>Tampa Bay Devil Rays</v>
          </cell>
          <cell r="E208">
            <v>5</v>
          </cell>
          <cell r="J208">
            <v>61</v>
          </cell>
          <cell r="K208">
            <v>101</v>
          </cell>
          <cell r="L208">
            <v>689</v>
          </cell>
          <cell r="R208">
            <v>190</v>
          </cell>
          <cell r="AB208">
            <v>4.96</v>
          </cell>
        </row>
        <row r="209">
          <cell r="B209">
            <v>2006</v>
          </cell>
          <cell r="C209" t="str">
            <v>Texas Rangers</v>
          </cell>
          <cell r="E209">
            <v>3</v>
          </cell>
          <cell r="J209">
            <v>80</v>
          </cell>
          <cell r="K209">
            <v>82</v>
          </cell>
          <cell r="L209">
            <v>835</v>
          </cell>
          <cell r="R209">
            <v>183</v>
          </cell>
          <cell r="AB209">
            <v>4.5999999999999996</v>
          </cell>
        </row>
        <row r="210">
          <cell r="B210">
            <v>2006</v>
          </cell>
          <cell r="C210" t="str">
            <v>Toronto Blue Jays</v>
          </cell>
          <cell r="E210">
            <v>2</v>
          </cell>
          <cell r="J210">
            <v>87</v>
          </cell>
          <cell r="K210">
            <v>75</v>
          </cell>
          <cell r="L210">
            <v>809</v>
          </cell>
          <cell r="R210">
            <v>199</v>
          </cell>
          <cell r="AB210">
            <v>4.37</v>
          </cell>
        </row>
        <row r="211">
          <cell r="B211">
            <v>2006</v>
          </cell>
          <cell r="C211" t="str">
            <v>Washington Nationals</v>
          </cell>
          <cell r="E211">
            <v>5</v>
          </cell>
          <cell r="J211">
            <v>71</v>
          </cell>
          <cell r="K211">
            <v>91</v>
          </cell>
          <cell r="L211">
            <v>746</v>
          </cell>
          <cell r="R211">
            <v>164</v>
          </cell>
          <cell r="AB211">
            <v>5.03</v>
          </cell>
        </row>
        <row r="212">
          <cell r="B212">
            <v>2007</v>
          </cell>
          <cell r="C212" t="str">
            <v>Arizona Diamondbacks</v>
          </cell>
          <cell r="E212">
            <v>1</v>
          </cell>
          <cell r="J212">
            <v>90</v>
          </cell>
          <cell r="K212">
            <v>72</v>
          </cell>
          <cell r="L212">
            <v>712</v>
          </cell>
          <cell r="R212">
            <v>171</v>
          </cell>
          <cell r="AB212">
            <v>4.13</v>
          </cell>
        </row>
        <row r="213">
          <cell r="B213">
            <v>2007</v>
          </cell>
          <cell r="C213" t="str">
            <v>Atlanta Braves</v>
          </cell>
          <cell r="E213">
            <v>3</v>
          </cell>
          <cell r="J213">
            <v>84</v>
          </cell>
          <cell r="K213">
            <v>78</v>
          </cell>
          <cell r="L213">
            <v>810</v>
          </cell>
          <cell r="R213">
            <v>176</v>
          </cell>
          <cell r="AB213">
            <v>4.1100000000000003</v>
          </cell>
        </row>
        <row r="214">
          <cell r="B214">
            <v>2007</v>
          </cell>
          <cell r="C214" t="str">
            <v>Baltimore Orioles</v>
          </cell>
          <cell r="E214">
            <v>4</v>
          </cell>
          <cell r="J214">
            <v>69</v>
          </cell>
          <cell r="K214">
            <v>93</v>
          </cell>
          <cell r="L214">
            <v>756</v>
          </cell>
          <cell r="R214">
            <v>142</v>
          </cell>
          <cell r="AB214">
            <v>5.17</v>
          </cell>
        </row>
        <row r="215">
          <cell r="B215">
            <v>2007</v>
          </cell>
          <cell r="C215" t="str">
            <v>Boston Red Sox</v>
          </cell>
          <cell r="E215">
            <v>1</v>
          </cell>
          <cell r="J215">
            <v>96</v>
          </cell>
          <cell r="K215">
            <v>66</v>
          </cell>
          <cell r="L215">
            <v>867</v>
          </cell>
          <cell r="R215">
            <v>166</v>
          </cell>
          <cell r="AB215">
            <v>3.87</v>
          </cell>
        </row>
        <row r="216">
          <cell r="B216">
            <v>2007</v>
          </cell>
          <cell r="C216" t="str">
            <v>Chicago White Sox</v>
          </cell>
          <cell r="E216">
            <v>4</v>
          </cell>
          <cell r="J216">
            <v>72</v>
          </cell>
          <cell r="K216">
            <v>90</v>
          </cell>
          <cell r="L216">
            <v>693</v>
          </cell>
          <cell r="R216">
            <v>190</v>
          </cell>
          <cell r="AB216">
            <v>4.7699999999999996</v>
          </cell>
        </row>
        <row r="217">
          <cell r="B217">
            <v>2007</v>
          </cell>
          <cell r="C217" t="str">
            <v>Chicago Cubs</v>
          </cell>
          <cell r="E217">
            <v>1</v>
          </cell>
          <cell r="J217">
            <v>85</v>
          </cell>
          <cell r="K217">
            <v>77</v>
          </cell>
          <cell r="L217">
            <v>752</v>
          </cell>
          <cell r="R217">
            <v>151</v>
          </cell>
          <cell r="AB217">
            <v>4.04</v>
          </cell>
        </row>
        <row r="218">
          <cell r="B218">
            <v>2007</v>
          </cell>
          <cell r="C218" t="str">
            <v>Cincinnati Reds</v>
          </cell>
          <cell r="E218">
            <v>5</v>
          </cell>
          <cell r="J218">
            <v>72</v>
          </cell>
          <cell r="K218">
            <v>90</v>
          </cell>
          <cell r="L218">
            <v>783</v>
          </cell>
          <cell r="R218">
            <v>204</v>
          </cell>
          <cell r="AB218">
            <v>4.9400000000000004</v>
          </cell>
        </row>
        <row r="219">
          <cell r="B219">
            <v>2007</v>
          </cell>
          <cell r="C219" t="str">
            <v>Cleveland Indians</v>
          </cell>
          <cell r="E219">
            <v>1</v>
          </cell>
          <cell r="J219">
            <v>96</v>
          </cell>
          <cell r="K219">
            <v>66</v>
          </cell>
          <cell r="L219">
            <v>811</v>
          </cell>
          <cell r="R219">
            <v>178</v>
          </cell>
          <cell r="AB219">
            <v>4.05</v>
          </cell>
        </row>
        <row r="220">
          <cell r="B220">
            <v>2007</v>
          </cell>
          <cell r="C220" t="str">
            <v>Colorado Rockies</v>
          </cell>
          <cell r="E220">
            <v>2</v>
          </cell>
          <cell r="J220">
            <v>90</v>
          </cell>
          <cell r="K220">
            <v>73</v>
          </cell>
          <cell r="L220">
            <v>860</v>
          </cell>
          <cell r="R220">
            <v>171</v>
          </cell>
          <cell r="AB220">
            <v>4.32</v>
          </cell>
        </row>
        <row r="221">
          <cell r="B221">
            <v>2007</v>
          </cell>
          <cell r="C221" t="str">
            <v>Detroit Tigers</v>
          </cell>
          <cell r="E221">
            <v>2</v>
          </cell>
          <cell r="J221">
            <v>88</v>
          </cell>
          <cell r="K221">
            <v>74</v>
          </cell>
          <cell r="L221">
            <v>887</v>
          </cell>
          <cell r="R221">
            <v>177</v>
          </cell>
          <cell r="AB221">
            <v>4.57</v>
          </cell>
        </row>
        <row r="222">
          <cell r="B222">
            <v>2007</v>
          </cell>
          <cell r="C222" t="str">
            <v>Florida Marlins</v>
          </cell>
          <cell r="E222">
            <v>5</v>
          </cell>
          <cell r="J222">
            <v>71</v>
          </cell>
          <cell r="K222">
            <v>91</v>
          </cell>
          <cell r="L222">
            <v>790</v>
          </cell>
          <cell r="R222">
            <v>201</v>
          </cell>
          <cell r="AB222">
            <v>4.9400000000000004</v>
          </cell>
        </row>
        <row r="223">
          <cell r="B223">
            <v>2007</v>
          </cell>
          <cell r="C223" t="str">
            <v>Houston Astros</v>
          </cell>
          <cell r="E223">
            <v>4</v>
          </cell>
          <cell r="J223">
            <v>73</v>
          </cell>
          <cell r="K223">
            <v>89</v>
          </cell>
          <cell r="L223">
            <v>723</v>
          </cell>
          <cell r="R223">
            <v>167</v>
          </cell>
          <cell r="AB223">
            <v>4.68</v>
          </cell>
        </row>
        <row r="224">
          <cell r="B224">
            <v>2007</v>
          </cell>
          <cell r="C224" t="str">
            <v>Kansas City Royals</v>
          </cell>
          <cell r="E224">
            <v>5</v>
          </cell>
          <cell r="J224">
            <v>69</v>
          </cell>
          <cell r="K224">
            <v>93</v>
          </cell>
          <cell r="L224">
            <v>706</v>
          </cell>
          <cell r="R224">
            <v>102</v>
          </cell>
          <cell r="AB224">
            <v>4.4800000000000004</v>
          </cell>
        </row>
        <row r="225">
          <cell r="B225">
            <v>2007</v>
          </cell>
          <cell r="C225" t="str">
            <v>Los Angeles Angels of Anaheim</v>
          </cell>
          <cell r="E225">
            <v>1</v>
          </cell>
          <cell r="J225">
            <v>94</v>
          </cell>
          <cell r="K225">
            <v>68</v>
          </cell>
          <cell r="L225">
            <v>822</v>
          </cell>
          <cell r="R225">
            <v>123</v>
          </cell>
          <cell r="AB225">
            <v>4.2300000000000004</v>
          </cell>
        </row>
        <row r="226">
          <cell r="B226">
            <v>2007</v>
          </cell>
          <cell r="C226" t="str">
            <v>Los Angeles Dodgers</v>
          </cell>
          <cell r="E226">
            <v>4</v>
          </cell>
          <cell r="J226">
            <v>82</v>
          </cell>
          <cell r="K226">
            <v>80</v>
          </cell>
          <cell r="L226">
            <v>735</v>
          </cell>
          <cell r="R226">
            <v>129</v>
          </cell>
          <cell r="AB226">
            <v>4.2</v>
          </cell>
        </row>
        <row r="227">
          <cell r="B227">
            <v>2007</v>
          </cell>
          <cell r="C227" t="str">
            <v>Milwaukee Brewers</v>
          </cell>
          <cell r="E227">
            <v>2</v>
          </cell>
          <cell r="J227">
            <v>83</v>
          </cell>
          <cell r="K227">
            <v>79</v>
          </cell>
          <cell r="L227">
            <v>801</v>
          </cell>
          <cell r="R227">
            <v>231</v>
          </cell>
          <cell r="AB227">
            <v>4.41</v>
          </cell>
        </row>
        <row r="228">
          <cell r="B228">
            <v>2007</v>
          </cell>
          <cell r="C228" t="str">
            <v>Minnesota Twins</v>
          </cell>
          <cell r="E228">
            <v>3</v>
          </cell>
          <cell r="J228">
            <v>79</v>
          </cell>
          <cell r="K228">
            <v>83</v>
          </cell>
          <cell r="L228">
            <v>718</v>
          </cell>
          <cell r="R228">
            <v>118</v>
          </cell>
          <cell r="AB228">
            <v>4.1500000000000004</v>
          </cell>
        </row>
        <row r="229">
          <cell r="B229">
            <v>2007</v>
          </cell>
          <cell r="C229" t="str">
            <v>New York Yankees</v>
          </cell>
          <cell r="E229">
            <v>2</v>
          </cell>
          <cell r="J229">
            <v>94</v>
          </cell>
          <cell r="K229">
            <v>68</v>
          </cell>
          <cell r="L229">
            <v>968</v>
          </cell>
          <cell r="R229">
            <v>201</v>
          </cell>
          <cell r="AB229">
            <v>4.49</v>
          </cell>
        </row>
        <row r="230">
          <cell r="B230">
            <v>2007</v>
          </cell>
          <cell r="C230" t="str">
            <v>New York Mets</v>
          </cell>
          <cell r="E230">
            <v>2</v>
          </cell>
          <cell r="J230">
            <v>88</v>
          </cell>
          <cell r="K230">
            <v>74</v>
          </cell>
          <cell r="L230">
            <v>804</v>
          </cell>
          <cell r="R230">
            <v>177</v>
          </cell>
          <cell r="AB230">
            <v>4.26</v>
          </cell>
        </row>
        <row r="231">
          <cell r="B231">
            <v>2007</v>
          </cell>
          <cell r="C231" t="str">
            <v>Oakland Athletics</v>
          </cell>
          <cell r="E231">
            <v>3</v>
          </cell>
          <cell r="J231">
            <v>76</v>
          </cell>
          <cell r="K231">
            <v>86</v>
          </cell>
          <cell r="L231">
            <v>741</v>
          </cell>
          <cell r="R231">
            <v>171</v>
          </cell>
          <cell r="AB231">
            <v>4.28</v>
          </cell>
        </row>
        <row r="232">
          <cell r="B232">
            <v>2007</v>
          </cell>
          <cell r="C232" t="str">
            <v>Philadelphia Phillies</v>
          </cell>
          <cell r="E232">
            <v>1</v>
          </cell>
          <cell r="J232">
            <v>89</v>
          </cell>
          <cell r="K232">
            <v>73</v>
          </cell>
          <cell r="L232">
            <v>892</v>
          </cell>
          <cell r="R232">
            <v>213</v>
          </cell>
          <cell r="AB232">
            <v>4.7300000000000004</v>
          </cell>
        </row>
        <row r="233">
          <cell r="B233">
            <v>2007</v>
          </cell>
          <cell r="C233" t="str">
            <v>Pittsburgh Pirates</v>
          </cell>
          <cell r="E233">
            <v>6</v>
          </cell>
          <cell r="J233">
            <v>68</v>
          </cell>
          <cell r="K233">
            <v>94</v>
          </cell>
          <cell r="L233">
            <v>724</v>
          </cell>
          <cell r="R233">
            <v>148</v>
          </cell>
          <cell r="AB233">
            <v>4.93</v>
          </cell>
        </row>
        <row r="234">
          <cell r="B234">
            <v>2007</v>
          </cell>
          <cell r="C234" t="str">
            <v>San Diego Padres</v>
          </cell>
          <cell r="E234">
            <v>3</v>
          </cell>
          <cell r="J234">
            <v>89</v>
          </cell>
          <cell r="K234">
            <v>74</v>
          </cell>
          <cell r="L234">
            <v>741</v>
          </cell>
          <cell r="R234">
            <v>171</v>
          </cell>
          <cell r="AB234">
            <v>3.7</v>
          </cell>
        </row>
        <row r="235">
          <cell r="B235">
            <v>2007</v>
          </cell>
          <cell r="C235" t="str">
            <v>Seattle Mariners</v>
          </cell>
          <cell r="E235">
            <v>2</v>
          </cell>
          <cell r="J235">
            <v>88</v>
          </cell>
          <cell r="K235">
            <v>74</v>
          </cell>
          <cell r="L235">
            <v>794</v>
          </cell>
          <cell r="R235">
            <v>153</v>
          </cell>
          <cell r="AB235">
            <v>4.7300000000000004</v>
          </cell>
        </row>
        <row r="236">
          <cell r="B236">
            <v>2007</v>
          </cell>
          <cell r="C236" t="str">
            <v>San Francisco Giants</v>
          </cell>
          <cell r="E236">
            <v>5</v>
          </cell>
          <cell r="J236">
            <v>71</v>
          </cell>
          <cell r="K236">
            <v>91</v>
          </cell>
          <cell r="L236">
            <v>683</v>
          </cell>
          <cell r="R236">
            <v>131</v>
          </cell>
          <cell r="AB236">
            <v>4.1900000000000004</v>
          </cell>
        </row>
        <row r="237">
          <cell r="B237">
            <v>2007</v>
          </cell>
          <cell r="C237" t="str">
            <v>St. Louis Cardinals</v>
          </cell>
          <cell r="E237">
            <v>3</v>
          </cell>
          <cell r="J237">
            <v>78</v>
          </cell>
          <cell r="K237">
            <v>84</v>
          </cell>
          <cell r="L237">
            <v>725</v>
          </cell>
          <cell r="R237">
            <v>141</v>
          </cell>
          <cell r="AB237">
            <v>4.6500000000000004</v>
          </cell>
        </row>
        <row r="238">
          <cell r="B238">
            <v>2007</v>
          </cell>
          <cell r="C238" t="str">
            <v>Tampa Bay Devil Rays</v>
          </cell>
          <cell r="E238">
            <v>5</v>
          </cell>
          <cell r="J238">
            <v>66</v>
          </cell>
          <cell r="K238">
            <v>96</v>
          </cell>
          <cell r="L238">
            <v>782</v>
          </cell>
          <cell r="R238">
            <v>187</v>
          </cell>
          <cell r="AB238">
            <v>5.53</v>
          </cell>
        </row>
        <row r="239">
          <cell r="B239">
            <v>2007</v>
          </cell>
          <cell r="C239" t="str">
            <v>Texas Rangers</v>
          </cell>
          <cell r="E239">
            <v>4</v>
          </cell>
          <cell r="J239">
            <v>75</v>
          </cell>
          <cell r="K239">
            <v>87</v>
          </cell>
          <cell r="L239">
            <v>816</v>
          </cell>
          <cell r="R239">
            <v>179</v>
          </cell>
          <cell r="AB239">
            <v>4.75</v>
          </cell>
        </row>
        <row r="240">
          <cell r="B240">
            <v>2007</v>
          </cell>
          <cell r="C240" t="str">
            <v>Toronto Blue Jays</v>
          </cell>
          <cell r="E240">
            <v>3</v>
          </cell>
          <cell r="J240">
            <v>83</v>
          </cell>
          <cell r="K240">
            <v>79</v>
          </cell>
          <cell r="L240">
            <v>753</v>
          </cell>
          <cell r="R240">
            <v>165</v>
          </cell>
          <cell r="AB240">
            <v>4</v>
          </cell>
        </row>
        <row r="241">
          <cell r="B241">
            <v>2007</v>
          </cell>
          <cell r="C241" t="str">
            <v>Washington Nationals</v>
          </cell>
          <cell r="E241">
            <v>4</v>
          </cell>
          <cell r="J241">
            <v>73</v>
          </cell>
          <cell r="K241">
            <v>89</v>
          </cell>
          <cell r="L241">
            <v>673</v>
          </cell>
          <cell r="R241">
            <v>123</v>
          </cell>
          <cell r="AB241">
            <v>4.58</v>
          </cell>
        </row>
        <row r="242">
          <cell r="B242">
            <v>2008</v>
          </cell>
          <cell r="C242" t="str">
            <v>Arizona Diamondbacks</v>
          </cell>
          <cell r="E242">
            <v>2</v>
          </cell>
          <cell r="J242">
            <v>82</v>
          </cell>
          <cell r="K242">
            <v>80</v>
          </cell>
          <cell r="L242">
            <v>720</v>
          </cell>
          <cell r="R242">
            <v>159</v>
          </cell>
          <cell r="AB242">
            <v>3.98</v>
          </cell>
        </row>
        <row r="243">
          <cell r="B243">
            <v>2008</v>
          </cell>
          <cell r="C243" t="str">
            <v>Atlanta Braves</v>
          </cell>
          <cell r="E243">
            <v>4</v>
          </cell>
          <cell r="J243">
            <v>72</v>
          </cell>
          <cell r="K243">
            <v>90</v>
          </cell>
          <cell r="L243">
            <v>753</v>
          </cell>
          <cell r="R243">
            <v>130</v>
          </cell>
          <cell r="AB243">
            <v>4.46</v>
          </cell>
        </row>
        <row r="244">
          <cell r="B244">
            <v>2008</v>
          </cell>
          <cell r="C244" t="str">
            <v>Baltimore Orioles</v>
          </cell>
          <cell r="E244">
            <v>5</v>
          </cell>
          <cell r="J244">
            <v>68</v>
          </cell>
          <cell r="K244">
            <v>93</v>
          </cell>
          <cell r="L244">
            <v>782</v>
          </cell>
          <cell r="R244">
            <v>172</v>
          </cell>
          <cell r="AB244">
            <v>5.13</v>
          </cell>
        </row>
        <row r="245">
          <cell r="B245">
            <v>2008</v>
          </cell>
          <cell r="C245" t="str">
            <v>Boston Red Sox</v>
          </cell>
          <cell r="E245">
            <v>2</v>
          </cell>
          <cell r="J245">
            <v>95</v>
          </cell>
          <cell r="K245">
            <v>67</v>
          </cell>
          <cell r="L245">
            <v>845</v>
          </cell>
          <cell r="R245">
            <v>173</v>
          </cell>
          <cell r="AB245">
            <v>4.01</v>
          </cell>
        </row>
        <row r="246">
          <cell r="B246">
            <v>2008</v>
          </cell>
          <cell r="C246" t="str">
            <v>Chicago White Sox</v>
          </cell>
          <cell r="E246">
            <v>1</v>
          </cell>
          <cell r="J246">
            <v>89</v>
          </cell>
          <cell r="K246">
            <v>74</v>
          </cell>
          <cell r="L246">
            <v>811</v>
          </cell>
          <cell r="R246">
            <v>235</v>
          </cell>
          <cell r="AB246">
            <v>4.0599999999999996</v>
          </cell>
        </row>
        <row r="247">
          <cell r="B247">
            <v>2008</v>
          </cell>
          <cell r="C247" t="str">
            <v>Chicago Cubs</v>
          </cell>
          <cell r="E247">
            <v>1</v>
          </cell>
          <cell r="J247">
            <v>97</v>
          </cell>
          <cell r="K247">
            <v>64</v>
          </cell>
          <cell r="L247">
            <v>855</v>
          </cell>
          <cell r="R247">
            <v>184</v>
          </cell>
          <cell r="AB247">
            <v>3.87</v>
          </cell>
        </row>
        <row r="248">
          <cell r="B248">
            <v>2008</v>
          </cell>
          <cell r="C248" t="str">
            <v>Cincinnati Reds</v>
          </cell>
          <cell r="E248">
            <v>5</v>
          </cell>
          <cell r="J248">
            <v>74</v>
          </cell>
          <cell r="K248">
            <v>88</v>
          </cell>
          <cell r="L248">
            <v>704</v>
          </cell>
          <cell r="R248">
            <v>187</v>
          </cell>
          <cell r="AB248">
            <v>4.55</v>
          </cell>
        </row>
        <row r="249">
          <cell r="B249">
            <v>2008</v>
          </cell>
          <cell r="C249" t="str">
            <v>Cleveland Indians</v>
          </cell>
          <cell r="E249">
            <v>3</v>
          </cell>
          <cell r="J249">
            <v>81</v>
          </cell>
          <cell r="K249">
            <v>81</v>
          </cell>
          <cell r="L249">
            <v>805</v>
          </cell>
          <cell r="R249">
            <v>171</v>
          </cell>
          <cell r="AB249">
            <v>4.45</v>
          </cell>
        </row>
        <row r="250">
          <cell r="B250">
            <v>2008</v>
          </cell>
          <cell r="C250" t="str">
            <v>Colorado Rockies</v>
          </cell>
          <cell r="E250">
            <v>3</v>
          </cell>
          <cell r="J250">
            <v>74</v>
          </cell>
          <cell r="K250">
            <v>88</v>
          </cell>
          <cell r="L250">
            <v>747</v>
          </cell>
          <cell r="R250">
            <v>160</v>
          </cell>
          <cell r="AB250">
            <v>4.7699999999999996</v>
          </cell>
        </row>
        <row r="251">
          <cell r="B251">
            <v>2008</v>
          </cell>
          <cell r="C251" t="str">
            <v>Detroit Tigers</v>
          </cell>
          <cell r="E251">
            <v>5</v>
          </cell>
          <cell r="J251">
            <v>74</v>
          </cell>
          <cell r="K251">
            <v>88</v>
          </cell>
          <cell r="L251">
            <v>821</v>
          </cell>
          <cell r="R251">
            <v>200</v>
          </cell>
          <cell r="AB251">
            <v>4.9000000000000004</v>
          </cell>
        </row>
        <row r="252">
          <cell r="B252">
            <v>2008</v>
          </cell>
          <cell r="C252" t="str">
            <v>Florida Marlins</v>
          </cell>
          <cell r="E252">
            <v>3</v>
          </cell>
          <cell r="J252">
            <v>84</v>
          </cell>
          <cell r="K252">
            <v>77</v>
          </cell>
          <cell r="L252">
            <v>770</v>
          </cell>
          <cell r="R252">
            <v>208</v>
          </cell>
          <cell r="AB252">
            <v>4.43</v>
          </cell>
        </row>
        <row r="253">
          <cell r="B253">
            <v>2008</v>
          </cell>
          <cell r="C253" t="str">
            <v>Houston Astros</v>
          </cell>
          <cell r="E253">
            <v>3</v>
          </cell>
          <cell r="J253">
            <v>86</v>
          </cell>
          <cell r="K253">
            <v>75</v>
          </cell>
          <cell r="L253">
            <v>712</v>
          </cell>
          <cell r="R253">
            <v>167</v>
          </cell>
          <cell r="AB253">
            <v>4.3600000000000003</v>
          </cell>
        </row>
        <row r="254">
          <cell r="B254">
            <v>2008</v>
          </cell>
          <cell r="C254" t="str">
            <v>Kansas City Royals</v>
          </cell>
          <cell r="E254">
            <v>4</v>
          </cell>
          <cell r="J254">
            <v>75</v>
          </cell>
          <cell r="K254">
            <v>87</v>
          </cell>
          <cell r="L254">
            <v>691</v>
          </cell>
          <cell r="R254">
            <v>120</v>
          </cell>
          <cell r="AB254">
            <v>4.4800000000000004</v>
          </cell>
        </row>
        <row r="255">
          <cell r="B255">
            <v>2008</v>
          </cell>
          <cell r="C255" t="str">
            <v>Los Angeles Angels of Anaheim</v>
          </cell>
          <cell r="E255">
            <v>1</v>
          </cell>
          <cell r="J255">
            <v>100</v>
          </cell>
          <cell r="K255">
            <v>62</v>
          </cell>
          <cell r="L255">
            <v>765</v>
          </cell>
          <cell r="R255">
            <v>159</v>
          </cell>
          <cell r="AB255">
            <v>3.99</v>
          </cell>
        </row>
        <row r="256">
          <cell r="B256">
            <v>2008</v>
          </cell>
          <cell r="C256" t="str">
            <v>Los Angeles Dodgers</v>
          </cell>
          <cell r="E256">
            <v>1</v>
          </cell>
          <cell r="J256">
            <v>84</v>
          </cell>
          <cell r="K256">
            <v>78</v>
          </cell>
          <cell r="L256">
            <v>700</v>
          </cell>
          <cell r="R256">
            <v>137</v>
          </cell>
          <cell r="AB256">
            <v>3.68</v>
          </cell>
        </row>
        <row r="257">
          <cell r="B257">
            <v>2008</v>
          </cell>
          <cell r="C257" t="str">
            <v>Milwaukee Brewers</v>
          </cell>
          <cell r="E257">
            <v>2</v>
          </cell>
          <cell r="J257">
            <v>90</v>
          </cell>
          <cell r="K257">
            <v>72</v>
          </cell>
          <cell r="L257">
            <v>750</v>
          </cell>
          <cell r="R257">
            <v>198</v>
          </cell>
          <cell r="AB257">
            <v>3.85</v>
          </cell>
        </row>
        <row r="258">
          <cell r="B258">
            <v>2008</v>
          </cell>
          <cell r="C258" t="str">
            <v>Minnesota Twins</v>
          </cell>
          <cell r="E258">
            <v>2</v>
          </cell>
          <cell r="J258">
            <v>88</v>
          </cell>
          <cell r="K258">
            <v>75</v>
          </cell>
          <cell r="L258">
            <v>829</v>
          </cell>
          <cell r="R258">
            <v>111</v>
          </cell>
          <cell r="AB258">
            <v>4.16</v>
          </cell>
        </row>
        <row r="259">
          <cell r="B259">
            <v>2008</v>
          </cell>
          <cell r="C259" t="str">
            <v>New York Yankees</v>
          </cell>
          <cell r="E259">
            <v>3</v>
          </cell>
          <cell r="J259">
            <v>89</v>
          </cell>
          <cell r="K259">
            <v>73</v>
          </cell>
          <cell r="L259">
            <v>789</v>
          </cell>
          <cell r="R259">
            <v>180</v>
          </cell>
          <cell r="AB259">
            <v>4.28</v>
          </cell>
        </row>
        <row r="260">
          <cell r="B260">
            <v>2008</v>
          </cell>
          <cell r="C260" t="str">
            <v>New York Mets</v>
          </cell>
          <cell r="E260">
            <v>2</v>
          </cell>
          <cell r="J260">
            <v>89</v>
          </cell>
          <cell r="K260">
            <v>73</v>
          </cell>
          <cell r="L260">
            <v>799</v>
          </cell>
          <cell r="R260">
            <v>172</v>
          </cell>
          <cell r="AB260">
            <v>4.07</v>
          </cell>
        </row>
        <row r="261">
          <cell r="B261">
            <v>2008</v>
          </cell>
          <cell r="C261" t="str">
            <v>Oakland Athletics</v>
          </cell>
          <cell r="E261">
            <v>3</v>
          </cell>
          <cell r="J261">
            <v>75</v>
          </cell>
          <cell r="K261">
            <v>86</v>
          </cell>
          <cell r="L261">
            <v>646</v>
          </cell>
          <cell r="R261">
            <v>125</v>
          </cell>
          <cell r="AB261">
            <v>4.01</v>
          </cell>
        </row>
        <row r="262">
          <cell r="B262">
            <v>2008</v>
          </cell>
          <cell r="C262" t="str">
            <v>Philadelphia Phillies</v>
          </cell>
          <cell r="E262">
            <v>1</v>
          </cell>
          <cell r="J262">
            <v>92</v>
          </cell>
          <cell r="K262">
            <v>70</v>
          </cell>
          <cell r="L262">
            <v>799</v>
          </cell>
          <cell r="R262">
            <v>214</v>
          </cell>
          <cell r="AB262">
            <v>3.88</v>
          </cell>
        </row>
        <row r="263">
          <cell r="B263">
            <v>2008</v>
          </cell>
          <cell r="C263" t="str">
            <v>Pittsburgh Pirates</v>
          </cell>
          <cell r="E263">
            <v>6</v>
          </cell>
          <cell r="J263">
            <v>67</v>
          </cell>
          <cell r="K263">
            <v>95</v>
          </cell>
          <cell r="L263">
            <v>735</v>
          </cell>
          <cell r="R263">
            <v>153</v>
          </cell>
          <cell r="AB263">
            <v>5.08</v>
          </cell>
        </row>
        <row r="264">
          <cell r="B264">
            <v>2008</v>
          </cell>
          <cell r="C264" t="str">
            <v>San Diego Padres</v>
          </cell>
          <cell r="E264">
            <v>5</v>
          </cell>
          <cell r="J264">
            <v>63</v>
          </cell>
          <cell r="K264">
            <v>99</v>
          </cell>
          <cell r="L264">
            <v>637</v>
          </cell>
          <cell r="R264">
            <v>154</v>
          </cell>
          <cell r="AB264">
            <v>4.41</v>
          </cell>
        </row>
        <row r="265">
          <cell r="B265">
            <v>2008</v>
          </cell>
          <cell r="C265" t="str">
            <v>Seattle Mariners</v>
          </cell>
          <cell r="E265">
            <v>4</v>
          </cell>
          <cell r="J265">
            <v>61</v>
          </cell>
          <cell r="K265">
            <v>101</v>
          </cell>
          <cell r="L265">
            <v>671</v>
          </cell>
          <cell r="R265">
            <v>124</v>
          </cell>
          <cell r="AB265">
            <v>4.7300000000000004</v>
          </cell>
        </row>
        <row r="266">
          <cell r="B266">
            <v>2008</v>
          </cell>
          <cell r="C266" t="str">
            <v>San Francisco Giants</v>
          </cell>
          <cell r="E266">
            <v>4</v>
          </cell>
          <cell r="J266">
            <v>72</v>
          </cell>
          <cell r="K266">
            <v>90</v>
          </cell>
          <cell r="L266">
            <v>640</v>
          </cell>
          <cell r="R266">
            <v>94</v>
          </cell>
          <cell r="AB266">
            <v>4.38</v>
          </cell>
        </row>
        <row r="267">
          <cell r="B267">
            <v>2008</v>
          </cell>
          <cell r="C267" t="str">
            <v>St. Louis Cardinals</v>
          </cell>
          <cell r="E267">
            <v>4</v>
          </cell>
          <cell r="J267">
            <v>86</v>
          </cell>
          <cell r="K267">
            <v>76</v>
          </cell>
          <cell r="L267">
            <v>779</v>
          </cell>
          <cell r="R267">
            <v>174</v>
          </cell>
          <cell r="AB267">
            <v>4.1900000000000004</v>
          </cell>
        </row>
        <row r="268">
          <cell r="B268">
            <v>2008</v>
          </cell>
          <cell r="C268" t="str">
            <v>Tampa Bay Rays</v>
          </cell>
          <cell r="E268">
            <v>1</v>
          </cell>
          <cell r="J268">
            <v>97</v>
          </cell>
          <cell r="K268">
            <v>65</v>
          </cell>
          <cell r="L268">
            <v>774</v>
          </cell>
          <cell r="R268">
            <v>180</v>
          </cell>
          <cell r="AB268">
            <v>3.82</v>
          </cell>
        </row>
        <row r="269">
          <cell r="B269">
            <v>2008</v>
          </cell>
          <cell r="C269" t="str">
            <v>Texas Rangers</v>
          </cell>
          <cell r="E269">
            <v>2</v>
          </cell>
          <cell r="J269">
            <v>79</v>
          </cell>
          <cell r="K269">
            <v>83</v>
          </cell>
          <cell r="L269">
            <v>901</v>
          </cell>
          <cell r="R269">
            <v>194</v>
          </cell>
          <cell r="AB269">
            <v>5.37</v>
          </cell>
        </row>
        <row r="270">
          <cell r="B270">
            <v>2008</v>
          </cell>
          <cell r="C270" t="str">
            <v>Toronto Blue Jays</v>
          </cell>
          <cell r="E270">
            <v>4</v>
          </cell>
          <cell r="J270">
            <v>86</v>
          </cell>
          <cell r="K270">
            <v>76</v>
          </cell>
          <cell r="L270">
            <v>714</v>
          </cell>
          <cell r="R270">
            <v>126</v>
          </cell>
          <cell r="AB270">
            <v>3.49</v>
          </cell>
        </row>
        <row r="271">
          <cell r="B271">
            <v>2008</v>
          </cell>
          <cell r="C271" t="str">
            <v>Washington Nationals</v>
          </cell>
          <cell r="E271">
            <v>5</v>
          </cell>
          <cell r="J271">
            <v>59</v>
          </cell>
          <cell r="K271">
            <v>102</v>
          </cell>
          <cell r="L271">
            <v>641</v>
          </cell>
          <cell r="R271">
            <v>117</v>
          </cell>
          <cell r="AB271">
            <v>4.66</v>
          </cell>
        </row>
        <row r="272">
          <cell r="B272">
            <v>2009</v>
          </cell>
          <cell r="C272" t="str">
            <v>Arizona Diamondbacks</v>
          </cell>
          <cell r="E272">
            <v>5</v>
          </cell>
          <cell r="J272">
            <v>70</v>
          </cell>
          <cell r="K272">
            <v>92</v>
          </cell>
          <cell r="L272">
            <v>720</v>
          </cell>
          <cell r="R272">
            <v>173</v>
          </cell>
          <cell r="AB272">
            <v>4.42</v>
          </cell>
        </row>
        <row r="273">
          <cell r="B273">
            <v>2009</v>
          </cell>
          <cell r="C273" t="str">
            <v>Atlanta Braves</v>
          </cell>
          <cell r="E273">
            <v>3</v>
          </cell>
          <cell r="J273">
            <v>86</v>
          </cell>
          <cell r="K273">
            <v>76</v>
          </cell>
          <cell r="L273">
            <v>735</v>
          </cell>
          <cell r="R273">
            <v>149</v>
          </cell>
          <cell r="AB273">
            <v>3.57</v>
          </cell>
        </row>
        <row r="274">
          <cell r="B274">
            <v>2009</v>
          </cell>
          <cell r="C274" t="str">
            <v>Baltimore Orioles</v>
          </cell>
          <cell r="E274">
            <v>5</v>
          </cell>
          <cell r="J274">
            <v>64</v>
          </cell>
          <cell r="K274">
            <v>98</v>
          </cell>
          <cell r="L274">
            <v>741</v>
          </cell>
          <cell r="R274">
            <v>160</v>
          </cell>
          <cell r="AB274">
            <v>5.15</v>
          </cell>
        </row>
        <row r="275">
          <cell r="B275">
            <v>2009</v>
          </cell>
          <cell r="C275" t="str">
            <v>Boston Red Sox</v>
          </cell>
          <cell r="E275">
            <v>2</v>
          </cell>
          <cell r="J275">
            <v>95</v>
          </cell>
          <cell r="K275">
            <v>67</v>
          </cell>
          <cell r="L275">
            <v>872</v>
          </cell>
          <cell r="R275">
            <v>212</v>
          </cell>
          <cell r="AB275">
            <v>4.3499999999999996</v>
          </cell>
        </row>
        <row r="276">
          <cell r="B276">
            <v>2009</v>
          </cell>
          <cell r="C276" t="str">
            <v>Chicago White Sox</v>
          </cell>
          <cell r="E276">
            <v>3</v>
          </cell>
          <cell r="J276">
            <v>79</v>
          </cell>
          <cell r="K276">
            <v>83</v>
          </cell>
          <cell r="L276">
            <v>724</v>
          </cell>
          <cell r="R276">
            <v>184</v>
          </cell>
          <cell r="AB276">
            <v>4.1399999999999997</v>
          </cell>
        </row>
        <row r="277">
          <cell r="B277">
            <v>2009</v>
          </cell>
          <cell r="C277" t="str">
            <v>Chicago Cubs</v>
          </cell>
          <cell r="E277">
            <v>2</v>
          </cell>
          <cell r="J277">
            <v>83</v>
          </cell>
          <cell r="K277">
            <v>78</v>
          </cell>
          <cell r="L277">
            <v>707</v>
          </cell>
          <cell r="R277">
            <v>161</v>
          </cell>
          <cell r="AB277">
            <v>3.84</v>
          </cell>
        </row>
        <row r="278">
          <cell r="B278">
            <v>2009</v>
          </cell>
          <cell r="C278" t="str">
            <v>Cincinnati Reds</v>
          </cell>
          <cell r="E278">
            <v>4</v>
          </cell>
          <cell r="J278">
            <v>78</v>
          </cell>
          <cell r="K278">
            <v>84</v>
          </cell>
          <cell r="L278">
            <v>673</v>
          </cell>
          <cell r="R278">
            <v>158</v>
          </cell>
          <cell r="AB278">
            <v>4.18</v>
          </cell>
        </row>
        <row r="279">
          <cell r="B279">
            <v>2009</v>
          </cell>
          <cell r="C279" t="str">
            <v>Cleveland Indians</v>
          </cell>
          <cell r="E279">
            <v>4</v>
          </cell>
          <cell r="J279">
            <v>65</v>
          </cell>
          <cell r="K279">
            <v>97</v>
          </cell>
          <cell r="L279">
            <v>773</v>
          </cell>
          <cell r="R279">
            <v>161</v>
          </cell>
          <cell r="AB279">
            <v>5.0599999999999996</v>
          </cell>
        </row>
        <row r="280">
          <cell r="B280">
            <v>2009</v>
          </cell>
          <cell r="C280" t="str">
            <v>Colorado Rockies</v>
          </cell>
          <cell r="E280">
            <v>2</v>
          </cell>
          <cell r="J280">
            <v>92</v>
          </cell>
          <cell r="K280">
            <v>70</v>
          </cell>
          <cell r="L280">
            <v>804</v>
          </cell>
          <cell r="R280">
            <v>190</v>
          </cell>
          <cell r="AB280">
            <v>4.22</v>
          </cell>
        </row>
        <row r="281">
          <cell r="B281">
            <v>2009</v>
          </cell>
          <cell r="C281" t="str">
            <v>Detroit Tigers</v>
          </cell>
          <cell r="E281">
            <v>2</v>
          </cell>
          <cell r="J281">
            <v>86</v>
          </cell>
          <cell r="K281">
            <v>77</v>
          </cell>
          <cell r="L281">
            <v>743</v>
          </cell>
          <cell r="R281">
            <v>183</v>
          </cell>
          <cell r="AB281">
            <v>4.29</v>
          </cell>
        </row>
        <row r="282">
          <cell r="B282">
            <v>2009</v>
          </cell>
          <cell r="C282" t="str">
            <v>Florida Marlins</v>
          </cell>
          <cell r="E282">
            <v>2</v>
          </cell>
          <cell r="J282">
            <v>87</v>
          </cell>
          <cell r="K282">
            <v>75</v>
          </cell>
          <cell r="L282">
            <v>772</v>
          </cell>
          <cell r="R282">
            <v>159</v>
          </cell>
          <cell r="AB282">
            <v>4.29</v>
          </cell>
        </row>
        <row r="283">
          <cell r="B283">
            <v>2009</v>
          </cell>
          <cell r="C283" t="str">
            <v>Houston Astros</v>
          </cell>
          <cell r="E283">
            <v>5</v>
          </cell>
          <cell r="J283">
            <v>74</v>
          </cell>
          <cell r="K283">
            <v>88</v>
          </cell>
          <cell r="L283">
            <v>643</v>
          </cell>
          <cell r="R283">
            <v>142</v>
          </cell>
          <cell r="AB283">
            <v>4.54</v>
          </cell>
        </row>
        <row r="284">
          <cell r="B284">
            <v>2009</v>
          </cell>
          <cell r="C284" t="str">
            <v>Kansas City Royals</v>
          </cell>
          <cell r="E284">
            <v>4</v>
          </cell>
          <cell r="J284">
            <v>65</v>
          </cell>
          <cell r="K284">
            <v>97</v>
          </cell>
          <cell r="L284">
            <v>686</v>
          </cell>
          <cell r="R284">
            <v>144</v>
          </cell>
          <cell r="AB284">
            <v>4.83</v>
          </cell>
        </row>
        <row r="285">
          <cell r="B285">
            <v>2009</v>
          </cell>
          <cell r="C285" t="str">
            <v>Los Angeles Angels of Anaheim</v>
          </cell>
          <cell r="E285">
            <v>1</v>
          </cell>
          <cell r="J285">
            <v>97</v>
          </cell>
          <cell r="K285">
            <v>65</v>
          </cell>
          <cell r="L285">
            <v>883</v>
          </cell>
          <cell r="R285">
            <v>173</v>
          </cell>
          <cell r="AB285">
            <v>4.45</v>
          </cell>
        </row>
        <row r="286">
          <cell r="B286">
            <v>2009</v>
          </cell>
          <cell r="C286" t="str">
            <v>Los Angeles Dodgers</v>
          </cell>
          <cell r="E286">
            <v>1</v>
          </cell>
          <cell r="J286">
            <v>95</v>
          </cell>
          <cell r="K286">
            <v>67</v>
          </cell>
          <cell r="L286">
            <v>780</v>
          </cell>
          <cell r="R286">
            <v>145</v>
          </cell>
          <cell r="AB286">
            <v>3.41</v>
          </cell>
        </row>
        <row r="287">
          <cell r="B287">
            <v>2009</v>
          </cell>
          <cell r="C287" t="str">
            <v>Milwaukee Brewers</v>
          </cell>
          <cell r="E287">
            <v>3</v>
          </cell>
          <cell r="J287">
            <v>80</v>
          </cell>
          <cell r="K287">
            <v>82</v>
          </cell>
          <cell r="L287">
            <v>785</v>
          </cell>
          <cell r="R287">
            <v>182</v>
          </cell>
          <cell r="AB287">
            <v>4.83</v>
          </cell>
        </row>
        <row r="288">
          <cell r="B288">
            <v>2009</v>
          </cell>
          <cell r="C288" t="str">
            <v>Minnesota Twins</v>
          </cell>
          <cell r="E288">
            <v>1</v>
          </cell>
          <cell r="J288">
            <v>87</v>
          </cell>
          <cell r="K288">
            <v>76</v>
          </cell>
          <cell r="L288">
            <v>817</v>
          </cell>
          <cell r="R288">
            <v>172</v>
          </cell>
          <cell r="AB288">
            <v>4.5</v>
          </cell>
        </row>
        <row r="289">
          <cell r="B289">
            <v>2009</v>
          </cell>
          <cell r="C289" t="str">
            <v>New York Yankees</v>
          </cell>
          <cell r="E289">
            <v>1</v>
          </cell>
          <cell r="J289">
            <v>103</v>
          </cell>
          <cell r="K289">
            <v>59</v>
          </cell>
          <cell r="L289">
            <v>915</v>
          </cell>
          <cell r="R289">
            <v>244</v>
          </cell>
          <cell r="AB289">
            <v>4.26</v>
          </cell>
        </row>
        <row r="290">
          <cell r="B290">
            <v>2009</v>
          </cell>
          <cell r="C290" t="str">
            <v>New York Mets</v>
          </cell>
          <cell r="E290">
            <v>4</v>
          </cell>
          <cell r="J290">
            <v>70</v>
          </cell>
          <cell r="K290">
            <v>92</v>
          </cell>
          <cell r="L290">
            <v>671</v>
          </cell>
          <cell r="R290">
            <v>95</v>
          </cell>
          <cell r="AB290">
            <v>4.45</v>
          </cell>
        </row>
        <row r="291">
          <cell r="B291">
            <v>2009</v>
          </cell>
          <cell r="C291" t="str">
            <v>Oakland Athletics</v>
          </cell>
          <cell r="E291">
            <v>4</v>
          </cell>
          <cell r="J291">
            <v>75</v>
          </cell>
          <cell r="K291">
            <v>87</v>
          </cell>
          <cell r="L291">
            <v>759</v>
          </cell>
          <cell r="R291">
            <v>135</v>
          </cell>
          <cell r="AB291">
            <v>4.26</v>
          </cell>
        </row>
        <row r="292">
          <cell r="B292">
            <v>2009</v>
          </cell>
          <cell r="C292" t="str">
            <v>Philadelphia Phillies</v>
          </cell>
          <cell r="E292">
            <v>1</v>
          </cell>
          <cell r="J292">
            <v>93</v>
          </cell>
          <cell r="K292">
            <v>69</v>
          </cell>
          <cell r="L292">
            <v>820</v>
          </cell>
          <cell r="R292">
            <v>224</v>
          </cell>
          <cell r="AB292">
            <v>4.16</v>
          </cell>
        </row>
        <row r="293">
          <cell r="B293">
            <v>2009</v>
          </cell>
          <cell r="C293" t="str">
            <v>Pittsburgh Pirates</v>
          </cell>
          <cell r="E293">
            <v>6</v>
          </cell>
          <cell r="J293">
            <v>62</v>
          </cell>
          <cell r="K293">
            <v>99</v>
          </cell>
          <cell r="L293">
            <v>636</v>
          </cell>
          <cell r="R293">
            <v>125</v>
          </cell>
          <cell r="AB293">
            <v>4.59</v>
          </cell>
        </row>
        <row r="294">
          <cell r="B294">
            <v>2009</v>
          </cell>
          <cell r="C294" t="str">
            <v>San Diego Padres</v>
          </cell>
          <cell r="E294">
            <v>4</v>
          </cell>
          <cell r="J294">
            <v>75</v>
          </cell>
          <cell r="K294">
            <v>87</v>
          </cell>
          <cell r="L294">
            <v>638</v>
          </cell>
          <cell r="R294">
            <v>141</v>
          </cell>
          <cell r="AB294">
            <v>4.37</v>
          </cell>
        </row>
        <row r="295">
          <cell r="B295">
            <v>2009</v>
          </cell>
          <cell r="C295" t="str">
            <v>Seattle Mariners</v>
          </cell>
          <cell r="E295">
            <v>3</v>
          </cell>
          <cell r="J295">
            <v>85</v>
          </cell>
          <cell r="K295">
            <v>77</v>
          </cell>
          <cell r="L295">
            <v>640</v>
          </cell>
          <cell r="R295">
            <v>160</v>
          </cell>
          <cell r="AB295">
            <v>3.87</v>
          </cell>
        </row>
        <row r="296">
          <cell r="B296">
            <v>2009</v>
          </cell>
          <cell r="C296" t="str">
            <v>San Francisco Giants</v>
          </cell>
          <cell r="E296">
            <v>3</v>
          </cell>
          <cell r="J296">
            <v>88</v>
          </cell>
          <cell r="K296">
            <v>74</v>
          </cell>
          <cell r="L296">
            <v>657</v>
          </cell>
          <cell r="R296">
            <v>122</v>
          </cell>
          <cell r="AB296">
            <v>3.55</v>
          </cell>
        </row>
        <row r="297">
          <cell r="B297">
            <v>2009</v>
          </cell>
          <cell r="C297" t="str">
            <v>St. Louis Cardinals</v>
          </cell>
          <cell r="E297">
            <v>1</v>
          </cell>
          <cell r="J297">
            <v>91</v>
          </cell>
          <cell r="K297">
            <v>71</v>
          </cell>
          <cell r="L297">
            <v>730</v>
          </cell>
          <cell r="R297">
            <v>160</v>
          </cell>
          <cell r="AB297">
            <v>3.66</v>
          </cell>
        </row>
        <row r="298">
          <cell r="B298">
            <v>2009</v>
          </cell>
          <cell r="C298" t="str">
            <v>Tampa Bay Rays</v>
          </cell>
          <cell r="E298">
            <v>3</v>
          </cell>
          <cell r="J298">
            <v>84</v>
          </cell>
          <cell r="K298">
            <v>78</v>
          </cell>
          <cell r="L298">
            <v>803</v>
          </cell>
          <cell r="R298">
            <v>199</v>
          </cell>
          <cell r="AB298">
            <v>4.33</v>
          </cell>
        </row>
        <row r="299">
          <cell r="B299">
            <v>2009</v>
          </cell>
          <cell r="C299" t="str">
            <v>Texas Rangers</v>
          </cell>
          <cell r="E299">
            <v>2</v>
          </cell>
          <cell r="J299">
            <v>87</v>
          </cell>
          <cell r="K299">
            <v>75</v>
          </cell>
          <cell r="L299">
            <v>784</v>
          </cell>
          <cell r="R299">
            <v>224</v>
          </cell>
          <cell r="AB299">
            <v>4.38</v>
          </cell>
        </row>
        <row r="300">
          <cell r="B300">
            <v>2009</v>
          </cell>
          <cell r="C300" t="str">
            <v>Toronto Blue Jays</v>
          </cell>
          <cell r="E300">
            <v>4</v>
          </cell>
          <cell r="J300">
            <v>75</v>
          </cell>
          <cell r="K300">
            <v>87</v>
          </cell>
          <cell r="L300">
            <v>798</v>
          </cell>
          <cell r="R300">
            <v>209</v>
          </cell>
          <cell r="AB300">
            <v>4.47</v>
          </cell>
        </row>
        <row r="301">
          <cell r="B301">
            <v>2009</v>
          </cell>
          <cell r="C301" t="str">
            <v>Washington Nationals</v>
          </cell>
          <cell r="E301">
            <v>5</v>
          </cell>
          <cell r="J301">
            <v>59</v>
          </cell>
          <cell r="K301">
            <v>103</v>
          </cell>
          <cell r="L301">
            <v>710</v>
          </cell>
          <cell r="R301">
            <v>156</v>
          </cell>
          <cell r="AB301">
            <v>5</v>
          </cell>
        </row>
        <row r="302">
          <cell r="B302">
            <v>2010</v>
          </cell>
          <cell r="C302" t="str">
            <v>Arizona Diamondbacks</v>
          </cell>
          <cell r="E302">
            <v>5</v>
          </cell>
          <cell r="J302">
            <v>65</v>
          </cell>
          <cell r="K302">
            <v>97</v>
          </cell>
          <cell r="L302">
            <v>713</v>
          </cell>
          <cell r="R302">
            <v>180</v>
          </cell>
          <cell r="AB302">
            <v>4.8099999999999996</v>
          </cell>
        </row>
        <row r="303">
          <cell r="B303">
            <v>2010</v>
          </cell>
          <cell r="C303" t="str">
            <v>Atlanta Braves</v>
          </cell>
          <cell r="E303">
            <v>2</v>
          </cell>
          <cell r="J303">
            <v>91</v>
          </cell>
          <cell r="K303">
            <v>71</v>
          </cell>
          <cell r="L303">
            <v>738</v>
          </cell>
          <cell r="R303">
            <v>139</v>
          </cell>
          <cell r="AB303">
            <v>3.56</v>
          </cell>
        </row>
        <row r="304">
          <cell r="B304">
            <v>2010</v>
          </cell>
          <cell r="C304" t="str">
            <v>Baltimore Orioles</v>
          </cell>
          <cell r="E304">
            <v>5</v>
          </cell>
          <cell r="J304">
            <v>66</v>
          </cell>
          <cell r="K304">
            <v>96</v>
          </cell>
          <cell r="L304">
            <v>613</v>
          </cell>
          <cell r="R304">
            <v>133</v>
          </cell>
          <cell r="AB304">
            <v>4.59</v>
          </cell>
        </row>
        <row r="305">
          <cell r="B305">
            <v>2010</v>
          </cell>
          <cell r="C305" t="str">
            <v>Boston Red Sox</v>
          </cell>
          <cell r="E305">
            <v>3</v>
          </cell>
          <cell r="J305">
            <v>89</v>
          </cell>
          <cell r="K305">
            <v>73</v>
          </cell>
          <cell r="L305">
            <v>818</v>
          </cell>
          <cell r="R305">
            <v>211</v>
          </cell>
          <cell r="AB305">
            <v>4.2</v>
          </cell>
        </row>
        <row r="306">
          <cell r="B306">
            <v>2010</v>
          </cell>
          <cell r="C306" t="str">
            <v>Chicago White Sox</v>
          </cell>
          <cell r="E306">
            <v>2</v>
          </cell>
          <cell r="J306">
            <v>88</v>
          </cell>
          <cell r="K306">
            <v>74</v>
          </cell>
          <cell r="L306">
            <v>752</v>
          </cell>
          <cell r="R306">
            <v>177</v>
          </cell>
          <cell r="AB306">
            <v>4.09</v>
          </cell>
        </row>
        <row r="307">
          <cell r="B307">
            <v>2010</v>
          </cell>
          <cell r="C307" t="str">
            <v>Chicago Cubs</v>
          </cell>
          <cell r="E307">
            <v>5</v>
          </cell>
          <cell r="J307">
            <v>75</v>
          </cell>
          <cell r="K307">
            <v>87</v>
          </cell>
          <cell r="L307">
            <v>685</v>
          </cell>
          <cell r="R307">
            <v>149</v>
          </cell>
          <cell r="AB307">
            <v>4.18</v>
          </cell>
        </row>
        <row r="308">
          <cell r="B308">
            <v>2010</v>
          </cell>
          <cell r="C308" t="str">
            <v>Cincinnati Reds</v>
          </cell>
          <cell r="E308">
            <v>1</v>
          </cell>
          <cell r="J308">
            <v>91</v>
          </cell>
          <cell r="K308">
            <v>71</v>
          </cell>
          <cell r="L308">
            <v>790</v>
          </cell>
          <cell r="R308">
            <v>188</v>
          </cell>
          <cell r="AB308">
            <v>4.01</v>
          </cell>
        </row>
        <row r="309">
          <cell r="B309">
            <v>2010</v>
          </cell>
          <cell r="C309" t="str">
            <v>Cleveland Indians</v>
          </cell>
          <cell r="E309">
            <v>4</v>
          </cell>
          <cell r="J309">
            <v>69</v>
          </cell>
          <cell r="K309">
            <v>93</v>
          </cell>
          <cell r="L309">
            <v>646</v>
          </cell>
          <cell r="R309">
            <v>128</v>
          </cell>
          <cell r="AB309">
            <v>4.3</v>
          </cell>
        </row>
        <row r="310">
          <cell r="B310">
            <v>2010</v>
          </cell>
          <cell r="C310" t="str">
            <v>Colorado Rockies</v>
          </cell>
          <cell r="E310">
            <v>3</v>
          </cell>
          <cell r="J310">
            <v>83</v>
          </cell>
          <cell r="K310">
            <v>79</v>
          </cell>
          <cell r="L310">
            <v>770</v>
          </cell>
          <cell r="R310">
            <v>173</v>
          </cell>
          <cell r="AB310">
            <v>4.1399999999999997</v>
          </cell>
        </row>
        <row r="311">
          <cell r="B311">
            <v>2010</v>
          </cell>
          <cell r="C311" t="str">
            <v>Detroit Tigers</v>
          </cell>
          <cell r="E311">
            <v>3</v>
          </cell>
          <cell r="J311">
            <v>81</v>
          </cell>
          <cell r="K311">
            <v>81</v>
          </cell>
          <cell r="L311">
            <v>751</v>
          </cell>
          <cell r="R311">
            <v>152</v>
          </cell>
          <cell r="AB311">
            <v>4.3</v>
          </cell>
        </row>
        <row r="312">
          <cell r="B312">
            <v>2010</v>
          </cell>
          <cell r="C312" t="str">
            <v>Florida Marlins</v>
          </cell>
          <cell r="E312">
            <v>3</v>
          </cell>
          <cell r="J312">
            <v>80</v>
          </cell>
          <cell r="K312">
            <v>82</v>
          </cell>
          <cell r="L312">
            <v>719</v>
          </cell>
          <cell r="R312">
            <v>152</v>
          </cell>
          <cell r="AB312">
            <v>4.08</v>
          </cell>
        </row>
        <row r="313">
          <cell r="B313">
            <v>2010</v>
          </cell>
          <cell r="C313" t="str">
            <v>Houston Astros</v>
          </cell>
          <cell r="E313">
            <v>4</v>
          </cell>
          <cell r="J313">
            <v>76</v>
          </cell>
          <cell r="K313">
            <v>86</v>
          </cell>
          <cell r="L313">
            <v>611</v>
          </cell>
          <cell r="R313">
            <v>108</v>
          </cell>
          <cell r="AB313">
            <v>4.09</v>
          </cell>
        </row>
        <row r="314">
          <cell r="B314">
            <v>2010</v>
          </cell>
          <cell r="C314" t="str">
            <v>Kansas City Royals</v>
          </cell>
          <cell r="E314">
            <v>5</v>
          </cell>
          <cell r="J314">
            <v>67</v>
          </cell>
          <cell r="K314">
            <v>95</v>
          </cell>
          <cell r="L314">
            <v>676</v>
          </cell>
          <cell r="R314">
            <v>121</v>
          </cell>
          <cell r="AB314">
            <v>4.97</v>
          </cell>
        </row>
        <row r="315">
          <cell r="B315">
            <v>2010</v>
          </cell>
          <cell r="C315" t="str">
            <v>Los Angeles Angels of Anaheim</v>
          </cell>
          <cell r="E315">
            <v>3</v>
          </cell>
          <cell r="J315">
            <v>80</v>
          </cell>
          <cell r="K315">
            <v>82</v>
          </cell>
          <cell r="L315">
            <v>681</v>
          </cell>
          <cell r="R315">
            <v>155</v>
          </cell>
          <cell r="AB315">
            <v>4.04</v>
          </cell>
        </row>
        <row r="316">
          <cell r="B316">
            <v>2010</v>
          </cell>
          <cell r="C316" t="str">
            <v>Los Angeles Dodgers</v>
          </cell>
          <cell r="E316">
            <v>4</v>
          </cell>
          <cell r="J316">
            <v>80</v>
          </cell>
          <cell r="K316">
            <v>82</v>
          </cell>
          <cell r="L316">
            <v>667</v>
          </cell>
          <cell r="R316">
            <v>120</v>
          </cell>
          <cell r="AB316">
            <v>4.01</v>
          </cell>
        </row>
        <row r="317">
          <cell r="B317">
            <v>2010</v>
          </cell>
          <cell r="C317" t="str">
            <v>Milwaukee Brewers</v>
          </cell>
          <cell r="E317">
            <v>3</v>
          </cell>
          <cell r="J317">
            <v>77</v>
          </cell>
          <cell r="K317">
            <v>85</v>
          </cell>
          <cell r="L317">
            <v>750</v>
          </cell>
          <cell r="R317">
            <v>182</v>
          </cell>
          <cell r="AB317">
            <v>4.58</v>
          </cell>
        </row>
        <row r="318">
          <cell r="B318">
            <v>2010</v>
          </cell>
          <cell r="C318" t="str">
            <v>Minnesota Twins</v>
          </cell>
          <cell r="E318">
            <v>1</v>
          </cell>
          <cell r="J318">
            <v>94</v>
          </cell>
          <cell r="K318">
            <v>68</v>
          </cell>
          <cell r="L318">
            <v>781</v>
          </cell>
          <cell r="R318">
            <v>142</v>
          </cell>
          <cell r="AB318">
            <v>3.95</v>
          </cell>
        </row>
        <row r="319">
          <cell r="B319">
            <v>2010</v>
          </cell>
          <cell r="C319" t="str">
            <v>New York Yankees</v>
          </cell>
          <cell r="E319">
            <v>2</v>
          </cell>
          <cell r="J319">
            <v>95</v>
          </cell>
          <cell r="K319">
            <v>67</v>
          </cell>
          <cell r="L319">
            <v>859</v>
          </cell>
          <cell r="R319">
            <v>201</v>
          </cell>
          <cell r="AB319">
            <v>4.0599999999999996</v>
          </cell>
        </row>
        <row r="320">
          <cell r="B320">
            <v>2010</v>
          </cell>
          <cell r="C320" t="str">
            <v>New York Mets</v>
          </cell>
          <cell r="E320">
            <v>4</v>
          </cell>
          <cell r="J320">
            <v>79</v>
          </cell>
          <cell r="K320">
            <v>83</v>
          </cell>
          <cell r="L320">
            <v>656</v>
          </cell>
          <cell r="R320">
            <v>128</v>
          </cell>
          <cell r="AB320">
            <v>3.7</v>
          </cell>
        </row>
        <row r="321">
          <cell r="B321">
            <v>2010</v>
          </cell>
          <cell r="C321" t="str">
            <v>Oakland Athletics</v>
          </cell>
          <cell r="E321">
            <v>2</v>
          </cell>
          <cell r="J321">
            <v>81</v>
          </cell>
          <cell r="K321">
            <v>81</v>
          </cell>
          <cell r="L321">
            <v>663</v>
          </cell>
          <cell r="R321">
            <v>109</v>
          </cell>
          <cell r="AB321">
            <v>3.56</v>
          </cell>
        </row>
        <row r="322">
          <cell r="B322">
            <v>2010</v>
          </cell>
          <cell r="C322" t="str">
            <v>Philadelphia Phillies</v>
          </cell>
          <cell r="E322">
            <v>1</v>
          </cell>
          <cell r="J322">
            <v>97</v>
          </cell>
          <cell r="K322">
            <v>65</v>
          </cell>
          <cell r="L322">
            <v>772</v>
          </cell>
          <cell r="R322">
            <v>166</v>
          </cell>
          <cell r="AB322">
            <v>3.67</v>
          </cell>
        </row>
        <row r="323">
          <cell r="B323">
            <v>2010</v>
          </cell>
          <cell r="C323" t="str">
            <v>Pittsburgh Pirates</v>
          </cell>
          <cell r="E323">
            <v>6</v>
          </cell>
          <cell r="J323">
            <v>57</v>
          </cell>
          <cell r="K323">
            <v>105</v>
          </cell>
          <cell r="L323">
            <v>587</v>
          </cell>
          <cell r="R323">
            <v>126</v>
          </cell>
          <cell r="AB323">
            <v>5</v>
          </cell>
        </row>
        <row r="324">
          <cell r="B324">
            <v>2010</v>
          </cell>
          <cell r="C324" t="str">
            <v>San Diego Padres</v>
          </cell>
          <cell r="E324">
            <v>2</v>
          </cell>
          <cell r="J324">
            <v>90</v>
          </cell>
          <cell r="K324">
            <v>72</v>
          </cell>
          <cell r="L324">
            <v>665</v>
          </cell>
          <cell r="R324">
            <v>132</v>
          </cell>
          <cell r="AB324">
            <v>3.39</v>
          </cell>
        </row>
        <row r="325">
          <cell r="B325">
            <v>2010</v>
          </cell>
          <cell r="C325" t="str">
            <v>Seattle Mariners</v>
          </cell>
          <cell r="E325">
            <v>4</v>
          </cell>
          <cell r="J325">
            <v>61</v>
          </cell>
          <cell r="K325">
            <v>101</v>
          </cell>
          <cell r="L325">
            <v>513</v>
          </cell>
          <cell r="R325">
            <v>101</v>
          </cell>
          <cell r="AB325">
            <v>3.93</v>
          </cell>
        </row>
        <row r="326">
          <cell r="B326">
            <v>2010</v>
          </cell>
          <cell r="C326" t="str">
            <v>San Francisco Giants</v>
          </cell>
          <cell r="E326">
            <v>1</v>
          </cell>
          <cell r="J326">
            <v>92</v>
          </cell>
          <cell r="K326">
            <v>70</v>
          </cell>
          <cell r="L326">
            <v>697</v>
          </cell>
          <cell r="R326">
            <v>162</v>
          </cell>
          <cell r="AB326">
            <v>3.36</v>
          </cell>
        </row>
        <row r="327">
          <cell r="B327">
            <v>2010</v>
          </cell>
          <cell r="C327" t="str">
            <v>St. Louis Cardinals</v>
          </cell>
          <cell r="E327">
            <v>2</v>
          </cell>
          <cell r="J327">
            <v>86</v>
          </cell>
          <cell r="K327">
            <v>76</v>
          </cell>
          <cell r="L327">
            <v>736</v>
          </cell>
          <cell r="R327">
            <v>150</v>
          </cell>
          <cell r="AB327">
            <v>3.57</v>
          </cell>
        </row>
        <row r="328">
          <cell r="B328">
            <v>2010</v>
          </cell>
          <cell r="C328" t="str">
            <v>Tampa Bay Rays</v>
          </cell>
          <cell r="E328">
            <v>1</v>
          </cell>
          <cell r="J328">
            <v>96</v>
          </cell>
          <cell r="K328">
            <v>66</v>
          </cell>
          <cell r="L328">
            <v>802</v>
          </cell>
          <cell r="R328">
            <v>160</v>
          </cell>
          <cell r="AB328">
            <v>3.78</v>
          </cell>
        </row>
        <row r="329">
          <cell r="B329">
            <v>2010</v>
          </cell>
          <cell r="C329" t="str">
            <v>Texas Rangers</v>
          </cell>
          <cell r="E329">
            <v>1</v>
          </cell>
          <cell r="J329">
            <v>90</v>
          </cell>
          <cell r="K329">
            <v>72</v>
          </cell>
          <cell r="L329">
            <v>787</v>
          </cell>
          <cell r="R329">
            <v>162</v>
          </cell>
          <cell r="AB329">
            <v>3.93</v>
          </cell>
        </row>
        <row r="330">
          <cell r="B330">
            <v>2010</v>
          </cell>
          <cell r="C330" t="str">
            <v>Toronto Blue Jays</v>
          </cell>
          <cell r="E330">
            <v>4</v>
          </cell>
          <cell r="J330">
            <v>85</v>
          </cell>
          <cell r="K330">
            <v>77</v>
          </cell>
          <cell r="L330">
            <v>755</v>
          </cell>
          <cell r="R330">
            <v>257</v>
          </cell>
          <cell r="AB330">
            <v>4.22</v>
          </cell>
        </row>
        <row r="331">
          <cell r="B331">
            <v>2010</v>
          </cell>
          <cell r="C331" t="str">
            <v>Washington Nationals</v>
          </cell>
          <cell r="E331">
            <v>5</v>
          </cell>
          <cell r="J331">
            <v>69</v>
          </cell>
          <cell r="K331">
            <v>93</v>
          </cell>
          <cell r="L331">
            <v>655</v>
          </cell>
          <cell r="R331">
            <v>149</v>
          </cell>
          <cell r="AB331">
            <v>4.13</v>
          </cell>
        </row>
        <row r="332">
          <cell r="B332">
            <v>2011</v>
          </cell>
          <cell r="C332" t="str">
            <v>Arizona Diamondbacks</v>
          </cell>
          <cell r="E332">
            <v>1</v>
          </cell>
          <cell r="J332">
            <v>94</v>
          </cell>
          <cell r="K332">
            <v>68</v>
          </cell>
          <cell r="L332">
            <v>731</v>
          </cell>
          <cell r="R332">
            <v>172</v>
          </cell>
          <cell r="AB332">
            <v>3.8</v>
          </cell>
        </row>
        <row r="333">
          <cell r="B333">
            <v>2011</v>
          </cell>
          <cell r="C333" t="str">
            <v>Atlanta Braves</v>
          </cell>
          <cell r="E333">
            <v>2</v>
          </cell>
          <cell r="J333">
            <v>89</v>
          </cell>
          <cell r="K333">
            <v>73</v>
          </cell>
          <cell r="L333">
            <v>641</v>
          </cell>
          <cell r="R333">
            <v>173</v>
          </cell>
          <cell r="AB333">
            <v>3.48</v>
          </cell>
        </row>
        <row r="334">
          <cell r="B334">
            <v>2011</v>
          </cell>
          <cell r="C334" t="str">
            <v>Baltimore Orioles</v>
          </cell>
          <cell r="E334">
            <v>5</v>
          </cell>
          <cell r="J334">
            <v>69</v>
          </cell>
          <cell r="K334">
            <v>93</v>
          </cell>
          <cell r="L334">
            <v>708</v>
          </cell>
          <cell r="R334">
            <v>191</v>
          </cell>
          <cell r="AB334">
            <v>4.8899999999999997</v>
          </cell>
        </row>
        <row r="335">
          <cell r="B335">
            <v>2011</v>
          </cell>
          <cell r="C335" t="str">
            <v>Boston Red Sox</v>
          </cell>
          <cell r="E335">
            <v>3</v>
          </cell>
          <cell r="J335">
            <v>90</v>
          </cell>
          <cell r="K335">
            <v>72</v>
          </cell>
          <cell r="L335">
            <v>875</v>
          </cell>
          <cell r="R335">
            <v>203</v>
          </cell>
          <cell r="AB335">
            <v>4.2</v>
          </cell>
        </row>
        <row r="336">
          <cell r="B336">
            <v>2011</v>
          </cell>
          <cell r="C336" t="str">
            <v>Chicago White Sox</v>
          </cell>
          <cell r="E336">
            <v>3</v>
          </cell>
          <cell r="J336">
            <v>79</v>
          </cell>
          <cell r="K336">
            <v>83</v>
          </cell>
          <cell r="L336">
            <v>654</v>
          </cell>
          <cell r="R336">
            <v>154</v>
          </cell>
          <cell r="AB336">
            <v>4.0999999999999996</v>
          </cell>
        </row>
        <row r="337">
          <cell r="B337">
            <v>2011</v>
          </cell>
          <cell r="C337" t="str">
            <v>Chicago Cubs</v>
          </cell>
          <cell r="E337">
            <v>5</v>
          </cell>
          <cell r="J337">
            <v>71</v>
          </cell>
          <cell r="K337">
            <v>91</v>
          </cell>
          <cell r="L337">
            <v>654</v>
          </cell>
          <cell r="R337">
            <v>148</v>
          </cell>
          <cell r="AB337">
            <v>4.33</v>
          </cell>
        </row>
        <row r="338">
          <cell r="B338">
            <v>2011</v>
          </cell>
          <cell r="C338" t="str">
            <v>Cincinnati Reds</v>
          </cell>
          <cell r="E338">
            <v>3</v>
          </cell>
          <cell r="J338">
            <v>79</v>
          </cell>
          <cell r="K338">
            <v>83</v>
          </cell>
          <cell r="L338">
            <v>735</v>
          </cell>
          <cell r="R338">
            <v>183</v>
          </cell>
          <cell r="AB338">
            <v>4.16</v>
          </cell>
        </row>
        <row r="339">
          <cell r="B339">
            <v>2011</v>
          </cell>
          <cell r="C339" t="str">
            <v>Cleveland Indians</v>
          </cell>
          <cell r="E339">
            <v>2</v>
          </cell>
          <cell r="J339">
            <v>80</v>
          </cell>
          <cell r="K339">
            <v>82</v>
          </cell>
          <cell r="L339">
            <v>704</v>
          </cell>
          <cell r="R339">
            <v>154</v>
          </cell>
          <cell r="AB339">
            <v>4.2300000000000004</v>
          </cell>
        </row>
        <row r="340">
          <cell r="B340">
            <v>2011</v>
          </cell>
          <cell r="C340" t="str">
            <v>Colorado Rockies</v>
          </cell>
          <cell r="E340">
            <v>4</v>
          </cell>
          <cell r="J340">
            <v>73</v>
          </cell>
          <cell r="K340">
            <v>89</v>
          </cell>
          <cell r="L340">
            <v>735</v>
          </cell>
          <cell r="R340">
            <v>163</v>
          </cell>
          <cell r="AB340">
            <v>4.43</v>
          </cell>
        </row>
        <row r="341">
          <cell r="B341">
            <v>2011</v>
          </cell>
          <cell r="C341" t="str">
            <v>Detroit Tigers</v>
          </cell>
          <cell r="E341">
            <v>1</v>
          </cell>
          <cell r="J341">
            <v>95</v>
          </cell>
          <cell r="K341">
            <v>67</v>
          </cell>
          <cell r="L341">
            <v>787</v>
          </cell>
          <cell r="R341">
            <v>169</v>
          </cell>
          <cell r="AB341">
            <v>4.04</v>
          </cell>
        </row>
        <row r="342">
          <cell r="B342">
            <v>2011</v>
          </cell>
          <cell r="C342" t="str">
            <v>Florida Marlins</v>
          </cell>
          <cell r="E342">
            <v>5</v>
          </cell>
          <cell r="J342">
            <v>72</v>
          </cell>
          <cell r="K342">
            <v>90</v>
          </cell>
          <cell r="L342">
            <v>625</v>
          </cell>
          <cell r="R342">
            <v>149</v>
          </cell>
          <cell r="AB342">
            <v>3.95</v>
          </cell>
        </row>
        <row r="343">
          <cell r="B343">
            <v>2011</v>
          </cell>
          <cell r="C343" t="str">
            <v>Houston Astros</v>
          </cell>
          <cell r="E343">
            <v>6</v>
          </cell>
          <cell r="J343">
            <v>56</v>
          </cell>
          <cell r="K343">
            <v>106</v>
          </cell>
          <cell r="L343">
            <v>615</v>
          </cell>
          <cell r="R343">
            <v>95</v>
          </cell>
          <cell r="AB343">
            <v>4.51</v>
          </cell>
        </row>
        <row r="344">
          <cell r="B344">
            <v>2011</v>
          </cell>
          <cell r="C344" t="str">
            <v>Kansas City Royals</v>
          </cell>
          <cell r="E344">
            <v>4</v>
          </cell>
          <cell r="J344">
            <v>71</v>
          </cell>
          <cell r="K344">
            <v>91</v>
          </cell>
          <cell r="L344">
            <v>730</v>
          </cell>
          <cell r="R344">
            <v>129</v>
          </cell>
          <cell r="AB344">
            <v>4.4400000000000004</v>
          </cell>
        </row>
        <row r="345">
          <cell r="B345">
            <v>2011</v>
          </cell>
          <cell r="C345" t="str">
            <v>Los Angeles Angels of Anaheim</v>
          </cell>
          <cell r="E345">
            <v>2</v>
          </cell>
          <cell r="J345">
            <v>86</v>
          </cell>
          <cell r="K345">
            <v>76</v>
          </cell>
          <cell r="L345">
            <v>667</v>
          </cell>
          <cell r="R345">
            <v>155</v>
          </cell>
          <cell r="AB345">
            <v>3.57</v>
          </cell>
        </row>
        <row r="346">
          <cell r="B346">
            <v>2011</v>
          </cell>
          <cell r="C346" t="str">
            <v>Los Angeles Dodgers</v>
          </cell>
          <cell r="E346">
            <v>3</v>
          </cell>
          <cell r="J346">
            <v>82</v>
          </cell>
          <cell r="K346">
            <v>79</v>
          </cell>
          <cell r="L346">
            <v>644</v>
          </cell>
          <cell r="R346">
            <v>117</v>
          </cell>
          <cell r="AB346">
            <v>3.54</v>
          </cell>
        </row>
        <row r="347">
          <cell r="B347">
            <v>2011</v>
          </cell>
          <cell r="C347" t="str">
            <v>Milwaukee Brewers</v>
          </cell>
          <cell r="E347">
            <v>1</v>
          </cell>
          <cell r="J347">
            <v>96</v>
          </cell>
          <cell r="K347">
            <v>66</v>
          </cell>
          <cell r="L347">
            <v>721</v>
          </cell>
          <cell r="R347">
            <v>185</v>
          </cell>
          <cell r="AB347">
            <v>3.63</v>
          </cell>
        </row>
        <row r="348">
          <cell r="B348">
            <v>2011</v>
          </cell>
          <cell r="C348" t="str">
            <v>Minnesota Twins</v>
          </cell>
          <cell r="E348">
            <v>5</v>
          </cell>
          <cell r="J348">
            <v>63</v>
          </cell>
          <cell r="K348">
            <v>99</v>
          </cell>
          <cell r="L348">
            <v>619</v>
          </cell>
          <cell r="R348">
            <v>103</v>
          </cell>
          <cell r="AB348">
            <v>4.58</v>
          </cell>
        </row>
        <row r="349">
          <cell r="B349">
            <v>2011</v>
          </cell>
          <cell r="C349" t="str">
            <v>New York Yankees</v>
          </cell>
          <cell r="E349">
            <v>1</v>
          </cell>
          <cell r="J349">
            <v>97</v>
          </cell>
          <cell r="K349">
            <v>65</v>
          </cell>
          <cell r="L349">
            <v>867</v>
          </cell>
          <cell r="R349">
            <v>222</v>
          </cell>
          <cell r="AB349">
            <v>3.73</v>
          </cell>
        </row>
        <row r="350">
          <cell r="B350">
            <v>2011</v>
          </cell>
          <cell r="C350" t="str">
            <v>New York Mets</v>
          </cell>
          <cell r="E350">
            <v>4</v>
          </cell>
          <cell r="J350">
            <v>77</v>
          </cell>
          <cell r="K350">
            <v>85</v>
          </cell>
          <cell r="L350">
            <v>718</v>
          </cell>
          <cell r="R350">
            <v>108</v>
          </cell>
          <cell r="AB350">
            <v>4.1900000000000004</v>
          </cell>
        </row>
        <row r="351">
          <cell r="B351">
            <v>2011</v>
          </cell>
          <cell r="C351" t="str">
            <v>Oakland Athletics</v>
          </cell>
          <cell r="E351">
            <v>3</v>
          </cell>
          <cell r="J351">
            <v>74</v>
          </cell>
          <cell r="K351">
            <v>88</v>
          </cell>
          <cell r="L351">
            <v>645</v>
          </cell>
          <cell r="R351">
            <v>114</v>
          </cell>
          <cell r="AB351">
            <v>3.71</v>
          </cell>
        </row>
        <row r="352">
          <cell r="B352">
            <v>2011</v>
          </cell>
          <cell r="C352" t="str">
            <v>Philadelphia Phillies</v>
          </cell>
          <cell r="E352">
            <v>1</v>
          </cell>
          <cell r="J352">
            <v>102</v>
          </cell>
          <cell r="K352">
            <v>60</v>
          </cell>
          <cell r="L352">
            <v>713</v>
          </cell>
          <cell r="R352">
            <v>153</v>
          </cell>
          <cell r="AB352">
            <v>3.02</v>
          </cell>
        </row>
        <row r="353">
          <cell r="B353">
            <v>2011</v>
          </cell>
          <cell r="C353" t="str">
            <v>Pittsburgh Pirates</v>
          </cell>
          <cell r="E353">
            <v>4</v>
          </cell>
          <cell r="J353">
            <v>72</v>
          </cell>
          <cell r="K353">
            <v>90</v>
          </cell>
          <cell r="L353">
            <v>610</v>
          </cell>
          <cell r="R353">
            <v>107</v>
          </cell>
          <cell r="AB353">
            <v>4.04</v>
          </cell>
        </row>
        <row r="354">
          <cell r="B354">
            <v>2011</v>
          </cell>
          <cell r="C354" t="str">
            <v>San Diego Padres</v>
          </cell>
          <cell r="E354">
            <v>5</v>
          </cell>
          <cell r="J354">
            <v>71</v>
          </cell>
          <cell r="K354">
            <v>91</v>
          </cell>
          <cell r="L354">
            <v>593</v>
          </cell>
          <cell r="R354">
            <v>91</v>
          </cell>
          <cell r="AB354">
            <v>3.42</v>
          </cell>
        </row>
        <row r="355">
          <cell r="B355">
            <v>2011</v>
          </cell>
          <cell r="C355" t="str">
            <v>Seattle Mariners</v>
          </cell>
          <cell r="E355">
            <v>4</v>
          </cell>
          <cell r="J355">
            <v>67</v>
          </cell>
          <cell r="K355">
            <v>95</v>
          </cell>
          <cell r="L355">
            <v>556</v>
          </cell>
          <cell r="R355">
            <v>109</v>
          </cell>
          <cell r="AB355">
            <v>3.9</v>
          </cell>
        </row>
        <row r="356">
          <cell r="B356">
            <v>2011</v>
          </cell>
          <cell r="C356" t="str">
            <v>San Francisco Giants</v>
          </cell>
          <cell r="E356">
            <v>2</v>
          </cell>
          <cell r="J356">
            <v>86</v>
          </cell>
          <cell r="K356">
            <v>76</v>
          </cell>
          <cell r="L356">
            <v>570</v>
          </cell>
          <cell r="R356">
            <v>121</v>
          </cell>
          <cell r="AB356">
            <v>3.2</v>
          </cell>
        </row>
        <row r="357">
          <cell r="B357">
            <v>2011</v>
          </cell>
          <cell r="C357" t="str">
            <v>St. Louis Cardinals</v>
          </cell>
          <cell r="E357">
            <v>2</v>
          </cell>
          <cell r="J357">
            <v>90</v>
          </cell>
          <cell r="K357">
            <v>72</v>
          </cell>
          <cell r="L357">
            <v>762</v>
          </cell>
          <cell r="R357">
            <v>162</v>
          </cell>
          <cell r="AB357">
            <v>3.74</v>
          </cell>
        </row>
        <row r="358">
          <cell r="B358">
            <v>2011</v>
          </cell>
          <cell r="C358" t="str">
            <v>Tampa Bay Rays</v>
          </cell>
          <cell r="E358">
            <v>2</v>
          </cell>
          <cell r="J358">
            <v>91</v>
          </cell>
          <cell r="K358">
            <v>71</v>
          </cell>
          <cell r="L358">
            <v>707</v>
          </cell>
          <cell r="R358">
            <v>172</v>
          </cell>
          <cell r="AB358">
            <v>3.58</v>
          </cell>
        </row>
        <row r="359">
          <cell r="B359">
            <v>2011</v>
          </cell>
          <cell r="C359" t="str">
            <v>Texas Rangers</v>
          </cell>
          <cell r="E359">
            <v>1</v>
          </cell>
          <cell r="J359">
            <v>96</v>
          </cell>
          <cell r="K359">
            <v>66</v>
          </cell>
          <cell r="L359">
            <v>855</v>
          </cell>
          <cell r="R359">
            <v>210</v>
          </cell>
          <cell r="AB359">
            <v>3.79</v>
          </cell>
        </row>
        <row r="360">
          <cell r="B360">
            <v>2011</v>
          </cell>
          <cell r="C360" t="str">
            <v>Toronto Blue Jays</v>
          </cell>
          <cell r="E360">
            <v>4</v>
          </cell>
          <cell r="J360">
            <v>81</v>
          </cell>
          <cell r="K360">
            <v>81</v>
          </cell>
          <cell r="L360">
            <v>743</v>
          </cell>
          <cell r="R360">
            <v>186</v>
          </cell>
          <cell r="AB360">
            <v>4.32</v>
          </cell>
        </row>
        <row r="361">
          <cell r="B361">
            <v>2011</v>
          </cell>
          <cell r="C361" t="str">
            <v>Washington Nationals</v>
          </cell>
          <cell r="E361">
            <v>3</v>
          </cell>
          <cell r="J361">
            <v>80</v>
          </cell>
          <cell r="K361">
            <v>81</v>
          </cell>
          <cell r="L361">
            <v>624</v>
          </cell>
          <cell r="R361">
            <v>154</v>
          </cell>
          <cell r="AB361">
            <v>3.58</v>
          </cell>
        </row>
        <row r="362">
          <cell r="B362">
            <v>2012</v>
          </cell>
          <cell r="C362" t="str">
            <v>Arizona Diamondbacks</v>
          </cell>
          <cell r="E362">
            <v>3</v>
          </cell>
          <cell r="J362">
            <v>81</v>
          </cell>
          <cell r="K362">
            <v>81</v>
          </cell>
          <cell r="L362">
            <v>734</v>
          </cell>
          <cell r="R362">
            <v>165</v>
          </cell>
          <cell r="AB362">
            <v>3.93</v>
          </cell>
        </row>
        <row r="363">
          <cell r="B363">
            <v>2012</v>
          </cell>
          <cell r="C363" t="str">
            <v>Atlanta Braves</v>
          </cell>
          <cell r="E363">
            <v>2</v>
          </cell>
          <cell r="J363">
            <v>94</v>
          </cell>
          <cell r="K363">
            <v>68</v>
          </cell>
          <cell r="L363">
            <v>700</v>
          </cell>
          <cell r="R363">
            <v>149</v>
          </cell>
          <cell r="AB363">
            <v>3.42</v>
          </cell>
        </row>
        <row r="364">
          <cell r="B364">
            <v>2012</v>
          </cell>
          <cell r="C364" t="str">
            <v>Baltimore Orioles</v>
          </cell>
          <cell r="E364">
            <v>2</v>
          </cell>
          <cell r="J364">
            <v>93</v>
          </cell>
          <cell r="K364">
            <v>69</v>
          </cell>
          <cell r="L364">
            <v>712</v>
          </cell>
          <cell r="R364">
            <v>214</v>
          </cell>
          <cell r="AB364">
            <v>3.9</v>
          </cell>
        </row>
        <row r="365">
          <cell r="B365">
            <v>2012</v>
          </cell>
          <cell r="C365" t="str">
            <v>Boston Red Sox</v>
          </cell>
          <cell r="E365">
            <v>5</v>
          </cell>
          <cell r="J365">
            <v>69</v>
          </cell>
          <cell r="K365">
            <v>93</v>
          </cell>
          <cell r="L365">
            <v>734</v>
          </cell>
          <cell r="R365">
            <v>165</v>
          </cell>
          <cell r="AB365">
            <v>4.7</v>
          </cell>
        </row>
        <row r="366">
          <cell r="B366">
            <v>2012</v>
          </cell>
          <cell r="C366" t="str">
            <v>Chicago White Sox</v>
          </cell>
          <cell r="E366">
            <v>2</v>
          </cell>
          <cell r="J366">
            <v>85</v>
          </cell>
          <cell r="K366">
            <v>77</v>
          </cell>
          <cell r="L366">
            <v>748</v>
          </cell>
          <cell r="R366">
            <v>211</v>
          </cell>
          <cell r="AB366">
            <v>4.0199999999999996</v>
          </cell>
        </row>
        <row r="367">
          <cell r="B367">
            <v>2012</v>
          </cell>
          <cell r="C367" t="str">
            <v>Chicago Cubs</v>
          </cell>
          <cell r="E367">
            <v>5</v>
          </cell>
          <cell r="J367">
            <v>61</v>
          </cell>
          <cell r="K367">
            <v>101</v>
          </cell>
          <cell r="L367">
            <v>613</v>
          </cell>
          <cell r="R367">
            <v>137</v>
          </cell>
          <cell r="AB367">
            <v>4.51</v>
          </cell>
        </row>
        <row r="368">
          <cell r="B368">
            <v>2012</v>
          </cell>
          <cell r="C368" t="str">
            <v>Cincinnati Reds</v>
          </cell>
          <cell r="E368">
            <v>1</v>
          </cell>
          <cell r="J368">
            <v>97</v>
          </cell>
          <cell r="K368">
            <v>65</v>
          </cell>
          <cell r="L368">
            <v>669</v>
          </cell>
          <cell r="R368">
            <v>172</v>
          </cell>
          <cell r="AB368">
            <v>3.34</v>
          </cell>
        </row>
        <row r="369">
          <cell r="B369">
            <v>2012</v>
          </cell>
          <cell r="C369" t="str">
            <v>Cleveland Indians</v>
          </cell>
          <cell r="E369">
            <v>4</v>
          </cell>
          <cell r="J369">
            <v>68</v>
          </cell>
          <cell r="K369">
            <v>94</v>
          </cell>
          <cell r="L369">
            <v>667</v>
          </cell>
          <cell r="R369">
            <v>136</v>
          </cell>
          <cell r="AB369">
            <v>4.78</v>
          </cell>
        </row>
        <row r="370">
          <cell r="B370">
            <v>2012</v>
          </cell>
          <cell r="C370" t="str">
            <v>Colorado Rockies</v>
          </cell>
          <cell r="E370">
            <v>5</v>
          </cell>
          <cell r="J370">
            <v>64</v>
          </cell>
          <cell r="K370">
            <v>98</v>
          </cell>
          <cell r="L370">
            <v>758</v>
          </cell>
          <cell r="R370">
            <v>166</v>
          </cell>
          <cell r="AB370">
            <v>5.22</v>
          </cell>
        </row>
        <row r="371">
          <cell r="B371">
            <v>2012</v>
          </cell>
          <cell r="C371" t="str">
            <v>Detroit Tigers</v>
          </cell>
          <cell r="E371">
            <v>1</v>
          </cell>
          <cell r="J371">
            <v>88</v>
          </cell>
          <cell r="K371">
            <v>74</v>
          </cell>
          <cell r="L371">
            <v>726</v>
          </cell>
          <cell r="R371">
            <v>163</v>
          </cell>
          <cell r="AB371">
            <v>3.75</v>
          </cell>
        </row>
        <row r="372">
          <cell r="B372">
            <v>2012</v>
          </cell>
          <cell r="C372" t="str">
            <v>Houston Astros</v>
          </cell>
          <cell r="E372">
            <v>6</v>
          </cell>
          <cell r="J372">
            <v>55</v>
          </cell>
          <cell r="K372">
            <v>107</v>
          </cell>
          <cell r="L372">
            <v>583</v>
          </cell>
          <cell r="R372">
            <v>146</v>
          </cell>
          <cell r="AB372">
            <v>4.5599999999999996</v>
          </cell>
        </row>
        <row r="373">
          <cell r="B373">
            <v>2012</v>
          </cell>
          <cell r="C373" t="str">
            <v>Kansas City Royals</v>
          </cell>
          <cell r="E373">
            <v>3</v>
          </cell>
          <cell r="J373">
            <v>72</v>
          </cell>
          <cell r="K373">
            <v>90</v>
          </cell>
          <cell r="L373">
            <v>676</v>
          </cell>
          <cell r="R373">
            <v>131</v>
          </cell>
          <cell r="AB373">
            <v>4.3</v>
          </cell>
        </row>
        <row r="374">
          <cell r="B374">
            <v>2012</v>
          </cell>
          <cell r="C374" t="str">
            <v>Los Angeles Angels of Anaheim</v>
          </cell>
          <cell r="E374">
            <v>3</v>
          </cell>
          <cell r="J374">
            <v>89</v>
          </cell>
          <cell r="K374">
            <v>73</v>
          </cell>
          <cell r="L374">
            <v>767</v>
          </cell>
          <cell r="R374">
            <v>187</v>
          </cell>
          <cell r="AB374">
            <v>4.0199999999999996</v>
          </cell>
        </row>
        <row r="375">
          <cell r="B375">
            <v>2012</v>
          </cell>
          <cell r="C375" t="str">
            <v>Los Angeles Dodgers</v>
          </cell>
          <cell r="E375">
            <v>2</v>
          </cell>
          <cell r="J375">
            <v>86</v>
          </cell>
          <cell r="K375">
            <v>76</v>
          </cell>
          <cell r="L375">
            <v>637</v>
          </cell>
          <cell r="R375">
            <v>116</v>
          </cell>
          <cell r="AB375">
            <v>3.34</v>
          </cell>
        </row>
        <row r="376">
          <cell r="B376">
            <v>2012</v>
          </cell>
          <cell r="C376" t="str">
            <v>Miami Marlins</v>
          </cell>
          <cell r="E376">
            <v>5</v>
          </cell>
          <cell r="J376">
            <v>69</v>
          </cell>
          <cell r="K376">
            <v>93</v>
          </cell>
          <cell r="L376">
            <v>609</v>
          </cell>
          <cell r="R376">
            <v>137</v>
          </cell>
          <cell r="AB376">
            <v>4.09</v>
          </cell>
        </row>
        <row r="377">
          <cell r="B377">
            <v>2012</v>
          </cell>
          <cell r="C377" t="str">
            <v>Milwaukee Brewers</v>
          </cell>
          <cell r="E377">
            <v>3</v>
          </cell>
          <cell r="J377">
            <v>83</v>
          </cell>
          <cell r="K377">
            <v>79</v>
          </cell>
          <cell r="L377">
            <v>776</v>
          </cell>
          <cell r="R377">
            <v>202</v>
          </cell>
          <cell r="AB377">
            <v>4.22</v>
          </cell>
        </row>
        <row r="378">
          <cell r="B378">
            <v>2012</v>
          </cell>
          <cell r="C378" t="str">
            <v>Minnesota Twins</v>
          </cell>
          <cell r="E378">
            <v>5</v>
          </cell>
          <cell r="J378">
            <v>66</v>
          </cell>
          <cell r="K378">
            <v>96</v>
          </cell>
          <cell r="L378">
            <v>701</v>
          </cell>
          <cell r="R378">
            <v>131</v>
          </cell>
          <cell r="AB378">
            <v>4.7699999999999996</v>
          </cell>
        </row>
        <row r="379">
          <cell r="B379">
            <v>2012</v>
          </cell>
          <cell r="C379" t="str">
            <v>New York Yankees</v>
          </cell>
          <cell r="E379">
            <v>1</v>
          </cell>
          <cell r="J379">
            <v>95</v>
          </cell>
          <cell r="K379">
            <v>67</v>
          </cell>
          <cell r="L379">
            <v>804</v>
          </cell>
          <cell r="R379">
            <v>245</v>
          </cell>
          <cell r="AB379">
            <v>3.84</v>
          </cell>
        </row>
        <row r="380">
          <cell r="B380">
            <v>2012</v>
          </cell>
          <cell r="C380" t="str">
            <v>New York Mets</v>
          </cell>
          <cell r="E380">
            <v>4</v>
          </cell>
          <cell r="J380">
            <v>74</v>
          </cell>
          <cell r="K380">
            <v>88</v>
          </cell>
          <cell r="L380">
            <v>650</v>
          </cell>
          <cell r="R380">
            <v>139</v>
          </cell>
          <cell r="AB380">
            <v>4.09</v>
          </cell>
        </row>
        <row r="381">
          <cell r="B381">
            <v>2012</v>
          </cell>
          <cell r="C381" t="str">
            <v>Oakland Athletics</v>
          </cell>
          <cell r="E381">
            <v>1</v>
          </cell>
          <cell r="J381">
            <v>94</v>
          </cell>
          <cell r="K381">
            <v>68</v>
          </cell>
          <cell r="L381">
            <v>713</v>
          </cell>
          <cell r="R381">
            <v>195</v>
          </cell>
          <cell r="AB381">
            <v>3.48</v>
          </cell>
        </row>
        <row r="382">
          <cell r="B382">
            <v>2012</v>
          </cell>
          <cell r="C382" t="str">
            <v>Philadelphia Phillies</v>
          </cell>
          <cell r="E382">
            <v>3</v>
          </cell>
          <cell r="J382">
            <v>81</v>
          </cell>
          <cell r="K382">
            <v>81</v>
          </cell>
          <cell r="L382">
            <v>684</v>
          </cell>
          <cell r="R382">
            <v>158</v>
          </cell>
          <cell r="AB382">
            <v>3.83</v>
          </cell>
        </row>
        <row r="383">
          <cell r="B383">
            <v>2012</v>
          </cell>
          <cell r="C383" t="str">
            <v>Pittsburgh Pirates</v>
          </cell>
          <cell r="E383">
            <v>4</v>
          </cell>
          <cell r="J383">
            <v>79</v>
          </cell>
          <cell r="K383">
            <v>83</v>
          </cell>
          <cell r="L383">
            <v>651</v>
          </cell>
          <cell r="R383">
            <v>170</v>
          </cell>
          <cell r="AB383">
            <v>3.86</v>
          </cell>
        </row>
        <row r="384">
          <cell r="B384">
            <v>2012</v>
          </cell>
          <cell r="C384" t="str">
            <v>San Diego Padres</v>
          </cell>
          <cell r="E384">
            <v>4</v>
          </cell>
          <cell r="J384">
            <v>76</v>
          </cell>
          <cell r="K384">
            <v>86</v>
          </cell>
          <cell r="L384">
            <v>651</v>
          </cell>
          <cell r="R384">
            <v>121</v>
          </cell>
          <cell r="AB384">
            <v>4.01</v>
          </cell>
        </row>
        <row r="385">
          <cell r="B385">
            <v>2012</v>
          </cell>
          <cell r="C385" t="str">
            <v>Seattle Mariners</v>
          </cell>
          <cell r="E385">
            <v>4</v>
          </cell>
          <cell r="J385">
            <v>75</v>
          </cell>
          <cell r="K385">
            <v>87</v>
          </cell>
          <cell r="L385">
            <v>619</v>
          </cell>
          <cell r="R385">
            <v>149</v>
          </cell>
          <cell r="AB385">
            <v>3.76</v>
          </cell>
        </row>
        <row r="386">
          <cell r="B386">
            <v>2012</v>
          </cell>
          <cell r="C386" t="str">
            <v>San Francisco Giants</v>
          </cell>
          <cell r="E386">
            <v>1</v>
          </cell>
          <cell r="J386">
            <v>94</v>
          </cell>
          <cell r="K386">
            <v>68</v>
          </cell>
          <cell r="L386">
            <v>718</v>
          </cell>
          <cell r="R386">
            <v>103</v>
          </cell>
          <cell r="AB386">
            <v>3.68</v>
          </cell>
        </row>
        <row r="387">
          <cell r="B387">
            <v>2012</v>
          </cell>
          <cell r="C387" t="str">
            <v>St. Louis Cardinals</v>
          </cell>
          <cell r="E387">
            <v>2</v>
          </cell>
          <cell r="J387">
            <v>88</v>
          </cell>
          <cell r="K387">
            <v>74</v>
          </cell>
          <cell r="L387">
            <v>765</v>
          </cell>
          <cell r="R387">
            <v>159</v>
          </cell>
          <cell r="AB387">
            <v>3.71</v>
          </cell>
        </row>
        <row r="388">
          <cell r="B388">
            <v>2012</v>
          </cell>
          <cell r="C388" t="str">
            <v>Tampa Bay Rays</v>
          </cell>
          <cell r="E388">
            <v>3</v>
          </cell>
          <cell r="J388">
            <v>90</v>
          </cell>
          <cell r="K388">
            <v>72</v>
          </cell>
          <cell r="L388">
            <v>697</v>
          </cell>
          <cell r="R388">
            <v>175</v>
          </cell>
          <cell r="AB388">
            <v>3.19</v>
          </cell>
        </row>
        <row r="389">
          <cell r="B389">
            <v>2012</v>
          </cell>
          <cell r="C389" t="str">
            <v>Texas Rangers</v>
          </cell>
          <cell r="E389">
            <v>2</v>
          </cell>
          <cell r="J389">
            <v>93</v>
          </cell>
          <cell r="K389">
            <v>69</v>
          </cell>
          <cell r="L389">
            <v>808</v>
          </cell>
          <cell r="R389">
            <v>200</v>
          </cell>
          <cell r="AB389">
            <v>3.99</v>
          </cell>
        </row>
        <row r="390">
          <cell r="B390">
            <v>2012</v>
          </cell>
          <cell r="C390" t="str">
            <v>Toronto Blue Jays</v>
          </cell>
          <cell r="E390">
            <v>4</v>
          </cell>
          <cell r="J390">
            <v>73</v>
          </cell>
          <cell r="K390">
            <v>89</v>
          </cell>
          <cell r="L390">
            <v>716</v>
          </cell>
          <cell r="R390">
            <v>198</v>
          </cell>
          <cell r="AB390">
            <v>4.6399999999999997</v>
          </cell>
        </row>
        <row r="391">
          <cell r="B391">
            <v>2012</v>
          </cell>
          <cell r="C391" t="str">
            <v>Washington Nationals</v>
          </cell>
          <cell r="E391">
            <v>1</v>
          </cell>
          <cell r="J391">
            <v>98</v>
          </cell>
          <cell r="K391">
            <v>64</v>
          </cell>
          <cell r="L391">
            <v>731</v>
          </cell>
          <cell r="R391">
            <v>194</v>
          </cell>
          <cell r="AB391">
            <v>3.33</v>
          </cell>
        </row>
        <row r="392">
          <cell r="B392">
            <v>2013</v>
          </cell>
          <cell r="C392" t="str">
            <v>Arizona Diamondbacks</v>
          </cell>
          <cell r="E392">
            <v>2</v>
          </cell>
          <cell r="J392">
            <v>81</v>
          </cell>
          <cell r="K392">
            <v>81</v>
          </cell>
          <cell r="L392">
            <v>685</v>
          </cell>
          <cell r="R392">
            <v>130</v>
          </cell>
          <cell r="AB392">
            <v>3.92</v>
          </cell>
        </row>
        <row r="393">
          <cell r="B393">
            <v>2013</v>
          </cell>
          <cell r="C393" t="str">
            <v>Atlanta Braves</v>
          </cell>
          <cell r="E393">
            <v>1</v>
          </cell>
          <cell r="J393">
            <v>96</v>
          </cell>
          <cell r="K393">
            <v>66</v>
          </cell>
          <cell r="L393">
            <v>688</v>
          </cell>
          <cell r="R393">
            <v>181</v>
          </cell>
          <cell r="AB393">
            <v>3.18</v>
          </cell>
        </row>
        <row r="394">
          <cell r="B394">
            <v>2013</v>
          </cell>
          <cell r="C394" t="str">
            <v>Baltimore Orioles</v>
          </cell>
          <cell r="E394">
            <v>3</v>
          </cell>
          <cell r="J394">
            <v>85</v>
          </cell>
          <cell r="K394">
            <v>77</v>
          </cell>
          <cell r="L394">
            <v>745</v>
          </cell>
          <cell r="R394">
            <v>212</v>
          </cell>
          <cell r="AB394">
            <v>4.2</v>
          </cell>
        </row>
        <row r="395">
          <cell r="B395">
            <v>2013</v>
          </cell>
          <cell r="C395" t="str">
            <v>Boston Red Sox</v>
          </cell>
          <cell r="E395">
            <v>1</v>
          </cell>
          <cell r="J395">
            <v>97</v>
          </cell>
          <cell r="K395">
            <v>65</v>
          </cell>
          <cell r="L395">
            <v>853</v>
          </cell>
          <cell r="R395">
            <v>178</v>
          </cell>
          <cell r="AB395">
            <v>3.79</v>
          </cell>
        </row>
        <row r="396">
          <cell r="B396">
            <v>2013</v>
          </cell>
          <cell r="C396" t="str">
            <v>Chicago White Sox</v>
          </cell>
          <cell r="E396">
            <v>5</v>
          </cell>
          <cell r="J396">
            <v>63</v>
          </cell>
          <cell r="K396">
            <v>99</v>
          </cell>
          <cell r="L396">
            <v>598</v>
          </cell>
          <cell r="R396">
            <v>148</v>
          </cell>
          <cell r="AB396">
            <v>3.98</v>
          </cell>
        </row>
        <row r="397">
          <cell r="B397">
            <v>2013</v>
          </cell>
          <cell r="C397" t="str">
            <v>Chicago Cubs</v>
          </cell>
          <cell r="E397">
            <v>5</v>
          </cell>
          <cell r="J397">
            <v>66</v>
          </cell>
          <cell r="K397">
            <v>96</v>
          </cell>
          <cell r="L397">
            <v>602</v>
          </cell>
          <cell r="R397">
            <v>172</v>
          </cell>
          <cell r="AB397">
            <v>4</v>
          </cell>
        </row>
        <row r="398">
          <cell r="B398">
            <v>2013</v>
          </cell>
          <cell r="C398" t="str">
            <v>Cincinnati Reds</v>
          </cell>
          <cell r="E398">
            <v>3</v>
          </cell>
          <cell r="J398">
            <v>90</v>
          </cell>
          <cell r="K398">
            <v>72</v>
          </cell>
          <cell r="L398">
            <v>698</v>
          </cell>
          <cell r="R398">
            <v>155</v>
          </cell>
          <cell r="AB398">
            <v>3.38</v>
          </cell>
        </row>
        <row r="399">
          <cell r="B399">
            <v>2013</v>
          </cell>
          <cell r="C399" t="str">
            <v>Cleveland Indians</v>
          </cell>
          <cell r="E399">
            <v>2</v>
          </cell>
          <cell r="J399">
            <v>92</v>
          </cell>
          <cell r="K399">
            <v>70</v>
          </cell>
          <cell r="L399">
            <v>745</v>
          </cell>
          <cell r="R399">
            <v>171</v>
          </cell>
          <cell r="AB399">
            <v>3.82</v>
          </cell>
        </row>
        <row r="400">
          <cell r="B400">
            <v>2013</v>
          </cell>
          <cell r="C400" t="str">
            <v>Colorado Rockies</v>
          </cell>
          <cell r="E400">
            <v>5</v>
          </cell>
          <cell r="J400">
            <v>74</v>
          </cell>
          <cell r="K400">
            <v>88</v>
          </cell>
          <cell r="L400">
            <v>706</v>
          </cell>
          <cell r="R400">
            <v>159</v>
          </cell>
          <cell r="AB400">
            <v>4.4400000000000004</v>
          </cell>
        </row>
        <row r="401">
          <cell r="B401">
            <v>2013</v>
          </cell>
          <cell r="C401" t="str">
            <v>Detroit Tigers</v>
          </cell>
          <cell r="E401">
            <v>1</v>
          </cell>
          <cell r="J401">
            <v>93</v>
          </cell>
          <cell r="K401">
            <v>69</v>
          </cell>
          <cell r="L401">
            <v>796</v>
          </cell>
          <cell r="R401">
            <v>176</v>
          </cell>
          <cell r="AB401">
            <v>3.61</v>
          </cell>
        </row>
        <row r="402">
          <cell r="B402">
            <v>2013</v>
          </cell>
          <cell r="C402" t="str">
            <v>Houston Astros</v>
          </cell>
          <cell r="E402">
            <v>5</v>
          </cell>
          <cell r="J402">
            <v>51</v>
          </cell>
          <cell r="K402">
            <v>111</v>
          </cell>
          <cell r="L402">
            <v>610</v>
          </cell>
          <cell r="R402">
            <v>148</v>
          </cell>
          <cell r="AB402">
            <v>4.79</v>
          </cell>
        </row>
        <row r="403">
          <cell r="B403">
            <v>2013</v>
          </cell>
          <cell r="C403" t="str">
            <v>Kansas City Royals</v>
          </cell>
          <cell r="E403">
            <v>3</v>
          </cell>
          <cell r="J403">
            <v>86</v>
          </cell>
          <cell r="K403">
            <v>76</v>
          </cell>
          <cell r="L403">
            <v>648</v>
          </cell>
          <cell r="R403">
            <v>112</v>
          </cell>
          <cell r="AB403">
            <v>3.45</v>
          </cell>
        </row>
        <row r="404">
          <cell r="B404">
            <v>2013</v>
          </cell>
          <cell r="C404" t="str">
            <v>Los Angeles Angels of Anaheim</v>
          </cell>
          <cell r="E404">
            <v>3</v>
          </cell>
          <cell r="J404">
            <v>78</v>
          </cell>
          <cell r="K404">
            <v>84</v>
          </cell>
          <cell r="L404">
            <v>733</v>
          </cell>
          <cell r="R404">
            <v>164</v>
          </cell>
          <cell r="AB404">
            <v>4.2300000000000004</v>
          </cell>
        </row>
        <row r="405">
          <cell r="B405">
            <v>2013</v>
          </cell>
          <cell r="C405" t="str">
            <v>Los Angeles Dodgers</v>
          </cell>
          <cell r="E405">
            <v>1</v>
          </cell>
          <cell r="J405">
            <v>92</v>
          </cell>
          <cell r="K405">
            <v>70</v>
          </cell>
          <cell r="L405">
            <v>649</v>
          </cell>
          <cell r="R405">
            <v>138</v>
          </cell>
          <cell r="AB405">
            <v>3.25</v>
          </cell>
        </row>
        <row r="406">
          <cell r="B406">
            <v>2013</v>
          </cell>
          <cell r="C406" t="str">
            <v>Miami Marlins</v>
          </cell>
          <cell r="E406">
            <v>5</v>
          </cell>
          <cell r="J406">
            <v>62</v>
          </cell>
          <cell r="K406">
            <v>100</v>
          </cell>
          <cell r="L406">
            <v>513</v>
          </cell>
          <cell r="R406">
            <v>95</v>
          </cell>
          <cell r="AB406">
            <v>3.71</v>
          </cell>
        </row>
        <row r="407">
          <cell r="B407">
            <v>2013</v>
          </cell>
          <cell r="C407" t="str">
            <v>Milwaukee Brewers</v>
          </cell>
          <cell r="E407">
            <v>4</v>
          </cell>
          <cell r="J407">
            <v>74</v>
          </cell>
          <cell r="K407">
            <v>88</v>
          </cell>
          <cell r="L407">
            <v>640</v>
          </cell>
          <cell r="R407">
            <v>157</v>
          </cell>
          <cell r="AB407">
            <v>3.84</v>
          </cell>
        </row>
        <row r="408">
          <cell r="B408">
            <v>2013</v>
          </cell>
          <cell r="C408" t="str">
            <v>Minnesota Twins</v>
          </cell>
          <cell r="E408">
            <v>4</v>
          </cell>
          <cell r="J408">
            <v>66</v>
          </cell>
          <cell r="K408">
            <v>96</v>
          </cell>
          <cell r="L408">
            <v>614</v>
          </cell>
          <cell r="R408">
            <v>151</v>
          </cell>
          <cell r="AB408">
            <v>4.55</v>
          </cell>
        </row>
        <row r="409">
          <cell r="B409">
            <v>2013</v>
          </cell>
          <cell r="C409" t="str">
            <v>New York Yankees</v>
          </cell>
          <cell r="E409">
            <v>4</v>
          </cell>
          <cell r="J409">
            <v>85</v>
          </cell>
          <cell r="K409">
            <v>77</v>
          </cell>
          <cell r="L409">
            <v>650</v>
          </cell>
          <cell r="R409">
            <v>144</v>
          </cell>
          <cell r="AB409">
            <v>3.94</v>
          </cell>
        </row>
        <row r="410">
          <cell r="B410">
            <v>2013</v>
          </cell>
          <cell r="C410" t="str">
            <v>New York Mets</v>
          </cell>
          <cell r="E410">
            <v>4</v>
          </cell>
          <cell r="J410">
            <v>74</v>
          </cell>
          <cell r="K410">
            <v>88</v>
          </cell>
          <cell r="L410">
            <v>619</v>
          </cell>
          <cell r="R410">
            <v>130</v>
          </cell>
          <cell r="AB410">
            <v>3.77</v>
          </cell>
        </row>
        <row r="411">
          <cell r="B411">
            <v>2013</v>
          </cell>
          <cell r="C411" t="str">
            <v>Oakland Athletics</v>
          </cell>
          <cell r="E411">
            <v>1</v>
          </cell>
          <cell r="J411">
            <v>96</v>
          </cell>
          <cell r="K411">
            <v>66</v>
          </cell>
          <cell r="L411">
            <v>767</v>
          </cell>
          <cell r="R411">
            <v>186</v>
          </cell>
          <cell r="AB411">
            <v>3.56</v>
          </cell>
        </row>
        <row r="412">
          <cell r="B412">
            <v>2013</v>
          </cell>
          <cell r="C412" t="str">
            <v>Philadelphia Phillies</v>
          </cell>
          <cell r="E412">
            <v>4</v>
          </cell>
          <cell r="J412">
            <v>73</v>
          </cell>
          <cell r="K412">
            <v>89</v>
          </cell>
          <cell r="L412">
            <v>610</v>
          </cell>
          <cell r="R412">
            <v>140</v>
          </cell>
          <cell r="AB412">
            <v>4.32</v>
          </cell>
        </row>
        <row r="413">
          <cell r="B413">
            <v>2013</v>
          </cell>
          <cell r="C413" t="str">
            <v>Pittsburgh Pirates</v>
          </cell>
          <cell r="E413">
            <v>2</v>
          </cell>
          <cell r="J413">
            <v>94</v>
          </cell>
          <cell r="K413">
            <v>68</v>
          </cell>
          <cell r="L413">
            <v>634</v>
          </cell>
          <cell r="R413">
            <v>161</v>
          </cell>
          <cell r="AB413">
            <v>3.26</v>
          </cell>
        </row>
        <row r="414">
          <cell r="B414">
            <v>2013</v>
          </cell>
          <cell r="C414" t="str">
            <v>San Diego Padres</v>
          </cell>
          <cell r="E414">
            <v>3</v>
          </cell>
          <cell r="J414">
            <v>76</v>
          </cell>
          <cell r="K414">
            <v>86</v>
          </cell>
          <cell r="L414">
            <v>618</v>
          </cell>
          <cell r="R414">
            <v>146</v>
          </cell>
          <cell r="AB414">
            <v>3.98</v>
          </cell>
        </row>
        <row r="415">
          <cell r="B415">
            <v>2013</v>
          </cell>
          <cell r="C415" t="str">
            <v>Seattle Mariners</v>
          </cell>
          <cell r="E415">
            <v>4</v>
          </cell>
          <cell r="J415">
            <v>71</v>
          </cell>
          <cell r="K415">
            <v>91</v>
          </cell>
          <cell r="L415">
            <v>624</v>
          </cell>
          <cell r="R415">
            <v>188</v>
          </cell>
          <cell r="AB415">
            <v>4.3099999999999996</v>
          </cell>
        </row>
        <row r="416">
          <cell r="B416">
            <v>2013</v>
          </cell>
          <cell r="C416" t="str">
            <v>San Francisco Giants</v>
          </cell>
          <cell r="E416">
            <v>4</v>
          </cell>
          <cell r="J416">
            <v>76</v>
          </cell>
          <cell r="K416">
            <v>86</v>
          </cell>
          <cell r="L416">
            <v>629</v>
          </cell>
          <cell r="R416">
            <v>107</v>
          </cell>
          <cell r="AB416">
            <v>4</v>
          </cell>
        </row>
        <row r="417">
          <cell r="B417">
            <v>2013</v>
          </cell>
          <cell r="C417" t="str">
            <v>St. Louis Cardinals</v>
          </cell>
          <cell r="E417">
            <v>1</v>
          </cell>
          <cell r="J417">
            <v>97</v>
          </cell>
          <cell r="K417">
            <v>65</v>
          </cell>
          <cell r="L417">
            <v>783</v>
          </cell>
          <cell r="R417">
            <v>125</v>
          </cell>
          <cell r="AB417">
            <v>3.42</v>
          </cell>
        </row>
        <row r="418">
          <cell r="B418">
            <v>2013</v>
          </cell>
          <cell r="C418" t="str">
            <v>Tampa Bay Rays</v>
          </cell>
          <cell r="E418">
            <v>2</v>
          </cell>
          <cell r="J418">
            <v>92</v>
          </cell>
          <cell r="K418">
            <v>71</v>
          </cell>
          <cell r="L418">
            <v>700</v>
          </cell>
          <cell r="R418">
            <v>165</v>
          </cell>
          <cell r="AB418">
            <v>3.74</v>
          </cell>
        </row>
        <row r="419">
          <cell r="B419">
            <v>2013</v>
          </cell>
          <cell r="C419" t="str">
            <v>Texas Rangers</v>
          </cell>
          <cell r="E419">
            <v>2</v>
          </cell>
          <cell r="J419">
            <v>91</v>
          </cell>
          <cell r="K419">
            <v>72</v>
          </cell>
          <cell r="L419">
            <v>730</v>
          </cell>
          <cell r="R419">
            <v>176</v>
          </cell>
          <cell r="AB419">
            <v>3.62</v>
          </cell>
        </row>
        <row r="420">
          <cell r="B420">
            <v>2013</v>
          </cell>
          <cell r="C420" t="str">
            <v>Toronto Blue Jays</v>
          </cell>
          <cell r="E420">
            <v>5</v>
          </cell>
          <cell r="J420">
            <v>74</v>
          </cell>
          <cell r="K420">
            <v>88</v>
          </cell>
          <cell r="L420">
            <v>712</v>
          </cell>
          <cell r="R420">
            <v>185</v>
          </cell>
          <cell r="AB420">
            <v>4.25</v>
          </cell>
        </row>
        <row r="421">
          <cell r="B421">
            <v>2013</v>
          </cell>
          <cell r="C421" t="str">
            <v>Washington Nationals</v>
          </cell>
          <cell r="E421">
            <v>2</v>
          </cell>
          <cell r="J421">
            <v>86</v>
          </cell>
          <cell r="K421">
            <v>76</v>
          </cell>
          <cell r="L421">
            <v>656</v>
          </cell>
          <cell r="R421">
            <v>161</v>
          </cell>
          <cell r="AB421">
            <v>3.59</v>
          </cell>
        </row>
        <row r="422">
          <cell r="B422">
            <v>2014</v>
          </cell>
          <cell r="C422" t="str">
            <v>Arizona Diamondbacks</v>
          </cell>
          <cell r="E422">
            <v>5</v>
          </cell>
          <cell r="J422">
            <v>64</v>
          </cell>
          <cell r="K422">
            <v>98</v>
          </cell>
          <cell r="L422">
            <v>615</v>
          </cell>
          <cell r="R422">
            <v>118</v>
          </cell>
          <cell r="AB422">
            <v>4.26</v>
          </cell>
        </row>
        <row r="423">
          <cell r="B423">
            <v>2014</v>
          </cell>
          <cell r="C423" t="str">
            <v>Atlanta Braves</v>
          </cell>
          <cell r="E423">
            <v>2</v>
          </cell>
          <cell r="J423">
            <v>79</v>
          </cell>
          <cell r="K423">
            <v>83</v>
          </cell>
          <cell r="L423">
            <v>573</v>
          </cell>
          <cell r="R423">
            <v>123</v>
          </cell>
          <cell r="AB423">
            <v>3.38</v>
          </cell>
        </row>
        <row r="424">
          <cell r="B424">
            <v>2014</v>
          </cell>
          <cell r="C424" t="str">
            <v>Baltimore Orioles</v>
          </cell>
          <cell r="E424">
            <v>1</v>
          </cell>
          <cell r="J424">
            <v>96</v>
          </cell>
          <cell r="K424">
            <v>66</v>
          </cell>
          <cell r="L424">
            <v>705</v>
          </cell>
          <cell r="R424">
            <v>211</v>
          </cell>
          <cell r="AB424">
            <v>3.43</v>
          </cell>
        </row>
        <row r="425">
          <cell r="B425">
            <v>2014</v>
          </cell>
          <cell r="C425" t="str">
            <v>Boston Red Sox</v>
          </cell>
          <cell r="E425">
            <v>5</v>
          </cell>
          <cell r="J425">
            <v>71</v>
          </cell>
          <cell r="K425">
            <v>91</v>
          </cell>
          <cell r="L425">
            <v>634</v>
          </cell>
          <cell r="R425">
            <v>123</v>
          </cell>
          <cell r="AB425">
            <v>4.01</v>
          </cell>
        </row>
        <row r="426">
          <cell r="B426">
            <v>2014</v>
          </cell>
          <cell r="C426" t="str">
            <v>Chicago White Sox</v>
          </cell>
          <cell r="E426">
            <v>4</v>
          </cell>
          <cell r="J426">
            <v>73</v>
          </cell>
          <cell r="K426">
            <v>89</v>
          </cell>
          <cell r="L426">
            <v>660</v>
          </cell>
          <cell r="R426">
            <v>155</v>
          </cell>
          <cell r="AB426">
            <v>4.29</v>
          </cell>
        </row>
        <row r="427">
          <cell r="B427">
            <v>2014</v>
          </cell>
          <cell r="C427" t="str">
            <v>Chicago Cubs</v>
          </cell>
          <cell r="E427">
            <v>5</v>
          </cell>
          <cell r="J427">
            <v>73</v>
          </cell>
          <cell r="K427">
            <v>89</v>
          </cell>
          <cell r="L427">
            <v>614</v>
          </cell>
          <cell r="R427">
            <v>157</v>
          </cell>
          <cell r="AB427">
            <v>3.91</v>
          </cell>
        </row>
        <row r="428">
          <cell r="B428">
            <v>2014</v>
          </cell>
          <cell r="C428" t="str">
            <v>Cincinnati Reds</v>
          </cell>
          <cell r="E428">
            <v>4</v>
          </cell>
          <cell r="J428">
            <v>76</v>
          </cell>
          <cell r="K428">
            <v>86</v>
          </cell>
          <cell r="L428">
            <v>595</v>
          </cell>
          <cell r="R428">
            <v>131</v>
          </cell>
          <cell r="AB428">
            <v>3.59</v>
          </cell>
        </row>
        <row r="429">
          <cell r="B429">
            <v>2014</v>
          </cell>
          <cell r="C429" t="str">
            <v>Cleveland Indians</v>
          </cell>
          <cell r="E429">
            <v>3</v>
          </cell>
          <cell r="J429">
            <v>85</v>
          </cell>
          <cell r="K429">
            <v>77</v>
          </cell>
          <cell r="L429">
            <v>669</v>
          </cell>
          <cell r="R429">
            <v>142</v>
          </cell>
          <cell r="AB429">
            <v>3.56</v>
          </cell>
        </row>
        <row r="430">
          <cell r="B430">
            <v>2014</v>
          </cell>
          <cell r="C430" t="str">
            <v>Colorado Rockies</v>
          </cell>
          <cell r="E430">
            <v>4</v>
          </cell>
          <cell r="J430">
            <v>66</v>
          </cell>
          <cell r="K430">
            <v>96</v>
          </cell>
          <cell r="L430">
            <v>755</v>
          </cell>
          <cell r="R430">
            <v>186</v>
          </cell>
          <cell r="AB430">
            <v>4.84</v>
          </cell>
        </row>
        <row r="431">
          <cell r="B431">
            <v>2014</v>
          </cell>
          <cell r="C431" t="str">
            <v>Detroit Tigers</v>
          </cell>
          <cell r="E431">
            <v>1</v>
          </cell>
          <cell r="J431">
            <v>90</v>
          </cell>
          <cell r="K431">
            <v>72</v>
          </cell>
          <cell r="L431">
            <v>757</v>
          </cell>
          <cell r="R431">
            <v>155</v>
          </cell>
          <cell r="AB431">
            <v>4.01</v>
          </cell>
        </row>
        <row r="432">
          <cell r="B432">
            <v>2014</v>
          </cell>
          <cell r="C432" t="str">
            <v>Houston Astros</v>
          </cell>
          <cell r="E432">
            <v>4</v>
          </cell>
          <cell r="J432">
            <v>70</v>
          </cell>
          <cell r="K432">
            <v>92</v>
          </cell>
          <cell r="L432">
            <v>629</v>
          </cell>
          <cell r="R432">
            <v>163</v>
          </cell>
          <cell r="AB432">
            <v>4.1100000000000003</v>
          </cell>
        </row>
        <row r="433">
          <cell r="B433">
            <v>2014</v>
          </cell>
          <cell r="C433" t="str">
            <v>Kansas City Royals</v>
          </cell>
          <cell r="E433">
            <v>2</v>
          </cell>
          <cell r="J433">
            <v>89</v>
          </cell>
          <cell r="K433">
            <v>73</v>
          </cell>
          <cell r="L433">
            <v>651</v>
          </cell>
          <cell r="R433">
            <v>95</v>
          </cell>
          <cell r="AB433">
            <v>3.51</v>
          </cell>
        </row>
        <row r="434">
          <cell r="B434">
            <v>2014</v>
          </cell>
          <cell r="C434" t="str">
            <v>Los Angeles Angels of Anaheim</v>
          </cell>
          <cell r="E434">
            <v>1</v>
          </cell>
          <cell r="J434">
            <v>98</v>
          </cell>
          <cell r="K434">
            <v>64</v>
          </cell>
          <cell r="L434">
            <v>773</v>
          </cell>
          <cell r="R434">
            <v>155</v>
          </cell>
          <cell r="AB434">
            <v>3.58</v>
          </cell>
        </row>
        <row r="435">
          <cell r="B435">
            <v>2014</v>
          </cell>
          <cell r="C435" t="str">
            <v>Los Angeles Dodgers</v>
          </cell>
          <cell r="E435">
            <v>1</v>
          </cell>
          <cell r="J435">
            <v>94</v>
          </cell>
          <cell r="K435">
            <v>68</v>
          </cell>
          <cell r="L435">
            <v>718</v>
          </cell>
          <cell r="R435">
            <v>134</v>
          </cell>
          <cell r="AB435">
            <v>3.4</v>
          </cell>
        </row>
        <row r="436">
          <cell r="B436">
            <v>2014</v>
          </cell>
          <cell r="C436" t="str">
            <v>Miami Marlins</v>
          </cell>
          <cell r="E436">
            <v>4</v>
          </cell>
          <cell r="J436">
            <v>77</v>
          </cell>
          <cell r="K436">
            <v>85</v>
          </cell>
          <cell r="L436">
            <v>645</v>
          </cell>
          <cell r="R436">
            <v>122</v>
          </cell>
          <cell r="AB436">
            <v>3.78</v>
          </cell>
        </row>
        <row r="437">
          <cell r="B437">
            <v>2014</v>
          </cell>
          <cell r="C437" t="str">
            <v>Milwaukee Brewers</v>
          </cell>
          <cell r="E437">
            <v>3</v>
          </cell>
          <cell r="J437">
            <v>82</v>
          </cell>
          <cell r="K437">
            <v>80</v>
          </cell>
          <cell r="L437">
            <v>650</v>
          </cell>
          <cell r="R437">
            <v>150</v>
          </cell>
          <cell r="AB437">
            <v>3.67</v>
          </cell>
        </row>
        <row r="438">
          <cell r="B438">
            <v>2014</v>
          </cell>
          <cell r="C438" t="str">
            <v>Minnesota Twins</v>
          </cell>
          <cell r="E438">
            <v>5</v>
          </cell>
          <cell r="J438">
            <v>70</v>
          </cell>
          <cell r="K438">
            <v>92</v>
          </cell>
          <cell r="L438">
            <v>715</v>
          </cell>
          <cell r="R438">
            <v>128</v>
          </cell>
          <cell r="AB438">
            <v>4.57</v>
          </cell>
        </row>
        <row r="439">
          <cell r="B439">
            <v>2014</v>
          </cell>
          <cell r="C439" t="str">
            <v>New York Yankees</v>
          </cell>
          <cell r="E439">
            <v>2</v>
          </cell>
          <cell r="J439">
            <v>84</v>
          </cell>
          <cell r="K439">
            <v>78</v>
          </cell>
          <cell r="L439">
            <v>633</v>
          </cell>
          <cell r="R439">
            <v>147</v>
          </cell>
          <cell r="AB439">
            <v>3.75</v>
          </cell>
        </row>
        <row r="440">
          <cell r="B440">
            <v>2014</v>
          </cell>
          <cell r="C440" t="str">
            <v>New York Mets</v>
          </cell>
          <cell r="E440">
            <v>3</v>
          </cell>
          <cell r="J440">
            <v>79</v>
          </cell>
          <cell r="K440">
            <v>83</v>
          </cell>
          <cell r="L440">
            <v>629</v>
          </cell>
          <cell r="R440">
            <v>125</v>
          </cell>
          <cell r="AB440">
            <v>3.49</v>
          </cell>
        </row>
        <row r="441">
          <cell r="B441">
            <v>2014</v>
          </cell>
          <cell r="C441" t="str">
            <v>Oakland Athletics</v>
          </cell>
          <cell r="E441">
            <v>2</v>
          </cell>
          <cell r="J441">
            <v>88</v>
          </cell>
          <cell r="K441">
            <v>74</v>
          </cell>
          <cell r="L441">
            <v>729</v>
          </cell>
          <cell r="R441">
            <v>146</v>
          </cell>
          <cell r="AB441">
            <v>3.22</v>
          </cell>
        </row>
        <row r="442">
          <cell r="B442">
            <v>2014</v>
          </cell>
          <cell r="C442" t="str">
            <v>Philadelphia Phillies</v>
          </cell>
          <cell r="E442">
            <v>5</v>
          </cell>
          <cell r="J442">
            <v>73</v>
          </cell>
          <cell r="K442">
            <v>89</v>
          </cell>
          <cell r="L442">
            <v>619</v>
          </cell>
          <cell r="R442">
            <v>125</v>
          </cell>
          <cell r="AB442">
            <v>3.79</v>
          </cell>
        </row>
        <row r="443">
          <cell r="B443">
            <v>2014</v>
          </cell>
          <cell r="C443" t="str">
            <v>Pittsburgh Pirates</v>
          </cell>
          <cell r="E443">
            <v>2</v>
          </cell>
          <cell r="J443">
            <v>88</v>
          </cell>
          <cell r="K443">
            <v>74</v>
          </cell>
          <cell r="L443">
            <v>682</v>
          </cell>
          <cell r="R443">
            <v>156</v>
          </cell>
          <cell r="AB443">
            <v>3.47</v>
          </cell>
        </row>
        <row r="444">
          <cell r="B444">
            <v>2014</v>
          </cell>
          <cell r="C444" t="str">
            <v>San Diego Padres</v>
          </cell>
          <cell r="E444">
            <v>3</v>
          </cell>
          <cell r="J444">
            <v>77</v>
          </cell>
          <cell r="K444">
            <v>85</v>
          </cell>
          <cell r="L444">
            <v>535</v>
          </cell>
          <cell r="R444">
            <v>109</v>
          </cell>
          <cell r="AB444">
            <v>3.27</v>
          </cell>
        </row>
        <row r="445">
          <cell r="B445">
            <v>2014</v>
          </cell>
          <cell r="C445" t="str">
            <v>Seattle Mariners</v>
          </cell>
          <cell r="E445">
            <v>3</v>
          </cell>
          <cell r="J445">
            <v>87</v>
          </cell>
          <cell r="K445">
            <v>75</v>
          </cell>
          <cell r="L445">
            <v>634</v>
          </cell>
          <cell r="R445">
            <v>136</v>
          </cell>
          <cell r="AB445">
            <v>3.17</v>
          </cell>
        </row>
        <row r="446">
          <cell r="B446">
            <v>2014</v>
          </cell>
          <cell r="C446" t="str">
            <v>San Francisco Giants</v>
          </cell>
          <cell r="E446">
            <v>2</v>
          </cell>
          <cell r="J446">
            <v>88</v>
          </cell>
          <cell r="K446">
            <v>74</v>
          </cell>
          <cell r="L446">
            <v>665</v>
          </cell>
          <cell r="R446">
            <v>132</v>
          </cell>
          <cell r="AB446">
            <v>3.5</v>
          </cell>
        </row>
        <row r="447">
          <cell r="B447">
            <v>2014</v>
          </cell>
          <cell r="C447" t="str">
            <v>St. Louis Cardinals</v>
          </cell>
          <cell r="E447">
            <v>1</v>
          </cell>
          <cell r="J447">
            <v>90</v>
          </cell>
          <cell r="K447">
            <v>72</v>
          </cell>
          <cell r="L447">
            <v>619</v>
          </cell>
          <cell r="R447">
            <v>105</v>
          </cell>
          <cell r="AB447">
            <v>3.5</v>
          </cell>
        </row>
        <row r="448">
          <cell r="B448">
            <v>2014</v>
          </cell>
          <cell r="C448" t="str">
            <v>Tampa Bay Rays</v>
          </cell>
          <cell r="E448">
            <v>4</v>
          </cell>
          <cell r="J448">
            <v>77</v>
          </cell>
          <cell r="K448">
            <v>85</v>
          </cell>
          <cell r="L448">
            <v>612</v>
          </cell>
          <cell r="R448">
            <v>117</v>
          </cell>
          <cell r="AB448">
            <v>3.56</v>
          </cell>
        </row>
        <row r="449">
          <cell r="B449">
            <v>2014</v>
          </cell>
          <cell r="C449" t="str">
            <v>Texas Rangers</v>
          </cell>
          <cell r="E449">
            <v>5</v>
          </cell>
          <cell r="J449">
            <v>67</v>
          </cell>
          <cell r="K449">
            <v>95</v>
          </cell>
          <cell r="L449">
            <v>637</v>
          </cell>
          <cell r="R449">
            <v>111</v>
          </cell>
          <cell r="AB449">
            <v>4.49</v>
          </cell>
        </row>
        <row r="450">
          <cell r="B450">
            <v>2014</v>
          </cell>
          <cell r="C450" t="str">
            <v>Toronto Blue Jays</v>
          </cell>
          <cell r="E450">
            <v>3</v>
          </cell>
          <cell r="J450">
            <v>83</v>
          </cell>
          <cell r="K450">
            <v>79</v>
          </cell>
          <cell r="L450">
            <v>723</v>
          </cell>
          <cell r="R450">
            <v>177</v>
          </cell>
          <cell r="AB450">
            <v>4</v>
          </cell>
        </row>
        <row r="451">
          <cell r="B451">
            <v>2014</v>
          </cell>
          <cell r="C451" t="str">
            <v>Washington Nationals</v>
          </cell>
          <cell r="E451">
            <v>1</v>
          </cell>
          <cell r="J451">
            <v>96</v>
          </cell>
          <cell r="K451">
            <v>66</v>
          </cell>
          <cell r="L451">
            <v>686</v>
          </cell>
          <cell r="R451">
            <v>152</v>
          </cell>
          <cell r="AB451">
            <v>3.03</v>
          </cell>
        </row>
        <row r="452">
          <cell r="B452">
            <v>2015</v>
          </cell>
          <cell r="C452" t="str">
            <v>Arizona Diamondbacks</v>
          </cell>
          <cell r="E452">
            <v>3</v>
          </cell>
          <cell r="J452">
            <v>79</v>
          </cell>
          <cell r="K452">
            <v>83</v>
          </cell>
          <cell r="L452">
            <v>720</v>
          </cell>
          <cell r="R452">
            <v>154</v>
          </cell>
          <cell r="AB452">
            <v>4.04</v>
          </cell>
        </row>
        <row r="453">
          <cell r="B453">
            <v>2015</v>
          </cell>
          <cell r="C453" t="str">
            <v>Atlanta Braves</v>
          </cell>
          <cell r="E453">
            <v>4</v>
          </cell>
          <cell r="J453">
            <v>67</v>
          </cell>
          <cell r="K453">
            <v>95</v>
          </cell>
          <cell r="L453">
            <v>573</v>
          </cell>
          <cell r="R453">
            <v>100</v>
          </cell>
          <cell r="AB453">
            <v>4.41</v>
          </cell>
        </row>
        <row r="454">
          <cell r="B454">
            <v>2015</v>
          </cell>
          <cell r="C454" t="str">
            <v>Baltimore Orioles</v>
          </cell>
          <cell r="E454">
            <v>3</v>
          </cell>
          <cell r="J454">
            <v>81</v>
          </cell>
          <cell r="K454">
            <v>81</v>
          </cell>
          <cell r="L454">
            <v>713</v>
          </cell>
          <cell r="R454">
            <v>217</v>
          </cell>
          <cell r="AB454">
            <v>4.05</v>
          </cell>
        </row>
        <row r="455">
          <cell r="B455">
            <v>2015</v>
          </cell>
          <cell r="C455" t="str">
            <v>Boston Red Sox</v>
          </cell>
          <cell r="E455">
            <v>5</v>
          </cell>
          <cell r="J455">
            <v>78</v>
          </cell>
          <cell r="K455">
            <v>84</v>
          </cell>
          <cell r="L455">
            <v>748</v>
          </cell>
          <cell r="R455">
            <v>161</v>
          </cell>
          <cell r="AB455">
            <v>4.3099999999999996</v>
          </cell>
        </row>
        <row r="456">
          <cell r="B456">
            <v>2015</v>
          </cell>
          <cell r="C456" t="str">
            <v>Chicago White Sox</v>
          </cell>
          <cell r="E456">
            <v>4</v>
          </cell>
          <cell r="J456">
            <v>76</v>
          </cell>
          <cell r="K456">
            <v>86</v>
          </cell>
          <cell r="L456">
            <v>622</v>
          </cell>
          <cell r="R456">
            <v>136</v>
          </cell>
          <cell r="AB456">
            <v>3.98</v>
          </cell>
        </row>
        <row r="457">
          <cell r="B457">
            <v>2015</v>
          </cell>
          <cell r="C457" t="str">
            <v>Chicago Cubs</v>
          </cell>
          <cell r="E457">
            <v>3</v>
          </cell>
          <cell r="J457">
            <v>97</v>
          </cell>
          <cell r="K457">
            <v>65</v>
          </cell>
          <cell r="L457">
            <v>689</v>
          </cell>
          <cell r="R457">
            <v>171</v>
          </cell>
          <cell r="AB457">
            <v>3.36</v>
          </cell>
        </row>
        <row r="458">
          <cell r="B458">
            <v>2015</v>
          </cell>
          <cell r="C458" t="str">
            <v>Cincinnati Reds</v>
          </cell>
          <cell r="E458">
            <v>5</v>
          </cell>
          <cell r="J458">
            <v>64</v>
          </cell>
          <cell r="K458">
            <v>98</v>
          </cell>
          <cell r="L458">
            <v>640</v>
          </cell>
          <cell r="R458">
            <v>167</v>
          </cell>
          <cell r="AB458">
            <v>4.33</v>
          </cell>
        </row>
        <row r="459">
          <cell r="B459">
            <v>2015</v>
          </cell>
          <cell r="C459" t="str">
            <v>Cleveland Indians</v>
          </cell>
          <cell r="E459">
            <v>3</v>
          </cell>
          <cell r="J459">
            <v>81</v>
          </cell>
          <cell r="K459">
            <v>80</v>
          </cell>
          <cell r="L459">
            <v>669</v>
          </cell>
          <cell r="R459">
            <v>141</v>
          </cell>
          <cell r="AB459">
            <v>3.67</v>
          </cell>
        </row>
        <row r="460">
          <cell r="B460">
            <v>2015</v>
          </cell>
          <cell r="C460" t="str">
            <v>Colorado Rockies</v>
          </cell>
          <cell r="E460">
            <v>5</v>
          </cell>
          <cell r="J460">
            <v>68</v>
          </cell>
          <cell r="K460">
            <v>94</v>
          </cell>
          <cell r="L460">
            <v>737</v>
          </cell>
          <cell r="R460">
            <v>186</v>
          </cell>
          <cell r="AB460">
            <v>5.04</v>
          </cell>
        </row>
        <row r="461">
          <cell r="B461">
            <v>2015</v>
          </cell>
          <cell r="C461" t="str">
            <v>Detroit Tigers</v>
          </cell>
          <cell r="E461">
            <v>5</v>
          </cell>
          <cell r="J461">
            <v>74</v>
          </cell>
          <cell r="K461">
            <v>87</v>
          </cell>
          <cell r="L461">
            <v>689</v>
          </cell>
          <cell r="R461">
            <v>151</v>
          </cell>
          <cell r="AB461">
            <v>4.6399999999999997</v>
          </cell>
        </row>
        <row r="462">
          <cell r="B462">
            <v>2015</v>
          </cell>
          <cell r="C462" t="str">
            <v>Houston Astros</v>
          </cell>
          <cell r="E462">
            <v>2</v>
          </cell>
          <cell r="J462">
            <v>86</v>
          </cell>
          <cell r="K462">
            <v>76</v>
          </cell>
          <cell r="L462">
            <v>729</v>
          </cell>
          <cell r="R462">
            <v>230</v>
          </cell>
          <cell r="AB462">
            <v>3.57</v>
          </cell>
        </row>
        <row r="463">
          <cell r="B463">
            <v>2015</v>
          </cell>
          <cell r="C463" t="str">
            <v>Kansas City Royals</v>
          </cell>
          <cell r="E463">
            <v>1</v>
          </cell>
          <cell r="J463">
            <v>95</v>
          </cell>
          <cell r="K463">
            <v>67</v>
          </cell>
          <cell r="L463">
            <v>724</v>
          </cell>
          <cell r="R463">
            <v>139</v>
          </cell>
          <cell r="AB463">
            <v>3.73</v>
          </cell>
        </row>
        <row r="464">
          <cell r="B464">
            <v>2015</v>
          </cell>
          <cell r="C464" t="str">
            <v>Los Angeles Angels of Anaheim</v>
          </cell>
          <cell r="E464">
            <v>3</v>
          </cell>
          <cell r="J464">
            <v>85</v>
          </cell>
          <cell r="K464">
            <v>77</v>
          </cell>
          <cell r="L464">
            <v>661</v>
          </cell>
          <cell r="R464">
            <v>176</v>
          </cell>
          <cell r="AB464">
            <v>3.94</v>
          </cell>
        </row>
        <row r="465">
          <cell r="B465">
            <v>2015</v>
          </cell>
          <cell r="C465" t="str">
            <v>Los Angeles Dodgers</v>
          </cell>
          <cell r="E465">
            <v>1</v>
          </cell>
          <cell r="J465">
            <v>92</v>
          </cell>
          <cell r="K465">
            <v>70</v>
          </cell>
          <cell r="L465">
            <v>667</v>
          </cell>
          <cell r="R465">
            <v>187</v>
          </cell>
          <cell r="AB465">
            <v>3.44</v>
          </cell>
        </row>
        <row r="466">
          <cell r="B466">
            <v>2015</v>
          </cell>
          <cell r="C466" t="str">
            <v>Miami Marlins</v>
          </cell>
          <cell r="E466">
            <v>3</v>
          </cell>
          <cell r="J466">
            <v>71</v>
          </cell>
          <cell r="K466">
            <v>91</v>
          </cell>
          <cell r="L466">
            <v>613</v>
          </cell>
          <cell r="R466">
            <v>120</v>
          </cell>
          <cell r="AB466">
            <v>4.0199999999999996</v>
          </cell>
        </row>
        <row r="467">
          <cell r="B467">
            <v>2015</v>
          </cell>
          <cell r="C467" t="str">
            <v>Milwaukee Brewers</v>
          </cell>
          <cell r="E467">
            <v>4</v>
          </cell>
          <cell r="J467">
            <v>68</v>
          </cell>
          <cell r="K467">
            <v>94</v>
          </cell>
          <cell r="L467">
            <v>655</v>
          </cell>
          <cell r="R467">
            <v>145</v>
          </cell>
          <cell r="AB467">
            <v>4.28</v>
          </cell>
        </row>
        <row r="468">
          <cell r="B468">
            <v>2015</v>
          </cell>
          <cell r="C468" t="str">
            <v>Minnesota Twins</v>
          </cell>
          <cell r="E468">
            <v>2</v>
          </cell>
          <cell r="J468">
            <v>83</v>
          </cell>
          <cell r="K468">
            <v>79</v>
          </cell>
          <cell r="L468">
            <v>696</v>
          </cell>
          <cell r="R468">
            <v>156</v>
          </cell>
          <cell r="AB468">
            <v>4.07</v>
          </cell>
        </row>
        <row r="469">
          <cell r="B469">
            <v>2015</v>
          </cell>
          <cell r="C469" t="str">
            <v>New York Yankees</v>
          </cell>
          <cell r="E469">
            <v>2</v>
          </cell>
          <cell r="J469">
            <v>87</v>
          </cell>
          <cell r="K469">
            <v>75</v>
          </cell>
          <cell r="L469">
            <v>764</v>
          </cell>
          <cell r="R469">
            <v>212</v>
          </cell>
          <cell r="AB469">
            <v>4.03</v>
          </cell>
        </row>
        <row r="470">
          <cell r="B470">
            <v>2015</v>
          </cell>
          <cell r="C470" t="str">
            <v>New York Mets</v>
          </cell>
          <cell r="E470">
            <v>1</v>
          </cell>
          <cell r="J470">
            <v>90</v>
          </cell>
          <cell r="K470">
            <v>72</v>
          </cell>
          <cell r="L470">
            <v>683</v>
          </cell>
          <cell r="R470">
            <v>177</v>
          </cell>
          <cell r="AB470">
            <v>3.43</v>
          </cell>
        </row>
        <row r="471">
          <cell r="B471">
            <v>2015</v>
          </cell>
          <cell r="C471" t="str">
            <v>Oakland Athletics</v>
          </cell>
          <cell r="E471">
            <v>5</v>
          </cell>
          <cell r="J471">
            <v>68</v>
          </cell>
          <cell r="K471">
            <v>94</v>
          </cell>
          <cell r="L471">
            <v>694</v>
          </cell>
          <cell r="R471">
            <v>146</v>
          </cell>
          <cell r="AB471">
            <v>4.1399999999999997</v>
          </cell>
        </row>
        <row r="472">
          <cell r="B472">
            <v>2015</v>
          </cell>
          <cell r="C472" t="str">
            <v>Philadelphia Phillies</v>
          </cell>
          <cell r="E472">
            <v>5</v>
          </cell>
          <cell r="J472">
            <v>63</v>
          </cell>
          <cell r="K472">
            <v>99</v>
          </cell>
          <cell r="L472">
            <v>626</v>
          </cell>
          <cell r="R472">
            <v>130</v>
          </cell>
          <cell r="AB472">
            <v>4.6900000000000004</v>
          </cell>
        </row>
        <row r="473">
          <cell r="B473">
            <v>2015</v>
          </cell>
          <cell r="C473" t="str">
            <v>Pittsburgh Pirates</v>
          </cell>
          <cell r="E473">
            <v>2</v>
          </cell>
          <cell r="J473">
            <v>98</v>
          </cell>
          <cell r="K473">
            <v>64</v>
          </cell>
          <cell r="L473">
            <v>697</v>
          </cell>
          <cell r="R473">
            <v>140</v>
          </cell>
          <cell r="AB473">
            <v>3.21</v>
          </cell>
        </row>
        <row r="474">
          <cell r="B474">
            <v>2015</v>
          </cell>
          <cell r="C474" t="str">
            <v>San Diego Padres</v>
          </cell>
          <cell r="E474">
            <v>4</v>
          </cell>
          <cell r="J474">
            <v>74</v>
          </cell>
          <cell r="K474">
            <v>88</v>
          </cell>
          <cell r="L474">
            <v>650</v>
          </cell>
          <cell r="R474">
            <v>148</v>
          </cell>
          <cell r="AB474">
            <v>4.09</v>
          </cell>
        </row>
        <row r="475">
          <cell r="B475">
            <v>2015</v>
          </cell>
          <cell r="C475" t="str">
            <v>Seattle Mariners</v>
          </cell>
          <cell r="E475">
            <v>4</v>
          </cell>
          <cell r="J475">
            <v>76</v>
          </cell>
          <cell r="K475">
            <v>86</v>
          </cell>
          <cell r="L475">
            <v>656</v>
          </cell>
          <cell r="R475">
            <v>198</v>
          </cell>
          <cell r="AB475">
            <v>4.16</v>
          </cell>
        </row>
        <row r="476">
          <cell r="B476">
            <v>2015</v>
          </cell>
          <cell r="C476" t="str">
            <v>San Francisco Giants</v>
          </cell>
          <cell r="E476">
            <v>2</v>
          </cell>
          <cell r="J476">
            <v>84</v>
          </cell>
          <cell r="K476">
            <v>78</v>
          </cell>
          <cell r="L476">
            <v>696</v>
          </cell>
          <cell r="R476">
            <v>136</v>
          </cell>
          <cell r="AB476">
            <v>3.72</v>
          </cell>
        </row>
        <row r="477">
          <cell r="B477">
            <v>2015</v>
          </cell>
          <cell r="C477" t="str">
            <v>St. Louis Cardinals</v>
          </cell>
          <cell r="E477">
            <v>1</v>
          </cell>
          <cell r="J477">
            <v>100</v>
          </cell>
          <cell r="K477">
            <v>62</v>
          </cell>
          <cell r="L477">
            <v>647</v>
          </cell>
          <cell r="R477">
            <v>137</v>
          </cell>
          <cell r="AB477">
            <v>2.94</v>
          </cell>
        </row>
        <row r="478">
          <cell r="B478">
            <v>2015</v>
          </cell>
          <cell r="C478" t="str">
            <v>Tampa Bay Rays</v>
          </cell>
          <cell r="E478">
            <v>4</v>
          </cell>
          <cell r="J478">
            <v>80</v>
          </cell>
          <cell r="K478">
            <v>82</v>
          </cell>
          <cell r="L478">
            <v>644</v>
          </cell>
          <cell r="R478">
            <v>167</v>
          </cell>
          <cell r="AB478">
            <v>3.74</v>
          </cell>
        </row>
        <row r="479">
          <cell r="B479">
            <v>2015</v>
          </cell>
          <cell r="C479" t="str">
            <v>Texas Rangers</v>
          </cell>
          <cell r="E479">
            <v>1</v>
          </cell>
          <cell r="J479">
            <v>88</v>
          </cell>
          <cell r="K479">
            <v>74</v>
          </cell>
          <cell r="L479">
            <v>751</v>
          </cell>
          <cell r="R479">
            <v>172</v>
          </cell>
          <cell r="AB479">
            <v>4.24</v>
          </cell>
        </row>
        <row r="480">
          <cell r="B480">
            <v>2015</v>
          </cell>
          <cell r="C480" t="str">
            <v>Toronto Blue Jays</v>
          </cell>
          <cell r="E480">
            <v>1</v>
          </cell>
          <cell r="J480">
            <v>93</v>
          </cell>
          <cell r="K480">
            <v>69</v>
          </cell>
          <cell r="L480">
            <v>891</v>
          </cell>
          <cell r="R480">
            <v>232</v>
          </cell>
          <cell r="AB480">
            <v>3.8</v>
          </cell>
        </row>
        <row r="481">
          <cell r="B481">
            <v>2015</v>
          </cell>
          <cell r="C481" t="str">
            <v>Washington Nationals</v>
          </cell>
          <cell r="E481">
            <v>2</v>
          </cell>
          <cell r="J481">
            <v>83</v>
          </cell>
          <cell r="K481">
            <v>79</v>
          </cell>
          <cell r="L481">
            <v>703</v>
          </cell>
          <cell r="R481">
            <v>177</v>
          </cell>
          <cell r="AB481">
            <v>3.62</v>
          </cell>
        </row>
        <row r="482">
          <cell r="B482">
            <v>2016</v>
          </cell>
          <cell r="C482" t="str">
            <v>Arizona Diamondbacks</v>
          </cell>
          <cell r="E482">
            <v>4</v>
          </cell>
          <cell r="J482">
            <v>69</v>
          </cell>
          <cell r="K482">
            <v>93</v>
          </cell>
          <cell r="L482">
            <v>752</v>
          </cell>
          <cell r="R482">
            <v>190</v>
          </cell>
          <cell r="AB482">
            <v>5.09</v>
          </cell>
        </row>
        <row r="483">
          <cell r="B483">
            <v>2016</v>
          </cell>
          <cell r="C483" t="str">
            <v>Atlanta Braves</v>
          </cell>
          <cell r="E483">
            <v>5</v>
          </cell>
          <cell r="J483">
            <v>68</v>
          </cell>
          <cell r="K483">
            <v>93</v>
          </cell>
          <cell r="L483">
            <v>649</v>
          </cell>
          <cell r="R483">
            <v>122</v>
          </cell>
          <cell r="AB483">
            <v>4.51</v>
          </cell>
        </row>
        <row r="484">
          <cell r="B484">
            <v>2016</v>
          </cell>
          <cell r="C484" t="str">
            <v>Baltimore Orioles</v>
          </cell>
          <cell r="E484">
            <v>2</v>
          </cell>
          <cell r="J484">
            <v>89</v>
          </cell>
          <cell r="K484">
            <v>73</v>
          </cell>
          <cell r="L484">
            <v>744</v>
          </cell>
          <cell r="R484">
            <v>253</v>
          </cell>
          <cell r="AB484">
            <v>4.22</v>
          </cell>
        </row>
        <row r="485">
          <cell r="B485">
            <v>2016</v>
          </cell>
          <cell r="C485" t="str">
            <v>Boston Red Sox</v>
          </cell>
          <cell r="E485">
            <v>1</v>
          </cell>
          <cell r="J485">
            <v>93</v>
          </cell>
          <cell r="K485">
            <v>69</v>
          </cell>
          <cell r="L485">
            <v>878</v>
          </cell>
          <cell r="R485">
            <v>208</v>
          </cell>
          <cell r="AB485">
            <v>4</v>
          </cell>
        </row>
        <row r="486">
          <cell r="B486">
            <v>2016</v>
          </cell>
          <cell r="C486" t="str">
            <v>Chicago White Sox</v>
          </cell>
          <cell r="E486">
            <v>4</v>
          </cell>
          <cell r="J486">
            <v>78</v>
          </cell>
          <cell r="K486">
            <v>84</v>
          </cell>
          <cell r="L486">
            <v>686</v>
          </cell>
          <cell r="R486">
            <v>168</v>
          </cell>
          <cell r="AB486">
            <v>4.0999999999999996</v>
          </cell>
        </row>
        <row r="487">
          <cell r="B487">
            <v>2016</v>
          </cell>
          <cell r="C487" t="str">
            <v>Chicago Cubs</v>
          </cell>
          <cell r="E487">
            <v>1</v>
          </cell>
          <cell r="J487">
            <v>103</v>
          </cell>
          <cell r="K487">
            <v>58</v>
          </cell>
          <cell r="L487">
            <v>808</v>
          </cell>
          <cell r="R487">
            <v>199</v>
          </cell>
          <cell r="AB487">
            <v>3.15</v>
          </cell>
        </row>
        <row r="488">
          <cell r="B488">
            <v>2016</v>
          </cell>
          <cell r="C488" t="str">
            <v>Cincinnati Reds</v>
          </cell>
          <cell r="E488">
            <v>5</v>
          </cell>
          <cell r="J488">
            <v>68</v>
          </cell>
          <cell r="K488">
            <v>94</v>
          </cell>
          <cell r="L488">
            <v>716</v>
          </cell>
          <cell r="R488">
            <v>164</v>
          </cell>
          <cell r="AB488">
            <v>4.91</v>
          </cell>
        </row>
        <row r="489">
          <cell r="B489">
            <v>2016</v>
          </cell>
          <cell r="C489" t="str">
            <v>Cleveland Indians</v>
          </cell>
          <cell r="E489">
            <v>1</v>
          </cell>
          <cell r="J489">
            <v>94</v>
          </cell>
          <cell r="K489">
            <v>67</v>
          </cell>
          <cell r="L489">
            <v>777</v>
          </cell>
          <cell r="R489">
            <v>185</v>
          </cell>
          <cell r="AB489">
            <v>3.84</v>
          </cell>
        </row>
        <row r="490">
          <cell r="B490">
            <v>2016</v>
          </cell>
          <cell r="C490" t="str">
            <v>Colorado Rockies</v>
          </cell>
          <cell r="E490">
            <v>3</v>
          </cell>
          <cell r="J490">
            <v>75</v>
          </cell>
          <cell r="K490">
            <v>87</v>
          </cell>
          <cell r="L490">
            <v>845</v>
          </cell>
          <cell r="R490">
            <v>204</v>
          </cell>
          <cell r="AB490">
            <v>4.91</v>
          </cell>
        </row>
        <row r="491">
          <cell r="B491">
            <v>2016</v>
          </cell>
          <cell r="C491" t="str">
            <v>Detroit Tigers</v>
          </cell>
          <cell r="E491">
            <v>2</v>
          </cell>
          <cell r="J491">
            <v>86</v>
          </cell>
          <cell r="K491">
            <v>75</v>
          </cell>
          <cell r="L491">
            <v>750</v>
          </cell>
          <cell r="R491">
            <v>211</v>
          </cell>
          <cell r="AB491">
            <v>4.24</v>
          </cell>
        </row>
        <row r="492">
          <cell r="B492">
            <v>2016</v>
          </cell>
          <cell r="C492" t="str">
            <v>Houston Astros</v>
          </cell>
          <cell r="E492">
            <v>3</v>
          </cell>
          <cell r="J492">
            <v>84</v>
          </cell>
          <cell r="K492">
            <v>78</v>
          </cell>
          <cell r="L492">
            <v>724</v>
          </cell>
          <cell r="R492">
            <v>198</v>
          </cell>
          <cell r="AB492">
            <v>4.0599999999999996</v>
          </cell>
        </row>
        <row r="493">
          <cell r="B493">
            <v>2016</v>
          </cell>
          <cell r="C493" t="str">
            <v>Kansas City Royals</v>
          </cell>
          <cell r="E493">
            <v>3</v>
          </cell>
          <cell r="J493">
            <v>81</v>
          </cell>
          <cell r="K493">
            <v>81</v>
          </cell>
          <cell r="L493">
            <v>675</v>
          </cell>
          <cell r="R493">
            <v>147</v>
          </cell>
          <cell r="AB493">
            <v>4.21</v>
          </cell>
        </row>
        <row r="494">
          <cell r="B494">
            <v>2016</v>
          </cell>
          <cell r="C494" t="str">
            <v>Los Angeles Angels of Anaheim</v>
          </cell>
          <cell r="E494">
            <v>4</v>
          </cell>
          <cell r="J494">
            <v>74</v>
          </cell>
          <cell r="K494">
            <v>88</v>
          </cell>
          <cell r="L494">
            <v>717</v>
          </cell>
          <cell r="R494">
            <v>156</v>
          </cell>
          <cell r="AB494">
            <v>4.28</v>
          </cell>
        </row>
        <row r="495">
          <cell r="B495">
            <v>2016</v>
          </cell>
          <cell r="C495" t="str">
            <v>Los Angeles Dodgers</v>
          </cell>
          <cell r="E495">
            <v>1</v>
          </cell>
          <cell r="J495">
            <v>91</v>
          </cell>
          <cell r="K495">
            <v>71</v>
          </cell>
          <cell r="L495">
            <v>725</v>
          </cell>
          <cell r="R495">
            <v>189</v>
          </cell>
          <cell r="AB495">
            <v>3.7</v>
          </cell>
        </row>
        <row r="496">
          <cell r="B496">
            <v>2016</v>
          </cell>
          <cell r="C496" t="str">
            <v>Miami Marlins</v>
          </cell>
          <cell r="E496">
            <v>3</v>
          </cell>
          <cell r="J496">
            <v>79</v>
          </cell>
          <cell r="K496">
            <v>82</v>
          </cell>
          <cell r="L496">
            <v>655</v>
          </cell>
          <cell r="R496">
            <v>128</v>
          </cell>
          <cell r="AB496">
            <v>4.05</v>
          </cell>
        </row>
        <row r="497">
          <cell r="B497">
            <v>2016</v>
          </cell>
          <cell r="C497" t="str">
            <v>Milwaukee Brewers</v>
          </cell>
          <cell r="E497">
            <v>4</v>
          </cell>
          <cell r="J497">
            <v>73</v>
          </cell>
          <cell r="K497">
            <v>89</v>
          </cell>
          <cell r="L497">
            <v>671</v>
          </cell>
          <cell r="R497">
            <v>194</v>
          </cell>
          <cell r="AB497">
            <v>4.08</v>
          </cell>
        </row>
        <row r="498">
          <cell r="B498">
            <v>2016</v>
          </cell>
          <cell r="C498" t="str">
            <v>Minnesota Twins</v>
          </cell>
          <cell r="E498">
            <v>5</v>
          </cell>
          <cell r="J498">
            <v>59</v>
          </cell>
          <cell r="K498">
            <v>103</v>
          </cell>
          <cell r="L498">
            <v>722</v>
          </cell>
          <cell r="R498">
            <v>200</v>
          </cell>
          <cell r="AB498">
            <v>5.08</v>
          </cell>
        </row>
        <row r="499">
          <cell r="B499">
            <v>2016</v>
          </cell>
          <cell r="C499" t="str">
            <v>New York Yankees</v>
          </cell>
          <cell r="E499">
            <v>4</v>
          </cell>
          <cell r="J499">
            <v>84</v>
          </cell>
          <cell r="K499">
            <v>78</v>
          </cell>
          <cell r="L499">
            <v>680</v>
          </cell>
          <cell r="R499">
            <v>183</v>
          </cell>
          <cell r="AB499">
            <v>4.16</v>
          </cell>
        </row>
        <row r="500">
          <cell r="B500">
            <v>2016</v>
          </cell>
          <cell r="C500" t="str">
            <v>New York Mets</v>
          </cell>
          <cell r="E500">
            <v>2</v>
          </cell>
          <cell r="J500">
            <v>87</v>
          </cell>
          <cell r="K500">
            <v>75</v>
          </cell>
          <cell r="L500">
            <v>671</v>
          </cell>
          <cell r="R500">
            <v>218</v>
          </cell>
          <cell r="AB500">
            <v>3.57</v>
          </cell>
        </row>
        <row r="501">
          <cell r="B501">
            <v>2016</v>
          </cell>
          <cell r="C501" t="str">
            <v>Oakland Athletics</v>
          </cell>
          <cell r="E501">
            <v>5</v>
          </cell>
          <cell r="J501">
            <v>69</v>
          </cell>
          <cell r="K501">
            <v>93</v>
          </cell>
          <cell r="L501">
            <v>653</v>
          </cell>
          <cell r="R501">
            <v>169</v>
          </cell>
          <cell r="AB501">
            <v>4.51</v>
          </cell>
        </row>
        <row r="502">
          <cell r="B502">
            <v>2016</v>
          </cell>
          <cell r="C502" t="str">
            <v>Philadelphia Phillies</v>
          </cell>
          <cell r="E502">
            <v>4</v>
          </cell>
          <cell r="J502">
            <v>71</v>
          </cell>
          <cell r="K502">
            <v>91</v>
          </cell>
          <cell r="L502">
            <v>610</v>
          </cell>
          <cell r="R502">
            <v>161</v>
          </cell>
          <cell r="AB502">
            <v>4.63</v>
          </cell>
        </row>
        <row r="503">
          <cell r="B503">
            <v>2016</v>
          </cell>
          <cell r="C503" t="str">
            <v>Pittsburgh Pirates</v>
          </cell>
          <cell r="E503">
            <v>3</v>
          </cell>
          <cell r="J503">
            <v>78</v>
          </cell>
          <cell r="K503">
            <v>83</v>
          </cell>
          <cell r="L503">
            <v>729</v>
          </cell>
          <cell r="R503">
            <v>153</v>
          </cell>
          <cell r="AB503">
            <v>4.21</v>
          </cell>
        </row>
        <row r="504">
          <cell r="B504">
            <v>2016</v>
          </cell>
          <cell r="C504" t="str">
            <v>San Diego Padres</v>
          </cell>
          <cell r="E504">
            <v>5</v>
          </cell>
          <cell r="J504">
            <v>68</v>
          </cell>
          <cell r="K504">
            <v>94</v>
          </cell>
          <cell r="L504">
            <v>686</v>
          </cell>
          <cell r="R504">
            <v>177</v>
          </cell>
          <cell r="AB504">
            <v>4.43</v>
          </cell>
        </row>
        <row r="505">
          <cell r="B505">
            <v>2016</v>
          </cell>
          <cell r="C505" t="str">
            <v>Seattle Mariners</v>
          </cell>
          <cell r="E505">
            <v>2</v>
          </cell>
          <cell r="J505">
            <v>86</v>
          </cell>
          <cell r="K505">
            <v>76</v>
          </cell>
          <cell r="L505">
            <v>768</v>
          </cell>
          <cell r="R505">
            <v>223</v>
          </cell>
          <cell r="AB505">
            <v>4</v>
          </cell>
        </row>
        <row r="506">
          <cell r="B506">
            <v>2016</v>
          </cell>
          <cell r="C506" t="str">
            <v>San Francisco Giants</v>
          </cell>
          <cell r="E506">
            <v>2</v>
          </cell>
          <cell r="J506">
            <v>87</v>
          </cell>
          <cell r="K506">
            <v>75</v>
          </cell>
          <cell r="L506">
            <v>715</v>
          </cell>
          <cell r="R506">
            <v>130</v>
          </cell>
          <cell r="AB506">
            <v>3.65</v>
          </cell>
        </row>
        <row r="507">
          <cell r="B507">
            <v>2016</v>
          </cell>
          <cell r="C507" t="str">
            <v>St. Louis Cardinals</v>
          </cell>
          <cell r="E507">
            <v>2</v>
          </cell>
          <cell r="J507">
            <v>86</v>
          </cell>
          <cell r="K507">
            <v>76</v>
          </cell>
          <cell r="L507">
            <v>779</v>
          </cell>
          <cell r="R507">
            <v>225</v>
          </cell>
          <cell r="AB507">
            <v>4.08</v>
          </cell>
        </row>
        <row r="508">
          <cell r="B508">
            <v>2016</v>
          </cell>
          <cell r="C508" t="str">
            <v>Tampa Bay Rays</v>
          </cell>
          <cell r="E508">
            <v>5</v>
          </cell>
          <cell r="J508">
            <v>68</v>
          </cell>
          <cell r="K508">
            <v>94</v>
          </cell>
          <cell r="L508">
            <v>672</v>
          </cell>
          <cell r="R508">
            <v>216</v>
          </cell>
          <cell r="AB508">
            <v>4.2</v>
          </cell>
        </row>
        <row r="509">
          <cell r="B509">
            <v>2016</v>
          </cell>
          <cell r="C509" t="str">
            <v>Texas Rangers</v>
          </cell>
          <cell r="E509">
            <v>1</v>
          </cell>
          <cell r="J509">
            <v>95</v>
          </cell>
          <cell r="K509">
            <v>67</v>
          </cell>
          <cell r="L509">
            <v>765</v>
          </cell>
          <cell r="R509">
            <v>215</v>
          </cell>
          <cell r="AB509">
            <v>4.37</v>
          </cell>
        </row>
        <row r="510">
          <cell r="B510">
            <v>2016</v>
          </cell>
          <cell r="C510" t="str">
            <v>Toronto Blue Jays</v>
          </cell>
          <cell r="E510">
            <v>2</v>
          </cell>
          <cell r="J510">
            <v>89</v>
          </cell>
          <cell r="K510">
            <v>73</v>
          </cell>
          <cell r="L510">
            <v>759</v>
          </cell>
          <cell r="R510">
            <v>221</v>
          </cell>
          <cell r="AB510">
            <v>3.78</v>
          </cell>
        </row>
        <row r="511">
          <cell r="B511">
            <v>2016</v>
          </cell>
          <cell r="C511" t="str">
            <v>Washington Nationals</v>
          </cell>
          <cell r="E511">
            <v>1</v>
          </cell>
          <cell r="J511">
            <v>95</v>
          </cell>
          <cell r="K511">
            <v>67</v>
          </cell>
          <cell r="L511">
            <v>763</v>
          </cell>
          <cell r="R511">
            <v>203</v>
          </cell>
          <cell r="AB511">
            <v>3.51</v>
          </cell>
        </row>
        <row r="512">
          <cell r="B512">
            <v>2017</v>
          </cell>
          <cell r="C512" t="str">
            <v>Arizona Diamondbacks</v>
          </cell>
          <cell r="E512">
            <v>2</v>
          </cell>
          <cell r="J512">
            <v>93</v>
          </cell>
          <cell r="K512">
            <v>69</v>
          </cell>
          <cell r="L512">
            <v>812</v>
          </cell>
          <cell r="R512">
            <v>220</v>
          </cell>
          <cell r="AB512">
            <v>3.66</v>
          </cell>
        </row>
        <row r="513">
          <cell r="B513">
            <v>2017</v>
          </cell>
          <cell r="C513" t="str">
            <v>Atlanta Braves</v>
          </cell>
          <cell r="E513">
            <v>3</v>
          </cell>
          <cell r="J513">
            <v>72</v>
          </cell>
          <cell r="K513">
            <v>90</v>
          </cell>
          <cell r="L513">
            <v>732</v>
          </cell>
          <cell r="R513">
            <v>165</v>
          </cell>
          <cell r="AB513">
            <v>4.72</v>
          </cell>
        </row>
        <row r="514">
          <cell r="B514">
            <v>2017</v>
          </cell>
          <cell r="C514" t="str">
            <v>Baltimore Orioles</v>
          </cell>
          <cell r="E514">
            <v>5</v>
          </cell>
          <cell r="J514">
            <v>75</v>
          </cell>
          <cell r="K514">
            <v>87</v>
          </cell>
          <cell r="L514">
            <v>743</v>
          </cell>
          <cell r="R514">
            <v>232</v>
          </cell>
          <cell r="AB514">
            <v>4.97</v>
          </cell>
        </row>
        <row r="515">
          <cell r="B515">
            <v>2017</v>
          </cell>
          <cell r="C515" t="str">
            <v>Boston Red Sox</v>
          </cell>
          <cell r="E515">
            <v>1</v>
          </cell>
          <cell r="J515">
            <v>93</v>
          </cell>
          <cell r="K515">
            <v>69</v>
          </cell>
          <cell r="L515">
            <v>785</v>
          </cell>
          <cell r="R515">
            <v>168</v>
          </cell>
          <cell r="AB515">
            <v>3.7</v>
          </cell>
        </row>
        <row r="516">
          <cell r="B516">
            <v>2017</v>
          </cell>
          <cell r="C516" t="str">
            <v>Chicago White Sox</v>
          </cell>
          <cell r="E516">
            <v>4</v>
          </cell>
          <cell r="J516">
            <v>67</v>
          </cell>
          <cell r="K516">
            <v>95</v>
          </cell>
          <cell r="L516">
            <v>706</v>
          </cell>
          <cell r="R516">
            <v>186</v>
          </cell>
          <cell r="AB516">
            <v>4.78</v>
          </cell>
        </row>
        <row r="517">
          <cell r="B517">
            <v>2017</v>
          </cell>
          <cell r="C517" t="str">
            <v>Chicago Cubs</v>
          </cell>
          <cell r="E517">
            <v>1</v>
          </cell>
          <cell r="J517">
            <v>92</v>
          </cell>
          <cell r="K517">
            <v>70</v>
          </cell>
          <cell r="L517">
            <v>822</v>
          </cell>
          <cell r="R517">
            <v>223</v>
          </cell>
          <cell r="AB517">
            <v>3.95</v>
          </cell>
        </row>
        <row r="518">
          <cell r="B518">
            <v>2017</v>
          </cell>
          <cell r="C518" t="str">
            <v>Cincinnati Reds</v>
          </cell>
          <cell r="E518">
            <v>5</v>
          </cell>
          <cell r="J518">
            <v>68</v>
          </cell>
          <cell r="K518">
            <v>94</v>
          </cell>
          <cell r="L518">
            <v>753</v>
          </cell>
          <cell r="R518">
            <v>219</v>
          </cell>
          <cell r="AB518">
            <v>5.17</v>
          </cell>
        </row>
        <row r="519">
          <cell r="B519">
            <v>2017</v>
          </cell>
          <cell r="C519" t="str">
            <v>Cleveland Indians</v>
          </cell>
          <cell r="E519">
            <v>1</v>
          </cell>
          <cell r="J519">
            <v>102</v>
          </cell>
          <cell r="K519">
            <v>60</v>
          </cell>
          <cell r="L519">
            <v>818</v>
          </cell>
          <cell r="R519">
            <v>212</v>
          </cell>
          <cell r="AB519">
            <v>3.3</v>
          </cell>
        </row>
        <row r="520">
          <cell r="B520">
            <v>2017</v>
          </cell>
          <cell r="C520" t="str">
            <v>Colorado Rockies</v>
          </cell>
          <cell r="E520">
            <v>3</v>
          </cell>
          <cell r="J520">
            <v>87</v>
          </cell>
          <cell r="K520">
            <v>75</v>
          </cell>
          <cell r="L520">
            <v>824</v>
          </cell>
          <cell r="R520">
            <v>192</v>
          </cell>
          <cell r="AB520">
            <v>4.51</v>
          </cell>
        </row>
        <row r="521">
          <cell r="B521">
            <v>2017</v>
          </cell>
          <cell r="C521" t="str">
            <v>Detroit Tigers</v>
          </cell>
          <cell r="E521">
            <v>5</v>
          </cell>
          <cell r="J521">
            <v>64</v>
          </cell>
          <cell r="K521">
            <v>98</v>
          </cell>
          <cell r="L521">
            <v>735</v>
          </cell>
          <cell r="R521">
            <v>187</v>
          </cell>
          <cell r="AB521">
            <v>5.36</v>
          </cell>
        </row>
        <row r="522">
          <cell r="B522">
            <v>2017</v>
          </cell>
          <cell r="C522" t="str">
            <v>Houston Astros</v>
          </cell>
          <cell r="E522">
            <v>1</v>
          </cell>
          <cell r="J522">
            <v>101</v>
          </cell>
          <cell r="K522">
            <v>61</v>
          </cell>
          <cell r="L522">
            <v>896</v>
          </cell>
          <cell r="R522">
            <v>238</v>
          </cell>
          <cell r="AB522">
            <v>4.12</v>
          </cell>
        </row>
        <row r="523">
          <cell r="B523">
            <v>2017</v>
          </cell>
          <cell r="C523" t="str">
            <v>Kansas City Royals</v>
          </cell>
          <cell r="E523">
            <v>3</v>
          </cell>
          <cell r="J523">
            <v>80</v>
          </cell>
          <cell r="K523">
            <v>82</v>
          </cell>
          <cell r="L523">
            <v>702</v>
          </cell>
          <cell r="R523">
            <v>193</v>
          </cell>
          <cell r="AB523">
            <v>4.6100000000000003</v>
          </cell>
        </row>
        <row r="524">
          <cell r="B524">
            <v>2017</v>
          </cell>
          <cell r="C524" t="str">
            <v>Los Angeles Angels of Anaheim</v>
          </cell>
          <cell r="E524">
            <v>2</v>
          </cell>
          <cell r="J524">
            <v>80</v>
          </cell>
          <cell r="K524">
            <v>82</v>
          </cell>
          <cell r="L524">
            <v>710</v>
          </cell>
          <cell r="R524">
            <v>186</v>
          </cell>
          <cell r="AB524">
            <v>4.2</v>
          </cell>
        </row>
        <row r="525">
          <cell r="B525">
            <v>2017</v>
          </cell>
          <cell r="C525" t="str">
            <v>Los Angeles Dodgers</v>
          </cell>
          <cell r="E525">
            <v>1</v>
          </cell>
          <cell r="J525">
            <v>104</v>
          </cell>
          <cell r="K525">
            <v>58</v>
          </cell>
          <cell r="L525">
            <v>770</v>
          </cell>
          <cell r="R525">
            <v>221</v>
          </cell>
          <cell r="AB525">
            <v>3.38</v>
          </cell>
        </row>
        <row r="526">
          <cell r="B526">
            <v>2017</v>
          </cell>
          <cell r="C526" t="str">
            <v>Miami Marlins</v>
          </cell>
          <cell r="E526">
            <v>2</v>
          </cell>
          <cell r="J526">
            <v>77</v>
          </cell>
          <cell r="K526">
            <v>85</v>
          </cell>
          <cell r="L526">
            <v>778</v>
          </cell>
          <cell r="R526">
            <v>194</v>
          </cell>
          <cell r="AB526">
            <v>4.82</v>
          </cell>
        </row>
        <row r="527">
          <cell r="B527">
            <v>2017</v>
          </cell>
          <cell r="C527" t="str">
            <v>Milwaukee Brewers</v>
          </cell>
          <cell r="E527">
            <v>2</v>
          </cell>
          <cell r="J527">
            <v>86</v>
          </cell>
          <cell r="K527">
            <v>76</v>
          </cell>
          <cell r="L527">
            <v>732</v>
          </cell>
          <cell r="R527">
            <v>224</v>
          </cell>
          <cell r="AB527">
            <v>4</v>
          </cell>
        </row>
        <row r="528">
          <cell r="B528">
            <v>2017</v>
          </cell>
          <cell r="C528" t="str">
            <v>Minnesota Twins</v>
          </cell>
          <cell r="E528">
            <v>2</v>
          </cell>
          <cell r="J528">
            <v>85</v>
          </cell>
          <cell r="K528">
            <v>77</v>
          </cell>
          <cell r="L528">
            <v>815</v>
          </cell>
          <cell r="R528">
            <v>206</v>
          </cell>
          <cell r="AB528">
            <v>4.59</v>
          </cell>
        </row>
        <row r="529">
          <cell r="B529">
            <v>2017</v>
          </cell>
          <cell r="C529" t="str">
            <v>New York Yankees</v>
          </cell>
          <cell r="E529">
            <v>2</v>
          </cell>
          <cell r="J529">
            <v>91</v>
          </cell>
          <cell r="K529">
            <v>71</v>
          </cell>
          <cell r="L529">
            <v>858</v>
          </cell>
          <cell r="R529">
            <v>241</v>
          </cell>
          <cell r="AB529">
            <v>3.72</v>
          </cell>
        </row>
        <row r="530">
          <cell r="B530">
            <v>2017</v>
          </cell>
          <cell r="C530" t="str">
            <v>New York Mets</v>
          </cell>
          <cell r="E530">
            <v>4</v>
          </cell>
          <cell r="J530">
            <v>70</v>
          </cell>
          <cell r="K530">
            <v>92</v>
          </cell>
          <cell r="L530">
            <v>735</v>
          </cell>
          <cell r="R530">
            <v>224</v>
          </cell>
          <cell r="AB530">
            <v>5.01</v>
          </cell>
        </row>
        <row r="531">
          <cell r="B531">
            <v>2017</v>
          </cell>
          <cell r="C531" t="str">
            <v>Oakland Athletics</v>
          </cell>
          <cell r="E531">
            <v>5</v>
          </cell>
          <cell r="J531">
            <v>75</v>
          </cell>
          <cell r="K531">
            <v>87</v>
          </cell>
          <cell r="L531">
            <v>739</v>
          </cell>
          <cell r="R531">
            <v>234</v>
          </cell>
          <cell r="AB531">
            <v>4.67</v>
          </cell>
        </row>
        <row r="532">
          <cell r="B532">
            <v>2017</v>
          </cell>
          <cell r="C532" t="str">
            <v>Philadelphia Phillies</v>
          </cell>
          <cell r="E532">
            <v>5</v>
          </cell>
          <cell r="J532">
            <v>66</v>
          </cell>
          <cell r="K532">
            <v>96</v>
          </cell>
          <cell r="L532">
            <v>690</v>
          </cell>
          <cell r="R532">
            <v>174</v>
          </cell>
          <cell r="AB532">
            <v>4.55</v>
          </cell>
        </row>
        <row r="533">
          <cell r="B533">
            <v>2017</v>
          </cell>
          <cell r="C533" t="str">
            <v>Pittsburgh Pirates</v>
          </cell>
          <cell r="E533">
            <v>4</v>
          </cell>
          <cell r="J533">
            <v>75</v>
          </cell>
          <cell r="K533">
            <v>87</v>
          </cell>
          <cell r="L533">
            <v>668</v>
          </cell>
          <cell r="R533">
            <v>151</v>
          </cell>
          <cell r="AB533">
            <v>4.22</v>
          </cell>
        </row>
        <row r="534">
          <cell r="B534">
            <v>2017</v>
          </cell>
          <cell r="C534" t="str">
            <v>San Diego Padres</v>
          </cell>
          <cell r="E534">
            <v>4</v>
          </cell>
          <cell r="J534">
            <v>71</v>
          </cell>
          <cell r="K534">
            <v>91</v>
          </cell>
          <cell r="L534">
            <v>604</v>
          </cell>
          <cell r="R534">
            <v>189</v>
          </cell>
          <cell r="AB534">
            <v>4.67</v>
          </cell>
        </row>
        <row r="535">
          <cell r="B535">
            <v>2017</v>
          </cell>
          <cell r="C535" t="str">
            <v>Seattle Mariners</v>
          </cell>
          <cell r="E535">
            <v>3</v>
          </cell>
          <cell r="J535">
            <v>78</v>
          </cell>
          <cell r="K535">
            <v>84</v>
          </cell>
          <cell r="L535">
            <v>750</v>
          </cell>
          <cell r="R535">
            <v>200</v>
          </cell>
          <cell r="AB535">
            <v>4.46</v>
          </cell>
        </row>
        <row r="536">
          <cell r="B536">
            <v>2017</v>
          </cell>
          <cell r="C536" t="str">
            <v>San Francisco Giants</v>
          </cell>
          <cell r="E536">
            <v>5</v>
          </cell>
          <cell r="J536">
            <v>64</v>
          </cell>
          <cell r="K536">
            <v>98</v>
          </cell>
          <cell r="L536">
            <v>639</v>
          </cell>
          <cell r="R536">
            <v>128</v>
          </cell>
          <cell r="AB536">
            <v>4.5</v>
          </cell>
        </row>
        <row r="537">
          <cell r="B537">
            <v>2017</v>
          </cell>
          <cell r="C537" t="str">
            <v>St. Louis Cardinals</v>
          </cell>
          <cell r="E537">
            <v>3</v>
          </cell>
          <cell r="J537">
            <v>83</v>
          </cell>
          <cell r="K537">
            <v>79</v>
          </cell>
          <cell r="L537">
            <v>761</v>
          </cell>
          <cell r="R537">
            <v>196</v>
          </cell>
          <cell r="AB537">
            <v>4.01</v>
          </cell>
        </row>
        <row r="538">
          <cell r="B538">
            <v>2017</v>
          </cell>
          <cell r="C538" t="str">
            <v>Tampa Bay Rays</v>
          </cell>
          <cell r="E538">
            <v>3</v>
          </cell>
          <cell r="J538">
            <v>80</v>
          </cell>
          <cell r="K538">
            <v>82</v>
          </cell>
          <cell r="L538">
            <v>694</v>
          </cell>
          <cell r="R538">
            <v>228</v>
          </cell>
          <cell r="AB538">
            <v>3.97</v>
          </cell>
        </row>
        <row r="539">
          <cell r="B539">
            <v>2017</v>
          </cell>
          <cell r="C539" t="str">
            <v>Texas Rangers</v>
          </cell>
          <cell r="E539">
            <v>4</v>
          </cell>
          <cell r="J539">
            <v>78</v>
          </cell>
          <cell r="K539">
            <v>84</v>
          </cell>
          <cell r="L539">
            <v>799</v>
          </cell>
          <cell r="R539">
            <v>237</v>
          </cell>
          <cell r="AB539">
            <v>4.66</v>
          </cell>
        </row>
        <row r="540">
          <cell r="B540">
            <v>2017</v>
          </cell>
          <cell r="C540" t="str">
            <v>Toronto Blue Jays</v>
          </cell>
          <cell r="E540">
            <v>4</v>
          </cell>
          <cell r="J540">
            <v>76</v>
          </cell>
          <cell r="K540">
            <v>86</v>
          </cell>
          <cell r="L540">
            <v>693</v>
          </cell>
          <cell r="R540">
            <v>222</v>
          </cell>
          <cell r="AB540">
            <v>4.42</v>
          </cell>
        </row>
        <row r="541">
          <cell r="B541">
            <v>2017</v>
          </cell>
          <cell r="C541" t="str">
            <v>Washington Nationals</v>
          </cell>
          <cell r="E541">
            <v>1</v>
          </cell>
          <cell r="J541">
            <v>97</v>
          </cell>
          <cell r="K541">
            <v>65</v>
          </cell>
          <cell r="L541">
            <v>819</v>
          </cell>
          <cell r="R541">
            <v>215</v>
          </cell>
          <cell r="AB541">
            <v>3.88</v>
          </cell>
        </row>
        <row r="542">
          <cell r="B542">
            <v>2018</v>
          </cell>
          <cell r="C542" t="str">
            <v>Arizona Diamondbacks</v>
          </cell>
          <cell r="E542">
            <v>3</v>
          </cell>
          <cell r="J542">
            <v>82</v>
          </cell>
          <cell r="K542">
            <v>80</v>
          </cell>
          <cell r="L542">
            <v>693</v>
          </cell>
          <cell r="R542">
            <v>176</v>
          </cell>
          <cell r="AB542">
            <v>3.72</v>
          </cell>
        </row>
        <row r="543">
          <cell r="B543">
            <v>2018</v>
          </cell>
          <cell r="C543" t="str">
            <v>Atlanta Braves</v>
          </cell>
          <cell r="E543">
            <v>1</v>
          </cell>
          <cell r="J543">
            <v>90</v>
          </cell>
          <cell r="K543">
            <v>72</v>
          </cell>
          <cell r="L543">
            <v>759</v>
          </cell>
          <cell r="R543">
            <v>175</v>
          </cell>
          <cell r="AB543">
            <v>3.75</v>
          </cell>
        </row>
        <row r="544">
          <cell r="B544">
            <v>2018</v>
          </cell>
          <cell r="C544" t="str">
            <v>Baltimore Orioles</v>
          </cell>
          <cell r="E544">
            <v>5</v>
          </cell>
          <cell r="J544">
            <v>47</v>
          </cell>
          <cell r="K544">
            <v>115</v>
          </cell>
          <cell r="L544">
            <v>622</v>
          </cell>
          <cell r="R544">
            <v>188</v>
          </cell>
          <cell r="AB544">
            <v>5.18</v>
          </cell>
        </row>
        <row r="545">
          <cell r="B545">
            <v>2018</v>
          </cell>
          <cell r="C545" t="str">
            <v>Boston Red Sox</v>
          </cell>
          <cell r="E545">
            <v>1</v>
          </cell>
          <cell r="J545">
            <v>108</v>
          </cell>
          <cell r="K545">
            <v>54</v>
          </cell>
          <cell r="L545">
            <v>876</v>
          </cell>
          <cell r="R545">
            <v>208</v>
          </cell>
          <cell r="AB545">
            <v>3.75</v>
          </cell>
        </row>
        <row r="546">
          <cell r="B546">
            <v>2018</v>
          </cell>
          <cell r="C546" t="str">
            <v>Chicago White Sox</v>
          </cell>
          <cell r="E546">
            <v>4</v>
          </cell>
          <cell r="J546">
            <v>62</v>
          </cell>
          <cell r="K546">
            <v>100</v>
          </cell>
          <cell r="L546">
            <v>656</v>
          </cell>
          <cell r="R546">
            <v>182</v>
          </cell>
          <cell r="AB546">
            <v>4.84</v>
          </cell>
        </row>
        <row r="547">
          <cell r="B547">
            <v>2018</v>
          </cell>
          <cell r="C547" t="str">
            <v>Chicago Cubs</v>
          </cell>
          <cell r="E547">
            <v>2</v>
          </cell>
          <cell r="J547">
            <v>95</v>
          </cell>
          <cell r="K547">
            <v>68</v>
          </cell>
          <cell r="L547">
            <v>761</v>
          </cell>
          <cell r="R547">
            <v>167</v>
          </cell>
          <cell r="AB547">
            <v>3.65</v>
          </cell>
        </row>
        <row r="548">
          <cell r="B548">
            <v>2018</v>
          </cell>
          <cell r="C548" t="str">
            <v>Cincinnati Reds</v>
          </cell>
          <cell r="E548">
            <v>5</v>
          </cell>
          <cell r="J548">
            <v>67</v>
          </cell>
          <cell r="K548">
            <v>95</v>
          </cell>
          <cell r="L548">
            <v>696</v>
          </cell>
          <cell r="R548">
            <v>172</v>
          </cell>
          <cell r="AB548">
            <v>4.63</v>
          </cell>
        </row>
        <row r="549">
          <cell r="B549">
            <v>2018</v>
          </cell>
          <cell r="C549" t="str">
            <v>Cleveland Indians</v>
          </cell>
          <cell r="E549">
            <v>1</v>
          </cell>
          <cell r="J549">
            <v>91</v>
          </cell>
          <cell r="K549">
            <v>71</v>
          </cell>
          <cell r="L549">
            <v>818</v>
          </cell>
          <cell r="R549">
            <v>216</v>
          </cell>
          <cell r="AB549">
            <v>3.77</v>
          </cell>
        </row>
        <row r="550">
          <cell r="B550">
            <v>2018</v>
          </cell>
          <cell r="C550" t="str">
            <v>Colorado Rockies</v>
          </cell>
          <cell r="E550">
            <v>2</v>
          </cell>
          <cell r="J550">
            <v>91</v>
          </cell>
          <cell r="K550">
            <v>72</v>
          </cell>
          <cell r="L550">
            <v>780</v>
          </cell>
          <cell r="R550">
            <v>210</v>
          </cell>
          <cell r="AB550">
            <v>4.33</v>
          </cell>
        </row>
        <row r="551">
          <cell r="B551">
            <v>2018</v>
          </cell>
          <cell r="C551" t="str">
            <v>Detroit Tigers</v>
          </cell>
          <cell r="E551">
            <v>3</v>
          </cell>
          <cell r="J551">
            <v>64</v>
          </cell>
          <cell r="K551">
            <v>98</v>
          </cell>
          <cell r="L551">
            <v>630</v>
          </cell>
          <cell r="R551">
            <v>135</v>
          </cell>
          <cell r="AB551">
            <v>4.58</v>
          </cell>
        </row>
        <row r="552">
          <cell r="B552">
            <v>2018</v>
          </cell>
          <cell r="C552" t="str">
            <v>Houston Astros</v>
          </cell>
          <cell r="E552">
            <v>1</v>
          </cell>
          <cell r="J552">
            <v>103</v>
          </cell>
          <cell r="K552">
            <v>59</v>
          </cell>
          <cell r="L552">
            <v>797</v>
          </cell>
          <cell r="R552">
            <v>205</v>
          </cell>
          <cell r="AB552">
            <v>3.11</v>
          </cell>
        </row>
        <row r="553">
          <cell r="B553">
            <v>2018</v>
          </cell>
          <cell r="C553" t="str">
            <v>Kansas City Royals</v>
          </cell>
          <cell r="E553">
            <v>5</v>
          </cell>
          <cell r="J553">
            <v>58</v>
          </cell>
          <cell r="K553">
            <v>104</v>
          </cell>
          <cell r="L553">
            <v>638</v>
          </cell>
          <cell r="R553">
            <v>155</v>
          </cell>
          <cell r="AB553">
            <v>4.9400000000000004</v>
          </cell>
        </row>
        <row r="554">
          <cell r="B554">
            <v>2018</v>
          </cell>
          <cell r="C554" t="str">
            <v>Los Angeles Angels of Anaheim</v>
          </cell>
          <cell r="E554">
            <v>4</v>
          </cell>
          <cell r="J554">
            <v>80</v>
          </cell>
          <cell r="K554">
            <v>82</v>
          </cell>
          <cell r="L554">
            <v>721</v>
          </cell>
          <cell r="R554">
            <v>214</v>
          </cell>
          <cell r="AB554">
            <v>4.1500000000000004</v>
          </cell>
        </row>
        <row r="555">
          <cell r="B555">
            <v>2018</v>
          </cell>
          <cell r="C555" t="str">
            <v>Los Angeles Dodgers</v>
          </cell>
          <cell r="E555">
            <v>1</v>
          </cell>
          <cell r="J555">
            <v>92</v>
          </cell>
          <cell r="K555">
            <v>71</v>
          </cell>
          <cell r="L555">
            <v>804</v>
          </cell>
          <cell r="R555">
            <v>235</v>
          </cell>
          <cell r="AB555">
            <v>3.38</v>
          </cell>
        </row>
        <row r="556">
          <cell r="B556">
            <v>2018</v>
          </cell>
          <cell r="C556" t="str">
            <v>Miami Marlins</v>
          </cell>
          <cell r="E556">
            <v>5</v>
          </cell>
          <cell r="J556">
            <v>63</v>
          </cell>
          <cell r="K556">
            <v>98</v>
          </cell>
          <cell r="L556">
            <v>589</v>
          </cell>
          <cell r="R556">
            <v>128</v>
          </cell>
          <cell r="AB556">
            <v>4.76</v>
          </cell>
        </row>
        <row r="557">
          <cell r="B557">
            <v>2018</v>
          </cell>
          <cell r="C557" t="str">
            <v>Milwaukee Brewers</v>
          </cell>
          <cell r="E557">
            <v>1</v>
          </cell>
          <cell r="J557">
            <v>96</v>
          </cell>
          <cell r="K557">
            <v>67</v>
          </cell>
          <cell r="L557">
            <v>754</v>
          </cell>
          <cell r="R557">
            <v>218</v>
          </cell>
          <cell r="AB557">
            <v>3.73</v>
          </cell>
        </row>
        <row r="558">
          <cell r="B558">
            <v>2018</v>
          </cell>
          <cell r="C558" t="str">
            <v>Minnesota Twins</v>
          </cell>
          <cell r="E558">
            <v>2</v>
          </cell>
          <cell r="J558">
            <v>78</v>
          </cell>
          <cell r="K558">
            <v>84</v>
          </cell>
          <cell r="L558">
            <v>738</v>
          </cell>
          <cell r="R558">
            <v>166</v>
          </cell>
          <cell r="AB558">
            <v>4.5</v>
          </cell>
        </row>
        <row r="559">
          <cell r="B559">
            <v>2018</v>
          </cell>
          <cell r="C559" t="str">
            <v>New York Yankees</v>
          </cell>
          <cell r="E559">
            <v>2</v>
          </cell>
          <cell r="J559">
            <v>100</v>
          </cell>
          <cell r="K559">
            <v>62</v>
          </cell>
          <cell r="L559">
            <v>851</v>
          </cell>
          <cell r="R559">
            <v>267</v>
          </cell>
          <cell r="AB559">
            <v>3.78</v>
          </cell>
        </row>
        <row r="560">
          <cell r="B560">
            <v>2018</v>
          </cell>
          <cell r="C560" t="str">
            <v>New York Mets</v>
          </cell>
          <cell r="E560">
            <v>4</v>
          </cell>
          <cell r="J560">
            <v>77</v>
          </cell>
          <cell r="K560">
            <v>85</v>
          </cell>
          <cell r="L560">
            <v>676</v>
          </cell>
          <cell r="R560">
            <v>170</v>
          </cell>
          <cell r="AB560">
            <v>4.07</v>
          </cell>
        </row>
        <row r="561">
          <cell r="B561">
            <v>2018</v>
          </cell>
          <cell r="C561" t="str">
            <v>Oakland Athletics</v>
          </cell>
          <cell r="E561">
            <v>2</v>
          </cell>
          <cell r="J561">
            <v>97</v>
          </cell>
          <cell r="K561">
            <v>65</v>
          </cell>
          <cell r="L561">
            <v>813</v>
          </cell>
          <cell r="R561">
            <v>227</v>
          </cell>
          <cell r="AB561">
            <v>3.81</v>
          </cell>
        </row>
        <row r="562">
          <cell r="B562">
            <v>2018</v>
          </cell>
          <cell r="C562" t="str">
            <v>Philadelphia Phillies</v>
          </cell>
          <cell r="E562">
            <v>3</v>
          </cell>
          <cell r="J562">
            <v>80</v>
          </cell>
          <cell r="K562">
            <v>82</v>
          </cell>
          <cell r="L562">
            <v>677</v>
          </cell>
          <cell r="R562">
            <v>186</v>
          </cell>
          <cell r="AB562">
            <v>4.1399999999999997</v>
          </cell>
        </row>
        <row r="563">
          <cell r="B563">
            <v>2018</v>
          </cell>
          <cell r="C563" t="str">
            <v>Pittsburgh Pirates</v>
          </cell>
          <cell r="E563">
            <v>4</v>
          </cell>
          <cell r="J563">
            <v>82</v>
          </cell>
          <cell r="K563">
            <v>79</v>
          </cell>
          <cell r="L563">
            <v>692</v>
          </cell>
          <cell r="R563">
            <v>157</v>
          </cell>
          <cell r="AB563">
            <v>4</v>
          </cell>
        </row>
        <row r="564">
          <cell r="B564">
            <v>2018</v>
          </cell>
          <cell r="C564" t="str">
            <v>San Diego Padres</v>
          </cell>
          <cell r="E564">
            <v>5</v>
          </cell>
          <cell r="J564">
            <v>66</v>
          </cell>
          <cell r="K564">
            <v>96</v>
          </cell>
          <cell r="L564">
            <v>617</v>
          </cell>
          <cell r="R564">
            <v>162</v>
          </cell>
          <cell r="AB564">
            <v>4.4000000000000004</v>
          </cell>
        </row>
        <row r="565">
          <cell r="B565">
            <v>2018</v>
          </cell>
          <cell r="C565" t="str">
            <v>Seattle Mariners</v>
          </cell>
          <cell r="E565">
            <v>3</v>
          </cell>
          <cell r="J565">
            <v>89</v>
          </cell>
          <cell r="K565">
            <v>73</v>
          </cell>
          <cell r="L565">
            <v>677</v>
          </cell>
          <cell r="R565">
            <v>176</v>
          </cell>
          <cell r="AB565">
            <v>4.13</v>
          </cell>
        </row>
        <row r="566">
          <cell r="B566">
            <v>2018</v>
          </cell>
          <cell r="C566" t="str">
            <v>San Francisco Giants</v>
          </cell>
          <cell r="E566">
            <v>4</v>
          </cell>
          <cell r="J566">
            <v>73</v>
          </cell>
          <cell r="K566">
            <v>89</v>
          </cell>
          <cell r="L566">
            <v>603</v>
          </cell>
          <cell r="R566">
            <v>133</v>
          </cell>
          <cell r="AB566">
            <v>3.95</v>
          </cell>
        </row>
        <row r="567">
          <cell r="B567">
            <v>2018</v>
          </cell>
          <cell r="C567" t="str">
            <v>St. Louis Cardinals</v>
          </cell>
          <cell r="E567">
            <v>3</v>
          </cell>
          <cell r="J567">
            <v>88</v>
          </cell>
          <cell r="K567">
            <v>74</v>
          </cell>
          <cell r="L567">
            <v>759</v>
          </cell>
          <cell r="R567">
            <v>205</v>
          </cell>
          <cell r="AB567">
            <v>3.85</v>
          </cell>
        </row>
        <row r="568">
          <cell r="B568">
            <v>2018</v>
          </cell>
          <cell r="C568" t="str">
            <v>Tampa Bay Rays</v>
          </cell>
          <cell r="E568">
            <v>3</v>
          </cell>
          <cell r="J568">
            <v>90</v>
          </cell>
          <cell r="K568">
            <v>72</v>
          </cell>
          <cell r="L568">
            <v>716</v>
          </cell>
          <cell r="R568">
            <v>150</v>
          </cell>
          <cell r="AB568">
            <v>3.74</v>
          </cell>
        </row>
        <row r="569">
          <cell r="B569">
            <v>2018</v>
          </cell>
          <cell r="C569" t="str">
            <v>Texas Rangers</v>
          </cell>
          <cell r="E569">
            <v>5</v>
          </cell>
          <cell r="J569">
            <v>67</v>
          </cell>
          <cell r="K569">
            <v>95</v>
          </cell>
          <cell r="L569">
            <v>737</v>
          </cell>
          <cell r="R569">
            <v>194</v>
          </cell>
          <cell r="AB569">
            <v>4.92</v>
          </cell>
        </row>
        <row r="570">
          <cell r="B570">
            <v>2018</v>
          </cell>
          <cell r="C570" t="str">
            <v>Toronto Blue Jays</v>
          </cell>
          <cell r="E570">
            <v>4</v>
          </cell>
          <cell r="J570">
            <v>73</v>
          </cell>
          <cell r="K570">
            <v>89</v>
          </cell>
          <cell r="L570">
            <v>709</v>
          </cell>
          <cell r="R570">
            <v>217</v>
          </cell>
          <cell r="AB570">
            <v>4.8499999999999996</v>
          </cell>
        </row>
        <row r="571">
          <cell r="B571">
            <v>2018</v>
          </cell>
          <cell r="C571" t="str">
            <v>Washington Nationals</v>
          </cell>
          <cell r="E571">
            <v>2</v>
          </cell>
          <cell r="J571">
            <v>82</v>
          </cell>
          <cell r="K571">
            <v>80</v>
          </cell>
          <cell r="L571">
            <v>771</v>
          </cell>
          <cell r="R571">
            <v>191</v>
          </cell>
          <cell r="AB571">
            <v>4.04</v>
          </cell>
        </row>
      </sheetData>
      <sheetData sheetId="1"/>
      <sheetData sheetId="2"/>
      <sheetData sheetId="3"/>
      <sheetData sheetId="4">
        <row r="23">
          <cell r="B23" t="str">
            <v>2015 Houston Astros</v>
          </cell>
        </row>
      </sheetData>
      <sheetData sheetId="5"/>
      <sheetData sheetId="6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93.703016898151" createdVersion="6" refreshedVersion="6" minRefreshableVersion="3" recordCount="570" xr:uid="{AE69E905-4885-0D47-A956-8928FDCBC35C}">
  <cacheSource type="worksheet">
    <worksheetSource ref="B1:AV571" sheet="Data"/>
  </cacheSource>
  <cacheFields count="36">
    <cacheField name="yearID" numFmtId="0">
      <sharedItems containsSemiMixedTypes="0" containsString="0" containsNumber="1" containsInteger="1" minValue="2000" maxValue="2018"/>
    </cacheField>
    <cacheField name="name" numFmtId="0">
      <sharedItems count="34">
        <s v="Anaheim Angels"/>
        <s v="Arizona Diamondbacks"/>
        <s v="Atlanta Braves"/>
        <s v="Baltimore Orioles"/>
        <s v="Boston Red Sox"/>
        <s v="Chicago White Sox"/>
        <s v="Chicago Cubs"/>
        <s v="Cincinnati Reds"/>
        <s v="Cleveland Indians"/>
        <s v="Colorado Rockies"/>
        <s v="Detroit Tigers"/>
        <s v="Florida Marlins"/>
        <s v="Houston Astros"/>
        <s v="Kansas City Royals"/>
        <s v="Los Angeles Dodgers"/>
        <s v="Milwaukee Brewers"/>
        <s v="Minnesota Twins"/>
        <s v="Montreal Expos"/>
        <s v="New York Yankees"/>
        <s v="New York Mets"/>
        <s v="Oakland Athletics"/>
        <s v="Philadelphia Phillies"/>
        <s v="Pittsburgh Pirates"/>
        <s v="San Diego Padres"/>
        <s v="Seattle Mariners"/>
        <s v="San Francisco Giants"/>
        <s v="St. Louis Cardinals"/>
        <s v="Tampa Bay Devil Rays"/>
        <s v="Texas Rangers"/>
        <s v="Toronto Blue Jays"/>
        <s v="Los Angeles Angels of Anaheim"/>
        <s v="Washington Nationals"/>
        <s v="Tampa Bay Rays"/>
        <s v="Miami Marlins"/>
      </sharedItems>
    </cacheField>
    <cacheField name="teamID" numFmtId="0">
      <sharedItems/>
    </cacheField>
    <cacheField name="Rank" numFmtId="0">
      <sharedItems containsSemiMixedTypes="0" containsString="0" containsNumber="1" containsInteger="1" minValue="1" maxValue="6"/>
    </cacheField>
    <cacheField name="DivWin" numFmtId="0">
      <sharedItems/>
    </cacheField>
    <cacheField name="WCWin" numFmtId="0">
      <sharedItems/>
    </cacheField>
    <cacheField name="LgWin" numFmtId="0">
      <sharedItems/>
    </cacheField>
    <cacheField name="WSWin" numFmtId="0">
      <sharedItems/>
    </cacheField>
    <cacheField name="W" numFmtId="0">
      <sharedItems containsSemiMixedTypes="0" containsString="0" containsNumber="1" containsInteger="1" minValue="43" maxValue="116"/>
    </cacheField>
    <cacheField name="L" numFmtId="0">
      <sharedItems containsSemiMixedTypes="0" containsString="0" containsNumber="1" containsInteger="1" minValue="46" maxValue="119"/>
    </cacheField>
    <cacheField name="R" numFmtId="0">
      <sharedItems containsSemiMixedTypes="0" containsString="0" containsNumber="1" containsInteger="1" minValue="513" maxValue="978"/>
    </cacheField>
    <cacheField name="AB" numFmtId="0">
      <sharedItems containsSemiMixedTypes="0" containsString="0" containsNumber="1" containsInteger="1" minValue="5294" maxValue="5769"/>
    </cacheField>
    <cacheField name="H" numFmtId="0">
      <sharedItems containsSemiMixedTypes="0" containsString="0" containsNumber="1" containsInteger="1" minValue="1199" maxValue="1667"/>
    </cacheField>
    <cacheField name="2B" numFmtId="0">
      <sharedItems containsSemiMixedTypes="0" containsString="0" containsNumber="1" containsInteger="1" minValue="201" maxValue="376"/>
    </cacheField>
    <cacheField name="3B" numFmtId="0">
      <sharedItems containsSemiMixedTypes="0" containsString="0" containsNumber="1" containsInteger="1" minValue="5" maxValue="61"/>
    </cacheField>
    <cacheField name="HR" numFmtId="0">
      <sharedItems containsSemiMixedTypes="0" containsString="0" containsNumber="1" containsInteger="1" minValue="91" maxValue="267"/>
    </cacheField>
    <cacheField name="BB" numFmtId="0">
      <sharedItems containsSemiMixedTypes="0" containsString="0" containsNumber="1" containsInteger="1" minValue="363" maxValue="775"/>
    </cacheField>
    <cacheField name="SO" numFmtId="0">
      <sharedItems containsSemiMixedTypes="0" containsString="0" containsNumber="1" containsInteger="1" minValue="805" maxValue="1594"/>
    </cacheField>
    <cacheField name="SB" numFmtId="0">
      <sharedItems containsSemiMixedTypes="0" containsString="0" containsNumber="1" containsInteger="1" minValue="19" maxValue="200"/>
    </cacheField>
    <cacheField name="CS" numFmtId="0">
      <sharedItems containsSemiMixedTypes="0" containsString="0" containsNumber="1" containsInteger="1" minValue="12" maxValue="74"/>
    </cacheField>
    <cacheField name="HBP" numFmtId="0">
      <sharedItems containsSemiMixedTypes="0" containsString="0" containsNumber="1" containsInteger="1" minValue="26" maxValue="103"/>
    </cacheField>
    <cacheField name="SF" numFmtId="0">
      <sharedItems containsSemiMixedTypes="0" containsString="0" containsNumber="1" containsInteger="1" minValue="24" maxValue="75"/>
    </cacheField>
    <cacheField name="RA" numFmtId="0">
      <sharedItems containsSemiMixedTypes="0" containsString="0" containsNumber="1" containsInteger="1" minValue="525" maxValue="974"/>
    </cacheField>
    <cacheField name="ER" numFmtId="0">
      <sharedItems containsSemiMixedTypes="0" containsString="0" containsNumber="1" containsInteger="1" minValue="478" maxValue="913"/>
    </cacheField>
    <cacheField name="ERA" numFmtId="0">
      <sharedItems containsSemiMixedTypes="0" containsString="0" containsNumber="1" minValue="2.94" maxValue="5.71"/>
    </cacheField>
    <cacheField name="CG" numFmtId="0">
      <sharedItems containsSemiMixedTypes="0" containsString="0" containsNumber="1" containsInteger="1" minValue="0" maxValue="18"/>
    </cacheField>
    <cacheField name="SHO" numFmtId="0">
      <sharedItems containsSemiMixedTypes="0" containsString="0" containsNumber="1" containsInteger="1" minValue="1" maxValue="23"/>
    </cacheField>
    <cacheField name="SV" numFmtId="0">
      <sharedItems containsSemiMixedTypes="0" containsString="0" containsNumber="1" containsInteger="1" minValue="23" maxValue="66"/>
    </cacheField>
    <cacheField name="IPouts" numFmtId="0">
      <sharedItems containsSemiMixedTypes="0" containsString="0" containsNumber="1" containsInteger="1" minValue="4235" maxValue="4485"/>
    </cacheField>
    <cacheField name="HA" numFmtId="0">
      <sharedItems containsSemiMixedTypes="0" containsString="0" containsNumber="1" containsInteger="1" minValue="1125" maxValue="1683"/>
    </cacheField>
    <cacheField name="HRA" numFmtId="0">
      <sharedItems containsSemiMixedTypes="0" containsString="0" containsNumber="1" containsInteger="1" minValue="96" maxValue="258"/>
    </cacheField>
    <cacheField name="BBA" numFmtId="0">
      <sharedItems containsSemiMixedTypes="0" containsString="0" containsNumber="1" containsInteger="1" minValue="348" maxValue="728"/>
    </cacheField>
    <cacheField name="SOA" numFmtId="0">
      <sharedItems containsSemiMixedTypes="0" containsString="0" containsNumber="1" containsInteger="1" minValue="764" maxValue="1687"/>
    </cacheField>
    <cacheField name="E" numFmtId="0">
      <sharedItems containsSemiMixedTypes="0" containsString="0" containsNumber="1" containsInteger="1" minValue="54" maxValue="145"/>
    </cacheField>
    <cacheField name="DP" numFmtId="0">
      <sharedItems containsSemiMixedTypes="0" containsString="0" containsNumber="1" containsInteger="1" minValue="95" maxValue="204"/>
    </cacheField>
    <cacheField name="FP" numFmtId="0">
      <sharedItems containsSemiMixedTypes="0" containsString="0" containsNumber="1" minValue="0.97599999999999998" maxValue="0.990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atalie Weisbruch" refreshedDate="43802.881903009256" createdVersion="6" refreshedVersion="6" minRefreshableVersion="3" recordCount="570" xr:uid="{8D1B85F3-B201-4A7F-AA88-9F2A1CCCEFCD}">
  <cacheSource type="worksheet">
    <worksheetSource ref="A1:S571" sheet="Grouped Data"/>
  </cacheSource>
  <cacheFields count="19">
    <cacheField name="Season" numFmtId="0">
      <sharedItems containsSemiMixedTypes="0" containsString="0" containsNumber="1" containsInteger="1" minValue="2000" maxValue="2018" count="19"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</sharedItems>
    </cacheField>
    <cacheField name="Franchise" numFmtId="0">
      <sharedItems count="31">
        <s v="Anaheim Angels"/>
        <s v="Arizona Diamondbacks"/>
        <s v="Atlanta Braves"/>
        <s v="Baltimore Orioles"/>
        <s v="Boston Red Sox"/>
        <s v="Chicago Cubs"/>
        <s v="Chicago White Sox"/>
        <s v="Cincinnati Reds"/>
        <s v="Cleveland Indians"/>
        <s v="Colorado Rockies"/>
        <s v="Detroit Tigers"/>
        <s v="Florida Marlins"/>
        <s v="Houston Astros"/>
        <s v="Kansas City Royals"/>
        <s v="Los Angeles Dodgers"/>
        <s v="Milwaukee Brewers"/>
        <s v="Minnesota Twins"/>
        <s v="Montreal Expos"/>
        <s v="New York Mets"/>
        <s v="New York Yankees"/>
        <s v="Oakland Athletics"/>
        <s v="Philadelphia Phillies"/>
        <s v="Pittsburgh Pirates"/>
        <s v="San Diego Padres"/>
        <s v="Seattle Mariners"/>
        <s v="San Francisco Giants"/>
        <s v="St. Louis Cardinals"/>
        <s v="Tampa Bay Devil Rays"/>
        <s v="Texas Rangers"/>
        <s v="Toronto Blue Jays"/>
        <s v="Washington Nationals"/>
      </sharedItems>
    </cacheField>
    <cacheField name="Input Name" numFmtId="0">
      <sharedItems/>
    </cacheField>
    <cacheField name="AB" numFmtId="0">
      <sharedItems containsSemiMixedTypes="0" containsString="0" containsNumber="1" containsInteger="1" minValue="5294" maxValue="5769"/>
    </cacheField>
    <cacheField name="1B" numFmtId="0">
      <sharedItems containsSemiMixedTypes="0" containsString="0" containsNumber="1" containsInteger="1" minValue="767" maxValue="1186" count="236">
        <n v="995"/>
        <n v="961"/>
        <n v="1011"/>
        <n v="992"/>
        <n v="988"/>
        <n v="948"/>
        <n v="1041"/>
        <n v="1007"/>
        <n v="1078"/>
        <n v="1130"/>
        <n v="1028"/>
        <n v="978"/>
        <n v="973"/>
        <n v="1186"/>
        <n v="904"/>
        <n v="867"/>
        <n v="1026"/>
        <n v="952"/>
        <n v="946"/>
        <n v="1017"/>
        <n v="958"/>
        <n v="898"/>
        <n v="987"/>
        <n v="940"/>
        <n v="957"/>
        <n v="962"/>
        <n v="977"/>
        <n v="1063"/>
        <n v="969"/>
        <n v="967"/>
        <n v="971"/>
        <n v="937"/>
        <n v="950"/>
        <n v="915"/>
        <n v="920"/>
        <n v="1016"/>
        <n v="1065"/>
        <n v="949"/>
        <n v="1037"/>
        <n v="902"/>
        <n v="866"/>
        <n v="984"/>
        <n v="882"/>
        <n v="923"/>
        <n v="976"/>
        <n v="914"/>
        <n v="943"/>
        <n v="891"/>
        <n v="919"/>
        <n v="1120"/>
        <n v="964"/>
        <n v="1086"/>
        <n v="982"/>
        <n v="959"/>
        <n v="850"/>
        <n v="1002"/>
        <n v="863"/>
        <n v="899"/>
        <n v="876"/>
        <n v="1032"/>
        <n v="975"/>
        <n v="951"/>
        <n v="994"/>
        <n v="932"/>
        <n v="934"/>
        <n v="989"/>
        <n v="991"/>
        <n v="938"/>
        <n v="897"/>
        <n v="875"/>
        <n v="985"/>
        <n v="953"/>
        <n v="927"/>
        <n v="1014"/>
        <n v="965"/>
        <n v="1021"/>
        <n v="1018"/>
        <n v="933"/>
        <n v="903"/>
        <n v="907"/>
        <n v="913"/>
        <n v="966"/>
        <n v="1049"/>
        <n v="941"/>
        <n v="970"/>
        <n v="881"/>
        <n v="930"/>
        <n v="1009"/>
        <n v="1025"/>
        <n v="1047"/>
        <n v="1010"/>
        <n v="1000"/>
        <n v="1132"/>
        <n v="1108"/>
        <n v="993"/>
        <n v="936"/>
        <n v="871"/>
        <n v="896"/>
        <n v="1005"/>
        <n v="980"/>
        <n v="1046"/>
        <n v="1112"/>
        <n v="947"/>
        <n v="908"/>
        <n v="910"/>
        <n v="924"/>
        <n v="1020"/>
        <n v="974"/>
        <n v="1013"/>
        <n v="1033"/>
        <n v="926"/>
        <n v="996"/>
        <n v="892"/>
        <n v="1006"/>
        <n v="935"/>
        <n v="1048"/>
        <n v="955"/>
        <n v="928"/>
        <n v="998"/>
        <n v="1042"/>
        <n v="1084"/>
        <n v="1039"/>
        <n v="968"/>
        <n v="921"/>
        <n v="931"/>
        <n v="1019"/>
        <n v="1034"/>
        <n v="1156"/>
        <n v="905"/>
        <n v="1050"/>
        <n v="1060"/>
        <n v="906"/>
        <n v="981"/>
        <n v="1008"/>
        <n v="929"/>
        <n v="853"/>
        <n v="1031"/>
        <n v="1051"/>
        <n v="1071"/>
        <n v="1073"/>
        <n v="925"/>
        <n v="999"/>
        <n v="1104"/>
        <n v="877"/>
        <n v="1045"/>
        <n v="1097"/>
        <n v="884"/>
        <n v="1170"/>
        <n v="972"/>
        <n v="1080"/>
        <n v="986"/>
        <n v="901"/>
        <n v="831"/>
        <n v="1035"/>
        <n v="859"/>
        <n v="1056"/>
        <n v="841"/>
        <n v="1114"/>
        <n v="1023"/>
        <n v="900"/>
        <n v="945"/>
        <n v="1069"/>
        <n v="1102"/>
        <n v="942"/>
        <n v="1105"/>
        <n v="883"/>
        <n v="990"/>
        <n v="1022"/>
        <n v="960"/>
        <n v="886"/>
        <n v="868"/>
        <n v="1001"/>
        <n v="916"/>
        <n v="878"/>
        <n v="889"/>
        <n v="851"/>
        <n v="1004"/>
        <n v="963"/>
        <n v="1103"/>
        <n v="874"/>
        <n v="1003"/>
        <n v="1101"/>
        <n v="767"/>
        <n v="855"/>
        <n v="912"/>
        <n v="954"/>
        <n v="1040"/>
        <n v="879"/>
        <n v="842"/>
        <n v="1036"/>
        <n v="911"/>
        <n v="939"/>
        <n v="864"/>
        <n v="1029"/>
        <n v="890"/>
        <n v="821"/>
        <n v="865"/>
        <n v="838"/>
        <n v="820"/>
        <n v="1134"/>
        <n v="1043"/>
        <n v="895"/>
        <n v="893"/>
        <n v="1024"/>
        <n v="1027"/>
        <n v="918"/>
        <n v="857"/>
        <n v="887"/>
        <n v="922"/>
        <n v="836"/>
        <n v="829"/>
        <n v="870"/>
        <n v="872"/>
        <n v="862"/>
        <n v="894"/>
        <n v="880"/>
        <n v="983"/>
        <n v="849"/>
        <n v="837"/>
        <n v="815"/>
        <n v="797"/>
        <n v="843"/>
        <n v="832"/>
        <n v="956"/>
        <n v="794"/>
        <n v="790"/>
        <n v="885"/>
        <n v="804"/>
        <n v="854"/>
        <n v="813"/>
        <n v="824"/>
        <n v="798"/>
        <n v="830"/>
        <n v="814"/>
        <n v="847"/>
        <n v="783"/>
      </sharedItems>
    </cacheField>
    <cacheField name="2B" numFmtId="0">
      <sharedItems containsSemiMixedTypes="0" containsString="0" containsNumber="1" containsInteger="1" minValue="201" maxValue="376" count="126">
        <n v="309"/>
        <n v="282"/>
        <n v="274"/>
        <n v="310"/>
        <n v="316"/>
        <n v="272"/>
        <n v="325"/>
        <n v="302"/>
        <n v="320"/>
        <n v="307"/>
        <n v="289"/>
        <n v="281"/>
        <n v="265"/>
        <n v="297"/>
        <n v="294"/>
        <n v="304"/>
        <n v="279"/>
        <n v="300"/>
        <n v="259"/>
        <n v="253"/>
        <n v="330"/>
        <n v="328"/>
        <n v="275"/>
        <n v="284"/>
        <n v="263"/>
        <n v="262"/>
        <n v="268"/>
        <n v="324"/>
        <n v="291"/>
        <n v="313"/>
        <n v="277"/>
        <n v="264"/>
        <n v="273"/>
        <n v="334"/>
        <n v="295"/>
        <n v="256"/>
        <n v="311"/>
        <n v="326"/>
        <n v="287"/>
        <n v="333"/>
        <n v="283"/>
        <n v="280"/>
        <n v="348"/>
        <n v="255"/>
        <n v="285"/>
        <n v="286"/>
        <n v="269"/>
        <n v="238"/>
        <n v="314"/>
        <n v="243"/>
        <n v="305"/>
        <n v="276"/>
        <n v="303"/>
        <n v="321"/>
        <n v="371"/>
        <n v="239"/>
        <n v="296"/>
        <n v="201"/>
        <n v="292"/>
        <n v="308"/>
        <n v="288"/>
        <n v="260"/>
        <n v="266"/>
        <n v="318"/>
        <n v="317"/>
        <n v="257"/>
        <n v="290"/>
        <n v="342"/>
        <n v="298"/>
        <n v="357"/>
        <n v="319"/>
        <n v="373"/>
        <n v="345"/>
        <n v="331"/>
        <n v="261"/>
        <n v="226"/>
        <n v="336"/>
        <n v="267"/>
        <n v="278"/>
        <n v="323"/>
        <n v="339"/>
        <n v="335"/>
        <n v="337"/>
        <n v="306"/>
        <n v="327"/>
        <n v="299"/>
        <n v="312"/>
        <n v="271"/>
        <n v="351"/>
        <n v="301"/>
        <n v="322"/>
        <n v="352"/>
        <n v="340"/>
        <n v="249"/>
        <n v="293"/>
        <n v="344"/>
        <n v="353"/>
        <n v="329"/>
        <n v="270"/>
        <n v="376"/>
        <n v="246"/>
        <n v="245"/>
        <n v="358"/>
        <n v="252"/>
        <n v="236"/>
        <n v="227"/>
        <n v="250"/>
        <n v="244"/>
        <n v="237"/>
        <n v="258"/>
        <n v="247"/>
        <n v="228"/>
        <n v="241"/>
        <n v="363"/>
        <n v="254"/>
        <n v="219"/>
        <n v="240"/>
        <n v="251"/>
        <n v="224"/>
        <n v="343"/>
        <n v="231"/>
        <n v="346"/>
        <n v="242"/>
        <n v="355"/>
        <n v="222"/>
        <n v="248"/>
      </sharedItems>
    </cacheField>
    <cacheField name="3B" numFmtId="0">
      <sharedItems containsSemiMixedTypes="0" containsString="0" containsNumber="1" containsInteger="1" minValue="5" maxValue="61"/>
    </cacheField>
    <cacheField name="HR" numFmtId="0">
      <sharedItems containsSemiMixedTypes="0" containsString="0" containsNumber="1" containsInteger="1" minValue="91" maxValue="267"/>
    </cacheField>
    <cacheField name="BB" numFmtId="0">
      <sharedItems containsSemiMixedTypes="0" containsString="0" containsNumber="1" containsInteger="1" minValue="363" maxValue="775"/>
    </cacheField>
    <cacheField name="HBP" numFmtId="0">
      <sharedItems containsSemiMixedTypes="0" containsString="0" containsNumber="1" containsInteger="1" minValue="26" maxValue="103"/>
    </cacheField>
    <cacheField name="Outs" numFmtId="0">
      <sharedItems containsSemiMixedTypes="0" containsString="0" containsNumber="1" containsInteger="1" minValue="3193" maxValue="3749"/>
    </cacheField>
    <cacheField name="BFP" numFmtId="0">
      <sharedItems containsSemiMixedTypes="0" containsString="0" containsNumber="1" containsInteger="1" minValue="5866" maxValue="6559"/>
    </cacheField>
    <cacheField name="1B2" numFmtId="0">
      <sharedItems containsSemiMixedTypes="0" containsString="0" containsNumber="1" containsInteger="1" minValue="734" maxValue="1108"/>
    </cacheField>
    <cacheField name="2B2" numFmtId="0">
      <sharedItems containsSemiMixedTypes="0" containsString="0" containsNumber="1" containsInteger="1" minValue="205" maxValue="391"/>
    </cacheField>
    <cacheField name="3B2" numFmtId="0">
      <sharedItems containsSemiMixedTypes="0" containsString="0" containsNumber="1" containsInteger="1" minValue="9" maxValue="60"/>
    </cacheField>
    <cacheField name="HR2" numFmtId="0">
      <sharedItems containsSemiMixedTypes="0" containsString="0" containsNumber="1" containsInteger="1" minValue="96" maxValue="258"/>
    </cacheField>
    <cacheField name="BB2" numFmtId="0">
      <sharedItems containsSemiMixedTypes="0" containsString="0" containsNumber="1" containsInteger="1" minValue="348" maxValue="728"/>
    </cacheField>
    <cacheField name="HBP2" numFmtId="0">
      <sharedItems containsSemiMixedTypes="0" containsString="0" containsNumber="1" containsInteger="1" minValue="27" maxValue="95"/>
    </cacheField>
    <cacheField name="Outs2" numFmtId="0">
      <sharedItems containsSemiMixedTypes="0" containsString="0" containsNumber="1" containsInteger="1" minValue="4043" maxValue="43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n v="2000"/>
    <x v="0"/>
    <s v="ANA"/>
    <n v="3"/>
    <s v="N"/>
    <s v="N"/>
    <s v="N"/>
    <s v="N"/>
    <n v="82"/>
    <n v="80"/>
    <n v="864"/>
    <n v="5628"/>
    <n v="1574"/>
    <n v="309"/>
    <n v="34"/>
    <n v="236"/>
    <n v="608"/>
    <n v="1024"/>
    <n v="93"/>
    <n v="52"/>
    <n v="47"/>
    <n v="43"/>
    <n v="869"/>
    <n v="805"/>
    <n v="5"/>
    <n v="5"/>
    <n v="3"/>
    <n v="46"/>
    <n v="4344"/>
    <n v="1534"/>
    <n v="228"/>
    <n v="662"/>
    <n v="846"/>
    <n v="134"/>
    <n v="182"/>
    <n v="0.97799999999999998"/>
  </r>
  <r>
    <n v="2000"/>
    <x v="1"/>
    <s v="ARI"/>
    <n v="3"/>
    <s v="N"/>
    <s v="N"/>
    <s v="N"/>
    <s v="N"/>
    <n v="85"/>
    <n v="77"/>
    <n v="792"/>
    <n v="5527"/>
    <n v="1466"/>
    <n v="282"/>
    <n v="44"/>
    <n v="179"/>
    <n v="535"/>
    <n v="975"/>
    <n v="97"/>
    <n v="44"/>
    <n v="59"/>
    <n v="58"/>
    <n v="754"/>
    <n v="698"/>
    <n v="4.3499999999999996"/>
    <n v="16"/>
    <n v="8"/>
    <n v="38"/>
    <n v="4331"/>
    <n v="1441"/>
    <n v="190"/>
    <n v="500"/>
    <n v="1220"/>
    <n v="107"/>
    <n v="138"/>
    <n v="0.98199999999999998"/>
  </r>
  <r>
    <n v="2000"/>
    <x v="2"/>
    <s v="ATL"/>
    <n v="1"/>
    <s v="Y"/>
    <s v="N"/>
    <s v="N"/>
    <s v="N"/>
    <n v="95"/>
    <n v="67"/>
    <n v="810"/>
    <n v="5489"/>
    <n v="1490"/>
    <n v="274"/>
    <n v="26"/>
    <n v="179"/>
    <n v="595"/>
    <n v="1010"/>
    <n v="148"/>
    <n v="56"/>
    <n v="59"/>
    <n v="45"/>
    <n v="714"/>
    <n v="648"/>
    <n v="4.05"/>
    <n v="13"/>
    <n v="9"/>
    <n v="53"/>
    <n v="4321"/>
    <n v="1428"/>
    <n v="165"/>
    <n v="484"/>
    <n v="1093"/>
    <n v="129"/>
    <n v="138"/>
    <n v="0.97899999999999998"/>
  </r>
  <r>
    <n v="2000"/>
    <x v="3"/>
    <s v="BAL"/>
    <n v="4"/>
    <s v="N"/>
    <s v="N"/>
    <s v="N"/>
    <s v="N"/>
    <n v="74"/>
    <n v="88"/>
    <n v="794"/>
    <n v="5549"/>
    <n v="1508"/>
    <n v="310"/>
    <n v="22"/>
    <n v="184"/>
    <n v="558"/>
    <n v="900"/>
    <n v="126"/>
    <n v="65"/>
    <n v="49"/>
    <n v="54"/>
    <n v="913"/>
    <n v="855"/>
    <n v="5.37"/>
    <n v="14"/>
    <n v="6"/>
    <n v="33"/>
    <n v="4300"/>
    <n v="1547"/>
    <n v="202"/>
    <n v="665"/>
    <n v="1017"/>
    <n v="116"/>
    <n v="151"/>
    <n v="0.98099999999999998"/>
  </r>
  <r>
    <n v="2000"/>
    <x v="4"/>
    <s v="BOS"/>
    <n v="2"/>
    <s v="N"/>
    <s v="N"/>
    <s v="N"/>
    <s v="N"/>
    <n v="85"/>
    <n v="77"/>
    <n v="792"/>
    <n v="5630"/>
    <n v="1503"/>
    <n v="316"/>
    <n v="32"/>
    <n v="167"/>
    <n v="611"/>
    <n v="1019"/>
    <n v="43"/>
    <n v="30"/>
    <n v="42"/>
    <n v="48"/>
    <n v="745"/>
    <n v="683"/>
    <n v="4.2300000000000004"/>
    <n v="7"/>
    <n v="12"/>
    <n v="46"/>
    <n v="4358"/>
    <n v="1433"/>
    <n v="173"/>
    <n v="498"/>
    <n v="1121"/>
    <n v="109"/>
    <n v="120"/>
    <n v="0.98199999999999998"/>
  </r>
  <r>
    <n v="2000"/>
    <x v="5"/>
    <s v="CHA"/>
    <n v="1"/>
    <s v="Y"/>
    <s v="N"/>
    <s v="N"/>
    <s v="N"/>
    <n v="95"/>
    <n v="67"/>
    <n v="978"/>
    <n v="5646"/>
    <n v="1615"/>
    <n v="325"/>
    <n v="33"/>
    <n v="216"/>
    <n v="591"/>
    <n v="960"/>
    <n v="119"/>
    <n v="42"/>
    <n v="53"/>
    <n v="61"/>
    <n v="839"/>
    <n v="751"/>
    <n v="4.66"/>
    <n v="5"/>
    <n v="7"/>
    <n v="43"/>
    <n v="4351"/>
    <n v="1509"/>
    <n v="195"/>
    <n v="614"/>
    <n v="1037"/>
    <n v="133"/>
    <n v="190"/>
    <n v="0.97799999999999998"/>
  </r>
  <r>
    <n v="2000"/>
    <x v="6"/>
    <s v="CHN"/>
    <n v="6"/>
    <s v="N"/>
    <s v="N"/>
    <s v="N"/>
    <s v="N"/>
    <n v="65"/>
    <n v="97"/>
    <n v="764"/>
    <n v="5577"/>
    <n v="1426"/>
    <n v="272"/>
    <n v="23"/>
    <n v="183"/>
    <n v="632"/>
    <n v="1120"/>
    <n v="93"/>
    <n v="37"/>
    <n v="54"/>
    <n v="45"/>
    <n v="904"/>
    <n v="849"/>
    <n v="5.25"/>
    <n v="10"/>
    <n v="5"/>
    <n v="39"/>
    <n v="4364"/>
    <n v="1505"/>
    <n v="231"/>
    <n v="658"/>
    <n v="1143"/>
    <n v="100"/>
    <n v="139"/>
    <n v="0.98299999999999998"/>
  </r>
  <r>
    <n v="2000"/>
    <x v="7"/>
    <s v="CIN"/>
    <n v="2"/>
    <s v="N"/>
    <s v="N"/>
    <s v="N"/>
    <s v="N"/>
    <n v="85"/>
    <n v="77"/>
    <n v="825"/>
    <n v="5635"/>
    <n v="1545"/>
    <n v="302"/>
    <n v="36"/>
    <n v="200"/>
    <n v="559"/>
    <n v="995"/>
    <n v="100"/>
    <n v="38"/>
    <n v="64"/>
    <n v="58"/>
    <n v="765"/>
    <n v="700"/>
    <n v="4.33"/>
    <n v="8"/>
    <n v="7"/>
    <n v="42"/>
    <n v="4369"/>
    <n v="1446"/>
    <n v="190"/>
    <n v="659"/>
    <n v="1015"/>
    <n v="111"/>
    <n v="156"/>
    <n v="0.98199999999999998"/>
  </r>
  <r>
    <n v="2000"/>
    <x v="8"/>
    <s v="CLE"/>
    <n v="2"/>
    <s v="N"/>
    <s v="N"/>
    <s v="N"/>
    <s v="N"/>
    <n v="90"/>
    <n v="72"/>
    <n v="950"/>
    <n v="5683"/>
    <n v="1639"/>
    <n v="310"/>
    <n v="30"/>
    <n v="221"/>
    <n v="685"/>
    <n v="1057"/>
    <n v="113"/>
    <n v="34"/>
    <n v="51"/>
    <n v="52"/>
    <n v="816"/>
    <n v="775"/>
    <n v="4.84"/>
    <n v="6"/>
    <n v="5"/>
    <n v="34"/>
    <n v="4327"/>
    <n v="1511"/>
    <n v="173"/>
    <n v="666"/>
    <n v="1213"/>
    <n v="72"/>
    <n v="147"/>
    <n v="0.98799999999999999"/>
  </r>
  <r>
    <n v="2000"/>
    <x v="9"/>
    <s v="COL"/>
    <n v="4"/>
    <s v="N"/>
    <s v="N"/>
    <s v="N"/>
    <s v="N"/>
    <n v="82"/>
    <n v="80"/>
    <n v="968"/>
    <n v="5660"/>
    <n v="1664"/>
    <n v="320"/>
    <n v="53"/>
    <n v="161"/>
    <n v="601"/>
    <n v="907"/>
    <n v="131"/>
    <n v="61"/>
    <n v="42"/>
    <n v="75"/>
    <n v="897"/>
    <n v="835"/>
    <n v="5.26"/>
    <n v="7"/>
    <n v="2"/>
    <n v="33"/>
    <n v="4290"/>
    <n v="1568"/>
    <n v="221"/>
    <n v="588"/>
    <n v="1001"/>
    <n v="94"/>
    <n v="176"/>
    <n v="0.98499999999999999"/>
  </r>
  <r>
    <n v="2000"/>
    <x v="10"/>
    <s v="DET"/>
    <n v="3"/>
    <s v="N"/>
    <s v="N"/>
    <s v="N"/>
    <s v="N"/>
    <n v="79"/>
    <n v="83"/>
    <n v="823"/>
    <n v="5644"/>
    <n v="1553"/>
    <n v="307"/>
    <n v="41"/>
    <n v="177"/>
    <n v="562"/>
    <n v="982"/>
    <n v="83"/>
    <n v="38"/>
    <n v="43"/>
    <n v="49"/>
    <n v="827"/>
    <n v="755"/>
    <n v="4.71"/>
    <n v="6"/>
    <n v="6"/>
    <n v="44"/>
    <n v="4330"/>
    <n v="1583"/>
    <n v="177"/>
    <n v="496"/>
    <n v="978"/>
    <n v="105"/>
    <n v="171"/>
    <n v="0.98299999999999998"/>
  </r>
  <r>
    <n v="2000"/>
    <x v="11"/>
    <s v="FLO"/>
    <n v="3"/>
    <s v="N"/>
    <s v="N"/>
    <s v="N"/>
    <s v="N"/>
    <n v="79"/>
    <n v="82"/>
    <n v="731"/>
    <n v="5509"/>
    <n v="1441"/>
    <n v="274"/>
    <n v="29"/>
    <n v="160"/>
    <n v="540"/>
    <n v="1184"/>
    <n v="168"/>
    <n v="55"/>
    <n v="60"/>
    <n v="51"/>
    <n v="797"/>
    <n v="729"/>
    <n v="4.59"/>
    <n v="5"/>
    <n v="4"/>
    <n v="48"/>
    <n v="4289"/>
    <n v="1477"/>
    <n v="169"/>
    <n v="650"/>
    <n v="1051"/>
    <n v="125"/>
    <n v="144"/>
    <n v="0.98"/>
  </r>
  <r>
    <n v="2000"/>
    <x v="12"/>
    <s v="HOU"/>
    <n v="4"/>
    <s v="N"/>
    <s v="N"/>
    <s v="N"/>
    <s v="N"/>
    <n v="72"/>
    <n v="90"/>
    <n v="938"/>
    <n v="5570"/>
    <n v="1547"/>
    <n v="289"/>
    <n v="36"/>
    <n v="249"/>
    <n v="673"/>
    <n v="1129"/>
    <n v="114"/>
    <n v="52"/>
    <n v="83"/>
    <n v="61"/>
    <n v="944"/>
    <n v="865"/>
    <n v="5.42"/>
    <n v="8"/>
    <n v="2"/>
    <n v="30"/>
    <n v="4313"/>
    <n v="1596"/>
    <n v="234"/>
    <n v="598"/>
    <n v="1064"/>
    <n v="133"/>
    <n v="149"/>
    <n v="0.97799999999999998"/>
  </r>
  <r>
    <n v="2000"/>
    <x v="13"/>
    <s v="KCA"/>
    <n v="4"/>
    <s v="N"/>
    <s v="N"/>
    <s v="N"/>
    <s v="N"/>
    <n v="77"/>
    <n v="85"/>
    <n v="879"/>
    <n v="5709"/>
    <n v="1644"/>
    <n v="281"/>
    <n v="27"/>
    <n v="150"/>
    <n v="511"/>
    <n v="840"/>
    <n v="121"/>
    <n v="35"/>
    <n v="48"/>
    <n v="70"/>
    <n v="930"/>
    <n v="876"/>
    <n v="5.48"/>
    <n v="10"/>
    <n v="6"/>
    <n v="29"/>
    <n v="4318"/>
    <n v="1585"/>
    <n v="239"/>
    <n v="693"/>
    <n v="927"/>
    <n v="102"/>
    <n v="185"/>
    <n v="0.98299999999999998"/>
  </r>
  <r>
    <n v="2000"/>
    <x v="14"/>
    <s v="LAN"/>
    <n v="2"/>
    <s v="N"/>
    <s v="N"/>
    <s v="N"/>
    <s v="N"/>
    <n v="86"/>
    <n v="76"/>
    <n v="798"/>
    <n v="5481"/>
    <n v="1408"/>
    <n v="265"/>
    <n v="28"/>
    <n v="211"/>
    <n v="668"/>
    <n v="1083"/>
    <n v="95"/>
    <n v="42"/>
    <n v="51"/>
    <n v="46"/>
    <n v="729"/>
    <n v="659"/>
    <n v="4.0999999999999996"/>
    <n v="9"/>
    <n v="11"/>
    <n v="36"/>
    <n v="4335"/>
    <n v="1379"/>
    <n v="176"/>
    <n v="600"/>
    <n v="1154"/>
    <n v="135"/>
    <n v="151"/>
    <n v="0.97799999999999998"/>
  </r>
  <r>
    <n v="2000"/>
    <x v="15"/>
    <s v="MIL"/>
    <n v="3"/>
    <s v="N"/>
    <s v="N"/>
    <s v="N"/>
    <s v="N"/>
    <n v="73"/>
    <n v="89"/>
    <n v="740"/>
    <n v="5563"/>
    <n v="1366"/>
    <n v="297"/>
    <n v="25"/>
    <n v="177"/>
    <n v="620"/>
    <n v="1245"/>
    <n v="72"/>
    <n v="44"/>
    <n v="61"/>
    <n v="49"/>
    <n v="826"/>
    <n v="755"/>
    <n v="4.63"/>
    <n v="2"/>
    <n v="7"/>
    <n v="29"/>
    <n v="4399"/>
    <n v="1501"/>
    <n v="174"/>
    <n v="728"/>
    <n v="967"/>
    <n v="118"/>
    <n v="187"/>
    <n v="0.98099999999999998"/>
  </r>
  <r>
    <n v="2000"/>
    <x v="16"/>
    <s v="MIN"/>
    <n v="5"/>
    <s v="N"/>
    <s v="N"/>
    <s v="N"/>
    <s v="N"/>
    <n v="69"/>
    <n v="93"/>
    <n v="748"/>
    <n v="5615"/>
    <n v="1516"/>
    <n v="325"/>
    <n v="49"/>
    <n v="116"/>
    <n v="556"/>
    <n v="1021"/>
    <n v="90"/>
    <n v="45"/>
    <n v="35"/>
    <n v="51"/>
    <n v="880"/>
    <n v="819"/>
    <n v="5.14"/>
    <n v="6"/>
    <n v="4"/>
    <n v="35"/>
    <n v="4298"/>
    <n v="1634"/>
    <n v="212"/>
    <n v="516"/>
    <n v="1042"/>
    <n v="102"/>
    <n v="155"/>
    <n v="0.98299999999999998"/>
  </r>
  <r>
    <n v="2000"/>
    <x v="17"/>
    <s v="MON"/>
    <n v="4"/>
    <s v="N"/>
    <s v="N"/>
    <s v="N"/>
    <s v="N"/>
    <n v="67"/>
    <n v="95"/>
    <n v="738"/>
    <n v="5535"/>
    <n v="1475"/>
    <n v="310"/>
    <n v="35"/>
    <n v="178"/>
    <n v="476"/>
    <n v="1048"/>
    <n v="58"/>
    <n v="48"/>
    <n v="29"/>
    <n v="34"/>
    <n v="902"/>
    <n v="812"/>
    <n v="5.13"/>
    <n v="4"/>
    <n v="7"/>
    <n v="39"/>
    <n v="4274"/>
    <n v="1575"/>
    <n v="181"/>
    <n v="579"/>
    <n v="1011"/>
    <n v="132"/>
    <n v="151"/>
    <n v="0.97799999999999998"/>
  </r>
  <r>
    <n v="2000"/>
    <x v="18"/>
    <s v="NYA"/>
    <n v="1"/>
    <s v="Y"/>
    <s v="N"/>
    <s v="Y"/>
    <s v="Y"/>
    <n v="87"/>
    <n v="74"/>
    <n v="871"/>
    <n v="5556"/>
    <n v="1541"/>
    <n v="294"/>
    <n v="25"/>
    <n v="205"/>
    <n v="631"/>
    <n v="1007"/>
    <n v="99"/>
    <n v="48"/>
    <n v="57"/>
    <n v="50"/>
    <n v="814"/>
    <n v="753"/>
    <n v="4.76"/>
    <n v="9"/>
    <n v="6"/>
    <n v="40"/>
    <n v="4273"/>
    <n v="1458"/>
    <n v="177"/>
    <n v="577"/>
    <n v="1040"/>
    <n v="109"/>
    <n v="132"/>
    <n v="0.98099999999999998"/>
  </r>
  <r>
    <n v="2000"/>
    <x v="19"/>
    <s v="NYN"/>
    <n v="2"/>
    <s v="N"/>
    <s v="Y"/>
    <s v="Y"/>
    <s v="N"/>
    <n v="94"/>
    <n v="68"/>
    <n v="807"/>
    <n v="5486"/>
    <n v="1445"/>
    <n v="281"/>
    <n v="20"/>
    <n v="198"/>
    <n v="675"/>
    <n v="1037"/>
    <n v="66"/>
    <n v="46"/>
    <n v="45"/>
    <n v="51"/>
    <n v="738"/>
    <n v="670"/>
    <n v="4.16"/>
    <n v="8"/>
    <n v="10"/>
    <n v="49"/>
    <n v="4350"/>
    <n v="1398"/>
    <n v="164"/>
    <n v="574"/>
    <n v="1164"/>
    <n v="118"/>
    <n v="121"/>
    <n v="0.98"/>
  </r>
  <r>
    <n v="2000"/>
    <x v="20"/>
    <s v="OAK"/>
    <n v="1"/>
    <s v="Y"/>
    <s v="N"/>
    <s v="N"/>
    <s v="N"/>
    <n v="91"/>
    <n v="70"/>
    <n v="947"/>
    <n v="5560"/>
    <n v="1501"/>
    <n v="281"/>
    <n v="23"/>
    <n v="239"/>
    <n v="750"/>
    <n v="1159"/>
    <n v="40"/>
    <n v="15"/>
    <n v="52"/>
    <n v="44"/>
    <n v="813"/>
    <n v="730"/>
    <n v="4.58"/>
    <n v="7"/>
    <n v="11"/>
    <n v="43"/>
    <n v="4306"/>
    <n v="1535"/>
    <n v="158"/>
    <n v="615"/>
    <n v="963"/>
    <n v="134"/>
    <n v="164"/>
    <n v="0.97799999999999998"/>
  </r>
  <r>
    <n v="2000"/>
    <x v="21"/>
    <s v="PHI"/>
    <n v="5"/>
    <s v="N"/>
    <s v="N"/>
    <s v="N"/>
    <s v="N"/>
    <n v="65"/>
    <n v="97"/>
    <n v="708"/>
    <n v="5511"/>
    <n v="1386"/>
    <n v="304"/>
    <n v="40"/>
    <n v="144"/>
    <n v="611"/>
    <n v="1117"/>
    <n v="102"/>
    <n v="30"/>
    <n v="44"/>
    <n v="37"/>
    <n v="830"/>
    <n v="763"/>
    <n v="4.7699999999999996"/>
    <n v="8"/>
    <n v="6"/>
    <n v="34"/>
    <n v="4316"/>
    <n v="1458"/>
    <n v="201"/>
    <n v="640"/>
    <n v="1123"/>
    <n v="100"/>
    <n v="136"/>
    <n v="0.98299999999999998"/>
  </r>
  <r>
    <n v="2000"/>
    <x v="22"/>
    <s v="PIT"/>
    <n v="5"/>
    <s v="N"/>
    <s v="N"/>
    <s v="N"/>
    <s v="N"/>
    <n v="69"/>
    <n v="93"/>
    <n v="793"/>
    <n v="5643"/>
    <n v="1506"/>
    <n v="320"/>
    <n v="31"/>
    <n v="168"/>
    <n v="564"/>
    <n v="1032"/>
    <n v="86"/>
    <n v="40"/>
    <n v="66"/>
    <n v="37"/>
    <n v="888"/>
    <n v="795"/>
    <n v="4.9400000000000004"/>
    <n v="5"/>
    <n v="7"/>
    <n v="27"/>
    <n v="4347"/>
    <n v="1554"/>
    <n v="163"/>
    <n v="711"/>
    <n v="1070"/>
    <n v="132"/>
    <n v="169"/>
    <n v="0.97899999999999998"/>
  </r>
  <r>
    <n v="2000"/>
    <x v="23"/>
    <s v="SDN"/>
    <n v="5"/>
    <s v="N"/>
    <s v="N"/>
    <s v="N"/>
    <s v="N"/>
    <n v="76"/>
    <n v="86"/>
    <n v="752"/>
    <n v="5560"/>
    <n v="1413"/>
    <n v="279"/>
    <n v="37"/>
    <n v="157"/>
    <n v="602"/>
    <n v="1177"/>
    <n v="131"/>
    <n v="53"/>
    <n v="46"/>
    <n v="43"/>
    <n v="815"/>
    <n v="733"/>
    <n v="4.5199999999999996"/>
    <n v="5"/>
    <n v="5"/>
    <n v="46"/>
    <n v="4378"/>
    <n v="1443"/>
    <n v="191"/>
    <n v="649"/>
    <n v="1071"/>
    <n v="141"/>
    <n v="155"/>
    <n v="0.97699999999999998"/>
  </r>
  <r>
    <n v="2000"/>
    <x v="24"/>
    <s v="SEA"/>
    <n v="2"/>
    <s v="N"/>
    <s v="Y"/>
    <s v="N"/>
    <s v="N"/>
    <n v="91"/>
    <n v="71"/>
    <n v="907"/>
    <n v="5497"/>
    <n v="1481"/>
    <n v="300"/>
    <n v="26"/>
    <n v="198"/>
    <n v="775"/>
    <n v="1073"/>
    <n v="122"/>
    <n v="56"/>
    <n v="48"/>
    <n v="61"/>
    <n v="780"/>
    <n v="720"/>
    <n v="4.49"/>
    <n v="4"/>
    <n v="10"/>
    <n v="44"/>
    <n v="4325"/>
    <n v="1442"/>
    <n v="167"/>
    <n v="634"/>
    <n v="998"/>
    <n v="99"/>
    <n v="176"/>
    <n v="0.98399999999999999"/>
  </r>
  <r>
    <n v="2000"/>
    <x v="25"/>
    <s v="SFN"/>
    <n v="1"/>
    <s v="Y"/>
    <s v="N"/>
    <s v="N"/>
    <s v="N"/>
    <n v="97"/>
    <n v="65"/>
    <n v="925"/>
    <n v="5519"/>
    <n v="1535"/>
    <n v="304"/>
    <n v="44"/>
    <n v="226"/>
    <n v="709"/>
    <n v="1032"/>
    <n v="79"/>
    <n v="39"/>
    <n v="51"/>
    <n v="66"/>
    <n v="747"/>
    <n v="675"/>
    <n v="4.21"/>
    <n v="9"/>
    <n v="15"/>
    <n v="47"/>
    <n v="4333"/>
    <n v="1452"/>
    <n v="151"/>
    <n v="623"/>
    <n v="1076"/>
    <n v="93"/>
    <n v="173"/>
    <n v="0.98499999999999999"/>
  </r>
  <r>
    <n v="2000"/>
    <x v="26"/>
    <s v="SLN"/>
    <n v="1"/>
    <s v="Y"/>
    <s v="N"/>
    <s v="N"/>
    <s v="N"/>
    <n v="95"/>
    <n v="67"/>
    <n v="887"/>
    <n v="5478"/>
    <n v="1481"/>
    <n v="259"/>
    <n v="25"/>
    <n v="235"/>
    <n v="675"/>
    <n v="1253"/>
    <n v="87"/>
    <n v="51"/>
    <n v="84"/>
    <n v="53"/>
    <n v="771"/>
    <n v="698"/>
    <n v="4.38"/>
    <n v="10"/>
    <n v="7"/>
    <n v="37"/>
    <n v="4301"/>
    <n v="1403"/>
    <n v="196"/>
    <n v="606"/>
    <n v="1100"/>
    <n v="111"/>
    <n v="148"/>
    <n v="0.98099999999999998"/>
  </r>
  <r>
    <n v="2000"/>
    <x v="27"/>
    <s v="TBA"/>
    <n v="5"/>
    <s v="N"/>
    <s v="N"/>
    <s v="N"/>
    <s v="N"/>
    <n v="69"/>
    <n v="92"/>
    <n v="733"/>
    <n v="5505"/>
    <n v="1414"/>
    <n v="253"/>
    <n v="22"/>
    <n v="162"/>
    <n v="558"/>
    <n v="1022"/>
    <n v="90"/>
    <n v="46"/>
    <n v="51"/>
    <n v="40"/>
    <n v="842"/>
    <n v="773"/>
    <n v="4.8600000000000003"/>
    <n v="10"/>
    <n v="8"/>
    <n v="38"/>
    <n v="4294"/>
    <n v="1553"/>
    <n v="198"/>
    <n v="533"/>
    <n v="955"/>
    <n v="118"/>
    <n v="169"/>
    <n v="0.98099999999999998"/>
  </r>
  <r>
    <n v="2000"/>
    <x v="28"/>
    <s v="TEX"/>
    <n v="4"/>
    <s v="N"/>
    <s v="N"/>
    <s v="N"/>
    <s v="N"/>
    <n v="71"/>
    <n v="91"/>
    <n v="848"/>
    <n v="5648"/>
    <n v="1601"/>
    <n v="330"/>
    <n v="35"/>
    <n v="173"/>
    <n v="580"/>
    <n v="922"/>
    <n v="69"/>
    <n v="47"/>
    <n v="39"/>
    <n v="48"/>
    <n v="974"/>
    <n v="876"/>
    <n v="5.52"/>
    <n v="3"/>
    <n v="4"/>
    <n v="39"/>
    <n v="4287"/>
    <n v="1683"/>
    <n v="202"/>
    <n v="661"/>
    <n v="918"/>
    <n v="135"/>
    <n v="162"/>
    <n v="0.97799999999999998"/>
  </r>
  <r>
    <n v="2000"/>
    <x v="29"/>
    <s v="TOR"/>
    <n v="3"/>
    <s v="N"/>
    <s v="N"/>
    <s v="N"/>
    <s v="N"/>
    <n v="83"/>
    <n v="79"/>
    <n v="861"/>
    <n v="5677"/>
    <n v="1562"/>
    <n v="328"/>
    <n v="21"/>
    <n v="244"/>
    <n v="526"/>
    <n v="1026"/>
    <n v="89"/>
    <n v="34"/>
    <n v="60"/>
    <n v="34"/>
    <n v="908"/>
    <n v="821"/>
    <n v="5.14"/>
    <n v="15"/>
    <n v="4"/>
    <n v="37"/>
    <n v="4312"/>
    <n v="1615"/>
    <n v="195"/>
    <n v="560"/>
    <n v="978"/>
    <n v="100"/>
    <n v="176"/>
    <n v="0.98399999999999999"/>
  </r>
  <r>
    <n v="2001"/>
    <x v="0"/>
    <s v="ANA"/>
    <n v="3"/>
    <s v="N"/>
    <s v="N"/>
    <s v="N"/>
    <s v="N"/>
    <n v="75"/>
    <n v="87"/>
    <n v="691"/>
    <n v="5551"/>
    <n v="1447"/>
    <n v="275"/>
    <n v="26"/>
    <n v="158"/>
    <n v="494"/>
    <n v="1001"/>
    <n v="116"/>
    <n v="52"/>
    <n v="77"/>
    <n v="53"/>
    <n v="730"/>
    <n v="671"/>
    <n v="4.2"/>
    <n v="6"/>
    <n v="1"/>
    <n v="43"/>
    <n v="4313"/>
    <n v="1452"/>
    <n v="168"/>
    <n v="525"/>
    <n v="947"/>
    <n v="103"/>
    <n v="142"/>
    <n v="0.98299999999999998"/>
  </r>
  <r>
    <n v="2001"/>
    <x v="1"/>
    <s v="ARI"/>
    <n v="1"/>
    <s v="Y"/>
    <s v="N"/>
    <s v="Y"/>
    <s v="Y"/>
    <n v="92"/>
    <n v="70"/>
    <n v="818"/>
    <n v="5595"/>
    <n v="1494"/>
    <n v="284"/>
    <n v="35"/>
    <n v="208"/>
    <n v="587"/>
    <n v="1052"/>
    <n v="71"/>
    <n v="38"/>
    <n v="57"/>
    <n v="36"/>
    <n v="677"/>
    <n v="627"/>
    <n v="3.87"/>
    <n v="12"/>
    <n v="13"/>
    <n v="34"/>
    <n v="4379"/>
    <n v="1352"/>
    <n v="195"/>
    <n v="461"/>
    <n v="1297"/>
    <n v="84"/>
    <n v="148"/>
    <n v="0.98599999999999999"/>
  </r>
  <r>
    <n v="2001"/>
    <x v="2"/>
    <s v="ATL"/>
    <n v="1"/>
    <s v="Y"/>
    <s v="N"/>
    <s v="N"/>
    <s v="N"/>
    <n v="88"/>
    <n v="74"/>
    <n v="729"/>
    <n v="5498"/>
    <n v="1432"/>
    <n v="263"/>
    <n v="24"/>
    <n v="174"/>
    <n v="493"/>
    <n v="1039"/>
    <n v="85"/>
    <n v="46"/>
    <n v="45"/>
    <n v="52"/>
    <n v="643"/>
    <n v="578"/>
    <n v="3.59"/>
    <n v="5"/>
    <n v="13"/>
    <n v="41"/>
    <n v="4342"/>
    <n v="1363"/>
    <n v="153"/>
    <n v="499"/>
    <n v="1133"/>
    <n v="103"/>
    <n v="133"/>
    <n v="0.98299999999999998"/>
  </r>
  <r>
    <n v="2001"/>
    <x v="3"/>
    <s v="BAL"/>
    <n v="4"/>
    <s v="N"/>
    <s v="N"/>
    <s v="N"/>
    <s v="N"/>
    <n v="63"/>
    <n v="98"/>
    <n v="687"/>
    <n v="5472"/>
    <n v="1359"/>
    <n v="262"/>
    <n v="24"/>
    <n v="136"/>
    <n v="514"/>
    <n v="989"/>
    <n v="133"/>
    <n v="53"/>
    <n v="77"/>
    <n v="49"/>
    <n v="829"/>
    <n v="744"/>
    <n v="4.67"/>
    <n v="10"/>
    <n v="6"/>
    <n v="31"/>
    <n v="4297"/>
    <n v="1504"/>
    <n v="194"/>
    <n v="528"/>
    <n v="938"/>
    <n v="125"/>
    <n v="137"/>
    <n v="0.97899999999999998"/>
  </r>
  <r>
    <n v="2001"/>
    <x v="4"/>
    <s v="BOS"/>
    <n v="2"/>
    <s v="N"/>
    <s v="N"/>
    <s v="N"/>
    <s v="N"/>
    <n v="82"/>
    <n v="79"/>
    <n v="772"/>
    <n v="5605"/>
    <n v="1493"/>
    <n v="316"/>
    <n v="29"/>
    <n v="198"/>
    <n v="520"/>
    <n v="1131"/>
    <n v="46"/>
    <n v="35"/>
    <n v="70"/>
    <n v="41"/>
    <n v="745"/>
    <n v="667"/>
    <n v="4.1500000000000004"/>
    <n v="3"/>
    <n v="9"/>
    <n v="48"/>
    <n v="4344"/>
    <n v="1412"/>
    <n v="146"/>
    <n v="544"/>
    <n v="1259"/>
    <n v="113"/>
    <n v="129"/>
    <n v="0.98099999999999998"/>
  </r>
  <r>
    <n v="2001"/>
    <x v="5"/>
    <s v="CHA"/>
    <n v="3"/>
    <s v="N"/>
    <s v="N"/>
    <s v="N"/>
    <s v="N"/>
    <n v="83"/>
    <n v="79"/>
    <n v="798"/>
    <n v="5464"/>
    <n v="1463"/>
    <n v="300"/>
    <n v="29"/>
    <n v="214"/>
    <n v="520"/>
    <n v="998"/>
    <n v="123"/>
    <n v="59"/>
    <n v="52"/>
    <n v="51"/>
    <n v="795"/>
    <n v="725"/>
    <n v="4.55"/>
    <n v="8"/>
    <n v="9"/>
    <n v="51"/>
    <n v="4300"/>
    <n v="1465"/>
    <n v="181"/>
    <n v="500"/>
    <n v="921"/>
    <n v="118"/>
    <n v="149"/>
    <n v="0.98099999999999998"/>
  </r>
  <r>
    <n v="2001"/>
    <x v="6"/>
    <s v="CHN"/>
    <n v="3"/>
    <s v="N"/>
    <s v="N"/>
    <s v="N"/>
    <s v="N"/>
    <n v="88"/>
    <n v="74"/>
    <n v="777"/>
    <n v="5406"/>
    <n v="1409"/>
    <n v="268"/>
    <n v="32"/>
    <n v="194"/>
    <n v="577"/>
    <n v="1077"/>
    <n v="67"/>
    <n v="36"/>
    <n v="66"/>
    <n v="53"/>
    <n v="701"/>
    <n v="643"/>
    <n v="4.03"/>
    <n v="8"/>
    <n v="6"/>
    <n v="41"/>
    <n v="4311"/>
    <n v="1357"/>
    <n v="164"/>
    <n v="550"/>
    <n v="1344"/>
    <n v="109"/>
    <n v="113"/>
    <n v="0.98199999999999998"/>
  </r>
  <r>
    <n v="2001"/>
    <x v="7"/>
    <s v="CIN"/>
    <n v="5"/>
    <s v="N"/>
    <s v="N"/>
    <s v="N"/>
    <s v="N"/>
    <n v="66"/>
    <n v="96"/>
    <n v="735"/>
    <n v="5583"/>
    <n v="1464"/>
    <n v="304"/>
    <n v="22"/>
    <n v="176"/>
    <n v="468"/>
    <n v="1172"/>
    <n v="103"/>
    <n v="54"/>
    <n v="65"/>
    <n v="40"/>
    <n v="850"/>
    <n v="765"/>
    <n v="4.7699999999999996"/>
    <n v="2"/>
    <n v="2"/>
    <n v="35"/>
    <n v="4328"/>
    <n v="1572"/>
    <n v="198"/>
    <n v="515"/>
    <n v="943"/>
    <n v="138"/>
    <n v="136"/>
    <n v="0.97799999999999998"/>
  </r>
  <r>
    <n v="2001"/>
    <x v="8"/>
    <s v="CLE"/>
    <n v="1"/>
    <s v="Y"/>
    <s v="N"/>
    <s v="N"/>
    <s v="N"/>
    <n v="91"/>
    <n v="71"/>
    <n v="897"/>
    <n v="5600"/>
    <n v="1559"/>
    <n v="294"/>
    <n v="37"/>
    <n v="212"/>
    <n v="577"/>
    <n v="1076"/>
    <n v="79"/>
    <n v="41"/>
    <n v="69"/>
    <n v="62"/>
    <n v="821"/>
    <n v="746"/>
    <n v="4.6399999999999997"/>
    <n v="3"/>
    <n v="4"/>
    <n v="42"/>
    <n v="4340"/>
    <n v="1512"/>
    <n v="148"/>
    <n v="573"/>
    <n v="1218"/>
    <n v="107"/>
    <n v="137"/>
    <n v="0.98199999999999998"/>
  </r>
  <r>
    <n v="2001"/>
    <x v="9"/>
    <s v="COL"/>
    <n v="5"/>
    <s v="N"/>
    <s v="N"/>
    <s v="N"/>
    <s v="N"/>
    <n v="73"/>
    <n v="89"/>
    <n v="923"/>
    <n v="5690"/>
    <n v="1663"/>
    <n v="324"/>
    <n v="61"/>
    <n v="213"/>
    <n v="511"/>
    <n v="1027"/>
    <n v="132"/>
    <n v="54"/>
    <n v="61"/>
    <n v="50"/>
    <n v="906"/>
    <n v="841"/>
    <n v="5.29"/>
    <n v="8"/>
    <n v="8"/>
    <n v="26"/>
    <n v="4290"/>
    <n v="1522"/>
    <n v="239"/>
    <n v="598"/>
    <n v="1058"/>
    <n v="96"/>
    <n v="167"/>
    <n v="0.98399999999999999"/>
  </r>
  <r>
    <n v="2001"/>
    <x v="10"/>
    <s v="DET"/>
    <n v="4"/>
    <s v="N"/>
    <s v="N"/>
    <s v="N"/>
    <s v="N"/>
    <n v="66"/>
    <n v="96"/>
    <n v="724"/>
    <n v="5537"/>
    <n v="1439"/>
    <n v="291"/>
    <n v="60"/>
    <n v="139"/>
    <n v="466"/>
    <n v="972"/>
    <n v="133"/>
    <n v="61"/>
    <n v="51"/>
    <n v="49"/>
    <n v="876"/>
    <n v="795"/>
    <n v="5.01"/>
    <n v="16"/>
    <n v="2"/>
    <n v="34"/>
    <n v="4288"/>
    <n v="1624"/>
    <n v="180"/>
    <n v="553"/>
    <n v="859"/>
    <n v="131"/>
    <n v="164"/>
    <n v="0.97899999999999998"/>
  </r>
  <r>
    <n v="2001"/>
    <x v="11"/>
    <s v="FLO"/>
    <n v="4"/>
    <s v="N"/>
    <s v="N"/>
    <s v="N"/>
    <s v="N"/>
    <n v="76"/>
    <n v="86"/>
    <n v="742"/>
    <n v="5542"/>
    <n v="1461"/>
    <n v="325"/>
    <n v="30"/>
    <n v="166"/>
    <n v="470"/>
    <n v="1145"/>
    <n v="89"/>
    <n v="40"/>
    <n v="67"/>
    <n v="45"/>
    <n v="744"/>
    <n v="691"/>
    <n v="4.32"/>
    <n v="5"/>
    <n v="11"/>
    <n v="32"/>
    <n v="4314"/>
    <n v="1397"/>
    <n v="151"/>
    <n v="617"/>
    <n v="1119"/>
    <n v="103"/>
    <n v="174"/>
    <n v="0.98299999999999998"/>
  </r>
  <r>
    <n v="2001"/>
    <x v="12"/>
    <s v="HOU"/>
    <n v="1"/>
    <s v="Y"/>
    <s v="N"/>
    <s v="N"/>
    <s v="N"/>
    <n v="93"/>
    <n v="69"/>
    <n v="847"/>
    <n v="5528"/>
    <n v="1500"/>
    <n v="313"/>
    <n v="29"/>
    <n v="208"/>
    <n v="581"/>
    <n v="1119"/>
    <n v="64"/>
    <n v="49"/>
    <n v="89"/>
    <n v="56"/>
    <n v="769"/>
    <n v="707"/>
    <n v="4.37"/>
    <n v="7"/>
    <n v="6"/>
    <n v="48"/>
    <n v="4364"/>
    <n v="1453"/>
    <n v="221"/>
    <n v="486"/>
    <n v="1228"/>
    <n v="110"/>
    <n v="138"/>
    <n v="0.98199999999999998"/>
  </r>
  <r>
    <n v="2001"/>
    <x v="13"/>
    <s v="KCA"/>
    <n v="5"/>
    <s v="N"/>
    <s v="N"/>
    <s v="N"/>
    <s v="N"/>
    <n v="65"/>
    <n v="97"/>
    <n v="729"/>
    <n v="5643"/>
    <n v="1503"/>
    <n v="277"/>
    <n v="37"/>
    <n v="152"/>
    <n v="406"/>
    <n v="898"/>
    <n v="100"/>
    <n v="42"/>
    <n v="44"/>
    <n v="47"/>
    <n v="858"/>
    <n v="779"/>
    <n v="4.87"/>
    <n v="5"/>
    <n v="1"/>
    <n v="30"/>
    <n v="4320"/>
    <n v="1537"/>
    <n v="209"/>
    <n v="576"/>
    <n v="911"/>
    <n v="117"/>
    <n v="204"/>
    <n v="0.98099999999999998"/>
  </r>
  <r>
    <n v="2001"/>
    <x v="14"/>
    <s v="LAN"/>
    <n v="3"/>
    <s v="N"/>
    <s v="N"/>
    <s v="N"/>
    <s v="N"/>
    <n v="86"/>
    <n v="76"/>
    <n v="758"/>
    <n v="5493"/>
    <n v="1399"/>
    <n v="264"/>
    <n v="27"/>
    <n v="206"/>
    <n v="519"/>
    <n v="1062"/>
    <n v="89"/>
    <n v="42"/>
    <n v="56"/>
    <n v="44"/>
    <n v="744"/>
    <n v="685"/>
    <n v="4.25"/>
    <n v="3"/>
    <n v="5"/>
    <n v="46"/>
    <n v="4352"/>
    <n v="1387"/>
    <n v="184"/>
    <n v="524"/>
    <n v="1212"/>
    <n v="116"/>
    <n v="138"/>
    <n v="0.98099999999999998"/>
  </r>
  <r>
    <n v="2001"/>
    <x v="15"/>
    <s v="MIL"/>
    <n v="4"/>
    <s v="N"/>
    <s v="N"/>
    <s v="N"/>
    <s v="N"/>
    <n v="68"/>
    <n v="94"/>
    <n v="740"/>
    <n v="5488"/>
    <n v="1378"/>
    <n v="273"/>
    <n v="30"/>
    <n v="209"/>
    <n v="488"/>
    <n v="1399"/>
    <n v="66"/>
    <n v="36"/>
    <n v="72"/>
    <n v="35"/>
    <n v="806"/>
    <n v="740"/>
    <n v="4.6399999999999997"/>
    <n v="3"/>
    <n v="8"/>
    <n v="28"/>
    <n v="4309"/>
    <n v="1452"/>
    <n v="197"/>
    <n v="667"/>
    <n v="1057"/>
    <n v="103"/>
    <n v="156"/>
    <n v="0.98299999999999998"/>
  </r>
  <r>
    <n v="2001"/>
    <x v="16"/>
    <s v="MIN"/>
    <n v="2"/>
    <s v="N"/>
    <s v="N"/>
    <s v="N"/>
    <s v="N"/>
    <n v="85"/>
    <n v="77"/>
    <n v="771"/>
    <n v="5560"/>
    <n v="1514"/>
    <n v="328"/>
    <n v="38"/>
    <n v="164"/>
    <n v="495"/>
    <n v="1083"/>
    <n v="146"/>
    <n v="67"/>
    <n v="64"/>
    <n v="38"/>
    <n v="766"/>
    <n v="722"/>
    <n v="4.51"/>
    <n v="12"/>
    <n v="8"/>
    <n v="45"/>
    <n v="4324"/>
    <n v="1494"/>
    <n v="192"/>
    <n v="445"/>
    <n v="965"/>
    <n v="108"/>
    <n v="118"/>
    <n v="0.98199999999999998"/>
  </r>
  <r>
    <n v="2001"/>
    <x v="17"/>
    <s v="MON"/>
    <n v="5"/>
    <s v="N"/>
    <s v="N"/>
    <s v="N"/>
    <s v="N"/>
    <n v="68"/>
    <n v="94"/>
    <n v="670"/>
    <n v="5379"/>
    <n v="1361"/>
    <n v="320"/>
    <n v="28"/>
    <n v="131"/>
    <n v="478"/>
    <n v="1071"/>
    <n v="101"/>
    <n v="51"/>
    <n v="60"/>
    <n v="45"/>
    <n v="812"/>
    <n v="745"/>
    <n v="4.68"/>
    <n v="5"/>
    <n v="11"/>
    <n v="28"/>
    <n v="4294"/>
    <n v="1509"/>
    <n v="190"/>
    <n v="525"/>
    <n v="1103"/>
    <n v="108"/>
    <n v="139"/>
    <n v="0.98199999999999998"/>
  </r>
  <r>
    <n v="2001"/>
    <x v="18"/>
    <s v="NYA"/>
    <n v="1"/>
    <s v="Y"/>
    <s v="N"/>
    <s v="Y"/>
    <s v="N"/>
    <n v="95"/>
    <n v="65"/>
    <n v="804"/>
    <n v="5577"/>
    <n v="1488"/>
    <n v="289"/>
    <n v="20"/>
    <n v="203"/>
    <n v="519"/>
    <n v="1035"/>
    <n v="161"/>
    <n v="53"/>
    <n v="64"/>
    <n v="43"/>
    <n v="713"/>
    <n v="649"/>
    <n v="4.0199999999999996"/>
    <n v="7"/>
    <n v="9"/>
    <n v="57"/>
    <n v="4354"/>
    <n v="1429"/>
    <n v="158"/>
    <n v="465"/>
    <n v="1266"/>
    <n v="109"/>
    <n v="132"/>
    <n v="0.98199999999999998"/>
  </r>
  <r>
    <n v="2001"/>
    <x v="19"/>
    <s v="NYN"/>
    <n v="3"/>
    <s v="N"/>
    <s v="N"/>
    <s v="N"/>
    <s v="N"/>
    <n v="82"/>
    <n v="80"/>
    <n v="642"/>
    <n v="5459"/>
    <n v="1361"/>
    <n v="273"/>
    <n v="18"/>
    <n v="147"/>
    <n v="545"/>
    <n v="1062"/>
    <n v="66"/>
    <n v="48"/>
    <n v="65"/>
    <n v="35"/>
    <n v="713"/>
    <n v="654"/>
    <n v="4.07"/>
    <n v="6"/>
    <n v="14"/>
    <n v="48"/>
    <n v="4337"/>
    <n v="1418"/>
    <n v="186"/>
    <n v="438"/>
    <n v="1191"/>
    <n v="101"/>
    <n v="132"/>
    <n v="0.98299999999999998"/>
  </r>
  <r>
    <n v="2001"/>
    <x v="20"/>
    <s v="OAK"/>
    <n v="2"/>
    <s v="N"/>
    <s v="Y"/>
    <s v="N"/>
    <s v="N"/>
    <n v="102"/>
    <n v="60"/>
    <n v="884"/>
    <n v="5573"/>
    <n v="1469"/>
    <n v="334"/>
    <n v="22"/>
    <n v="199"/>
    <n v="640"/>
    <n v="1021"/>
    <n v="68"/>
    <n v="29"/>
    <n v="88"/>
    <n v="59"/>
    <n v="645"/>
    <n v="583"/>
    <n v="3.59"/>
    <n v="13"/>
    <n v="9"/>
    <n v="44"/>
    <n v="4390"/>
    <n v="1384"/>
    <n v="153"/>
    <n v="440"/>
    <n v="1117"/>
    <n v="125"/>
    <n v="151"/>
    <n v="0.98"/>
  </r>
  <r>
    <n v="2001"/>
    <x v="21"/>
    <s v="PHI"/>
    <n v="2"/>
    <s v="N"/>
    <s v="N"/>
    <s v="N"/>
    <s v="N"/>
    <n v="86"/>
    <n v="76"/>
    <n v="746"/>
    <n v="5497"/>
    <n v="1431"/>
    <n v="295"/>
    <n v="29"/>
    <n v="164"/>
    <n v="551"/>
    <n v="1125"/>
    <n v="153"/>
    <n v="47"/>
    <n v="43"/>
    <n v="61"/>
    <n v="719"/>
    <n v="667"/>
    <n v="4.1500000000000004"/>
    <n v="8"/>
    <n v="7"/>
    <n v="47"/>
    <n v="4336"/>
    <n v="1417"/>
    <n v="170"/>
    <n v="527"/>
    <n v="1086"/>
    <n v="91"/>
    <n v="145"/>
    <n v="0.98499999999999999"/>
  </r>
  <r>
    <n v="2001"/>
    <x v="22"/>
    <s v="PIT"/>
    <n v="6"/>
    <s v="N"/>
    <s v="N"/>
    <s v="N"/>
    <s v="N"/>
    <n v="62"/>
    <n v="100"/>
    <n v="657"/>
    <n v="5398"/>
    <n v="1333"/>
    <n v="256"/>
    <n v="25"/>
    <n v="161"/>
    <n v="467"/>
    <n v="1106"/>
    <n v="93"/>
    <n v="73"/>
    <n v="67"/>
    <n v="35"/>
    <n v="858"/>
    <n v="794"/>
    <n v="5.05"/>
    <n v="8"/>
    <n v="9"/>
    <n v="36"/>
    <n v="4249"/>
    <n v="1493"/>
    <n v="167"/>
    <n v="549"/>
    <n v="908"/>
    <n v="133"/>
    <n v="168"/>
    <n v="0.97799999999999998"/>
  </r>
  <r>
    <n v="2001"/>
    <x v="23"/>
    <s v="SDN"/>
    <n v="4"/>
    <s v="N"/>
    <s v="N"/>
    <s v="N"/>
    <s v="N"/>
    <n v="79"/>
    <n v="83"/>
    <n v="789"/>
    <n v="5482"/>
    <n v="1379"/>
    <n v="273"/>
    <n v="26"/>
    <n v="161"/>
    <n v="678"/>
    <n v="1273"/>
    <n v="129"/>
    <n v="44"/>
    <n v="41"/>
    <n v="48"/>
    <n v="812"/>
    <n v="724"/>
    <n v="4.5199999999999996"/>
    <n v="5"/>
    <n v="6"/>
    <n v="46"/>
    <n v="4322"/>
    <n v="1519"/>
    <n v="219"/>
    <n v="476"/>
    <n v="1088"/>
    <n v="145"/>
    <n v="127"/>
    <n v="0.97599999999999998"/>
  </r>
  <r>
    <n v="2001"/>
    <x v="24"/>
    <s v="SEA"/>
    <n v="1"/>
    <s v="Y"/>
    <s v="N"/>
    <s v="N"/>
    <s v="N"/>
    <n v="116"/>
    <n v="46"/>
    <n v="927"/>
    <n v="5680"/>
    <n v="1637"/>
    <n v="310"/>
    <n v="38"/>
    <n v="169"/>
    <n v="614"/>
    <n v="989"/>
    <n v="174"/>
    <n v="42"/>
    <n v="62"/>
    <n v="70"/>
    <n v="627"/>
    <n v="576"/>
    <n v="3.54"/>
    <n v="8"/>
    <n v="14"/>
    <n v="56"/>
    <n v="4395"/>
    <n v="1293"/>
    <n v="160"/>
    <n v="465"/>
    <n v="1051"/>
    <n v="83"/>
    <n v="137"/>
    <n v="0.98599999999999999"/>
  </r>
  <r>
    <n v="2001"/>
    <x v="25"/>
    <s v="SFN"/>
    <n v="2"/>
    <s v="N"/>
    <s v="N"/>
    <s v="N"/>
    <s v="N"/>
    <n v="90"/>
    <n v="72"/>
    <n v="799"/>
    <n v="5612"/>
    <n v="1493"/>
    <n v="304"/>
    <n v="40"/>
    <n v="235"/>
    <n v="625"/>
    <n v="1090"/>
    <n v="57"/>
    <n v="42"/>
    <n v="50"/>
    <n v="54"/>
    <n v="748"/>
    <n v="680"/>
    <n v="4.18"/>
    <n v="3"/>
    <n v="8"/>
    <n v="47"/>
    <n v="4390"/>
    <n v="1437"/>
    <n v="145"/>
    <n v="579"/>
    <n v="1080"/>
    <n v="118"/>
    <n v="170"/>
    <n v="0.98099999999999998"/>
  </r>
  <r>
    <n v="2001"/>
    <x v="26"/>
    <s v="SLN"/>
    <n v="2"/>
    <s v="N"/>
    <s v="Y"/>
    <s v="N"/>
    <s v="N"/>
    <n v="93"/>
    <n v="69"/>
    <n v="814"/>
    <n v="5450"/>
    <n v="1469"/>
    <n v="274"/>
    <n v="32"/>
    <n v="199"/>
    <n v="529"/>
    <n v="1089"/>
    <n v="91"/>
    <n v="35"/>
    <n v="65"/>
    <n v="50"/>
    <n v="684"/>
    <n v="627"/>
    <n v="3.93"/>
    <n v="8"/>
    <n v="11"/>
    <n v="38"/>
    <n v="4306"/>
    <n v="1389"/>
    <n v="196"/>
    <n v="526"/>
    <n v="1083"/>
    <n v="110"/>
    <n v="156"/>
    <n v="0.98199999999999998"/>
  </r>
  <r>
    <n v="2001"/>
    <x v="27"/>
    <s v="TBA"/>
    <n v="5"/>
    <s v="N"/>
    <s v="N"/>
    <s v="N"/>
    <s v="N"/>
    <n v="62"/>
    <n v="100"/>
    <n v="672"/>
    <n v="5524"/>
    <n v="1426"/>
    <n v="311"/>
    <n v="21"/>
    <n v="121"/>
    <n v="456"/>
    <n v="1116"/>
    <n v="115"/>
    <n v="52"/>
    <n v="54"/>
    <n v="25"/>
    <n v="887"/>
    <n v="781"/>
    <n v="4.9400000000000004"/>
    <n v="1"/>
    <n v="6"/>
    <n v="30"/>
    <n v="4271"/>
    <n v="1513"/>
    <n v="207"/>
    <n v="569"/>
    <n v="1030"/>
    <n v="139"/>
    <n v="144"/>
    <n v="0.97699999999999998"/>
  </r>
  <r>
    <n v="2001"/>
    <x v="28"/>
    <s v="TEX"/>
    <n v="4"/>
    <s v="N"/>
    <s v="N"/>
    <s v="N"/>
    <s v="N"/>
    <n v="73"/>
    <n v="89"/>
    <n v="890"/>
    <n v="5685"/>
    <n v="1566"/>
    <n v="326"/>
    <n v="23"/>
    <n v="246"/>
    <n v="548"/>
    <n v="1093"/>
    <n v="97"/>
    <n v="32"/>
    <n v="75"/>
    <n v="55"/>
    <n v="968"/>
    <n v="913"/>
    <n v="5.71"/>
    <n v="4"/>
    <n v="3"/>
    <n v="37"/>
    <n v="4315"/>
    <n v="1670"/>
    <n v="222"/>
    <n v="596"/>
    <n v="951"/>
    <n v="114"/>
    <n v="167"/>
    <n v="0.98099999999999998"/>
  </r>
  <r>
    <n v="2001"/>
    <x v="29"/>
    <s v="TOR"/>
    <n v="3"/>
    <s v="N"/>
    <s v="N"/>
    <s v="N"/>
    <s v="N"/>
    <n v="80"/>
    <n v="82"/>
    <n v="767"/>
    <n v="5663"/>
    <n v="1489"/>
    <n v="287"/>
    <n v="36"/>
    <n v="195"/>
    <n v="470"/>
    <n v="1094"/>
    <n v="156"/>
    <n v="55"/>
    <n v="74"/>
    <n v="43"/>
    <n v="753"/>
    <n v="696"/>
    <n v="4.28"/>
    <n v="7"/>
    <n v="10"/>
    <n v="41"/>
    <n v="4388"/>
    <n v="1553"/>
    <n v="165"/>
    <n v="490"/>
    <n v="1041"/>
    <n v="97"/>
    <n v="184"/>
    <n v="0.98499999999999999"/>
  </r>
  <r>
    <n v="2002"/>
    <x v="0"/>
    <s v="ANA"/>
    <n v="2"/>
    <s v="N"/>
    <s v="Y"/>
    <s v="Y"/>
    <s v="Y"/>
    <n v="99"/>
    <n v="63"/>
    <n v="851"/>
    <n v="5678"/>
    <n v="1603"/>
    <n v="333"/>
    <n v="32"/>
    <n v="152"/>
    <n v="462"/>
    <n v="805"/>
    <n v="117"/>
    <n v="51"/>
    <n v="74"/>
    <n v="64"/>
    <n v="644"/>
    <n v="595"/>
    <n v="3.69"/>
    <n v="7"/>
    <n v="14"/>
    <n v="54"/>
    <n v="4357"/>
    <n v="1345"/>
    <n v="169"/>
    <n v="509"/>
    <n v="999"/>
    <n v="87"/>
    <n v="151"/>
    <n v="0.98599999999999999"/>
  </r>
  <r>
    <n v="2002"/>
    <x v="1"/>
    <s v="ARI"/>
    <n v="1"/>
    <s v="Y"/>
    <s v="N"/>
    <s v="N"/>
    <s v="N"/>
    <n v="98"/>
    <n v="64"/>
    <n v="819"/>
    <n v="5508"/>
    <n v="1471"/>
    <n v="283"/>
    <n v="41"/>
    <n v="165"/>
    <n v="643"/>
    <n v="1016"/>
    <n v="92"/>
    <n v="46"/>
    <n v="50"/>
    <n v="53"/>
    <n v="674"/>
    <n v="630"/>
    <n v="3.92"/>
    <n v="14"/>
    <n v="10"/>
    <n v="40"/>
    <n v="4340"/>
    <n v="1361"/>
    <n v="170"/>
    <n v="421"/>
    <n v="1303"/>
    <n v="89"/>
    <n v="116"/>
    <n v="0.98499999999999999"/>
  </r>
  <r>
    <n v="2002"/>
    <x v="2"/>
    <s v="ATL"/>
    <n v="1"/>
    <s v="Y"/>
    <s v="N"/>
    <s v="N"/>
    <s v="N"/>
    <n v="101"/>
    <n v="59"/>
    <n v="708"/>
    <n v="5495"/>
    <n v="1428"/>
    <n v="280"/>
    <n v="25"/>
    <n v="164"/>
    <n v="558"/>
    <n v="1028"/>
    <n v="76"/>
    <n v="39"/>
    <n v="54"/>
    <n v="49"/>
    <n v="565"/>
    <n v="511"/>
    <n v="3.13"/>
    <n v="3"/>
    <n v="15"/>
    <n v="57"/>
    <n v="4402"/>
    <n v="1302"/>
    <n v="123"/>
    <n v="554"/>
    <n v="1058"/>
    <n v="114"/>
    <n v="170"/>
    <n v="0.98199999999999998"/>
  </r>
  <r>
    <n v="2002"/>
    <x v="3"/>
    <s v="BAL"/>
    <n v="4"/>
    <s v="N"/>
    <s v="N"/>
    <s v="N"/>
    <s v="N"/>
    <n v="67"/>
    <n v="95"/>
    <n v="667"/>
    <n v="5491"/>
    <n v="1353"/>
    <n v="311"/>
    <n v="27"/>
    <n v="165"/>
    <n v="452"/>
    <n v="993"/>
    <n v="110"/>
    <n v="48"/>
    <n v="64"/>
    <n v="49"/>
    <n v="773"/>
    <n v="719"/>
    <n v="4.46"/>
    <n v="8"/>
    <n v="3"/>
    <n v="31"/>
    <n v="4352"/>
    <n v="1491"/>
    <n v="208"/>
    <n v="549"/>
    <n v="967"/>
    <n v="91"/>
    <n v="173"/>
    <n v="0.98499999999999999"/>
  </r>
  <r>
    <n v="2002"/>
    <x v="4"/>
    <s v="BOS"/>
    <n v="2"/>
    <s v="N"/>
    <s v="N"/>
    <s v="N"/>
    <s v="N"/>
    <n v="93"/>
    <n v="69"/>
    <n v="859"/>
    <n v="5640"/>
    <n v="1560"/>
    <n v="348"/>
    <n v="33"/>
    <n v="177"/>
    <n v="545"/>
    <n v="944"/>
    <n v="80"/>
    <n v="28"/>
    <n v="72"/>
    <n v="53"/>
    <n v="665"/>
    <n v="603"/>
    <n v="3.75"/>
    <n v="5"/>
    <n v="17"/>
    <n v="51"/>
    <n v="4338"/>
    <n v="1339"/>
    <n v="146"/>
    <n v="430"/>
    <n v="1157"/>
    <n v="104"/>
    <n v="140"/>
    <n v="0.98299999999999998"/>
  </r>
  <r>
    <n v="2002"/>
    <x v="5"/>
    <s v="CHA"/>
    <n v="2"/>
    <s v="N"/>
    <s v="N"/>
    <s v="N"/>
    <s v="N"/>
    <n v="81"/>
    <n v="81"/>
    <n v="856"/>
    <n v="5502"/>
    <n v="1475"/>
    <n v="289"/>
    <n v="29"/>
    <n v="217"/>
    <n v="555"/>
    <n v="952"/>
    <n v="75"/>
    <n v="31"/>
    <n v="49"/>
    <n v="53"/>
    <n v="798"/>
    <n v="716"/>
    <n v="4.53"/>
    <n v="7"/>
    <n v="7"/>
    <n v="35"/>
    <n v="4269"/>
    <n v="1422"/>
    <n v="190"/>
    <n v="528"/>
    <n v="945"/>
    <n v="97"/>
    <n v="157"/>
    <n v="0.98399999999999999"/>
  </r>
  <r>
    <n v="2002"/>
    <x v="6"/>
    <s v="CHN"/>
    <n v="5"/>
    <s v="N"/>
    <s v="N"/>
    <s v="N"/>
    <s v="N"/>
    <n v="67"/>
    <n v="95"/>
    <n v="706"/>
    <n v="5496"/>
    <n v="1351"/>
    <n v="259"/>
    <n v="29"/>
    <n v="200"/>
    <n v="585"/>
    <n v="1269"/>
    <n v="63"/>
    <n v="21"/>
    <n v="44"/>
    <n v="39"/>
    <n v="759"/>
    <n v="687"/>
    <n v="4.29"/>
    <n v="11"/>
    <n v="9"/>
    <n v="23"/>
    <n v="4324"/>
    <n v="1373"/>
    <n v="167"/>
    <n v="606"/>
    <n v="1333"/>
    <n v="114"/>
    <n v="144"/>
    <n v="0.98099999999999998"/>
  </r>
  <r>
    <n v="2002"/>
    <x v="7"/>
    <s v="CIN"/>
    <n v="3"/>
    <s v="N"/>
    <s v="N"/>
    <s v="N"/>
    <s v="N"/>
    <n v="78"/>
    <n v="84"/>
    <n v="709"/>
    <n v="5470"/>
    <n v="1386"/>
    <n v="297"/>
    <n v="21"/>
    <n v="169"/>
    <n v="583"/>
    <n v="1188"/>
    <n v="116"/>
    <n v="52"/>
    <n v="66"/>
    <n v="40"/>
    <n v="774"/>
    <n v="690"/>
    <n v="4.2699999999999996"/>
    <n v="2"/>
    <n v="8"/>
    <n v="42"/>
    <n v="4361"/>
    <n v="1502"/>
    <n v="173"/>
    <n v="550"/>
    <n v="980"/>
    <n v="120"/>
    <n v="169"/>
    <n v="0.98099999999999998"/>
  </r>
  <r>
    <n v="2002"/>
    <x v="8"/>
    <s v="CLE"/>
    <n v="3"/>
    <s v="N"/>
    <s v="N"/>
    <s v="N"/>
    <s v="N"/>
    <n v="74"/>
    <n v="88"/>
    <n v="739"/>
    <n v="5423"/>
    <n v="1349"/>
    <n v="255"/>
    <n v="26"/>
    <n v="192"/>
    <n v="542"/>
    <n v="1000"/>
    <n v="52"/>
    <n v="37"/>
    <n v="56"/>
    <n v="39"/>
    <n v="837"/>
    <n v="777"/>
    <n v="4.91"/>
    <n v="9"/>
    <n v="4"/>
    <n v="34"/>
    <n v="4274"/>
    <n v="1508"/>
    <n v="142"/>
    <n v="603"/>
    <n v="1058"/>
    <n v="113"/>
    <n v="161"/>
    <n v="0.98099999999999998"/>
  </r>
  <r>
    <n v="2002"/>
    <x v="9"/>
    <s v="COL"/>
    <n v="4"/>
    <s v="N"/>
    <s v="N"/>
    <s v="N"/>
    <s v="N"/>
    <n v="73"/>
    <n v="89"/>
    <n v="778"/>
    <n v="5512"/>
    <n v="1508"/>
    <n v="283"/>
    <n v="41"/>
    <n v="152"/>
    <n v="497"/>
    <n v="1043"/>
    <n v="103"/>
    <n v="53"/>
    <n v="56"/>
    <n v="50"/>
    <n v="898"/>
    <n v="825"/>
    <n v="5.2"/>
    <n v="1"/>
    <n v="8"/>
    <n v="43"/>
    <n v="4280"/>
    <n v="1554"/>
    <n v="225"/>
    <n v="582"/>
    <n v="920"/>
    <n v="112"/>
    <n v="158"/>
    <n v="0.98199999999999998"/>
  </r>
  <r>
    <n v="2002"/>
    <x v="10"/>
    <s v="DET"/>
    <n v="5"/>
    <s v="N"/>
    <s v="N"/>
    <s v="N"/>
    <s v="N"/>
    <n v="55"/>
    <n v="106"/>
    <n v="575"/>
    <n v="5406"/>
    <n v="1340"/>
    <n v="265"/>
    <n v="37"/>
    <n v="124"/>
    <n v="363"/>
    <n v="1035"/>
    <n v="65"/>
    <n v="44"/>
    <n v="64"/>
    <n v="57"/>
    <n v="864"/>
    <n v="773"/>
    <n v="4.92"/>
    <n v="11"/>
    <n v="7"/>
    <n v="33"/>
    <n v="4242"/>
    <n v="1593"/>
    <n v="163"/>
    <n v="463"/>
    <n v="794"/>
    <n v="142"/>
    <n v="148"/>
    <n v="0.97699999999999998"/>
  </r>
  <r>
    <n v="2002"/>
    <x v="11"/>
    <s v="FLO"/>
    <n v="4"/>
    <s v="N"/>
    <s v="N"/>
    <s v="N"/>
    <s v="N"/>
    <n v="79"/>
    <n v="83"/>
    <n v="699"/>
    <n v="5496"/>
    <n v="1433"/>
    <n v="280"/>
    <n v="32"/>
    <n v="146"/>
    <n v="595"/>
    <n v="1130"/>
    <n v="177"/>
    <n v="73"/>
    <n v="61"/>
    <n v="49"/>
    <n v="763"/>
    <n v="706"/>
    <n v="4.3600000000000003"/>
    <n v="11"/>
    <n v="12"/>
    <n v="36"/>
    <n v="4369"/>
    <n v="1449"/>
    <n v="151"/>
    <n v="631"/>
    <n v="1104"/>
    <n v="106"/>
    <n v="163"/>
    <n v="0.98299999999999998"/>
  </r>
  <r>
    <n v="2002"/>
    <x v="12"/>
    <s v="HOU"/>
    <n v="2"/>
    <s v="N"/>
    <s v="N"/>
    <s v="N"/>
    <s v="N"/>
    <n v="84"/>
    <n v="78"/>
    <n v="749"/>
    <n v="5503"/>
    <n v="1441"/>
    <n v="291"/>
    <n v="32"/>
    <n v="167"/>
    <n v="589"/>
    <n v="1120"/>
    <n v="71"/>
    <n v="27"/>
    <n v="59"/>
    <n v="37"/>
    <n v="695"/>
    <n v="642"/>
    <n v="4"/>
    <n v="2"/>
    <n v="11"/>
    <n v="43"/>
    <n v="4335"/>
    <n v="1423"/>
    <n v="151"/>
    <n v="546"/>
    <n v="1219"/>
    <n v="83"/>
    <n v="149"/>
    <n v="0.98599999999999999"/>
  </r>
  <r>
    <n v="2002"/>
    <x v="13"/>
    <s v="KCA"/>
    <n v="4"/>
    <s v="N"/>
    <s v="N"/>
    <s v="N"/>
    <s v="N"/>
    <n v="62"/>
    <n v="100"/>
    <n v="737"/>
    <n v="5535"/>
    <n v="1415"/>
    <n v="285"/>
    <n v="42"/>
    <n v="140"/>
    <n v="524"/>
    <n v="921"/>
    <n v="140"/>
    <n v="65"/>
    <n v="52"/>
    <n v="51"/>
    <n v="891"/>
    <n v="834"/>
    <n v="5.21"/>
    <n v="12"/>
    <n v="6"/>
    <n v="30"/>
    <n v="4323"/>
    <n v="1587"/>
    <n v="212"/>
    <n v="572"/>
    <n v="909"/>
    <n v="130"/>
    <n v="153"/>
    <n v="0.97899999999999998"/>
  </r>
  <r>
    <n v="2002"/>
    <x v="14"/>
    <s v="LAN"/>
    <n v="3"/>
    <s v="N"/>
    <s v="N"/>
    <s v="N"/>
    <s v="N"/>
    <n v="92"/>
    <n v="70"/>
    <n v="713"/>
    <n v="5554"/>
    <n v="1464"/>
    <n v="286"/>
    <n v="29"/>
    <n v="155"/>
    <n v="428"/>
    <n v="940"/>
    <n v="96"/>
    <n v="37"/>
    <n v="53"/>
    <n v="44"/>
    <n v="643"/>
    <n v="598"/>
    <n v="3.69"/>
    <n v="4"/>
    <n v="15"/>
    <n v="56"/>
    <n v="4373"/>
    <n v="1311"/>
    <n v="165"/>
    <n v="555"/>
    <n v="1132"/>
    <n v="90"/>
    <n v="134"/>
    <n v="0.98499999999999999"/>
  </r>
  <r>
    <n v="2002"/>
    <x v="15"/>
    <s v="MIL"/>
    <n v="6"/>
    <s v="N"/>
    <s v="N"/>
    <s v="N"/>
    <s v="N"/>
    <n v="56"/>
    <n v="106"/>
    <n v="627"/>
    <n v="5415"/>
    <n v="1369"/>
    <n v="269"/>
    <n v="29"/>
    <n v="139"/>
    <n v="500"/>
    <n v="1125"/>
    <n v="94"/>
    <n v="50"/>
    <n v="55"/>
    <n v="34"/>
    <n v="821"/>
    <n v="752"/>
    <n v="4.7300000000000004"/>
    <n v="7"/>
    <n v="4"/>
    <n v="32"/>
    <n v="4297"/>
    <n v="1468"/>
    <n v="199"/>
    <n v="666"/>
    <n v="1026"/>
    <n v="103"/>
    <n v="154"/>
    <n v="0.98299999999999998"/>
  </r>
  <r>
    <n v="2002"/>
    <x v="16"/>
    <s v="MIN"/>
    <n v="1"/>
    <s v="Y"/>
    <s v="N"/>
    <s v="N"/>
    <s v="N"/>
    <n v="94"/>
    <n v="67"/>
    <n v="768"/>
    <n v="5582"/>
    <n v="1518"/>
    <n v="348"/>
    <n v="36"/>
    <n v="167"/>
    <n v="472"/>
    <n v="1089"/>
    <n v="79"/>
    <n v="62"/>
    <n v="56"/>
    <n v="52"/>
    <n v="712"/>
    <n v="662"/>
    <n v="4.12"/>
    <n v="8"/>
    <n v="9"/>
    <n v="47"/>
    <n v="4334"/>
    <n v="1454"/>
    <n v="184"/>
    <n v="439"/>
    <n v="1026"/>
    <n v="74"/>
    <n v="124"/>
    <n v="0.98699999999999999"/>
  </r>
  <r>
    <n v="2002"/>
    <x v="17"/>
    <s v="MON"/>
    <n v="2"/>
    <s v="N"/>
    <s v="N"/>
    <s v="N"/>
    <s v="N"/>
    <n v="83"/>
    <n v="79"/>
    <n v="735"/>
    <n v="5479"/>
    <n v="1432"/>
    <n v="300"/>
    <n v="36"/>
    <n v="162"/>
    <n v="575"/>
    <n v="1104"/>
    <n v="118"/>
    <n v="64"/>
    <n v="46"/>
    <n v="42"/>
    <n v="718"/>
    <n v="641"/>
    <n v="3.97"/>
    <n v="9"/>
    <n v="3"/>
    <n v="39"/>
    <n v="4359"/>
    <n v="1475"/>
    <n v="165"/>
    <n v="508"/>
    <n v="1088"/>
    <n v="139"/>
    <n v="160"/>
    <n v="0.97799999999999998"/>
  </r>
  <r>
    <n v="2002"/>
    <x v="18"/>
    <s v="NYA"/>
    <n v="1"/>
    <s v="Y"/>
    <s v="N"/>
    <s v="N"/>
    <s v="N"/>
    <n v="103"/>
    <n v="58"/>
    <n v="897"/>
    <n v="5601"/>
    <n v="1540"/>
    <n v="314"/>
    <n v="12"/>
    <n v="223"/>
    <n v="640"/>
    <n v="1171"/>
    <n v="100"/>
    <n v="38"/>
    <n v="72"/>
    <n v="41"/>
    <n v="697"/>
    <n v="625"/>
    <n v="3.87"/>
    <n v="9"/>
    <n v="11"/>
    <n v="53"/>
    <n v="4356"/>
    <n v="1441"/>
    <n v="144"/>
    <n v="403"/>
    <n v="1135"/>
    <n v="127"/>
    <n v="117"/>
    <n v="0.97899999999999998"/>
  </r>
  <r>
    <n v="2002"/>
    <x v="19"/>
    <s v="NYN"/>
    <n v="5"/>
    <s v="N"/>
    <s v="N"/>
    <s v="N"/>
    <s v="N"/>
    <n v="75"/>
    <n v="86"/>
    <n v="690"/>
    <n v="5496"/>
    <n v="1409"/>
    <n v="238"/>
    <n v="22"/>
    <n v="160"/>
    <n v="486"/>
    <n v="1044"/>
    <n v="87"/>
    <n v="42"/>
    <n v="63"/>
    <n v="30"/>
    <n v="703"/>
    <n v="624"/>
    <n v="3.89"/>
    <n v="9"/>
    <n v="10"/>
    <n v="36"/>
    <n v="4328"/>
    <n v="1408"/>
    <n v="163"/>
    <n v="543"/>
    <n v="1107"/>
    <n v="144"/>
    <n v="138"/>
    <n v="0.97599999999999998"/>
  </r>
  <r>
    <n v="2002"/>
    <x v="20"/>
    <s v="OAK"/>
    <n v="1"/>
    <s v="Y"/>
    <s v="N"/>
    <s v="N"/>
    <s v="N"/>
    <n v="103"/>
    <n v="59"/>
    <n v="800"/>
    <n v="5558"/>
    <n v="1450"/>
    <n v="279"/>
    <n v="28"/>
    <n v="205"/>
    <n v="609"/>
    <n v="1008"/>
    <n v="46"/>
    <n v="20"/>
    <n v="68"/>
    <n v="36"/>
    <n v="654"/>
    <n v="593"/>
    <n v="3.68"/>
    <n v="9"/>
    <n v="19"/>
    <n v="48"/>
    <n v="4356"/>
    <n v="1391"/>
    <n v="135"/>
    <n v="474"/>
    <n v="1021"/>
    <n v="102"/>
    <n v="144"/>
    <n v="0.98399999999999999"/>
  </r>
  <r>
    <n v="2002"/>
    <x v="21"/>
    <s v="PHI"/>
    <n v="3"/>
    <s v="N"/>
    <s v="N"/>
    <s v="N"/>
    <s v="N"/>
    <n v="80"/>
    <n v="81"/>
    <n v="710"/>
    <n v="5523"/>
    <n v="1428"/>
    <n v="325"/>
    <n v="41"/>
    <n v="165"/>
    <n v="640"/>
    <n v="1095"/>
    <n v="104"/>
    <n v="43"/>
    <n v="53"/>
    <n v="39"/>
    <n v="724"/>
    <n v="671"/>
    <n v="4.17"/>
    <n v="5"/>
    <n v="9"/>
    <n v="47"/>
    <n v="4349"/>
    <n v="1381"/>
    <n v="153"/>
    <n v="570"/>
    <n v="1075"/>
    <n v="88"/>
    <n v="156"/>
    <n v="0.98599999999999999"/>
  </r>
  <r>
    <n v="2002"/>
    <x v="22"/>
    <s v="PIT"/>
    <n v="4"/>
    <s v="N"/>
    <s v="N"/>
    <s v="N"/>
    <s v="N"/>
    <n v="72"/>
    <n v="89"/>
    <n v="641"/>
    <n v="5330"/>
    <n v="1300"/>
    <n v="263"/>
    <n v="20"/>
    <n v="142"/>
    <n v="537"/>
    <n v="1109"/>
    <n v="86"/>
    <n v="49"/>
    <n v="73"/>
    <n v="41"/>
    <n v="730"/>
    <n v="664"/>
    <n v="4.2300000000000004"/>
    <n v="2"/>
    <n v="7"/>
    <n v="47"/>
    <n v="4238"/>
    <n v="1447"/>
    <n v="163"/>
    <n v="572"/>
    <n v="920"/>
    <n v="115"/>
    <n v="177"/>
    <n v="0.98199999999999998"/>
  </r>
  <r>
    <n v="2002"/>
    <x v="23"/>
    <s v="SDN"/>
    <n v="5"/>
    <s v="N"/>
    <s v="N"/>
    <s v="N"/>
    <s v="N"/>
    <n v="66"/>
    <n v="96"/>
    <n v="662"/>
    <n v="5515"/>
    <n v="1393"/>
    <n v="243"/>
    <n v="29"/>
    <n v="136"/>
    <n v="547"/>
    <n v="1062"/>
    <n v="71"/>
    <n v="44"/>
    <n v="30"/>
    <n v="41"/>
    <n v="815"/>
    <n v="737"/>
    <n v="4.62"/>
    <n v="5"/>
    <n v="10"/>
    <n v="40"/>
    <n v="4309"/>
    <n v="1522"/>
    <n v="177"/>
    <n v="582"/>
    <n v="1108"/>
    <n v="128"/>
    <n v="162"/>
    <n v="0.97899999999999998"/>
  </r>
  <r>
    <n v="2002"/>
    <x v="24"/>
    <s v="SEA"/>
    <n v="3"/>
    <s v="N"/>
    <s v="N"/>
    <s v="N"/>
    <s v="N"/>
    <n v="93"/>
    <n v="69"/>
    <n v="814"/>
    <n v="5569"/>
    <n v="1531"/>
    <n v="285"/>
    <n v="31"/>
    <n v="152"/>
    <n v="629"/>
    <n v="1003"/>
    <n v="137"/>
    <n v="58"/>
    <n v="51"/>
    <n v="72"/>
    <n v="699"/>
    <n v="654"/>
    <n v="4.07"/>
    <n v="8"/>
    <n v="12"/>
    <n v="43"/>
    <n v="4336"/>
    <n v="1422"/>
    <n v="178"/>
    <n v="441"/>
    <n v="1063"/>
    <n v="88"/>
    <n v="134"/>
    <n v="0.98499999999999999"/>
  </r>
  <r>
    <n v="2002"/>
    <x v="25"/>
    <s v="SFN"/>
    <n v="2"/>
    <s v="N"/>
    <s v="Y"/>
    <s v="Y"/>
    <s v="N"/>
    <n v="95"/>
    <n v="66"/>
    <n v="783"/>
    <n v="5497"/>
    <n v="1465"/>
    <n v="300"/>
    <n v="35"/>
    <n v="198"/>
    <n v="616"/>
    <n v="961"/>
    <n v="74"/>
    <n v="21"/>
    <n v="65"/>
    <n v="52"/>
    <n v="616"/>
    <n v="566"/>
    <n v="3.54"/>
    <n v="10"/>
    <n v="13"/>
    <n v="43"/>
    <n v="4312"/>
    <n v="1349"/>
    <n v="116"/>
    <n v="523"/>
    <n v="992"/>
    <n v="90"/>
    <n v="166"/>
    <n v="0.98499999999999999"/>
  </r>
  <r>
    <n v="2002"/>
    <x v="26"/>
    <s v="SLN"/>
    <n v="1"/>
    <s v="Y"/>
    <s v="N"/>
    <s v="N"/>
    <s v="N"/>
    <n v="97"/>
    <n v="65"/>
    <n v="787"/>
    <n v="5505"/>
    <n v="1475"/>
    <n v="285"/>
    <n v="26"/>
    <n v="175"/>
    <n v="542"/>
    <n v="927"/>
    <n v="86"/>
    <n v="42"/>
    <n v="67"/>
    <n v="49"/>
    <n v="648"/>
    <n v="595"/>
    <n v="3.7"/>
    <n v="4"/>
    <n v="9"/>
    <n v="42"/>
    <n v="4339"/>
    <n v="1355"/>
    <n v="141"/>
    <n v="547"/>
    <n v="1009"/>
    <n v="103"/>
    <n v="168"/>
    <n v="0.98299999999999998"/>
  </r>
  <r>
    <n v="2002"/>
    <x v="27"/>
    <s v="TBA"/>
    <n v="5"/>
    <s v="N"/>
    <s v="N"/>
    <s v="N"/>
    <s v="N"/>
    <n v="55"/>
    <n v="106"/>
    <n v="673"/>
    <n v="5604"/>
    <n v="1418"/>
    <n v="297"/>
    <n v="35"/>
    <n v="133"/>
    <n v="456"/>
    <n v="1115"/>
    <n v="102"/>
    <n v="45"/>
    <n v="58"/>
    <n v="36"/>
    <n v="918"/>
    <n v="846"/>
    <n v="5.29"/>
    <n v="12"/>
    <n v="3"/>
    <n v="25"/>
    <n v="4321"/>
    <n v="1567"/>
    <n v="215"/>
    <n v="620"/>
    <n v="925"/>
    <n v="126"/>
    <n v="168"/>
    <n v="0.97899999999999998"/>
  </r>
  <r>
    <n v="2002"/>
    <x v="28"/>
    <s v="TEX"/>
    <n v="4"/>
    <s v="N"/>
    <s v="N"/>
    <s v="N"/>
    <s v="N"/>
    <n v="72"/>
    <n v="90"/>
    <n v="843"/>
    <n v="5618"/>
    <n v="1510"/>
    <n v="304"/>
    <n v="27"/>
    <n v="230"/>
    <n v="554"/>
    <n v="1055"/>
    <n v="62"/>
    <n v="34"/>
    <n v="62"/>
    <n v="50"/>
    <n v="882"/>
    <n v="824"/>
    <n v="5.15"/>
    <n v="4"/>
    <n v="4"/>
    <n v="33"/>
    <n v="4319"/>
    <n v="1528"/>
    <n v="194"/>
    <n v="669"/>
    <n v="1030"/>
    <n v="99"/>
    <n v="152"/>
    <n v="0.98399999999999999"/>
  </r>
  <r>
    <n v="2002"/>
    <x v="29"/>
    <s v="TOR"/>
    <n v="3"/>
    <s v="N"/>
    <s v="N"/>
    <s v="N"/>
    <s v="N"/>
    <n v="78"/>
    <n v="84"/>
    <n v="813"/>
    <n v="5581"/>
    <n v="1457"/>
    <n v="305"/>
    <n v="38"/>
    <n v="187"/>
    <n v="522"/>
    <n v="1142"/>
    <n v="71"/>
    <n v="18"/>
    <n v="53"/>
    <n v="57"/>
    <n v="828"/>
    <n v="767"/>
    <n v="4.8"/>
    <n v="6"/>
    <n v="6"/>
    <n v="41"/>
    <n v="4315"/>
    <n v="1504"/>
    <n v="177"/>
    <n v="590"/>
    <n v="991"/>
    <n v="107"/>
    <n v="159"/>
    <n v="0.98199999999999998"/>
  </r>
  <r>
    <n v="2003"/>
    <x v="0"/>
    <s v="ANA"/>
    <n v="3"/>
    <s v="N"/>
    <s v="N"/>
    <s v="N"/>
    <s v="N"/>
    <n v="77"/>
    <n v="85"/>
    <n v="736"/>
    <n v="5487"/>
    <n v="1473"/>
    <n v="276"/>
    <n v="33"/>
    <n v="150"/>
    <n v="476"/>
    <n v="838"/>
    <n v="129"/>
    <n v="61"/>
    <n v="56"/>
    <n v="50"/>
    <n v="743"/>
    <n v="680"/>
    <n v="4.28"/>
    <n v="5"/>
    <n v="9"/>
    <n v="39"/>
    <n v="4294"/>
    <n v="1444"/>
    <n v="190"/>
    <n v="486"/>
    <n v="980"/>
    <n v="105"/>
    <n v="138"/>
    <n v="0.98199999999999998"/>
  </r>
  <r>
    <n v="2003"/>
    <x v="1"/>
    <s v="ARI"/>
    <n v="3"/>
    <s v="N"/>
    <s v="N"/>
    <s v="N"/>
    <s v="N"/>
    <n v="84"/>
    <n v="78"/>
    <n v="717"/>
    <n v="5570"/>
    <n v="1467"/>
    <n v="303"/>
    <n v="47"/>
    <n v="152"/>
    <n v="531"/>
    <n v="1006"/>
    <n v="76"/>
    <n v="38"/>
    <n v="45"/>
    <n v="52"/>
    <n v="685"/>
    <n v="621"/>
    <n v="3.84"/>
    <n v="7"/>
    <n v="11"/>
    <n v="42"/>
    <n v="4365"/>
    <n v="1379"/>
    <n v="150"/>
    <n v="526"/>
    <n v="1291"/>
    <n v="107"/>
    <n v="132"/>
    <n v="0.98299999999999998"/>
  </r>
  <r>
    <n v="2003"/>
    <x v="2"/>
    <s v="ATL"/>
    <n v="1"/>
    <s v="Y"/>
    <s v="N"/>
    <s v="N"/>
    <s v="N"/>
    <n v="101"/>
    <n v="61"/>
    <n v="907"/>
    <n v="5670"/>
    <n v="1608"/>
    <n v="321"/>
    <n v="31"/>
    <n v="235"/>
    <n v="545"/>
    <n v="933"/>
    <n v="68"/>
    <n v="22"/>
    <n v="49"/>
    <n v="49"/>
    <n v="740"/>
    <n v="663"/>
    <n v="4.0999999999999996"/>
    <n v="4"/>
    <n v="7"/>
    <n v="51"/>
    <n v="4369"/>
    <n v="1425"/>
    <n v="147"/>
    <n v="555"/>
    <n v="992"/>
    <n v="121"/>
    <n v="166"/>
    <n v="0.98099999999999998"/>
  </r>
  <r>
    <n v="2003"/>
    <x v="3"/>
    <s v="BAL"/>
    <n v="4"/>
    <s v="N"/>
    <s v="N"/>
    <s v="N"/>
    <s v="N"/>
    <n v="71"/>
    <n v="91"/>
    <n v="743"/>
    <n v="5665"/>
    <n v="1516"/>
    <n v="277"/>
    <n v="24"/>
    <n v="152"/>
    <n v="431"/>
    <n v="902"/>
    <n v="89"/>
    <n v="36"/>
    <n v="54"/>
    <n v="40"/>
    <n v="820"/>
    <n v="767"/>
    <n v="4.76"/>
    <n v="9"/>
    <n v="3"/>
    <n v="41"/>
    <n v="4349"/>
    <n v="1579"/>
    <n v="198"/>
    <n v="526"/>
    <n v="981"/>
    <n v="105"/>
    <n v="164"/>
    <n v="0.98299999999999998"/>
  </r>
  <r>
    <n v="2003"/>
    <x v="4"/>
    <s v="BOS"/>
    <n v="2"/>
    <s v="N"/>
    <s v="Y"/>
    <s v="N"/>
    <s v="N"/>
    <n v="95"/>
    <n v="67"/>
    <n v="961"/>
    <n v="5769"/>
    <n v="1667"/>
    <n v="371"/>
    <n v="40"/>
    <n v="238"/>
    <n v="620"/>
    <n v="943"/>
    <n v="88"/>
    <n v="35"/>
    <n v="53"/>
    <n v="64"/>
    <n v="809"/>
    <n v="729"/>
    <n v="4.4800000000000004"/>
    <n v="5"/>
    <n v="6"/>
    <n v="36"/>
    <n v="4394"/>
    <n v="1503"/>
    <n v="153"/>
    <n v="488"/>
    <n v="1141"/>
    <n v="113"/>
    <n v="130"/>
    <n v="0.98199999999999998"/>
  </r>
  <r>
    <n v="2003"/>
    <x v="5"/>
    <s v="CHA"/>
    <n v="2"/>
    <s v="N"/>
    <s v="N"/>
    <s v="N"/>
    <s v="N"/>
    <n v="86"/>
    <n v="76"/>
    <n v="791"/>
    <n v="5487"/>
    <n v="1445"/>
    <n v="303"/>
    <n v="19"/>
    <n v="220"/>
    <n v="519"/>
    <n v="916"/>
    <n v="77"/>
    <n v="29"/>
    <n v="58"/>
    <n v="41"/>
    <n v="715"/>
    <n v="663"/>
    <n v="4.17"/>
    <n v="12"/>
    <n v="4"/>
    <n v="36"/>
    <n v="4293"/>
    <n v="1364"/>
    <n v="162"/>
    <n v="518"/>
    <n v="1056"/>
    <n v="93"/>
    <n v="154"/>
    <n v="0.98399999999999999"/>
  </r>
  <r>
    <n v="2003"/>
    <x v="6"/>
    <s v="CHN"/>
    <n v="1"/>
    <s v="Y"/>
    <s v="N"/>
    <s v="N"/>
    <s v="N"/>
    <n v="88"/>
    <n v="74"/>
    <n v="724"/>
    <n v="5519"/>
    <n v="1431"/>
    <n v="302"/>
    <n v="24"/>
    <n v="172"/>
    <n v="492"/>
    <n v="1158"/>
    <n v="73"/>
    <n v="31"/>
    <n v="50"/>
    <n v="46"/>
    <n v="683"/>
    <n v="619"/>
    <n v="3.83"/>
    <n v="13"/>
    <n v="14"/>
    <n v="36"/>
    <n v="4369"/>
    <n v="1304"/>
    <n v="143"/>
    <n v="617"/>
    <n v="1404"/>
    <n v="106"/>
    <n v="157"/>
    <n v="0.98299999999999998"/>
  </r>
  <r>
    <n v="2003"/>
    <x v="7"/>
    <s v="CIN"/>
    <n v="5"/>
    <s v="N"/>
    <s v="N"/>
    <s v="N"/>
    <s v="N"/>
    <n v="69"/>
    <n v="93"/>
    <n v="694"/>
    <n v="5509"/>
    <n v="1349"/>
    <n v="239"/>
    <n v="21"/>
    <n v="182"/>
    <n v="524"/>
    <n v="1326"/>
    <n v="80"/>
    <n v="34"/>
    <n v="79"/>
    <n v="32"/>
    <n v="886"/>
    <n v="818"/>
    <n v="5.09"/>
    <n v="4"/>
    <n v="5"/>
    <n v="38"/>
    <n v="4339"/>
    <n v="1578"/>
    <n v="209"/>
    <n v="590"/>
    <n v="932"/>
    <n v="141"/>
    <n v="152"/>
    <n v="0.97699999999999998"/>
  </r>
  <r>
    <n v="2003"/>
    <x v="8"/>
    <s v="CLE"/>
    <n v="4"/>
    <s v="N"/>
    <s v="N"/>
    <s v="N"/>
    <s v="N"/>
    <n v="68"/>
    <n v="94"/>
    <n v="699"/>
    <n v="5572"/>
    <n v="1413"/>
    <n v="296"/>
    <n v="26"/>
    <n v="158"/>
    <n v="466"/>
    <n v="1062"/>
    <n v="86"/>
    <n v="61"/>
    <n v="62"/>
    <n v="41"/>
    <n v="778"/>
    <n v="682"/>
    <n v="4.21"/>
    <n v="5"/>
    <n v="7"/>
    <n v="34"/>
    <n v="4378"/>
    <n v="1477"/>
    <n v="179"/>
    <n v="501"/>
    <n v="943"/>
    <n v="126"/>
    <n v="178"/>
    <n v="0.98"/>
  </r>
  <r>
    <n v="2003"/>
    <x v="9"/>
    <s v="COL"/>
    <n v="4"/>
    <s v="N"/>
    <s v="N"/>
    <s v="N"/>
    <s v="N"/>
    <n v="74"/>
    <n v="88"/>
    <n v="853"/>
    <n v="5518"/>
    <n v="1472"/>
    <n v="330"/>
    <n v="31"/>
    <n v="198"/>
    <n v="619"/>
    <n v="1134"/>
    <n v="63"/>
    <n v="37"/>
    <n v="52"/>
    <n v="38"/>
    <n v="892"/>
    <n v="821"/>
    <n v="5.2"/>
    <n v="3"/>
    <n v="4"/>
    <n v="34"/>
    <n v="4260"/>
    <n v="1629"/>
    <n v="200"/>
    <n v="552"/>
    <n v="866"/>
    <n v="116"/>
    <n v="165"/>
    <n v="0.98099999999999998"/>
  </r>
  <r>
    <n v="2003"/>
    <x v="10"/>
    <s v="DET"/>
    <n v="5"/>
    <s v="N"/>
    <s v="N"/>
    <s v="N"/>
    <s v="N"/>
    <n v="43"/>
    <n v="119"/>
    <n v="591"/>
    <n v="5466"/>
    <n v="1312"/>
    <n v="201"/>
    <n v="39"/>
    <n v="153"/>
    <n v="443"/>
    <n v="1099"/>
    <n v="98"/>
    <n v="63"/>
    <n v="47"/>
    <n v="49"/>
    <n v="928"/>
    <n v="847"/>
    <n v="5.3"/>
    <n v="3"/>
    <n v="5"/>
    <n v="27"/>
    <n v="4316"/>
    <n v="1616"/>
    <n v="195"/>
    <n v="557"/>
    <n v="764"/>
    <n v="138"/>
    <n v="194"/>
    <n v="0.97799999999999998"/>
  </r>
  <r>
    <n v="2003"/>
    <x v="11"/>
    <s v="FLO"/>
    <n v="2"/>
    <s v="N"/>
    <s v="Y"/>
    <s v="Y"/>
    <s v="Y"/>
    <n v="91"/>
    <n v="71"/>
    <n v="751"/>
    <n v="5490"/>
    <n v="1459"/>
    <n v="292"/>
    <n v="44"/>
    <n v="157"/>
    <n v="515"/>
    <n v="978"/>
    <n v="150"/>
    <n v="74"/>
    <n v="57"/>
    <n v="41"/>
    <n v="692"/>
    <n v="648"/>
    <n v="4.04"/>
    <n v="7"/>
    <n v="11"/>
    <n v="36"/>
    <n v="4336"/>
    <n v="1415"/>
    <n v="128"/>
    <n v="530"/>
    <n v="1132"/>
    <n v="78"/>
    <n v="162"/>
    <n v="0.98699999999999999"/>
  </r>
  <r>
    <n v="2003"/>
    <x v="12"/>
    <s v="HOU"/>
    <n v="2"/>
    <s v="N"/>
    <s v="N"/>
    <s v="N"/>
    <s v="N"/>
    <n v="87"/>
    <n v="75"/>
    <n v="805"/>
    <n v="5583"/>
    <n v="1466"/>
    <n v="308"/>
    <n v="30"/>
    <n v="191"/>
    <n v="557"/>
    <n v="1021"/>
    <n v="66"/>
    <n v="30"/>
    <n v="81"/>
    <n v="38"/>
    <n v="677"/>
    <n v="622"/>
    <n v="3.86"/>
    <n v="1"/>
    <n v="5"/>
    <n v="50"/>
    <n v="4350"/>
    <n v="1350"/>
    <n v="161"/>
    <n v="565"/>
    <n v="1139"/>
    <n v="95"/>
    <n v="149"/>
    <n v="0.98499999999999999"/>
  </r>
  <r>
    <n v="2003"/>
    <x v="13"/>
    <s v="KCA"/>
    <n v="3"/>
    <s v="N"/>
    <s v="N"/>
    <s v="N"/>
    <s v="N"/>
    <n v="83"/>
    <n v="79"/>
    <n v="836"/>
    <n v="5568"/>
    <n v="1526"/>
    <n v="288"/>
    <n v="39"/>
    <n v="162"/>
    <n v="476"/>
    <n v="926"/>
    <n v="120"/>
    <n v="42"/>
    <n v="75"/>
    <n v="57"/>
    <n v="867"/>
    <n v="808"/>
    <n v="5.05"/>
    <n v="7"/>
    <n v="10"/>
    <n v="36"/>
    <n v="4316"/>
    <n v="1569"/>
    <n v="190"/>
    <n v="566"/>
    <n v="865"/>
    <n v="108"/>
    <n v="143"/>
    <n v="0.98199999999999998"/>
  </r>
  <r>
    <n v="2003"/>
    <x v="14"/>
    <s v="LAN"/>
    <n v="2"/>
    <s v="N"/>
    <s v="N"/>
    <s v="N"/>
    <s v="N"/>
    <n v="85"/>
    <n v="77"/>
    <n v="574"/>
    <n v="5458"/>
    <n v="1328"/>
    <n v="260"/>
    <n v="25"/>
    <n v="124"/>
    <n v="407"/>
    <n v="985"/>
    <n v="80"/>
    <n v="36"/>
    <n v="72"/>
    <n v="28"/>
    <n v="556"/>
    <n v="511"/>
    <n v="3.16"/>
    <n v="3"/>
    <n v="17"/>
    <n v="58"/>
    <n v="4373"/>
    <n v="1254"/>
    <n v="127"/>
    <n v="526"/>
    <n v="1289"/>
    <n v="119"/>
    <n v="164"/>
    <n v="0.98099999999999998"/>
  </r>
  <r>
    <n v="2003"/>
    <x v="15"/>
    <s v="MIL"/>
    <n v="6"/>
    <s v="N"/>
    <s v="N"/>
    <s v="N"/>
    <s v="N"/>
    <n v="68"/>
    <n v="94"/>
    <n v="714"/>
    <n v="5548"/>
    <n v="1423"/>
    <n v="266"/>
    <n v="24"/>
    <n v="196"/>
    <n v="547"/>
    <n v="1221"/>
    <n v="99"/>
    <n v="39"/>
    <n v="71"/>
    <n v="40"/>
    <n v="873"/>
    <n v="810"/>
    <n v="5.0199999999999996"/>
    <n v="5"/>
    <n v="3"/>
    <n v="44"/>
    <n v="4356"/>
    <n v="1590"/>
    <n v="219"/>
    <n v="575"/>
    <n v="1034"/>
    <n v="114"/>
    <n v="142"/>
    <n v="0.98099999999999998"/>
  </r>
  <r>
    <n v="2003"/>
    <x v="16"/>
    <s v="MIN"/>
    <n v="1"/>
    <s v="Y"/>
    <s v="N"/>
    <s v="N"/>
    <s v="N"/>
    <n v="90"/>
    <n v="72"/>
    <n v="801"/>
    <n v="5655"/>
    <n v="1567"/>
    <n v="318"/>
    <n v="45"/>
    <n v="155"/>
    <n v="512"/>
    <n v="1027"/>
    <n v="94"/>
    <n v="44"/>
    <n v="63"/>
    <n v="52"/>
    <n v="758"/>
    <n v="716"/>
    <n v="4.41"/>
    <n v="7"/>
    <n v="8"/>
    <n v="45"/>
    <n v="4386"/>
    <n v="1526"/>
    <n v="187"/>
    <n v="402"/>
    <n v="997"/>
    <n v="87"/>
    <n v="114"/>
    <n v="0.98499999999999999"/>
  </r>
  <r>
    <n v="2003"/>
    <x v="17"/>
    <s v="MON"/>
    <n v="4"/>
    <s v="N"/>
    <s v="N"/>
    <s v="N"/>
    <s v="N"/>
    <n v="83"/>
    <n v="79"/>
    <n v="711"/>
    <n v="5437"/>
    <n v="1404"/>
    <n v="294"/>
    <n v="25"/>
    <n v="144"/>
    <n v="522"/>
    <n v="990"/>
    <n v="100"/>
    <n v="39"/>
    <n v="45"/>
    <n v="40"/>
    <n v="716"/>
    <n v="640"/>
    <n v="4.01"/>
    <n v="15"/>
    <n v="10"/>
    <n v="42"/>
    <n v="4313"/>
    <n v="1467"/>
    <n v="181"/>
    <n v="463"/>
    <n v="1028"/>
    <n v="102"/>
    <n v="152"/>
    <n v="0.98299999999999998"/>
  </r>
  <r>
    <n v="2003"/>
    <x v="18"/>
    <s v="NYA"/>
    <n v="1"/>
    <s v="Y"/>
    <s v="N"/>
    <s v="Y"/>
    <s v="N"/>
    <n v="101"/>
    <n v="61"/>
    <n v="877"/>
    <n v="5605"/>
    <n v="1518"/>
    <n v="304"/>
    <n v="14"/>
    <n v="230"/>
    <n v="684"/>
    <n v="1042"/>
    <n v="98"/>
    <n v="33"/>
    <n v="81"/>
    <n v="35"/>
    <n v="716"/>
    <n v="653"/>
    <n v="4.0199999999999996"/>
    <n v="8"/>
    <n v="12"/>
    <n v="49"/>
    <n v="4386"/>
    <n v="1512"/>
    <n v="145"/>
    <n v="375"/>
    <n v="1119"/>
    <n v="114"/>
    <n v="126"/>
    <n v="0.98099999999999998"/>
  </r>
  <r>
    <n v="2003"/>
    <x v="19"/>
    <s v="NYN"/>
    <n v="5"/>
    <s v="N"/>
    <s v="N"/>
    <s v="N"/>
    <s v="N"/>
    <n v="66"/>
    <n v="95"/>
    <n v="642"/>
    <n v="5341"/>
    <n v="1317"/>
    <n v="262"/>
    <n v="24"/>
    <n v="124"/>
    <n v="489"/>
    <n v="1035"/>
    <n v="70"/>
    <n v="31"/>
    <n v="54"/>
    <n v="45"/>
    <n v="754"/>
    <n v="704"/>
    <n v="4.4800000000000004"/>
    <n v="3"/>
    <n v="10"/>
    <n v="38"/>
    <n v="4240"/>
    <n v="1497"/>
    <n v="168"/>
    <n v="576"/>
    <n v="907"/>
    <n v="118"/>
    <n v="158"/>
    <n v="0.98"/>
  </r>
  <r>
    <n v="2003"/>
    <x v="20"/>
    <s v="OAK"/>
    <n v="1"/>
    <s v="Y"/>
    <s v="N"/>
    <s v="N"/>
    <s v="N"/>
    <n v="96"/>
    <n v="66"/>
    <n v="768"/>
    <n v="5497"/>
    <n v="1398"/>
    <n v="317"/>
    <n v="24"/>
    <n v="176"/>
    <n v="556"/>
    <n v="898"/>
    <n v="48"/>
    <n v="14"/>
    <n v="59"/>
    <n v="53"/>
    <n v="643"/>
    <n v="582"/>
    <n v="3.63"/>
    <n v="16"/>
    <n v="14"/>
    <n v="48"/>
    <n v="4325"/>
    <n v="1336"/>
    <n v="140"/>
    <n v="499"/>
    <n v="1018"/>
    <n v="107"/>
    <n v="145"/>
    <n v="0.98299999999999998"/>
  </r>
  <r>
    <n v="2003"/>
    <x v="21"/>
    <s v="PHI"/>
    <n v="3"/>
    <s v="N"/>
    <s v="N"/>
    <s v="N"/>
    <s v="N"/>
    <n v="86"/>
    <n v="76"/>
    <n v="791"/>
    <n v="5543"/>
    <n v="1448"/>
    <n v="325"/>
    <n v="27"/>
    <n v="166"/>
    <n v="651"/>
    <n v="1155"/>
    <n v="72"/>
    <n v="29"/>
    <n v="55"/>
    <n v="38"/>
    <n v="697"/>
    <n v="648"/>
    <n v="4.04"/>
    <n v="9"/>
    <n v="13"/>
    <n v="33"/>
    <n v="4331"/>
    <n v="1386"/>
    <n v="142"/>
    <n v="536"/>
    <n v="1060"/>
    <n v="97"/>
    <n v="146"/>
    <n v="0.98399999999999999"/>
  </r>
  <r>
    <n v="2003"/>
    <x v="22"/>
    <s v="PIT"/>
    <n v="4"/>
    <s v="N"/>
    <s v="N"/>
    <s v="N"/>
    <s v="N"/>
    <n v="75"/>
    <n v="87"/>
    <n v="753"/>
    <n v="5581"/>
    <n v="1492"/>
    <n v="275"/>
    <n v="45"/>
    <n v="163"/>
    <n v="529"/>
    <n v="1049"/>
    <n v="86"/>
    <n v="37"/>
    <n v="87"/>
    <n v="38"/>
    <n v="801"/>
    <n v="744"/>
    <n v="4.6399999999999997"/>
    <n v="7"/>
    <n v="10"/>
    <n v="44"/>
    <n v="4333"/>
    <n v="1527"/>
    <n v="178"/>
    <n v="502"/>
    <n v="926"/>
    <n v="123"/>
    <n v="159"/>
    <n v="0.98"/>
  </r>
  <r>
    <n v="2003"/>
    <x v="23"/>
    <s v="SDN"/>
    <n v="5"/>
    <s v="N"/>
    <s v="N"/>
    <s v="N"/>
    <s v="N"/>
    <n v="64"/>
    <n v="98"/>
    <n v="678"/>
    <n v="5531"/>
    <n v="1442"/>
    <n v="257"/>
    <n v="32"/>
    <n v="128"/>
    <n v="565"/>
    <n v="1073"/>
    <n v="76"/>
    <n v="39"/>
    <n v="57"/>
    <n v="42"/>
    <n v="831"/>
    <n v="774"/>
    <n v="4.87"/>
    <n v="2"/>
    <n v="10"/>
    <n v="31"/>
    <n v="4294"/>
    <n v="1458"/>
    <n v="208"/>
    <n v="611"/>
    <n v="1091"/>
    <n v="102"/>
    <n v="141"/>
    <n v="0.98299999999999998"/>
  </r>
  <r>
    <n v="2003"/>
    <x v="24"/>
    <s v="SEA"/>
    <n v="2"/>
    <s v="N"/>
    <s v="N"/>
    <s v="N"/>
    <s v="N"/>
    <n v="93"/>
    <n v="69"/>
    <n v="795"/>
    <n v="5561"/>
    <n v="1509"/>
    <n v="290"/>
    <n v="33"/>
    <n v="139"/>
    <n v="586"/>
    <n v="989"/>
    <n v="108"/>
    <n v="37"/>
    <n v="53"/>
    <n v="46"/>
    <n v="637"/>
    <n v="602"/>
    <n v="3.76"/>
    <n v="8"/>
    <n v="15"/>
    <n v="38"/>
    <n v="4323"/>
    <n v="1340"/>
    <n v="173"/>
    <n v="466"/>
    <n v="1001"/>
    <n v="65"/>
    <n v="159"/>
    <n v="0.98899999999999999"/>
  </r>
  <r>
    <n v="2003"/>
    <x v="25"/>
    <s v="SFN"/>
    <n v="1"/>
    <s v="Y"/>
    <s v="N"/>
    <s v="N"/>
    <s v="N"/>
    <n v="100"/>
    <n v="61"/>
    <n v="755"/>
    <n v="5456"/>
    <n v="1440"/>
    <n v="281"/>
    <n v="29"/>
    <n v="180"/>
    <n v="593"/>
    <n v="980"/>
    <n v="53"/>
    <n v="37"/>
    <n v="40"/>
    <n v="39"/>
    <n v="638"/>
    <n v="595"/>
    <n v="3.73"/>
    <n v="7"/>
    <n v="10"/>
    <n v="43"/>
    <n v="4312"/>
    <n v="1349"/>
    <n v="136"/>
    <n v="546"/>
    <n v="1006"/>
    <n v="80"/>
    <n v="163"/>
    <n v="0.98699999999999999"/>
  </r>
  <r>
    <n v="2003"/>
    <x v="26"/>
    <s v="SLN"/>
    <n v="3"/>
    <s v="N"/>
    <s v="N"/>
    <s v="N"/>
    <s v="N"/>
    <n v="85"/>
    <n v="77"/>
    <n v="876"/>
    <n v="5672"/>
    <n v="1580"/>
    <n v="342"/>
    <n v="32"/>
    <n v="196"/>
    <n v="580"/>
    <n v="952"/>
    <n v="82"/>
    <n v="32"/>
    <n v="73"/>
    <n v="54"/>
    <n v="796"/>
    <n v="748"/>
    <n v="4.5999999999999996"/>
    <n v="9"/>
    <n v="10"/>
    <n v="41"/>
    <n v="4391"/>
    <n v="1544"/>
    <n v="210"/>
    <n v="508"/>
    <n v="969"/>
    <n v="77"/>
    <n v="138"/>
    <n v="0.98699999999999999"/>
  </r>
  <r>
    <n v="2003"/>
    <x v="27"/>
    <s v="TBA"/>
    <n v="5"/>
    <s v="N"/>
    <s v="N"/>
    <s v="N"/>
    <s v="N"/>
    <n v="63"/>
    <n v="99"/>
    <n v="715"/>
    <n v="5654"/>
    <n v="1501"/>
    <n v="298"/>
    <n v="38"/>
    <n v="137"/>
    <n v="420"/>
    <n v="1030"/>
    <n v="142"/>
    <n v="42"/>
    <n v="56"/>
    <n v="50"/>
    <n v="852"/>
    <n v="787"/>
    <n v="4.93"/>
    <n v="7"/>
    <n v="7"/>
    <n v="30"/>
    <n v="4310"/>
    <n v="1454"/>
    <n v="196"/>
    <n v="639"/>
    <n v="877"/>
    <n v="103"/>
    <n v="158"/>
    <n v="0.98299999999999998"/>
  </r>
  <r>
    <n v="2003"/>
    <x v="28"/>
    <s v="TEX"/>
    <n v="4"/>
    <s v="N"/>
    <s v="N"/>
    <s v="N"/>
    <s v="N"/>
    <n v="71"/>
    <n v="91"/>
    <n v="826"/>
    <n v="5664"/>
    <n v="1506"/>
    <n v="274"/>
    <n v="36"/>
    <n v="239"/>
    <n v="488"/>
    <n v="1052"/>
    <n v="65"/>
    <n v="25"/>
    <n v="75"/>
    <n v="42"/>
    <n v="969"/>
    <n v="903"/>
    <n v="5.67"/>
    <n v="4"/>
    <n v="3"/>
    <n v="43"/>
    <n v="4300"/>
    <n v="1625"/>
    <n v="208"/>
    <n v="603"/>
    <n v="1009"/>
    <n v="94"/>
    <n v="168"/>
    <n v="0.98499999999999999"/>
  </r>
  <r>
    <n v="2003"/>
    <x v="29"/>
    <s v="TOR"/>
    <n v="3"/>
    <s v="N"/>
    <s v="N"/>
    <s v="N"/>
    <s v="N"/>
    <n v="86"/>
    <n v="76"/>
    <n v="894"/>
    <n v="5661"/>
    <n v="1580"/>
    <n v="357"/>
    <n v="33"/>
    <n v="190"/>
    <n v="546"/>
    <n v="1081"/>
    <n v="37"/>
    <n v="25"/>
    <n v="90"/>
    <n v="56"/>
    <n v="826"/>
    <n v="748"/>
    <n v="4.6900000000000004"/>
    <n v="14"/>
    <n v="6"/>
    <n v="35"/>
    <n v="4305"/>
    <n v="1560"/>
    <n v="184"/>
    <n v="485"/>
    <n v="984"/>
    <n v="117"/>
    <n v="161"/>
    <n v="0.98099999999999998"/>
  </r>
  <r>
    <n v="2004"/>
    <x v="0"/>
    <s v="ANA"/>
    <n v="1"/>
    <s v="Y"/>
    <s v="N"/>
    <s v="N"/>
    <s v="N"/>
    <n v="92"/>
    <n v="70"/>
    <n v="836"/>
    <n v="5675"/>
    <n v="1603"/>
    <n v="272"/>
    <n v="37"/>
    <n v="162"/>
    <n v="450"/>
    <n v="942"/>
    <n v="143"/>
    <n v="46"/>
    <n v="73"/>
    <n v="41"/>
    <n v="734"/>
    <n v="692"/>
    <n v="4.28"/>
    <n v="2"/>
    <n v="11"/>
    <n v="50"/>
    <n v="4363"/>
    <n v="1476"/>
    <n v="170"/>
    <n v="502"/>
    <n v="1164"/>
    <n v="90"/>
    <n v="126"/>
    <n v="0.98499999999999999"/>
  </r>
  <r>
    <n v="2004"/>
    <x v="1"/>
    <s v="ARI"/>
    <n v="5"/>
    <s v="N"/>
    <s v="N"/>
    <s v="N"/>
    <s v="N"/>
    <n v="51"/>
    <n v="111"/>
    <n v="615"/>
    <n v="5544"/>
    <n v="1401"/>
    <n v="295"/>
    <n v="38"/>
    <n v="135"/>
    <n v="441"/>
    <n v="1022"/>
    <n v="53"/>
    <n v="32"/>
    <n v="35"/>
    <n v="37"/>
    <n v="899"/>
    <n v="794"/>
    <n v="4.9800000000000004"/>
    <n v="5"/>
    <n v="6"/>
    <n v="33"/>
    <n v="4308"/>
    <n v="1480"/>
    <n v="197"/>
    <n v="668"/>
    <n v="1153"/>
    <n v="139"/>
    <n v="144"/>
    <n v="0.97699999999999998"/>
  </r>
  <r>
    <n v="2004"/>
    <x v="2"/>
    <s v="ATL"/>
    <n v="1"/>
    <s v="Y"/>
    <s v="N"/>
    <s v="N"/>
    <s v="N"/>
    <n v="96"/>
    <n v="66"/>
    <n v="803"/>
    <n v="5570"/>
    <n v="1503"/>
    <n v="304"/>
    <n v="37"/>
    <n v="178"/>
    <n v="587"/>
    <n v="1158"/>
    <n v="86"/>
    <n v="32"/>
    <n v="59"/>
    <n v="48"/>
    <n v="668"/>
    <n v="603"/>
    <n v="3.74"/>
    <n v="4"/>
    <n v="13"/>
    <n v="48"/>
    <n v="4350"/>
    <n v="1475"/>
    <n v="154"/>
    <n v="523"/>
    <n v="1025"/>
    <n v="116"/>
    <n v="171"/>
    <n v="0.98099999999999998"/>
  </r>
  <r>
    <n v="2004"/>
    <x v="3"/>
    <s v="BAL"/>
    <n v="3"/>
    <s v="N"/>
    <s v="N"/>
    <s v="N"/>
    <s v="N"/>
    <n v="78"/>
    <n v="84"/>
    <n v="842"/>
    <n v="5736"/>
    <n v="1614"/>
    <n v="319"/>
    <n v="18"/>
    <n v="169"/>
    <n v="528"/>
    <n v="949"/>
    <n v="101"/>
    <n v="41"/>
    <n v="57"/>
    <n v="62"/>
    <n v="830"/>
    <n v="760"/>
    <n v="4.7"/>
    <n v="8"/>
    <n v="10"/>
    <n v="27"/>
    <n v="4366"/>
    <n v="1488"/>
    <n v="159"/>
    <n v="687"/>
    <n v="1090"/>
    <n v="110"/>
    <n v="161"/>
    <n v="0.98199999999999998"/>
  </r>
  <r>
    <n v="2004"/>
    <x v="4"/>
    <s v="BOS"/>
    <n v="2"/>
    <s v="N"/>
    <s v="Y"/>
    <s v="Y"/>
    <s v="Y"/>
    <n v="98"/>
    <n v="64"/>
    <n v="949"/>
    <n v="5720"/>
    <n v="1613"/>
    <n v="373"/>
    <n v="25"/>
    <n v="222"/>
    <n v="659"/>
    <n v="1189"/>
    <n v="68"/>
    <n v="30"/>
    <n v="69"/>
    <n v="55"/>
    <n v="768"/>
    <n v="674"/>
    <n v="4.18"/>
    <n v="4"/>
    <n v="12"/>
    <n v="36"/>
    <n v="4354"/>
    <n v="1430"/>
    <n v="159"/>
    <n v="447"/>
    <n v="1132"/>
    <n v="118"/>
    <n v="129"/>
    <n v="0.98099999999999998"/>
  </r>
  <r>
    <n v="2004"/>
    <x v="5"/>
    <s v="CHA"/>
    <n v="2"/>
    <s v="N"/>
    <s v="N"/>
    <s v="N"/>
    <s v="N"/>
    <n v="83"/>
    <n v="79"/>
    <n v="865"/>
    <n v="5534"/>
    <n v="1481"/>
    <n v="284"/>
    <n v="19"/>
    <n v="242"/>
    <n v="499"/>
    <n v="1030"/>
    <n v="78"/>
    <n v="51"/>
    <n v="63"/>
    <n v="42"/>
    <n v="831"/>
    <n v="782"/>
    <n v="4.91"/>
    <n v="8"/>
    <n v="8"/>
    <n v="34"/>
    <n v="4297"/>
    <n v="1505"/>
    <n v="224"/>
    <n v="527"/>
    <n v="1013"/>
    <n v="100"/>
    <n v="167"/>
    <n v="0.98399999999999999"/>
  </r>
  <r>
    <n v="2004"/>
    <x v="6"/>
    <s v="CHN"/>
    <n v="3"/>
    <s v="N"/>
    <s v="N"/>
    <s v="N"/>
    <s v="N"/>
    <n v="89"/>
    <n v="73"/>
    <n v="789"/>
    <n v="5628"/>
    <n v="1508"/>
    <n v="308"/>
    <n v="29"/>
    <n v="235"/>
    <n v="489"/>
    <n v="1080"/>
    <n v="66"/>
    <n v="28"/>
    <n v="38"/>
    <n v="48"/>
    <n v="665"/>
    <n v="621"/>
    <n v="3.81"/>
    <n v="3"/>
    <n v="6"/>
    <n v="42"/>
    <n v="4396"/>
    <n v="1363"/>
    <n v="169"/>
    <n v="545"/>
    <n v="1346"/>
    <n v="86"/>
    <n v="126"/>
    <n v="0.98599999999999999"/>
  </r>
  <r>
    <n v="2004"/>
    <x v="7"/>
    <s v="CIN"/>
    <n v="4"/>
    <s v="N"/>
    <s v="N"/>
    <s v="N"/>
    <s v="N"/>
    <n v="76"/>
    <n v="86"/>
    <n v="750"/>
    <n v="5518"/>
    <n v="1380"/>
    <n v="287"/>
    <n v="28"/>
    <n v="194"/>
    <n v="599"/>
    <n v="1335"/>
    <n v="77"/>
    <n v="25"/>
    <n v="81"/>
    <n v="25"/>
    <n v="907"/>
    <n v="832"/>
    <n v="5.19"/>
    <n v="5"/>
    <n v="8"/>
    <n v="47"/>
    <n v="4331"/>
    <n v="1595"/>
    <n v="236"/>
    <n v="572"/>
    <n v="992"/>
    <n v="113"/>
    <n v="123"/>
    <n v="0.98099999999999998"/>
  </r>
  <r>
    <n v="2004"/>
    <x v="8"/>
    <s v="CLE"/>
    <n v="3"/>
    <s v="N"/>
    <s v="N"/>
    <s v="N"/>
    <s v="N"/>
    <n v="80"/>
    <n v="82"/>
    <n v="858"/>
    <n v="5676"/>
    <n v="1565"/>
    <n v="345"/>
    <n v="29"/>
    <n v="184"/>
    <n v="606"/>
    <n v="1009"/>
    <n v="94"/>
    <n v="55"/>
    <n v="78"/>
    <n v="42"/>
    <n v="857"/>
    <n v="784"/>
    <n v="4.8099999999999996"/>
    <n v="8"/>
    <n v="8"/>
    <n v="32"/>
    <n v="4400"/>
    <n v="1553"/>
    <n v="201"/>
    <n v="579"/>
    <n v="1115"/>
    <n v="106"/>
    <n v="152"/>
    <n v="0.98299999999999998"/>
  </r>
  <r>
    <n v="2004"/>
    <x v="9"/>
    <s v="COL"/>
    <n v="4"/>
    <s v="N"/>
    <s v="N"/>
    <s v="N"/>
    <s v="N"/>
    <n v="68"/>
    <n v="94"/>
    <n v="833"/>
    <n v="5577"/>
    <n v="1531"/>
    <n v="331"/>
    <n v="34"/>
    <n v="202"/>
    <n v="568"/>
    <n v="1181"/>
    <n v="44"/>
    <n v="33"/>
    <n v="54"/>
    <n v="37"/>
    <n v="923"/>
    <n v="883"/>
    <n v="5.54"/>
    <n v="3"/>
    <n v="2"/>
    <n v="36"/>
    <n v="4306"/>
    <n v="1634"/>
    <n v="198"/>
    <n v="697"/>
    <n v="947"/>
    <n v="89"/>
    <n v="161"/>
    <n v="0.98599999999999999"/>
  </r>
  <r>
    <n v="2004"/>
    <x v="10"/>
    <s v="DET"/>
    <n v="4"/>
    <s v="N"/>
    <s v="N"/>
    <s v="N"/>
    <s v="N"/>
    <n v="72"/>
    <n v="90"/>
    <n v="827"/>
    <n v="5623"/>
    <n v="1531"/>
    <n v="284"/>
    <n v="54"/>
    <n v="201"/>
    <n v="518"/>
    <n v="1144"/>
    <n v="86"/>
    <n v="50"/>
    <n v="50"/>
    <n v="43"/>
    <n v="844"/>
    <n v="788"/>
    <n v="4.93"/>
    <n v="7"/>
    <n v="9"/>
    <n v="35"/>
    <n v="4319"/>
    <n v="1542"/>
    <n v="190"/>
    <n v="530"/>
    <n v="995"/>
    <n v="144"/>
    <n v="160"/>
    <n v="0.97699999999999998"/>
  </r>
  <r>
    <n v="2004"/>
    <x v="11"/>
    <s v="FLO"/>
    <n v="3"/>
    <s v="N"/>
    <s v="N"/>
    <s v="N"/>
    <s v="N"/>
    <n v="83"/>
    <n v="79"/>
    <n v="718"/>
    <n v="5486"/>
    <n v="1447"/>
    <n v="275"/>
    <n v="32"/>
    <n v="148"/>
    <n v="499"/>
    <n v="968"/>
    <n v="96"/>
    <n v="43"/>
    <n v="58"/>
    <n v="40"/>
    <n v="700"/>
    <n v="655"/>
    <n v="4.0999999999999996"/>
    <n v="6"/>
    <n v="14"/>
    <n v="53"/>
    <n v="4317"/>
    <n v="1395"/>
    <n v="166"/>
    <n v="513"/>
    <n v="1116"/>
    <n v="86"/>
    <n v="153"/>
    <n v="0.98599999999999999"/>
  </r>
  <r>
    <n v="2004"/>
    <x v="12"/>
    <s v="HOU"/>
    <n v="2"/>
    <s v="N"/>
    <s v="Y"/>
    <s v="N"/>
    <s v="N"/>
    <n v="92"/>
    <n v="70"/>
    <n v="803"/>
    <n v="5468"/>
    <n v="1458"/>
    <n v="294"/>
    <n v="36"/>
    <n v="187"/>
    <n v="590"/>
    <n v="999"/>
    <n v="89"/>
    <n v="30"/>
    <n v="61"/>
    <n v="52"/>
    <n v="698"/>
    <n v="650"/>
    <n v="4.05"/>
    <n v="2"/>
    <n v="13"/>
    <n v="47"/>
    <n v="4329"/>
    <n v="1416"/>
    <n v="174"/>
    <n v="525"/>
    <n v="1282"/>
    <n v="101"/>
    <n v="136"/>
    <n v="0.98299999999999998"/>
  </r>
  <r>
    <n v="2004"/>
    <x v="13"/>
    <s v="KCA"/>
    <n v="5"/>
    <s v="N"/>
    <s v="N"/>
    <s v="N"/>
    <s v="N"/>
    <n v="58"/>
    <n v="104"/>
    <n v="720"/>
    <n v="5538"/>
    <n v="1432"/>
    <n v="261"/>
    <n v="29"/>
    <n v="150"/>
    <n v="461"/>
    <n v="1057"/>
    <n v="67"/>
    <n v="48"/>
    <n v="76"/>
    <n v="38"/>
    <n v="905"/>
    <n v="813"/>
    <n v="5.15"/>
    <n v="6"/>
    <n v="3"/>
    <n v="25"/>
    <n v="4261"/>
    <n v="1638"/>
    <n v="208"/>
    <n v="518"/>
    <n v="887"/>
    <n v="131"/>
    <n v="169"/>
    <n v="0.97799999999999998"/>
  </r>
  <r>
    <n v="2004"/>
    <x v="14"/>
    <s v="LAN"/>
    <n v="1"/>
    <s v="Y"/>
    <s v="N"/>
    <s v="N"/>
    <s v="N"/>
    <n v="93"/>
    <n v="69"/>
    <n v="761"/>
    <n v="5542"/>
    <n v="1450"/>
    <n v="226"/>
    <n v="30"/>
    <n v="203"/>
    <n v="536"/>
    <n v="1092"/>
    <n v="102"/>
    <n v="41"/>
    <n v="62"/>
    <n v="35"/>
    <n v="684"/>
    <n v="647"/>
    <n v="4.01"/>
    <n v="2"/>
    <n v="6"/>
    <n v="51"/>
    <n v="4360"/>
    <n v="1386"/>
    <n v="178"/>
    <n v="521"/>
    <n v="1066"/>
    <n v="73"/>
    <n v="145"/>
    <n v="0.98799999999999999"/>
  </r>
  <r>
    <n v="2004"/>
    <x v="15"/>
    <s v="MIL"/>
    <n v="6"/>
    <s v="N"/>
    <s v="N"/>
    <s v="N"/>
    <s v="N"/>
    <n v="67"/>
    <n v="94"/>
    <n v="634"/>
    <n v="5483"/>
    <n v="1358"/>
    <n v="295"/>
    <n v="32"/>
    <n v="135"/>
    <n v="540"/>
    <n v="1312"/>
    <n v="138"/>
    <n v="40"/>
    <n v="68"/>
    <n v="40"/>
    <n v="757"/>
    <n v="679"/>
    <n v="4.24"/>
    <n v="6"/>
    <n v="10"/>
    <n v="42"/>
    <n v="4326"/>
    <n v="1440"/>
    <n v="164"/>
    <n v="476"/>
    <n v="1098"/>
    <n v="117"/>
    <n v="132"/>
    <n v="0.98099999999999998"/>
  </r>
  <r>
    <n v="2004"/>
    <x v="16"/>
    <s v="MIN"/>
    <n v="1"/>
    <s v="Y"/>
    <s v="N"/>
    <s v="N"/>
    <s v="N"/>
    <n v="92"/>
    <n v="70"/>
    <n v="780"/>
    <n v="5623"/>
    <n v="1494"/>
    <n v="310"/>
    <n v="24"/>
    <n v="191"/>
    <n v="513"/>
    <n v="982"/>
    <n v="116"/>
    <n v="46"/>
    <n v="64"/>
    <n v="40"/>
    <n v="715"/>
    <n v="661"/>
    <n v="4.03"/>
    <n v="4"/>
    <n v="9"/>
    <n v="48"/>
    <n v="4428"/>
    <n v="1523"/>
    <n v="167"/>
    <n v="431"/>
    <n v="1123"/>
    <n v="101"/>
    <n v="158"/>
    <n v="0.98399999999999999"/>
  </r>
  <r>
    <n v="2004"/>
    <x v="17"/>
    <s v="MON"/>
    <n v="5"/>
    <s v="N"/>
    <s v="N"/>
    <s v="N"/>
    <s v="N"/>
    <n v="67"/>
    <n v="95"/>
    <n v="635"/>
    <n v="5474"/>
    <n v="1361"/>
    <n v="276"/>
    <n v="27"/>
    <n v="151"/>
    <n v="496"/>
    <n v="925"/>
    <n v="109"/>
    <n v="38"/>
    <n v="35"/>
    <n v="33"/>
    <n v="769"/>
    <n v="696"/>
    <n v="4.33"/>
    <n v="11"/>
    <n v="11"/>
    <n v="31"/>
    <n v="4341"/>
    <n v="1477"/>
    <n v="191"/>
    <n v="582"/>
    <n v="1032"/>
    <n v="99"/>
    <n v="172"/>
    <n v="0.98399999999999999"/>
  </r>
  <r>
    <n v="2004"/>
    <x v="18"/>
    <s v="NYA"/>
    <n v="1"/>
    <s v="Y"/>
    <s v="N"/>
    <s v="N"/>
    <s v="N"/>
    <n v="101"/>
    <n v="61"/>
    <n v="897"/>
    <n v="5527"/>
    <n v="1483"/>
    <n v="281"/>
    <n v="20"/>
    <n v="242"/>
    <n v="670"/>
    <n v="982"/>
    <n v="84"/>
    <n v="33"/>
    <n v="80"/>
    <n v="50"/>
    <n v="808"/>
    <n v="752"/>
    <n v="4.6900000000000004"/>
    <n v="1"/>
    <n v="5"/>
    <n v="59"/>
    <n v="4331"/>
    <n v="1532"/>
    <n v="182"/>
    <n v="445"/>
    <n v="1058"/>
    <n v="99"/>
    <n v="148"/>
    <n v="0.98399999999999999"/>
  </r>
  <r>
    <n v="2004"/>
    <x v="19"/>
    <s v="NYN"/>
    <n v="4"/>
    <s v="N"/>
    <s v="N"/>
    <s v="N"/>
    <s v="N"/>
    <n v="71"/>
    <n v="91"/>
    <n v="684"/>
    <n v="5532"/>
    <n v="1376"/>
    <n v="289"/>
    <n v="20"/>
    <n v="185"/>
    <n v="512"/>
    <n v="1159"/>
    <n v="107"/>
    <n v="23"/>
    <n v="61"/>
    <n v="34"/>
    <n v="731"/>
    <n v="658"/>
    <n v="4.09"/>
    <n v="2"/>
    <n v="6"/>
    <n v="31"/>
    <n v="4347"/>
    <n v="1452"/>
    <n v="156"/>
    <n v="592"/>
    <n v="977"/>
    <n v="137"/>
    <n v="144"/>
    <n v="0.97799999999999998"/>
  </r>
  <r>
    <n v="2004"/>
    <x v="20"/>
    <s v="OAK"/>
    <n v="2"/>
    <s v="N"/>
    <s v="N"/>
    <s v="N"/>
    <s v="N"/>
    <n v="91"/>
    <n v="71"/>
    <n v="793"/>
    <n v="5728"/>
    <n v="1545"/>
    <n v="336"/>
    <n v="15"/>
    <n v="189"/>
    <n v="608"/>
    <n v="1061"/>
    <n v="47"/>
    <n v="22"/>
    <n v="55"/>
    <n v="43"/>
    <n v="742"/>
    <n v="682"/>
    <n v="4.17"/>
    <n v="10"/>
    <n v="8"/>
    <n v="35"/>
    <n v="4414"/>
    <n v="1466"/>
    <n v="164"/>
    <n v="544"/>
    <n v="1034"/>
    <n v="91"/>
    <n v="172"/>
    <n v="0.98599999999999999"/>
  </r>
  <r>
    <n v="2004"/>
    <x v="21"/>
    <s v="PHI"/>
    <n v="2"/>
    <s v="N"/>
    <s v="N"/>
    <s v="N"/>
    <s v="N"/>
    <n v="86"/>
    <n v="76"/>
    <n v="840"/>
    <n v="5643"/>
    <n v="1505"/>
    <n v="303"/>
    <n v="23"/>
    <n v="215"/>
    <n v="645"/>
    <n v="1133"/>
    <n v="100"/>
    <n v="27"/>
    <n v="58"/>
    <n v="46"/>
    <n v="781"/>
    <n v="724"/>
    <n v="4.45"/>
    <n v="4"/>
    <n v="5"/>
    <n v="43"/>
    <n v="4388"/>
    <n v="1488"/>
    <n v="214"/>
    <n v="502"/>
    <n v="1070"/>
    <n v="81"/>
    <n v="142"/>
    <n v="0.98699999999999999"/>
  </r>
  <r>
    <n v="2004"/>
    <x v="22"/>
    <s v="PIT"/>
    <n v="5"/>
    <s v="N"/>
    <s v="N"/>
    <s v="N"/>
    <s v="N"/>
    <n v="72"/>
    <n v="89"/>
    <n v="680"/>
    <n v="5483"/>
    <n v="1428"/>
    <n v="267"/>
    <n v="39"/>
    <n v="142"/>
    <n v="415"/>
    <n v="1066"/>
    <n v="63"/>
    <n v="40"/>
    <n v="95"/>
    <n v="42"/>
    <n v="744"/>
    <n v="680"/>
    <n v="4.29"/>
    <n v="3"/>
    <n v="8"/>
    <n v="46"/>
    <n v="4284"/>
    <n v="1451"/>
    <n v="149"/>
    <n v="576"/>
    <n v="1079"/>
    <n v="103"/>
    <n v="189"/>
    <n v="0.98299999999999998"/>
  </r>
  <r>
    <n v="2004"/>
    <x v="23"/>
    <s v="SDN"/>
    <n v="3"/>
    <s v="N"/>
    <s v="N"/>
    <s v="N"/>
    <s v="N"/>
    <n v="87"/>
    <n v="75"/>
    <n v="768"/>
    <n v="5573"/>
    <n v="1521"/>
    <n v="304"/>
    <n v="32"/>
    <n v="139"/>
    <n v="566"/>
    <n v="910"/>
    <n v="52"/>
    <n v="25"/>
    <n v="56"/>
    <n v="66"/>
    <n v="705"/>
    <n v="645"/>
    <n v="4.03"/>
    <n v="3"/>
    <n v="8"/>
    <n v="44"/>
    <n v="4323"/>
    <n v="1460"/>
    <n v="184"/>
    <n v="422"/>
    <n v="1079"/>
    <n v="108"/>
    <n v="146"/>
    <n v="0.98199999999999998"/>
  </r>
  <r>
    <n v="2004"/>
    <x v="24"/>
    <s v="SEA"/>
    <n v="4"/>
    <s v="N"/>
    <s v="N"/>
    <s v="N"/>
    <s v="N"/>
    <n v="63"/>
    <n v="99"/>
    <n v="698"/>
    <n v="5722"/>
    <n v="1544"/>
    <n v="276"/>
    <n v="20"/>
    <n v="136"/>
    <n v="492"/>
    <n v="1058"/>
    <n v="110"/>
    <n v="42"/>
    <n v="54"/>
    <n v="48"/>
    <n v="823"/>
    <n v="772"/>
    <n v="4.76"/>
    <n v="7"/>
    <n v="7"/>
    <n v="28"/>
    <n v="4378"/>
    <n v="1498"/>
    <n v="212"/>
    <n v="575"/>
    <n v="1036"/>
    <n v="103"/>
    <n v="140"/>
    <n v="0.98299999999999998"/>
  </r>
  <r>
    <n v="2004"/>
    <x v="25"/>
    <s v="SFN"/>
    <n v="2"/>
    <s v="N"/>
    <s v="N"/>
    <s v="N"/>
    <s v="N"/>
    <n v="91"/>
    <n v="71"/>
    <n v="850"/>
    <n v="5546"/>
    <n v="1500"/>
    <n v="314"/>
    <n v="33"/>
    <n v="183"/>
    <n v="705"/>
    <n v="874"/>
    <n v="43"/>
    <n v="23"/>
    <n v="72"/>
    <n v="51"/>
    <n v="770"/>
    <n v="695"/>
    <n v="4.29"/>
    <n v="8"/>
    <n v="8"/>
    <n v="46"/>
    <n v="4371"/>
    <n v="1481"/>
    <n v="161"/>
    <n v="548"/>
    <n v="1020"/>
    <n v="101"/>
    <n v="153"/>
    <n v="0.98399999999999999"/>
  </r>
  <r>
    <n v="2004"/>
    <x v="26"/>
    <s v="SLN"/>
    <n v="1"/>
    <s v="Y"/>
    <s v="N"/>
    <s v="Y"/>
    <s v="N"/>
    <n v="105"/>
    <n v="57"/>
    <n v="855"/>
    <n v="5555"/>
    <n v="1544"/>
    <n v="319"/>
    <n v="24"/>
    <n v="214"/>
    <n v="548"/>
    <n v="1085"/>
    <n v="111"/>
    <n v="47"/>
    <n v="51"/>
    <n v="70"/>
    <n v="659"/>
    <n v="605"/>
    <n v="3.75"/>
    <n v="4"/>
    <n v="12"/>
    <n v="57"/>
    <n v="4361"/>
    <n v="1378"/>
    <n v="169"/>
    <n v="440"/>
    <n v="1041"/>
    <n v="97"/>
    <n v="154"/>
    <n v="0.98499999999999999"/>
  </r>
  <r>
    <n v="2004"/>
    <x v="27"/>
    <s v="TBA"/>
    <n v="4"/>
    <s v="N"/>
    <s v="N"/>
    <s v="N"/>
    <s v="N"/>
    <n v="70"/>
    <n v="91"/>
    <n v="714"/>
    <n v="5483"/>
    <n v="1416"/>
    <n v="278"/>
    <n v="46"/>
    <n v="145"/>
    <n v="469"/>
    <n v="944"/>
    <n v="132"/>
    <n v="42"/>
    <n v="55"/>
    <n v="56"/>
    <n v="842"/>
    <n v="757"/>
    <n v="4.8099999999999996"/>
    <n v="3"/>
    <n v="5"/>
    <n v="35"/>
    <n v="4251"/>
    <n v="1459"/>
    <n v="192"/>
    <n v="580"/>
    <n v="923"/>
    <n v="119"/>
    <n v="139"/>
    <n v="0.98"/>
  </r>
  <r>
    <n v="2004"/>
    <x v="28"/>
    <s v="TEX"/>
    <n v="3"/>
    <s v="N"/>
    <s v="N"/>
    <s v="N"/>
    <s v="N"/>
    <n v="89"/>
    <n v="73"/>
    <n v="860"/>
    <n v="5615"/>
    <n v="1492"/>
    <n v="323"/>
    <n v="34"/>
    <n v="227"/>
    <n v="500"/>
    <n v="1099"/>
    <n v="69"/>
    <n v="36"/>
    <n v="61"/>
    <n v="57"/>
    <n v="794"/>
    <n v="724"/>
    <n v="4.53"/>
    <n v="5"/>
    <n v="9"/>
    <n v="52"/>
    <n v="4319"/>
    <n v="1536"/>
    <n v="182"/>
    <n v="547"/>
    <n v="979"/>
    <n v="117"/>
    <n v="152"/>
    <n v="0.98099999999999998"/>
  </r>
  <r>
    <n v="2004"/>
    <x v="29"/>
    <s v="TOR"/>
    <n v="5"/>
    <s v="N"/>
    <s v="N"/>
    <s v="N"/>
    <s v="N"/>
    <n v="67"/>
    <n v="94"/>
    <n v="719"/>
    <n v="5531"/>
    <n v="1438"/>
    <n v="290"/>
    <n v="34"/>
    <n v="145"/>
    <n v="513"/>
    <n v="1083"/>
    <n v="58"/>
    <n v="31"/>
    <n v="71"/>
    <n v="42"/>
    <n v="823"/>
    <n v="775"/>
    <n v="4.91"/>
    <n v="6"/>
    <n v="11"/>
    <n v="37"/>
    <n v="4263"/>
    <n v="1505"/>
    <n v="181"/>
    <n v="608"/>
    <n v="956"/>
    <n v="91"/>
    <n v="150"/>
    <n v="0.98499999999999999"/>
  </r>
  <r>
    <n v="2005"/>
    <x v="1"/>
    <s v="ARI"/>
    <n v="2"/>
    <s v="N"/>
    <s v="N"/>
    <s v="N"/>
    <s v="N"/>
    <n v="77"/>
    <n v="85"/>
    <n v="696"/>
    <n v="5550"/>
    <n v="1419"/>
    <n v="291"/>
    <n v="27"/>
    <n v="191"/>
    <n v="606"/>
    <n v="1094"/>
    <n v="67"/>
    <n v="26"/>
    <n v="55"/>
    <n v="45"/>
    <n v="856"/>
    <n v="783"/>
    <n v="4.84"/>
    <n v="6"/>
    <n v="10"/>
    <n v="45"/>
    <n v="4369"/>
    <n v="1580"/>
    <n v="193"/>
    <n v="537"/>
    <n v="1038"/>
    <n v="94"/>
    <n v="159"/>
    <n v="0.98499999999999999"/>
  </r>
  <r>
    <n v="2005"/>
    <x v="2"/>
    <s v="ATL"/>
    <n v="1"/>
    <s v="Y"/>
    <s v="N"/>
    <s v="N"/>
    <s v="N"/>
    <n v="90"/>
    <n v="72"/>
    <n v="769"/>
    <n v="5486"/>
    <n v="1453"/>
    <n v="308"/>
    <n v="37"/>
    <n v="184"/>
    <n v="534"/>
    <n v="1084"/>
    <n v="92"/>
    <n v="32"/>
    <n v="45"/>
    <n v="46"/>
    <n v="674"/>
    <n v="639"/>
    <n v="3.98"/>
    <n v="8"/>
    <n v="12"/>
    <n v="38"/>
    <n v="4331"/>
    <n v="1487"/>
    <n v="145"/>
    <n v="520"/>
    <n v="929"/>
    <n v="86"/>
    <n v="170"/>
    <n v="0.98599999999999999"/>
  </r>
  <r>
    <n v="2005"/>
    <x v="3"/>
    <s v="BAL"/>
    <n v="4"/>
    <s v="N"/>
    <s v="N"/>
    <s v="N"/>
    <s v="N"/>
    <n v="74"/>
    <n v="88"/>
    <n v="729"/>
    <n v="5551"/>
    <n v="1492"/>
    <n v="296"/>
    <n v="27"/>
    <n v="189"/>
    <n v="447"/>
    <n v="902"/>
    <n v="83"/>
    <n v="37"/>
    <n v="54"/>
    <n v="42"/>
    <n v="800"/>
    <n v="724"/>
    <n v="4.5599999999999996"/>
    <n v="2"/>
    <n v="9"/>
    <n v="38"/>
    <n v="4283"/>
    <n v="1458"/>
    <n v="180"/>
    <n v="580"/>
    <n v="1052"/>
    <n v="107"/>
    <n v="154"/>
    <n v="0.98199999999999998"/>
  </r>
  <r>
    <n v="2005"/>
    <x v="4"/>
    <s v="BOS"/>
    <n v="2"/>
    <s v="N"/>
    <s v="Y"/>
    <s v="N"/>
    <s v="N"/>
    <n v="95"/>
    <n v="67"/>
    <n v="910"/>
    <n v="5626"/>
    <n v="1579"/>
    <n v="339"/>
    <n v="21"/>
    <n v="199"/>
    <n v="653"/>
    <n v="1044"/>
    <n v="45"/>
    <n v="12"/>
    <n v="47"/>
    <n v="63"/>
    <n v="805"/>
    <n v="752"/>
    <n v="4.74"/>
    <n v="6"/>
    <n v="8"/>
    <n v="38"/>
    <n v="4287"/>
    <n v="1550"/>
    <n v="164"/>
    <n v="440"/>
    <n v="959"/>
    <n v="109"/>
    <n v="135"/>
    <n v="0.98199999999999998"/>
  </r>
  <r>
    <n v="2005"/>
    <x v="5"/>
    <s v="CHA"/>
    <n v="1"/>
    <s v="Y"/>
    <s v="N"/>
    <s v="Y"/>
    <s v="Y"/>
    <n v="99"/>
    <n v="63"/>
    <n v="741"/>
    <n v="5529"/>
    <n v="1450"/>
    <n v="253"/>
    <n v="23"/>
    <n v="200"/>
    <n v="435"/>
    <n v="1002"/>
    <n v="137"/>
    <n v="67"/>
    <n v="79"/>
    <n v="49"/>
    <n v="645"/>
    <n v="592"/>
    <n v="3.61"/>
    <n v="9"/>
    <n v="10"/>
    <n v="54"/>
    <n v="4427"/>
    <n v="1392"/>
    <n v="167"/>
    <n v="459"/>
    <n v="1040"/>
    <n v="94"/>
    <n v="166"/>
    <n v="0.98499999999999999"/>
  </r>
  <r>
    <n v="2005"/>
    <x v="6"/>
    <s v="CHN"/>
    <n v="4"/>
    <s v="N"/>
    <s v="N"/>
    <s v="N"/>
    <s v="N"/>
    <n v="79"/>
    <n v="83"/>
    <n v="703"/>
    <n v="5584"/>
    <n v="1506"/>
    <n v="323"/>
    <n v="23"/>
    <n v="194"/>
    <n v="419"/>
    <n v="920"/>
    <n v="65"/>
    <n v="39"/>
    <n v="50"/>
    <n v="37"/>
    <n v="714"/>
    <n v="671"/>
    <n v="4.1900000000000004"/>
    <n v="8"/>
    <n v="10"/>
    <n v="39"/>
    <n v="4320"/>
    <n v="1357"/>
    <n v="186"/>
    <n v="576"/>
    <n v="1256"/>
    <n v="101"/>
    <n v="136"/>
    <n v="0.98299999999999998"/>
  </r>
  <r>
    <n v="2005"/>
    <x v="7"/>
    <s v="CIN"/>
    <n v="5"/>
    <s v="N"/>
    <s v="N"/>
    <s v="N"/>
    <s v="N"/>
    <n v="73"/>
    <n v="89"/>
    <n v="820"/>
    <n v="5565"/>
    <n v="1453"/>
    <n v="335"/>
    <n v="15"/>
    <n v="222"/>
    <n v="611"/>
    <n v="1303"/>
    <n v="72"/>
    <n v="23"/>
    <n v="62"/>
    <n v="39"/>
    <n v="889"/>
    <n v="820"/>
    <n v="5.15"/>
    <n v="2"/>
    <n v="1"/>
    <n v="31"/>
    <n v="4299"/>
    <n v="1657"/>
    <n v="219"/>
    <n v="492"/>
    <n v="955"/>
    <n v="104"/>
    <n v="133"/>
    <n v="0.98299999999999998"/>
  </r>
  <r>
    <n v="2005"/>
    <x v="8"/>
    <s v="CLE"/>
    <n v="2"/>
    <s v="N"/>
    <s v="N"/>
    <s v="N"/>
    <s v="N"/>
    <n v="93"/>
    <n v="69"/>
    <n v="790"/>
    <n v="5609"/>
    <n v="1522"/>
    <n v="337"/>
    <n v="30"/>
    <n v="207"/>
    <n v="503"/>
    <n v="1093"/>
    <n v="62"/>
    <n v="36"/>
    <n v="54"/>
    <n v="50"/>
    <n v="642"/>
    <n v="582"/>
    <n v="3.61"/>
    <n v="6"/>
    <n v="10"/>
    <n v="51"/>
    <n v="4358"/>
    <n v="1363"/>
    <n v="157"/>
    <n v="413"/>
    <n v="1050"/>
    <n v="106"/>
    <n v="156"/>
    <n v="0.98299999999999998"/>
  </r>
  <r>
    <n v="2005"/>
    <x v="9"/>
    <s v="COL"/>
    <n v="5"/>
    <s v="N"/>
    <s v="N"/>
    <s v="N"/>
    <s v="N"/>
    <n v="67"/>
    <n v="95"/>
    <n v="740"/>
    <n v="5542"/>
    <n v="1477"/>
    <n v="280"/>
    <n v="34"/>
    <n v="150"/>
    <n v="509"/>
    <n v="1103"/>
    <n v="65"/>
    <n v="32"/>
    <n v="64"/>
    <n v="34"/>
    <n v="862"/>
    <n v="808"/>
    <n v="5.13"/>
    <n v="4"/>
    <n v="4"/>
    <n v="37"/>
    <n v="4256"/>
    <n v="1600"/>
    <n v="175"/>
    <n v="604"/>
    <n v="981"/>
    <n v="118"/>
    <n v="158"/>
    <n v="0.98099999999999998"/>
  </r>
  <r>
    <n v="2005"/>
    <x v="10"/>
    <s v="DET"/>
    <n v="4"/>
    <s v="N"/>
    <s v="N"/>
    <s v="N"/>
    <s v="N"/>
    <n v="71"/>
    <n v="91"/>
    <n v="723"/>
    <n v="5602"/>
    <n v="1521"/>
    <n v="283"/>
    <n v="45"/>
    <n v="168"/>
    <n v="384"/>
    <n v="1038"/>
    <n v="66"/>
    <n v="28"/>
    <n v="53"/>
    <n v="52"/>
    <n v="787"/>
    <n v="719"/>
    <n v="4.51"/>
    <n v="7"/>
    <n v="2"/>
    <n v="37"/>
    <n v="4307"/>
    <n v="1504"/>
    <n v="193"/>
    <n v="461"/>
    <n v="907"/>
    <n v="110"/>
    <n v="171"/>
    <n v="0.98199999999999998"/>
  </r>
  <r>
    <n v="2005"/>
    <x v="11"/>
    <s v="FLO"/>
    <n v="3"/>
    <s v="N"/>
    <s v="N"/>
    <s v="N"/>
    <s v="N"/>
    <n v="83"/>
    <n v="79"/>
    <n v="717"/>
    <n v="5502"/>
    <n v="1499"/>
    <n v="306"/>
    <n v="32"/>
    <n v="128"/>
    <n v="512"/>
    <n v="918"/>
    <n v="96"/>
    <n v="38"/>
    <n v="67"/>
    <n v="50"/>
    <n v="732"/>
    <n v="666"/>
    <n v="4.16"/>
    <n v="14"/>
    <n v="15"/>
    <n v="42"/>
    <n v="4327"/>
    <n v="1459"/>
    <n v="116"/>
    <n v="563"/>
    <n v="1125"/>
    <n v="103"/>
    <n v="177"/>
    <n v="0.98299999999999998"/>
  </r>
  <r>
    <n v="2005"/>
    <x v="12"/>
    <s v="HOU"/>
    <n v="2"/>
    <s v="N"/>
    <s v="Y"/>
    <s v="Y"/>
    <s v="N"/>
    <n v="89"/>
    <n v="73"/>
    <n v="693"/>
    <n v="5462"/>
    <n v="1400"/>
    <n v="281"/>
    <n v="32"/>
    <n v="161"/>
    <n v="481"/>
    <n v="1037"/>
    <n v="115"/>
    <n v="44"/>
    <n v="72"/>
    <n v="42"/>
    <n v="609"/>
    <n v="563"/>
    <n v="3.51"/>
    <n v="6"/>
    <n v="11"/>
    <n v="45"/>
    <n v="4329"/>
    <n v="1336"/>
    <n v="155"/>
    <n v="440"/>
    <n v="1164"/>
    <n v="89"/>
    <n v="146"/>
    <n v="0.98499999999999999"/>
  </r>
  <r>
    <n v="2005"/>
    <x v="13"/>
    <s v="KCA"/>
    <n v="5"/>
    <s v="N"/>
    <s v="N"/>
    <s v="N"/>
    <s v="N"/>
    <n v="56"/>
    <n v="106"/>
    <n v="701"/>
    <n v="5503"/>
    <n v="1445"/>
    <n v="289"/>
    <n v="34"/>
    <n v="126"/>
    <n v="424"/>
    <n v="1008"/>
    <n v="53"/>
    <n v="33"/>
    <n v="63"/>
    <n v="50"/>
    <n v="935"/>
    <n v="862"/>
    <n v="5.49"/>
    <n v="4"/>
    <n v="4"/>
    <n v="25"/>
    <n v="4240"/>
    <n v="1640"/>
    <n v="178"/>
    <n v="580"/>
    <n v="924"/>
    <n v="125"/>
    <n v="163"/>
    <n v="0.97899999999999998"/>
  </r>
  <r>
    <n v="2005"/>
    <x v="30"/>
    <s v="LAA"/>
    <n v="1"/>
    <s v="Y"/>
    <s v="N"/>
    <s v="N"/>
    <s v="N"/>
    <n v="95"/>
    <n v="67"/>
    <n v="761"/>
    <n v="5624"/>
    <n v="1520"/>
    <n v="278"/>
    <n v="30"/>
    <n v="147"/>
    <n v="447"/>
    <n v="848"/>
    <n v="161"/>
    <n v="57"/>
    <n v="29"/>
    <n v="39"/>
    <n v="643"/>
    <n v="598"/>
    <n v="3.68"/>
    <n v="7"/>
    <n v="11"/>
    <n v="54"/>
    <n v="4393"/>
    <n v="1419"/>
    <n v="158"/>
    <n v="443"/>
    <n v="1126"/>
    <n v="87"/>
    <n v="139"/>
    <n v="0.98599999999999999"/>
  </r>
  <r>
    <n v="2005"/>
    <x v="14"/>
    <s v="LAN"/>
    <n v="4"/>
    <s v="N"/>
    <s v="N"/>
    <s v="N"/>
    <s v="N"/>
    <n v="71"/>
    <n v="91"/>
    <n v="685"/>
    <n v="5433"/>
    <n v="1374"/>
    <n v="284"/>
    <n v="21"/>
    <n v="149"/>
    <n v="541"/>
    <n v="1094"/>
    <n v="58"/>
    <n v="35"/>
    <n v="67"/>
    <n v="33"/>
    <n v="755"/>
    <n v="695"/>
    <n v="4.38"/>
    <n v="6"/>
    <n v="9"/>
    <n v="40"/>
    <n v="4282"/>
    <n v="1434"/>
    <n v="182"/>
    <n v="471"/>
    <n v="1004"/>
    <n v="106"/>
    <n v="141"/>
    <n v="0.98299999999999998"/>
  </r>
  <r>
    <n v="2005"/>
    <x v="15"/>
    <s v="MIL"/>
    <n v="3"/>
    <s v="N"/>
    <s v="N"/>
    <s v="N"/>
    <s v="N"/>
    <n v="81"/>
    <n v="81"/>
    <n v="726"/>
    <n v="5448"/>
    <n v="1413"/>
    <n v="327"/>
    <n v="19"/>
    <n v="175"/>
    <n v="531"/>
    <n v="1162"/>
    <n v="79"/>
    <n v="34"/>
    <n v="73"/>
    <n v="38"/>
    <n v="697"/>
    <n v="635"/>
    <n v="3.97"/>
    <n v="7"/>
    <n v="6"/>
    <n v="46"/>
    <n v="4314"/>
    <n v="1382"/>
    <n v="169"/>
    <n v="569"/>
    <n v="1173"/>
    <n v="119"/>
    <n v="139"/>
    <n v="0.98"/>
  </r>
  <r>
    <n v="2005"/>
    <x v="16"/>
    <s v="MIN"/>
    <n v="3"/>
    <s v="N"/>
    <s v="N"/>
    <s v="N"/>
    <s v="N"/>
    <n v="83"/>
    <n v="79"/>
    <n v="688"/>
    <n v="5564"/>
    <n v="1441"/>
    <n v="269"/>
    <n v="32"/>
    <n v="134"/>
    <n v="485"/>
    <n v="978"/>
    <n v="102"/>
    <n v="44"/>
    <n v="59"/>
    <n v="42"/>
    <n v="662"/>
    <n v="604"/>
    <n v="3.71"/>
    <n v="9"/>
    <n v="8"/>
    <n v="44"/>
    <n v="4393"/>
    <n v="1458"/>
    <n v="169"/>
    <n v="348"/>
    <n v="965"/>
    <n v="102"/>
    <n v="171"/>
    <n v="0.98399999999999999"/>
  </r>
  <r>
    <n v="2005"/>
    <x v="18"/>
    <s v="NYA"/>
    <n v="1"/>
    <s v="Y"/>
    <s v="N"/>
    <s v="N"/>
    <s v="N"/>
    <n v="95"/>
    <n v="67"/>
    <n v="886"/>
    <n v="5624"/>
    <n v="1552"/>
    <n v="259"/>
    <n v="16"/>
    <n v="229"/>
    <n v="637"/>
    <n v="989"/>
    <n v="84"/>
    <n v="27"/>
    <n v="73"/>
    <n v="43"/>
    <n v="789"/>
    <n v="718"/>
    <n v="4.5199999999999996"/>
    <n v="8"/>
    <n v="14"/>
    <n v="46"/>
    <n v="4292"/>
    <n v="1495"/>
    <n v="164"/>
    <n v="463"/>
    <n v="985"/>
    <n v="95"/>
    <n v="151"/>
    <n v="0.98399999999999999"/>
  </r>
  <r>
    <n v="2005"/>
    <x v="19"/>
    <s v="NYN"/>
    <n v="3"/>
    <s v="N"/>
    <s v="N"/>
    <s v="N"/>
    <s v="N"/>
    <n v="83"/>
    <n v="79"/>
    <n v="722"/>
    <n v="5505"/>
    <n v="1421"/>
    <n v="279"/>
    <n v="32"/>
    <n v="175"/>
    <n v="486"/>
    <n v="1075"/>
    <n v="153"/>
    <n v="40"/>
    <n v="48"/>
    <n v="38"/>
    <n v="648"/>
    <n v="599"/>
    <n v="3.76"/>
    <n v="8"/>
    <n v="11"/>
    <n v="38"/>
    <n v="4307"/>
    <n v="1390"/>
    <n v="135"/>
    <n v="491"/>
    <n v="1012"/>
    <n v="106"/>
    <n v="146"/>
    <n v="0.98299999999999998"/>
  </r>
  <r>
    <n v="2005"/>
    <x v="20"/>
    <s v="OAK"/>
    <n v="2"/>
    <s v="N"/>
    <s v="N"/>
    <s v="N"/>
    <s v="N"/>
    <n v="88"/>
    <n v="74"/>
    <n v="772"/>
    <n v="5627"/>
    <n v="1476"/>
    <n v="310"/>
    <n v="20"/>
    <n v="155"/>
    <n v="537"/>
    <n v="819"/>
    <n v="31"/>
    <n v="22"/>
    <n v="52"/>
    <n v="40"/>
    <n v="658"/>
    <n v="594"/>
    <n v="3.69"/>
    <n v="9"/>
    <n v="12"/>
    <n v="38"/>
    <n v="4351"/>
    <n v="1315"/>
    <n v="154"/>
    <n v="504"/>
    <n v="1075"/>
    <n v="88"/>
    <n v="166"/>
    <n v="0.98599999999999999"/>
  </r>
  <r>
    <n v="2005"/>
    <x v="21"/>
    <s v="PHI"/>
    <n v="2"/>
    <s v="N"/>
    <s v="N"/>
    <s v="N"/>
    <s v="N"/>
    <n v="88"/>
    <n v="74"/>
    <n v="807"/>
    <n v="5542"/>
    <n v="1494"/>
    <n v="282"/>
    <n v="35"/>
    <n v="167"/>
    <n v="639"/>
    <n v="1083"/>
    <n v="116"/>
    <n v="27"/>
    <n v="56"/>
    <n v="46"/>
    <n v="726"/>
    <n v="672"/>
    <n v="4.21"/>
    <n v="4"/>
    <n v="6"/>
    <n v="40"/>
    <n v="4305"/>
    <n v="1379"/>
    <n v="189"/>
    <n v="487"/>
    <n v="1159"/>
    <n v="90"/>
    <n v="132"/>
    <n v="0.98499999999999999"/>
  </r>
  <r>
    <n v="2005"/>
    <x v="22"/>
    <s v="PIT"/>
    <n v="6"/>
    <s v="N"/>
    <s v="N"/>
    <s v="N"/>
    <s v="N"/>
    <n v="67"/>
    <n v="95"/>
    <n v="680"/>
    <n v="5573"/>
    <n v="1445"/>
    <n v="292"/>
    <n v="38"/>
    <n v="139"/>
    <n v="471"/>
    <n v="1092"/>
    <n v="73"/>
    <n v="30"/>
    <n v="72"/>
    <n v="49"/>
    <n v="769"/>
    <n v="706"/>
    <n v="4.42"/>
    <n v="4"/>
    <n v="14"/>
    <n v="35"/>
    <n v="4308"/>
    <n v="1456"/>
    <n v="162"/>
    <n v="612"/>
    <n v="958"/>
    <n v="117"/>
    <n v="193"/>
    <n v="0.98099999999999998"/>
  </r>
  <r>
    <n v="2005"/>
    <x v="23"/>
    <s v="SDN"/>
    <n v="1"/>
    <s v="Y"/>
    <s v="N"/>
    <s v="N"/>
    <s v="N"/>
    <n v="82"/>
    <n v="80"/>
    <n v="684"/>
    <n v="5502"/>
    <n v="1416"/>
    <n v="269"/>
    <n v="39"/>
    <n v="130"/>
    <n v="600"/>
    <n v="977"/>
    <n v="99"/>
    <n v="44"/>
    <n v="49"/>
    <n v="48"/>
    <n v="726"/>
    <n v="668"/>
    <n v="4.13"/>
    <n v="4"/>
    <n v="8"/>
    <n v="45"/>
    <n v="4366"/>
    <n v="1452"/>
    <n v="146"/>
    <n v="503"/>
    <n v="1133"/>
    <n v="109"/>
    <n v="136"/>
    <n v="0.98199999999999998"/>
  </r>
  <r>
    <n v="2005"/>
    <x v="24"/>
    <s v="SEA"/>
    <n v="4"/>
    <s v="N"/>
    <s v="N"/>
    <s v="N"/>
    <s v="N"/>
    <n v="69"/>
    <n v="93"/>
    <n v="699"/>
    <n v="5507"/>
    <n v="1408"/>
    <n v="289"/>
    <n v="34"/>
    <n v="130"/>
    <n v="466"/>
    <n v="986"/>
    <n v="102"/>
    <n v="47"/>
    <n v="48"/>
    <n v="37"/>
    <n v="751"/>
    <n v="712"/>
    <n v="4.49"/>
    <n v="6"/>
    <n v="7"/>
    <n v="39"/>
    <n v="4283"/>
    <n v="1483"/>
    <n v="179"/>
    <n v="496"/>
    <n v="892"/>
    <n v="86"/>
    <n v="144"/>
    <n v="0.98599999999999999"/>
  </r>
  <r>
    <n v="2005"/>
    <x v="25"/>
    <s v="SFN"/>
    <n v="3"/>
    <s v="N"/>
    <s v="N"/>
    <s v="N"/>
    <s v="N"/>
    <n v="75"/>
    <n v="87"/>
    <n v="649"/>
    <n v="5462"/>
    <n v="1427"/>
    <n v="299"/>
    <n v="26"/>
    <n v="128"/>
    <n v="431"/>
    <n v="901"/>
    <n v="71"/>
    <n v="35"/>
    <n v="49"/>
    <n v="44"/>
    <n v="745"/>
    <n v="695"/>
    <n v="4.33"/>
    <n v="4"/>
    <n v="8"/>
    <n v="46"/>
    <n v="4333"/>
    <n v="1456"/>
    <n v="151"/>
    <n v="592"/>
    <n v="972"/>
    <n v="90"/>
    <n v="146"/>
    <n v="0.98499999999999999"/>
  </r>
  <r>
    <n v="2005"/>
    <x v="26"/>
    <s v="SLN"/>
    <n v="1"/>
    <s v="Y"/>
    <s v="N"/>
    <s v="N"/>
    <s v="N"/>
    <n v="100"/>
    <n v="62"/>
    <n v="805"/>
    <n v="5538"/>
    <n v="1494"/>
    <n v="287"/>
    <n v="26"/>
    <n v="170"/>
    <n v="534"/>
    <n v="947"/>
    <n v="83"/>
    <n v="36"/>
    <n v="62"/>
    <n v="35"/>
    <n v="634"/>
    <n v="560"/>
    <n v="3.49"/>
    <n v="15"/>
    <n v="14"/>
    <n v="48"/>
    <n v="4337"/>
    <n v="1399"/>
    <n v="153"/>
    <n v="443"/>
    <n v="974"/>
    <n v="100"/>
    <n v="196"/>
    <n v="0.98399999999999999"/>
  </r>
  <r>
    <n v="2005"/>
    <x v="27"/>
    <s v="TBA"/>
    <n v="5"/>
    <s v="N"/>
    <s v="N"/>
    <s v="N"/>
    <s v="N"/>
    <n v="67"/>
    <n v="95"/>
    <n v="750"/>
    <n v="5552"/>
    <n v="1519"/>
    <n v="289"/>
    <n v="40"/>
    <n v="157"/>
    <n v="412"/>
    <n v="990"/>
    <n v="151"/>
    <n v="49"/>
    <n v="69"/>
    <n v="51"/>
    <n v="936"/>
    <n v="851"/>
    <n v="5.39"/>
    <n v="1"/>
    <n v="4"/>
    <n v="43"/>
    <n v="4265"/>
    <n v="1570"/>
    <n v="194"/>
    <n v="615"/>
    <n v="949"/>
    <n v="124"/>
    <n v="139"/>
    <n v="0.97899999999999998"/>
  </r>
  <r>
    <n v="2005"/>
    <x v="28"/>
    <s v="TEX"/>
    <n v="3"/>
    <s v="N"/>
    <s v="N"/>
    <s v="N"/>
    <s v="N"/>
    <n v="79"/>
    <n v="83"/>
    <n v="865"/>
    <n v="5716"/>
    <n v="1528"/>
    <n v="311"/>
    <n v="29"/>
    <n v="260"/>
    <n v="495"/>
    <n v="1112"/>
    <n v="67"/>
    <n v="15"/>
    <n v="48"/>
    <n v="32"/>
    <n v="858"/>
    <n v="794"/>
    <n v="4.96"/>
    <n v="2"/>
    <n v="6"/>
    <n v="46"/>
    <n v="4320"/>
    <n v="1589"/>
    <n v="159"/>
    <n v="522"/>
    <n v="932"/>
    <n v="108"/>
    <n v="149"/>
    <n v="0.98199999999999998"/>
  </r>
  <r>
    <n v="2005"/>
    <x v="29"/>
    <s v="TOR"/>
    <n v="3"/>
    <s v="N"/>
    <s v="N"/>
    <s v="N"/>
    <s v="N"/>
    <n v="80"/>
    <n v="82"/>
    <n v="775"/>
    <n v="5581"/>
    <n v="1480"/>
    <n v="307"/>
    <n v="39"/>
    <n v="136"/>
    <n v="486"/>
    <n v="955"/>
    <n v="72"/>
    <n v="35"/>
    <n v="89"/>
    <n v="56"/>
    <n v="705"/>
    <n v="653"/>
    <n v="4.0599999999999996"/>
    <n v="9"/>
    <n v="8"/>
    <n v="35"/>
    <n v="4341"/>
    <n v="1475"/>
    <n v="185"/>
    <n v="444"/>
    <n v="958"/>
    <n v="95"/>
    <n v="154"/>
    <n v="0.98499999999999999"/>
  </r>
  <r>
    <n v="2005"/>
    <x v="31"/>
    <s v="WAS"/>
    <n v="5"/>
    <s v="N"/>
    <s v="N"/>
    <s v="N"/>
    <s v="N"/>
    <n v="81"/>
    <n v="81"/>
    <n v="639"/>
    <n v="5426"/>
    <n v="1367"/>
    <n v="311"/>
    <n v="32"/>
    <n v="117"/>
    <n v="491"/>
    <n v="1090"/>
    <n v="45"/>
    <n v="45"/>
    <n v="89"/>
    <n v="45"/>
    <n v="673"/>
    <n v="627"/>
    <n v="3.87"/>
    <n v="4"/>
    <n v="9"/>
    <n v="51"/>
    <n v="4374"/>
    <n v="1456"/>
    <n v="140"/>
    <n v="539"/>
    <n v="997"/>
    <n v="92"/>
    <n v="156"/>
    <n v="0.98499999999999999"/>
  </r>
  <r>
    <n v="2006"/>
    <x v="1"/>
    <s v="ARI"/>
    <n v="4"/>
    <s v="N"/>
    <s v="N"/>
    <s v="N"/>
    <s v="N"/>
    <n v="76"/>
    <n v="86"/>
    <n v="773"/>
    <n v="5645"/>
    <n v="1506"/>
    <n v="331"/>
    <n v="38"/>
    <n v="160"/>
    <n v="504"/>
    <n v="965"/>
    <n v="76"/>
    <n v="30"/>
    <n v="67"/>
    <n v="53"/>
    <n v="788"/>
    <n v="727"/>
    <n v="4.4800000000000004"/>
    <n v="8"/>
    <n v="9"/>
    <n v="34"/>
    <n v="4379"/>
    <n v="1503"/>
    <n v="168"/>
    <n v="536"/>
    <n v="1115"/>
    <n v="104"/>
    <n v="172"/>
    <n v="0.98299999999999998"/>
  </r>
  <r>
    <n v="2006"/>
    <x v="2"/>
    <s v="ATL"/>
    <n v="3"/>
    <s v="N"/>
    <s v="N"/>
    <s v="N"/>
    <s v="N"/>
    <n v="79"/>
    <n v="83"/>
    <n v="849"/>
    <n v="5583"/>
    <n v="1510"/>
    <n v="312"/>
    <n v="26"/>
    <n v="222"/>
    <n v="526"/>
    <n v="1169"/>
    <n v="52"/>
    <n v="35"/>
    <n v="52"/>
    <n v="44"/>
    <n v="805"/>
    <n v="736"/>
    <n v="4.5999999999999996"/>
    <n v="6"/>
    <n v="6"/>
    <n v="38"/>
    <n v="4324"/>
    <n v="1529"/>
    <n v="183"/>
    <n v="572"/>
    <n v="1049"/>
    <n v="99"/>
    <n v="146"/>
    <n v="0.98399999999999999"/>
  </r>
  <r>
    <n v="2006"/>
    <x v="3"/>
    <s v="BAL"/>
    <n v="4"/>
    <s v="N"/>
    <s v="N"/>
    <s v="N"/>
    <s v="N"/>
    <n v="70"/>
    <n v="92"/>
    <n v="768"/>
    <n v="5610"/>
    <n v="1556"/>
    <n v="288"/>
    <n v="20"/>
    <n v="164"/>
    <n v="474"/>
    <n v="878"/>
    <n v="121"/>
    <n v="32"/>
    <n v="73"/>
    <n v="41"/>
    <n v="899"/>
    <n v="843"/>
    <n v="5.35"/>
    <n v="5"/>
    <n v="9"/>
    <n v="35"/>
    <n v="4257"/>
    <n v="1579"/>
    <n v="216"/>
    <n v="613"/>
    <n v="1016"/>
    <n v="102"/>
    <n v="156"/>
    <n v="0.98299999999999998"/>
  </r>
  <r>
    <n v="2006"/>
    <x v="4"/>
    <s v="BOS"/>
    <n v="3"/>
    <s v="N"/>
    <s v="N"/>
    <s v="N"/>
    <s v="N"/>
    <n v="86"/>
    <n v="76"/>
    <n v="820"/>
    <n v="5619"/>
    <n v="1510"/>
    <n v="327"/>
    <n v="16"/>
    <n v="192"/>
    <n v="672"/>
    <n v="1056"/>
    <n v="51"/>
    <n v="23"/>
    <n v="66"/>
    <n v="56"/>
    <n v="825"/>
    <n v="773"/>
    <n v="4.83"/>
    <n v="3"/>
    <n v="6"/>
    <n v="46"/>
    <n v="4324"/>
    <n v="1570"/>
    <n v="181"/>
    <n v="509"/>
    <n v="1070"/>
    <n v="66"/>
    <n v="174"/>
    <n v="0.98899999999999999"/>
  </r>
  <r>
    <n v="2006"/>
    <x v="5"/>
    <s v="CHA"/>
    <n v="3"/>
    <s v="N"/>
    <s v="N"/>
    <s v="N"/>
    <s v="N"/>
    <n v="90"/>
    <n v="72"/>
    <n v="868"/>
    <n v="5657"/>
    <n v="1586"/>
    <n v="291"/>
    <n v="20"/>
    <n v="236"/>
    <n v="502"/>
    <n v="1056"/>
    <n v="93"/>
    <n v="48"/>
    <n v="58"/>
    <n v="57"/>
    <n v="794"/>
    <n v="743"/>
    <n v="4.6100000000000003"/>
    <n v="5"/>
    <n v="11"/>
    <n v="46"/>
    <n v="4347"/>
    <n v="1534"/>
    <n v="200"/>
    <n v="433"/>
    <n v="1012"/>
    <n v="90"/>
    <n v="145"/>
    <n v="0.98499999999999999"/>
  </r>
  <r>
    <n v="2006"/>
    <x v="6"/>
    <s v="CHN"/>
    <n v="6"/>
    <s v="N"/>
    <s v="N"/>
    <s v="N"/>
    <s v="N"/>
    <n v="66"/>
    <n v="96"/>
    <n v="716"/>
    <n v="5587"/>
    <n v="1496"/>
    <n v="271"/>
    <n v="46"/>
    <n v="166"/>
    <n v="395"/>
    <n v="928"/>
    <n v="121"/>
    <n v="49"/>
    <n v="43"/>
    <n v="37"/>
    <n v="834"/>
    <n v="758"/>
    <n v="4.74"/>
    <n v="2"/>
    <n v="7"/>
    <n v="29"/>
    <n v="4317"/>
    <n v="1396"/>
    <n v="210"/>
    <n v="687"/>
    <n v="1250"/>
    <n v="106"/>
    <n v="122"/>
    <n v="0.98199999999999998"/>
  </r>
  <r>
    <n v="2006"/>
    <x v="7"/>
    <s v="CIN"/>
    <n v="3"/>
    <s v="N"/>
    <s v="N"/>
    <s v="N"/>
    <s v="N"/>
    <n v="80"/>
    <n v="82"/>
    <n v="749"/>
    <n v="5515"/>
    <n v="1419"/>
    <n v="291"/>
    <n v="12"/>
    <n v="217"/>
    <n v="614"/>
    <n v="1192"/>
    <n v="124"/>
    <n v="33"/>
    <n v="59"/>
    <n v="38"/>
    <n v="801"/>
    <n v="725"/>
    <n v="4.51"/>
    <n v="9"/>
    <n v="10"/>
    <n v="36"/>
    <n v="4337"/>
    <n v="1576"/>
    <n v="213"/>
    <n v="464"/>
    <n v="1053"/>
    <n v="128"/>
    <n v="139"/>
    <n v="0.97899999999999998"/>
  </r>
  <r>
    <n v="2006"/>
    <x v="8"/>
    <s v="CLE"/>
    <n v="4"/>
    <s v="N"/>
    <s v="N"/>
    <s v="N"/>
    <s v="N"/>
    <n v="78"/>
    <n v="84"/>
    <n v="870"/>
    <n v="5619"/>
    <n v="1576"/>
    <n v="351"/>
    <n v="27"/>
    <n v="196"/>
    <n v="556"/>
    <n v="1204"/>
    <n v="55"/>
    <n v="23"/>
    <n v="54"/>
    <n v="43"/>
    <n v="782"/>
    <n v="698"/>
    <n v="4.41"/>
    <n v="13"/>
    <n v="13"/>
    <n v="24"/>
    <n v="4270"/>
    <n v="1583"/>
    <n v="166"/>
    <n v="429"/>
    <n v="948"/>
    <n v="118"/>
    <n v="165"/>
    <n v="0.98099999999999998"/>
  </r>
  <r>
    <n v="2006"/>
    <x v="9"/>
    <s v="COL"/>
    <n v="4"/>
    <s v="N"/>
    <s v="N"/>
    <s v="N"/>
    <s v="N"/>
    <n v="76"/>
    <n v="86"/>
    <n v="813"/>
    <n v="5562"/>
    <n v="1504"/>
    <n v="325"/>
    <n v="54"/>
    <n v="157"/>
    <n v="561"/>
    <n v="1108"/>
    <n v="85"/>
    <n v="50"/>
    <n v="60"/>
    <n v="45"/>
    <n v="812"/>
    <n v="749"/>
    <n v="4.66"/>
    <n v="5"/>
    <n v="8"/>
    <n v="34"/>
    <n v="4342"/>
    <n v="1549"/>
    <n v="155"/>
    <n v="553"/>
    <n v="952"/>
    <n v="91"/>
    <n v="190"/>
    <n v="0.98499999999999999"/>
  </r>
  <r>
    <n v="2006"/>
    <x v="10"/>
    <s v="DET"/>
    <n v="2"/>
    <s v="N"/>
    <s v="Y"/>
    <s v="Y"/>
    <s v="N"/>
    <n v="95"/>
    <n v="67"/>
    <n v="822"/>
    <n v="5642"/>
    <n v="1548"/>
    <n v="294"/>
    <n v="40"/>
    <n v="203"/>
    <n v="430"/>
    <n v="1133"/>
    <n v="60"/>
    <n v="40"/>
    <n v="45"/>
    <n v="36"/>
    <n v="675"/>
    <n v="618"/>
    <n v="3.84"/>
    <n v="3"/>
    <n v="16"/>
    <n v="46"/>
    <n v="4344"/>
    <n v="1420"/>
    <n v="160"/>
    <n v="489"/>
    <n v="1003"/>
    <n v="106"/>
    <n v="162"/>
    <n v="0.98299999999999998"/>
  </r>
  <r>
    <n v="2006"/>
    <x v="11"/>
    <s v="FLO"/>
    <n v="4"/>
    <s v="N"/>
    <s v="N"/>
    <s v="N"/>
    <s v="N"/>
    <n v="78"/>
    <n v="84"/>
    <n v="758"/>
    <n v="5502"/>
    <n v="1454"/>
    <n v="309"/>
    <n v="42"/>
    <n v="182"/>
    <n v="497"/>
    <n v="1249"/>
    <n v="110"/>
    <n v="58"/>
    <n v="74"/>
    <n v="42"/>
    <n v="772"/>
    <n v="696"/>
    <n v="4.37"/>
    <n v="6"/>
    <n v="6"/>
    <n v="41"/>
    <n v="4300"/>
    <n v="1465"/>
    <n v="166"/>
    <n v="622"/>
    <n v="1088"/>
    <n v="126"/>
    <n v="166"/>
    <n v="0.97899999999999998"/>
  </r>
  <r>
    <n v="2006"/>
    <x v="12"/>
    <s v="HOU"/>
    <n v="2"/>
    <s v="N"/>
    <s v="N"/>
    <s v="N"/>
    <s v="N"/>
    <n v="82"/>
    <n v="80"/>
    <n v="735"/>
    <n v="5521"/>
    <n v="1407"/>
    <n v="275"/>
    <n v="27"/>
    <n v="174"/>
    <n v="585"/>
    <n v="1076"/>
    <n v="79"/>
    <n v="36"/>
    <n v="73"/>
    <n v="46"/>
    <n v="719"/>
    <n v="666"/>
    <n v="4.08"/>
    <n v="5"/>
    <n v="12"/>
    <n v="42"/>
    <n v="4406"/>
    <n v="1425"/>
    <n v="182"/>
    <n v="480"/>
    <n v="1160"/>
    <n v="80"/>
    <n v="164"/>
    <n v="0.98699999999999999"/>
  </r>
  <r>
    <n v="2006"/>
    <x v="13"/>
    <s v="KCA"/>
    <n v="5"/>
    <s v="N"/>
    <s v="N"/>
    <s v="N"/>
    <s v="N"/>
    <n v="62"/>
    <n v="100"/>
    <n v="757"/>
    <n v="5589"/>
    <n v="1515"/>
    <n v="335"/>
    <n v="37"/>
    <n v="124"/>
    <n v="474"/>
    <n v="1040"/>
    <n v="65"/>
    <n v="34"/>
    <n v="64"/>
    <n v="48"/>
    <n v="971"/>
    <n v="896"/>
    <n v="5.65"/>
    <n v="3"/>
    <n v="5"/>
    <n v="35"/>
    <n v="4279"/>
    <n v="1648"/>
    <n v="213"/>
    <n v="637"/>
    <n v="904"/>
    <n v="98"/>
    <n v="189"/>
    <n v="0.98399999999999999"/>
  </r>
  <r>
    <n v="2006"/>
    <x v="30"/>
    <s v="LAA"/>
    <n v="2"/>
    <s v="N"/>
    <s v="N"/>
    <s v="N"/>
    <s v="N"/>
    <n v="89"/>
    <n v="73"/>
    <n v="766"/>
    <n v="5609"/>
    <n v="1539"/>
    <n v="309"/>
    <n v="29"/>
    <n v="159"/>
    <n v="486"/>
    <n v="914"/>
    <n v="148"/>
    <n v="57"/>
    <n v="42"/>
    <n v="53"/>
    <n v="732"/>
    <n v="652"/>
    <n v="4.04"/>
    <n v="5"/>
    <n v="12"/>
    <n v="50"/>
    <n v="4358"/>
    <n v="1410"/>
    <n v="158"/>
    <n v="471"/>
    <n v="1164"/>
    <n v="124"/>
    <n v="154"/>
    <n v="0.97899999999999998"/>
  </r>
  <r>
    <n v="2006"/>
    <x v="14"/>
    <s v="LAN"/>
    <n v="2"/>
    <s v="N"/>
    <s v="Y"/>
    <s v="N"/>
    <s v="N"/>
    <n v="88"/>
    <n v="74"/>
    <n v="820"/>
    <n v="5628"/>
    <n v="1552"/>
    <n v="307"/>
    <n v="58"/>
    <n v="153"/>
    <n v="601"/>
    <n v="959"/>
    <n v="128"/>
    <n v="49"/>
    <n v="51"/>
    <n v="48"/>
    <n v="751"/>
    <n v="686"/>
    <n v="4.2300000000000004"/>
    <n v="1"/>
    <n v="10"/>
    <n v="40"/>
    <n v="4381"/>
    <n v="1524"/>
    <n v="152"/>
    <n v="492"/>
    <n v="1068"/>
    <n v="115"/>
    <n v="174"/>
    <n v="0.98199999999999998"/>
  </r>
  <r>
    <n v="2006"/>
    <x v="15"/>
    <s v="MIL"/>
    <n v="4"/>
    <s v="N"/>
    <s v="N"/>
    <s v="N"/>
    <s v="N"/>
    <n v="75"/>
    <n v="87"/>
    <n v="730"/>
    <n v="5433"/>
    <n v="1400"/>
    <n v="301"/>
    <n v="20"/>
    <n v="180"/>
    <n v="502"/>
    <n v="1233"/>
    <n v="71"/>
    <n v="37"/>
    <n v="82"/>
    <n v="53"/>
    <n v="833"/>
    <n v="763"/>
    <n v="4.82"/>
    <n v="7"/>
    <n v="8"/>
    <n v="43"/>
    <n v="4277"/>
    <n v="1454"/>
    <n v="177"/>
    <n v="514"/>
    <n v="1145"/>
    <n v="117"/>
    <n v="126"/>
    <n v="0.98"/>
  </r>
  <r>
    <n v="2006"/>
    <x v="16"/>
    <s v="MIN"/>
    <n v="1"/>
    <s v="Y"/>
    <s v="N"/>
    <s v="N"/>
    <s v="N"/>
    <n v="96"/>
    <n v="66"/>
    <n v="801"/>
    <n v="5602"/>
    <n v="1608"/>
    <n v="275"/>
    <n v="34"/>
    <n v="143"/>
    <n v="490"/>
    <n v="872"/>
    <n v="101"/>
    <n v="42"/>
    <n v="50"/>
    <n v="55"/>
    <n v="683"/>
    <n v="632"/>
    <n v="3.95"/>
    <n v="1"/>
    <n v="6"/>
    <n v="40"/>
    <n v="4318"/>
    <n v="1490"/>
    <n v="182"/>
    <n v="356"/>
    <n v="1164"/>
    <n v="84"/>
    <n v="135"/>
    <n v="0.98599999999999999"/>
  </r>
  <r>
    <n v="2006"/>
    <x v="18"/>
    <s v="NYA"/>
    <n v="1"/>
    <s v="Y"/>
    <s v="N"/>
    <s v="N"/>
    <s v="N"/>
    <n v="97"/>
    <n v="65"/>
    <n v="930"/>
    <n v="5651"/>
    <n v="1608"/>
    <n v="327"/>
    <n v="21"/>
    <n v="210"/>
    <n v="649"/>
    <n v="1053"/>
    <n v="139"/>
    <n v="35"/>
    <n v="72"/>
    <n v="49"/>
    <n v="767"/>
    <n v="708"/>
    <n v="4.41"/>
    <n v="5"/>
    <n v="8"/>
    <n v="43"/>
    <n v="4331"/>
    <n v="1463"/>
    <n v="170"/>
    <n v="496"/>
    <n v="1019"/>
    <n v="104"/>
    <n v="145"/>
    <n v="0.98299999999999998"/>
  </r>
  <r>
    <n v="2006"/>
    <x v="19"/>
    <s v="NYN"/>
    <n v="1"/>
    <s v="Y"/>
    <s v="N"/>
    <s v="N"/>
    <s v="N"/>
    <n v="97"/>
    <n v="65"/>
    <n v="834"/>
    <n v="5558"/>
    <n v="1469"/>
    <n v="323"/>
    <n v="41"/>
    <n v="200"/>
    <n v="547"/>
    <n v="1071"/>
    <n v="146"/>
    <n v="35"/>
    <n v="62"/>
    <n v="47"/>
    <n v="731"/>
    <n v="673"/>
    <n v="4.1399999999999997"/>
    <n v="5"/>
    <n v="12"/>
    <n v="43"/>
    <n v="4384"/>
    <n v="1402"/>
    <n v="180"/>
    <n v="527"/>
    <n v="1161"/>
    <n v="104"/>
    <n v="131"/>
    <n v="0.98299999999999998"/>
  </r>
  <r>
    <n v="2006"/>
    <x v="20"/>
    <s v="OAK"/>
    <n v="1"/>
    <s v="Y"/>
    <s v="N"/>
    <s v="N"/>
    <s v="N"/>
    <n v="93"/>
    <n v="69"/>
    <n v="771"/>
    <n v="5500"/>
    <n v="1429"/>
    <n v="266"/>
    <n v="22"/>
    <n v="175"/>
    <n v="650"/>
    <n v="976"/>
    <n v="61"/>
    <n v="20"/>
    <n v="50"/>
    <n v="56"/>
    <n v="727"/>
    <n v="679"/>
    <n v="4.21"/>
    <n v="5"/>
    <n v="11"/>
    <n v="54"/>
    <n v="4355"/>
    <n v="1525"/>
    <n v="162"/>
    <n v="529"/>
    <n v="1003"/>
    <n v="84"/>
    <n v="173"/>
    <n v="0.98599999999999999"/>
  </r>
  <r>
    <n v="2006"/>
    <x v="21"/>
    <s v="PHI"/>
    <n v="2"/>
    <s v="N"/>
    <s v="N"/>
    <s v="N"/>
    <s v="N"/>
    <n v="85"/>
    <n v="77"/>
    <n v="865"/>
    <n v="5687"/>
    <n v="1518"/>
    <n v="294"/>
    <n v="41"/>
    <n v="216"/>
    <n v="626"/>
    <n v="1203"/>
    <n v="92"/>
    <n v="25"/>
    <n v="95"/>
    <n v="44"/>
    <n v="812"/>
    <n v="747"/>
    <n v="4.5999999999999996"/>
    <n v="4"/>
    <n v="6"/>
    <n v="42"/>
    <n v="4381"/>
    <n v="1561"/>
    <n v="211"/>
    <n v="512"/>
    <n v="1138"/>
    <n v="104"/>
    <n v="153"/>
    <n v="0.98299999999999998"/>
  </r>
  <r>
    <n v="2006"/>
    <x v="22"/>
    <s v="PIT"/>
    <n v="5"/>
    <s v="N"/>
    <s v="N"/>
    <s v="N"/>
    <s v="N"/>
    <n v="67"/>
    <n v="95"/>
    <n v="691"/>
    <n v="5558"/>
    <n v="1462"/>
    <n v="286"/>
    <n v="17"/>
    <n v="141"/>
    <n v="459"/>
    <n v="1200"/>
    <n v="68"/>
    <n v="23"/>
    <n v="89"/>
    <n v="49"/>
    <n v="797"/>
    <n v="720"/>
    <n v="4.5199999999999996"/>
    <n v="2"/>
    <n v="10"/>
    <n v="39"/>
    <n v="4305"/>
    <n v="1545"/>
    <n v="156"/>
    <n v="620"/>
    <n v="1060"/>
    <n v="104"/>
    <n v="168"/>
    <n v="0.98299999999999998"/>
  </r>
  <r>
    <n v="2006"/>
    <x v="23"/>
    <s v="SDN"/>
    <n v="1"/>
    <s v="Y"/>
    <s v="N"/>
    <s v="N"/>
    <s v="N"/>
    <n v="88"/>
    <n v="74"/>
    <n v="731"/>
    <n v="5576"/>
    <n v="1465"/>
    <n v="298"/>
    <n v="38"/>
    <n v="161"/>
    <n v="564"/>
    <n v="1104"/>
    <n v="123"/>
    <n v="31"/>
    <n v="40"/>
    <n v="47"/>
    <n v="679"/>
    <n v="629"/>
    <n v="3.87"/>
    <n v="4"/>
    <n v="11"/>
    <n v="50"/>
    <n v="4391"/>
    <n v="1385"/>
    <n v="176"/>
    <n v="468"/>
    <n v="1097"/>
    <n v="92"/>
    <n v="138"/>
    <n v="0.98499999999999999"/>
  </r>
  <r>
    <n v="2006"/>
    <x v="24"/>
    <s v="SEA"/>
    <n v="4"/>
    <s v="N"/>
    <s v="N"/>
    <s v="N"/>
    <s v="N"/>
    <n v="78"/>
    <n v="84"/>
    <n v="756"/>
    <n v="5670"/>
    <n v="1540"/>
    <n v="266"/>
    <n v="42"/>
    <n v="172"/>
    <n v="404"/>
    <n v="974"/>
    <n v="106"/>
    <n v="37"/>
    <n v="63"/>
    <n v="38"/>
    <n v="792"/>
    <n v="739"/>
    <n v="4.5999999999999996"/>
    <n v="6"/>
    <n v="6"/>
    <n v="47"/>
    <n v="4340"/>
    <n v="1500"/>
    <n v="183"/>
    <n v="560"/>
    <n v="1067"/>
    <n v="88"/>
    <n v="150"/>
    <n v="0.98499999999999999"/>
  </r>
  <r>
    <n v="2006"/>
    <x v="25"/>
    <s v="SFN"/>
    <n v="3"/>
    <s v="N"/>
    <s v="N"/>
    <s v="N"/>
    <s v="N"/>
    <n v="76"/>
    <n v="85"/>
    <n v="746"/>
    <n v="5472"/>
    <n v="1418"/>
    <n v="297"/>
    <n v="52"/>
    <n v="163"/>
    <n v="494"/>
    <n v="891"/>
    <n v="58"/>
    <n v="25"/>
    <n v="53"/>
    <n v="37"/>
    <n v="790"/>
    <n v="735"/>
    <n v="4.63"/>
    <n v="7"/>
    <n v="9"/>
    <n v="37"/>
    <n v="4289"/>
    <n v="1422"/>
    <n v="153"/>
    <n v="584"/>
    <n v="992"/>
    <n v="91"/>
    <n v="132"/>
    <n v="0.98499999999999999"/>
  </r>
  <r>
    <n v="2006"/>
    <x v="26"/>
    <s v="SLN"/>
    <n v="1"/>
    <s v="Y"/>
    <s v="N"/>
    <s v="Y"/>
    <s v="Y"/>
    <n v="83"/>
    <n v="78"/>
    <n v="781"/>
    <n v="5522"/>
    <n v="1484"/>
    <n v="292"/>
    <n v="27"/>
    <n v="184"/>
    <n v="531"/>
    <n v="922"/>
    <n v="59"/>
    <n v="32"/>
    <n v="61"/>
    <n v="40"/>
    <n v="762"/>
    <n v="721"/>
    <n v="4.54"/>
    <n v="6"/>
    <n v="9"/>
    <n v="38"/>
    <n v="4289"/>
    <n v="1475"/>
    <n v="193"/>
    <n v="504"/>
    <n v="970"/>
    <n v="98"/>
    <n v="170"/>
    <n v="0.98399999999999999"/>
  </r>
  <r>
    <n v="2006"/>
    <x v="27"/>
    <s v="TBA"/>
    <n v="5"/>
    <s v="N"/>
    <s v="N"/>
    <s v="N"/>
    <s v="N"/>
    <n v="61"/>
    <n v="101"/>
    <n v="689"/>
    <n v="5474"/>
    <n v="1395"/>
    <n v="267"/>
    <n v="33"/>
    <n v="190"/>
    <n v="441"/>
    <n v="1106"/>
    <n v="134"/>
    <n v="52"/>
    <n v="47"/>
    <n v="43"/>
    <n v="856"/>
    <n v="782"/>
    <n v="4.96"/>
    <n v="3"/>
    <n v="7"/>
    <n v="33"/>
    <n v="4261"/>
    <n v="1600"/>
    <n v="180"/>
    <n v="606"/>
    <n v="979"/>
    <n v="116"/>
    <n v="156"/>
    <n v="0.98099999999999998"/>
  </r>
  <r>
    <n v="2006"/>
    <x v="28"/>
    <s v="TEX"/>
    <n v="3"/>
    <s v="N"/>
    <s v="N"/>
    <s v="N"/>
    <s v="N"/>
    <n v="80"/>
    <n v="82"/>
    <n v="835"/>
    <n v="5659"/>
    <n v="1571"/>
    <n v="357"/>
    <n v="23"/>
    <n v="183"/>
    <n v="505"/>
    <n v="1061"/>
    <n v="53"/>
    <n v="24"/>
    <n v="40"/>
    <n v="50"/>
    <n v="784"/>
    <n v="731"/>
    <n v="4.5999999999999996"/>
    <n v="3"/>
    <n v="8"/>
    <n v="42"/>
    <n v="4294"/>
    <n v="1558"/>
    <n v="162"/>
    <n v="496"/>
    <n v="972"/>
    <n v="98"/>
    <n v="174"/>
    <n v="0.98399999999999999"/>
  </r>
  <r>
    <n v="2006"/>
    <x v="29"/>
    <s v="TOR"/>
    <n v="2"/>
    <s v="N"/>
    <s v="N"/>
    <s v="N"/>
    <s v="N"/>
    <n v="87"/>
    <n v="75"/>
    <n v="809"/>
    <n v="5596"/>
    <n v="1591"/>
    <n v="348"/>
    <n v="27"/>
    <n v="199"/>
    <n v="514"/>
    <n v="906"/>
    <n v="65"/>
    <n v="33"/>
    <n v="63"/>
    <n v="52"/>
    <n v="754"/>
    <n v="694"/>
    <n v="4.37"/>
    <n v="6"/>
    <n v="6"/>
    <n v="42"/>
    <n v="4285"/>
    <n v="1447"/>
    <n v="185"/>
    <n v="504"/>
    <n v="1076"/>
    <n v="99"/>
    <n v="157"/>
    <n v="0.98399999999999999"/>
  </r>
  <r>
    <n v="2006"/>
    <x v="31"/>
    <s v="WAS"/>
    <n v="5"/>
    <s v="N"/>
    <s v="N"/>
    <s v="N"/>
    <s v="N"/>
    <n v="71"/>
    <n v="91"/>
    <n v="746"/>
    <n v="5495"/>
    <n v="1437"/>
    <n v="322"/>
    <n v="22"/>
    <n v="164"/>
    <n v="594"/>
    <n v="1156"/>
    <n v="123"/>
    <n v="62"/>
    <n v="69"/>
    <n v="49"/>
    <n v="872"/>
    <n v="803"/>
    <n v="5.03"/>
    <n v="1"/>
    <n v="3"/>
    <n v="32"/>
    <n v="4309"/>
    <n v="1535"/>
    <n v="193"/>
    <n v="584"/>
    <n v="960"/>
    <n v="131"/>
    <n v="123"/>
    <n v="0.97799999999999998"/>
  </r>
  <r>
    <n v="2007"/>
    <x v="1"/>
    <s v="ARI"/>
    <n v="1"/>
    <s v="Y"/>
    <s v="N"/>
    <s v="N"/>
    <s v="N"/>
    <n v="90"/>
    <n v="72"/>
    <n v="712"/>
    <n v="5398"/>
    <n v="1350"/>
    <n v="286"/>
    <n v="40"/>
    <n v="171"/>
    <n v="532"/>
    <n v="1111"/>
    <n v="109"/>
    <n v="24"/>
    <n v="57"/>
    <n v="58"/>
    <n v="732"/>
    <n v="662"/>
    <n v="4.13"/>
    <n v="7"/>
    <n v="12"/>
    <n v="51"/>
    <n v="4323"/>
    <n v="1446"/>
    <n v="169"/>
    <n v="546"/>
    <n v="1088"/>
    <n v="106"/>
    <n v="157"/>
    <n v="0.98299999999999998"/>
  </r>
  <r>
    <n v="2007"/>
    <x v="2"/>
    <s v="ATL"/>
    <n v="3"/>
    <s v="N"/>
    <s v="N"/>
    <s v="N"/>
    <s v="N"/>
    <n v="84"/>
    <n v="78"/>
    <n v="810"/>
    <n v="5689"/>
    <n v="1562"/>
    <n v="328"/>
    <n v="27"/>
    <n v="176"/>
    <n v="534"/>
    <n v="1149"/>
    <n v="64"/>
    <n v="30"/>
    <n v="49"/>
    <n v="47"/>
    <n v="733"/>
    <n v="665"/>
    <n v="4.1100000000000003"/>
    <n v="1"/>
    <n v="6"/>
    <n v="36"/>
    <n v="4369"/>
    <n v="1442"/>
    <n v="172"/>
    <n v="537"/>
    <n v="1106"/>
    <n v="107"/>
    <n v="141"/>
    <n v="0.98299999999999998"/>
  </r>
  <r>
    <n v="2007"/>
    <x v="3"/>
    <s v="BAL"/>
    <n v="4"/>
    <s v="N"/>
    <s v="N"/>
    <s v="N"/>
    <s v="N"/>
    <n v="69"/>
    <n v="93"/>
    <n v="756"/>
    <n v="5631"/>
    <n v="1529"/>
    <n v="306"/>
    <n v="30"/>
    <n v="142"/>
    <n v="500"/>
    <n v="939"/>
    <n v="144"/>
    <n v="42"/>
    <n v="47"/>
    <n v="47"/>
    <n v="868"/>
    <n v="827"/>
    <n v="5.17"/>
    <n v="4"/>
    <n v="9"/>
    <n v="30"/>
    <n v="4316"/>
    <n v="1491"/>
    <n v="161"/>
    <n v="696"/>
    <n v="1087"/>
    <n v="79"/>
    <n v="155"/>
    <n v="0.98699999999999999"/>
  </r>
  <r>
    <n v="2007"/>
    <x v="4"/>
    <s v="BOS"/>
    <n v="1"/>
    <s v="Y"/>
    <s v="N"/>
    <s v="Y"/>
    <s v="Y"/>
    <n v="96"/>
    <n v="66"/>
    <n v="867"/>
    <n v="5589"/>
    <n v="1561"/>
    <n v="352"/>
    <n v="35"/>
    <n v="166"/>
    <n v="689"/>
    <n v="1042"/>
    <n v="96"/>
    <n v="24"/>
    <n v="64"/>
    <n v="54"/>
    <n v="657"/>
    <n v="618"/>
    <n v="3.87"/>
    <n v="5"/>
    <n v="13"/>
    <n v="45"/>
    <n v="4316"/>
    <n v="1350"/>
    <n v="151"/>
    <n v="482"/>
    <n v="1149"/>
    <n v="81"/>
    <n v="145"/>
    <n v="0.98599999999999999"/>
  </r>
  <r>
    <n v="2007"/>
    <x v="5"/>
    <s v="CHA"/>
    <n v="4"/>
    <s v="N"/>
    <s v="N"/>
    <s v="N"/>
    <s v="N"/>
    <n v="72"/>
    <n v="90"/>
    <n v="693"/>
    <n v="5441"/>
    <n v="1341"/>
    <n v="249"/>
    <n v="20"/>
    <n v="190"/>
    <n v="532"/>
    <n v="1149"/>
    <n v="78"/>
    <n v="45"/>
    <n v="52"/>
    <n v="35"/>
    <n v="839"/>
    <n v="763"/>
    <n v="4.7699999999999996"/>
    <n v="9"/>
    <n v="9"/>
    <n v="42"/>
    <n v="4322"/>
    <n v="1556"/>
    <n v="174"/>
    <n v="499"/>
    <n v="1015"/>
    <n v="108"/>
    <n v="168"/>
    <n v="0.98199999999999998"/>
  </r>
  <r>
    <n v="2007"/>
    <x v="6"/>
    <s v="CHN"/>
    <n v="1"/>
    <s v="Y"/>
    <s v="N"/>
    <s v="N"/>
    <s v="N"/>
    <n v="85"/>
    <n v="77"/>
    <n v="752"/>
    <n v="5643"/>
    <n v="1530"/>
    <n v="340"/>
    <n v="28"/>
    <n v="151"/>
    <n v="500"/>
    <n v="1054"/>
    <n v="86"/>
    <n v="33"/>
    <n v="40"/>
    <n v="37"/>
    <n v="690"/>
    <n v="650"/>
    <n v="4.04"/>
    <n v="2"/>
    <n v="10"/>
    <n v="39"/>
    <n v="4340"/>
    <n v="1340"/>
    <n v="165"/>
    <n v="573"/>
    <n v="1211"/>
    <n v="94"/>
    <n v="134"/>
    <n v="0.98399999999999999"/>
  </r>
  <r>
    <n v="2007"/>
    <x v="7"/>
    <s v="CIN"/>
    <n v="5"/>
    <s v="N"/>
    <s v="N"/>
    <s v="N"/>
    <s v="N"/>
    <n v="72"/>
    <n v="90"/>
    <n v="783"/>
    <n v="5607"/>
    <n v="1496"/>
    <n v="293"/>
    <n v="23"/>
    <n v="204"/>
    <n v="536"/>
    <n v="1113"/>
    <n v="97"/>
    <n v="31"/>
    <n v="66"/>
    <n v="46"/>
    <n v="853"/>
    <n v="796"/>
    <n v="4.9400000000000004"/>
    <n v="6"/>
    <n v="7"/>
    <n v="34"/>
    <n v="4349"/>
    <n v="1605"/>
    <n v="198"/>
    <n v="482"/>
    <n v="1068"/>
    <n v="95"/>
    <n v="155"/>
    <n v="0.98399999999999999"/>
  </r>
  <r>
    <n v="2007"/>
    <x v="8"/>
    <s v="CLE"/>
    <n v="1"/>
    <s v="Y"/>
    <s v="N"/>
    <s v="N"/>
    <s v="N"/>
    <n v="96"/>
    <n v="66"/>
    <n v="811"/>
    <n v="5604"/>
    <n v="1504"/>
    <n v="305"/>
    <n v="27"/>
    <n v="178"/>
    <n v="590"/>
    <n v="1202"/>
    <n v="72"/>
    <n v="41"/>
    <n v="80"/>
    <n v="59"/>
    <n v="704"/>
    <n v="658"/>
    <n v="4.05"/>
    <n v="9"/>
    <n v="9"/>
    <n v="49"/>
    <n v="4388"/>
    <n v="1519"/>
    <n v="146"/>
    <n v="410"/>
    <n v="1047"/>
    <n v="92"/>
    <n v="167"/>
    <n v="0.98499999999999999"/>
  </r>
  <r>
    <n v="2007"/>
    <x v="9"/>
    <s v="COL"/>
    <n v="2"/>
    <s v="N"/>
    <s v="Y"/>
    <s v="Y"/>
    <s v="N"/>
    <n v="90"/>
    <n v="73"/>
    <n v="860"/>
    <n v="5691"/>
    <n v="1591"/>
    <n v="313"/>
    <n v="36"/>
    <n v="171"/>
    <n v="622"/>
    <n v="1152"/>
    <n v="100"/>
    <n v="31"/>
    <n v="58"/>
    <n v="44"/>
    <n v="758"/>
    <n v="706"/>
    <n v="4.32"/>
    <n v="4"/>
    <n v="7"/>
    <n v="39"/>
    <n v="4416"/>
    <n v="1497"/>
    <n v="164"/>
    <n v="504"/>
    <n v="967"/>
    <n v="68"/>
    <n v="180"/>
    <n v="0.98899999999999999"/>
  </r>
  <r>
    <n v="2007"/>
    <x v="10"/>
    <s v="DET"/>
    <n v="2"/>
    <s v="N"/>
    <s v="N"/>
    <s v="N"/>
    <s v="N"/>
    <n v="88"/>
    <n v="74"/>
    <n v="887"/>
    <n v="5757"/>
    <n v="1652"/>
    <n v="352"/>
    <n v="50"/>
    <n v="177"/>
    <n v="474"/>
    <n v="1054"/>
    <n v="103"/>
    <n v="30"/>
    <n v="56"/>
    <n v="45"/>
    <n v="797"/>
    <n v="735"/>
    <n v="4.57"/>
    <n v="1"/>
    <n v="9"/>
    <n v="44"/>
    <n v="4342"/>
    <n v="1498"/>
    <n v="174"/>
    <n v="566"/>
    <n v="1047"/>
    <n v="99"/>
    <n v="148"/>
    <n v="0.98399999999999999"/>
  </r>
  <r>
    <n v="2007"/>
    <x v="11"/>
    <s v="FLO"/>
    <n v="5"/>
    <s v="N"/>
    <s v="N"/>
    <s v="N"/>
    <s v="N"/>
    <n v="71"/>
    <n v="91"/>
    <n v="790"/>
    <n v="5627"/>
    <n v="1504"/>
    <n v="340"/>
    <n v="38"/>
    <n v="201"/>
    <n v="521"/>
    <n v="1332"/>
    <n v="105"/>
    <n v="34"/>
    <n v="82"/>
    <n v="42"/>
    <n v="891"/>
    <n v="793"/>
    <n v="4.9400000000000004"/>
    <n v="0"/>
    <n v="4"/>
    <n v="40"/>
    <n v="4331"/>
    <n v="1617"/>
    <n v="176"/>
    <n v="661"/>
    <n v="1142"/>
    <n v="137"/>
    <n v="159"/>
    <n v="0.97699999999999998"/>
  </r>
  <r>
    <n v="2007"/>
    <x v="12"/>
    <s v="HOU"/>
    <n v="4"/>
    <s v="N"/>
    <s v="N"/>
    <s v="N"/>
    <s v="N"/>
    <n v="73"/>
    <n v="89"/>
    <n v="723"/>
    <n v="5605"/>
    <n v="1457"/>
    <n v="293"/>
    <n v="30"/>
    <n v="167"/>
    <n v="547"/>
    <n v="1043"/>
    <n v="65"/>
    <n v="33"/>
    <n v="55"/>
    <n v="40"/>
    <n v="813"/>
    <n v="761"/>
    <n v="4.68"/>
    <n v="2"/>
    <n v="6"/>
    <n v="38"/>
    <n v="4394"/>
    <n v="1566"/>
    <n v="206"/>
    <n v="510"/>
    <n v="1109"/>
    <n v="103"/>
    <n v="128"/>
    <n v="0.98299999999999998"/>
  </r>
  <r>
    <n v="2007"/>
    <x v="13"/>
    <s v="KCA"/>
    <n v="5"/>
    <s v="N"/>
    <s v="N"/>
    <s v="N"/>
    <s v="N"/>
    <n v="69"/>
    <n v="93"/>
    <n v="706"/>
    <n v="5534"/>
    <n v="1447"/>
    <n v="300"/>
    <n v="46"/>
    <n v="102"/>
    <n v="428"/>
    <n v="1069"/>
    <n v="78"/>
    <n v="44"/>
    <n v="89"/>
    <n v="47"/>
    <n v="778"/>
    <n v="716"/>
    <n v="4.4800000000000004"/>
    <n v="2"/>
    <n v="6"/>
    <n v="36"/>
    <n v="4312"/>
    <n v="1547"/>
    <n v="168"/>
    <n v="520"/>
    <n v="993"/>
    <n v="106"/>
    <n v="160"/>
    <n v="0.98199999999999998"/>
  </r>
  <r>
    <n v="2007"/>
    <x v="30"/>
    <s v="LAA"/>
    <n v="1"/>
    <s v="Y"/>
    <s v="N"/>
    <s v="N"/>
    <s v="N"/>
    <n v="94"/>
    <n v="68"/>
    <n v="822"/>
    <n v="5554"/>
    <n v="1578"/>
    <n v="324"/>
    <n v="23"/>
    <n v="123"/>
    <n v="507"/>
    <n v="883"/>
    <n v="139"/>
    <n v="55"/>
    <n v="40"/>
    <n v="65"/>
    <n v="731"/>
    <n v="674"/>
    <n v="4.2300000000000004"/>
    <n v="5"/>
    <n v="9"/>
    <n v="43"/>
    <n v="4305"/>
    <n v="1480"/>
    <n v="151"/>
    <n v="477"/>
    <n v="1156"/>
    <n v="101"/>
    <n v="154"/>
    <n v="0.98299999999999998"/>
  </r>
  <r>
    <n v="2007"/>
    <x v="14"/>
    <s v="LAN"/>
    <n v="4"/>
    <s v="N"/>
    <s v="N"/>
    <s v="N"/>
    <s v="N"/>
    <n v="82"/>
    <n v="80"/>
    <n v="735"/>
    <n v="5614"/>
    <n v="1544"/>
    <n v="276"/>
    <n v="35"/>
    <n v="129"/>
    <n v="511"/>
    <n v="864"/>
    <n v="137"/>
    <n v="50"/>
    <n v="41"/>
    <n v="55"/>
    <n v="727"/>
    <n v="677"/>
    <n v="4.2"/>
    <n v="4"/>
    <n v="6"/>
    <n v="43"/>
    <n v="4350"/>
    <n v="1443"/>
    <n v="146"/>
    <n v="518"/>
    <n v="1184"/>
    <n v="114"/>
    <n v="160"/>
    <n v="0.98099999999999998"/>
  </r>
  <r>
    <n v="2007"/>
    <x v="15"/>
    <s v="MIL"/>
    <n v="2"/>
    <s v="N"/>
    <s v="N"/>
    <s v="N"/>
    <s v="N"/>
    <n v="83"/>
    <n v="79"/>
    <n v="801"/>
    <n v="5554"/>
    <n v="1455"/>
    <n v="310"/>
    <n v="37"/>
    <n v="231"/>
    <n v="501"/>
    <n v="1137"/>
    <n v="96"/>
    <n v="32"/>
    <n v="76"/>
    <n v="47"/>
    <n v="776"/>
    <n v="708"/>
    <n v="4.41"/>
    <n v="3"/>
    <n v="6"/>
    <n v="49"/>
    <n v="4333"/>
    <n v="1513"/>
    <n v="161"/>
    <n v="507"/>
    <n v="1174"/>
    <n v="109"/>
    <n v="144"/>
    <n v="0.98199999999999998"/>
  </r>
  <r>
    <n v="2007"/>
    <x v="16"/>
    <s v="MIN"/>
    <n v="3"/>
    <s v="N"/>
    <s v="N"/>
    <s v="N"/>
    <s v="N"/>
    <n v="79"/>
    <n v="83"/>
    <n v="718"/>
    <n v="5522"/>
    <n v="1460"/>
    <n v="273"/>
    <n v="36"/>
    <n v="118"/>
    <n v="512"/>
    <n v="839"/>
    <n v="112"/>
    <n v="30"/>
    <n v="48"/>
    <n v="45"/>
    <n v="725"/>
    <n v="663"/>
    <n v="4.1500000000000004"/>
    <n v="5"/>
    <n v="8"/>
    <n v="38"/>
    <n v="4310"/>
    <n v="1505"/>
    <n v="185"/>
    <n v="420"/>
    <n v="1094"/>
    <n v="95"/>
    <n v="151"/>
    <n v="0.98399999999999999"/>
  </r>
  <r>
    <n v="2007"/>
    <x v="18"/>
    <s v="NYA"/>
    <n v="2"/>
    <s v="N"/>
    <s v="Y"/>
    <s v="N"/>
    <s v="N"/>
    <n v="94"/>
    <n v="68"/>
    <n v="968"/>
    <n v="5717"/>
    <n v="1656"/>
    <n v="326"/>
    <n v="32"/>
    <n v="201"/>
    <n v="637"/>
    <n v="991"/>
    <n v="123"/>
    <n v="40"/>
    <n v="78"/>
    <n v="54"/>
    <n v="777"/>
    <n v="724"/>
    <n v="4.49"/>
    <n v="1"/>
    <n v="5"/>
    <n v="34"/>
    <n v="4352"/>
    <n v="1498"/>
    <n v="150"/>
    <n v="578"/>
    <n v="1009"/>
    <n v="88"/>
    <n v="174"/>
    <n v="0.98499999999999999"/>
  </r>
  <r>
    <n v="2007"/>
    <x v="19"/>
    <s v="NYN"/>
    <n v="2"/>
    <s v="N"/>
    <s v="N"/>
    <s v="N"/>
    <s v="N"/>
    <n v="88"/>
    <n v="74"/>
    <n v="804"/>
    <n v="5605"/>
    <n v="1543"/>
    <n v="294"/>
    <n v="27"/>
    <n v="177"/>
    <n v="549"/>
    <n v="981"/>
    <n v="200"/>
    <n v="46"/>
    <n v="54"/>
    <n v="58"/>
    <n v="750"/>
    <n v="687"/>
    <n v="4.26"/>
    <n v="2"/>
    <n v="10"/>
    <n v="39"/>
    <n v="4357"/>
    <n v="1415"/>
    <n v="165"/>
    <n v="570"/>
    <n v="1134"/>
    <n v="101"/>
    <n v="124"/>
    <n v="0.98299999999999998"/>
  </r>
  <r>
    <n v="2007"/>
    <x v="20"/>
    <s v="OAK"/>
    <n v="3"/>
    <s v="N"/>
    <s v="N"/>
    <s v="N"/>
    <s v="N"/>
    <n v="76"/>
    <n v="86"/>
    <n v="741"/>
    <n v="5577"/>
    <n v="1430"/>
    <n v="295"/>
    <n v="16"/>
    <n v="171"/>
    <n v="664"/>
    <n v="1119"/>
    <n v="52"/>
    <n v="20"/>
    <n v="49"/>
    <n v="56"/>
    <n v="758"/>
    <n v="689"/>
    <n v="4.28"/>
    <n v="4"/>
    <n v="9"/>
    <n v="36"/>
    <n v="4344"/>
    <n v="1468"/>
    <n v="138"/>
    <n v="530"/>
    <n v="1036"/>
    <n v="90"/>
    <n v="153"/>
    <n v="0.98499999999999999"/>
  </r>
  <r>
    <n v="2007"/>
    <x v="21"/>
    <s v="PHI"/>
    <n v="1"/>
    <s v="Y"/>
    <s v="N"/>
    <s v="N"/>
    <s v="N"/>
    <n v="89"/>
    <n v="73"/>
    <n v="892"/>
    <n v="5688"/>
    <n v="1558"/>
    <n v="326"/>
    <n v="41"/>
    <n v="213"/>
    <n v="641"/>
    <n v="1205"/>
    <n v="138"/>
    <n v="19"/>
    <n v="90"/>
    <n v="52"/>
    <n v="821"/>
    <n v="767"/>
    <n v="4.7300000000000004"/>
    <n v="5"/>
    <n v="5"/>
    <n v="42"/>
    <n v="4375"/>
    <n v="1555"/>
    <n v="198"/>
    <n v="558"/>
    <n v="1050"/>
    <n v="89"/>
    <n v="162"/>
    <n v="0.98599999999999999"/>
  </r>
  <r>
    <n v="2007"/>
    <x v="22"/>
    <s v="PIT"/>
    <n v="6"/>
    <s v="N"/>
    <s v="N"/>
    <s v="N"/>
    <s v="N"/>
    <n v="68"/>
    <n v="94"/>
    <n v="724"/>
    <n v="5569"/>
    <n v="1463"/>
    <n v="322"/>
    <n v="31"/>
    <n v="148"/>
    <n v="463"/>
    <n v="1135"/>
    <n v="68"/>
    <n v="30"/>
    <n v="71"/>
    <n v="51"/>
    <n v="846"/>
    <n v="793"/>
    <n v="4.93"/>
    <n v="4"/>
    <n v="5"/>
    <n v="32"/>
    <n v="4343"/>
    <n v="1627"/>
    <n v="174"/>
    <n v="518"/>
    <n v="997"/>
    <n v="83"/>
    <n v="190"/>
    <n v="0.98599999999999999"/>
  </r>
  <r>
    <n v="2007"/>
    <x v="23"/>
    <s v="SDN"/>
    <n v="3"/>
    <s v="N"/>
    <s v="N"/>
    <s v="N"/>
    <s v="N"/>
    <n v="89"/>
    <n v="74"/>
    <n v="741"/>
    <n v="5612"/>
    <n v="1408"/>
    <n v="322"/>
    <n v="31"/>
    <n v="171"/>
    <n v="557"/>
    <n v="1229"/>
    <n v="55"/>
    <n v="24"/>
    <n v="49"/>
    <n v="44"/>
    <n v="666"/>
    <n v="611"/>
    <n v="3.7"/>
    <n v="1"/>
    <n v="20"/>
    <n v="45"/>
    <n v="4454"/>
    <n v="1406"/>
    <n v="119"/>
    <n v="474"/>
    <n v="1136"/>
    <n v="92"/>
    <n v="147"/>
    <n v="0.98499999999999999"/>
  </r>
  <r>
    <n v="2007"/>
    <x v="24"/>
    <s v="SEA"/>
    <n v="2"/>
    <s v="N"/>
    <s v="N"/>
    <s v="N"/>
    <s v="N"/>
    <n v="88"/>
    <n v="74"/>
    <n v="794"/>
    <n v="5684"/>
    <n v="1629"/>
    <n v="284"/>
    <n v="22"/>
    <n v="153"/>
    <n v="389"/>
    <n v="861"/>
    <n v="81"/>
    <n v="30"/>
    <n v="62"/>
    <n v="40"/>
    <n v="813"/>
    <n v="754"/>
    <n v="4.7300000000000004"/>
    <n v="6"/>
    <n v="12"/>
    <n v="43"/>
    <n v="4303"/>
    <n v="1578"/>
    <n v="147"/>
    <n v="546"/>
    <n v="1020"/>
    <n v="90"/>
    <n v="167"/>
    <n v="0.98499999999999999"/>
  </r>
  <r>
    <n v="2007"/>
    <x v="25"/>
    <s v="SFN"/>
    <n v="5"/>
    <s v="N"/>
    <s v="N"/>
    <s v="N"/>
    <s v="N"/>
    <n v="71"/>
    <n v="91"/>
    <n v="683"/>
    <n v="5538"/>
    <n v="1407"/>
    <n v="267"/>
    <n v="37"/>
    <n v="131"/>
    <n v="532"/>
    <n v="907"/>
    <n v="119"/>
    <n v="33"/>
    <n v="39"/>
    <n v="36"/>
    <n v="720"/>
    <n v="677"/>
    <n v="4.1900000000000004"/>
    <n v="5"/>
    <n v="10"/>
    <n v="37"/>
    <n v="4361"/>
    <n v="1442"/>
    <n v="133"/>
    <n v="593"/>
    <n v="1057"/>
    <n v="88"/>
    <n v="148"/>
    <n v="0.98599999999999999"/>
  </r>
  <r>
    <n v="2007"/>
    <x v="26"/>
    <s v="SLN"/>
    <n v="3"/>
    <s v="N"/>
    <s v="N"/>
    <s v="N"/>
    <s v="N"/>
    <n v="78"/>
    <n v="84"/>
    <n v="725"/>
    <n v="5529"/>
    <n v="1513"/>
    <n v="279"/>
    <n v="13"/>
    <n v="141"/>
    <n v="506"/>
    <n v="909"/>
    <n v="56"/>
    <n v="33"/>
    <n v="54"/>
    <n v="54"/>
    <n v="829"/>
    <n v="741"/>
    <n v="4.6500000000000004"/>
    <n v="2"/>
    <n v="8"/>
    <n v="34"/>
    <n v="4307"/>
    <n v="1514"/>
    <n v="168"/>
    <n v="509"/>
    <n v="945"/>
    <n v="121"/>
    <n v="155"/>
    <n v="0.98"/>
  </r>
  <r>
    <n v="2007"/>
    <x v="27"/>
    <s v="TBA"/>
    <n v="5"/>
    <s v="N"/>
    <s v="N"/>
    <s v="N"/>
    <s v="N"/>
    <n v="66"/>
    <n v="96"/>
    <n v="782"/>
    <n v="5593"/>
    <n v="1500"/>
    <n v="291"/>
    <n v="36"/>
    <n v="187"/>
    <n v="545"/>
    <n v="1324"/>
    <n v="131"/>
    <n v="48"/>
    <n v="53"/>
    <n v="52"/>
    <n v="944"/>
    <n v="879"/>
    <n v="5.53"/>
    <n v="2"/>
    <n v="2"/>
    <n v="28"/>
    <n v="4289"/>
    <n v="1649"/>
    <n v="199"/>
    <n v="568"/>
    <n v="1194"/>
    <n v="117"/>
    <n v="155"/>
    <n v="0.98"/>
  </r>
  <r>
    <n v="2007"/>
    <x v="28"/>
    <s v="TEX"/>
    <n v="4"/>
    <s v="N"/>
    <s v="N"/>
    <s v="N"/>
    <s v="N"/>
    <n v="75"/>
    <n v="87"/>
    <n v="816"/>
    <n v="5555"/>
    <n v="1460"/>
    <n v="298"/>
    <n v="36"/>
    <n v="179"/>
    <n v="503"/>
    <n v="1224"/>
    <n v="88"/>
    <n v="25"/>
    <n v="56"/>
    <n v="42"/>
    <n v="844"/>
    <n v="755"/>
    <n v="4.75"/>
    <n v="0"/>
    <n v="6"/>
    <n v="42"/>
    <n v="4290"/>
    <n v="1525"/>
    <n v="155"/>
    <n v="668"/>
    <n v="976"/>
    <n v="124"/>
    <n v="179"/>
    <n v="0.98"/>
  </r>
  <r>
    <n v="2007"/>
    <x v="29"/>
    <s v="TOR"/>
    <n v="3"/>
    <s v="N"/>
    <s v="N"/>
    <s v="N"/>
    <s v="N"/>
    <n v="83"/>
    <n v="79"/>
    <n v="753"/>
    <n v="5536"/>
    <n v="1434"/>
    <n v="344"/>
    <n v="24"/>
    <n v="165"/>
    <n v="533"/>
    <n v="1044"/>
    <n v="57"/>
    <n v="22"/>
    <n v="47"/>
    <n v="48"/>
    <n v="699"/>
    <n v="644"/>
    <n v="4"/>
    <n v="11"/>
    <n v="9"/>
    <n v="44"/>
    <n v="4346"/>
    <n v="1383"/>
    <n v="157"/>
    <n v="479"/>
    <n v="1067"/>
    <n v="102"/>
    <n v="160"/>
    <n v="0.98399999999999999"/>
  </r>
  <r>
    <n v="2007"/>
    <x v="31"/>
    <s v="WAS"/>
    <n v="4"/>
    <s v="N"/>
    <s v="N"/>
    <s v="N"/>
    <s v="N"/>
    <n v="73"/>
    <n v="89"/>
    <n v="673"/>
    <n v="5520"/>
    <n v="1415"/>
    <n v="309"/>
    <n v="31"/>
    <n v="123"/>
    <n v="524"/>
    <n v="1128"/>
    <n v="69"/>
    <n v="23"/>
    <n v="53"/>
    <n v="41"/>
    <n v="783"/>
    <n v="736"/>
    <n v="4.58"/>
    <n v="0"/>
    <n v="6"/>
    <n v="46"/>
    <n v="4340"/>
    <n v="1502"/>
    <n v="187"/>
    <n v="580"/>
    <n v="931"/>
    <n v="109"/>
    <n v="153"/>
    <n v="0.98199999999999998"/>
  </r>
  <r>
    <n v="2008"/>
    <x v="1"/>
    <s v="ARI"/>
    <n v="2"/>
    <s v="N"/>
    <s v="N"/>
    <s v="N"/>
    <s v="N"/>
    <n v="82"/>
    <n v="80"/>
    <n v="720"/>
    <n v="5409"/>
    <n v="1355"/>
    <n v="318"/>
    <n v="47"/>
    <n v="159"/>
    <n v="587"/>
    <n v="1287"/>
    <n v="58"/>
    <n v="23"/>
    <n v="49"/>
    <n v="43"/>
    <n v="706"/>
    <n v="635"/>
    <n v="3.98"/>
    <n v="6"/>
    <n v="9"/>
    <n v="39"/>
    <n v="4304"/>
    <n v="1403"/>
    <n v="147"/>
    <n v="451"/>
    <n v="1229"/>
    <n v="113"/>
    <n v="137"/>
    <n v="0.98099999999999998"/>
  </r>
  <r>
    <n v="2008"/>
    <x v="2"/>
    <s v="ATL"/>
    <n v="4"/>
    <s v="N"/>
    <s v="N"/>
    <s v="N"/>
    <s v="N"/>
    <n v="72"/>
    <n v="90"/>
    <n v="753"/>
    <n v="5604"/>
    <n v="1514"/>
    <n v="316"/>
    <n v="33"/>
    <n v="130"/>
    <n v="618"/>
    <n v="1023"/>
    <n v="58"/>
    <n v="27"/>
    <n v="42"/>
    <n v="34"/>
    <n v="778"/>
    <n v="714"/>
    <n v="4.46"/>
    <n v="2"/>
    <n v="7"/>
    <n v="26"/>
    <n v="4322"/>
    <n v="1439"/>
    <n v="156"/>
    <n v="586"/>
    <n v="1076"/>
    <n v="107"/>
    <n v="149"/>
    <n v="0.98299999999999998"/>
  </r>
  <r>
    <n v="2008"/>
    <x v="3"/>
    <s v="BAL"/>
    <n v="5"/>
    <s v="N"/>
    <s v="N"/>
    <s v="N"/>
    <s v="N"/>
    <n v="68"/>
    <n v="93"/>
    <n v="782"/>
    <n v="5559"/>
    <n v="1486"/>
    <n v="322"/>
    <n v="30"/>
    <n v="172"/>
    <n v="533"/>
    <n v="990"/>
    <n v="81"/>
    <n v="37"/>
    <n v="42"/>
    <n v="48"/>
    <n v="869"/>
    <n v="810"/>
    <n v="5.13"/>
    <n v="4"/>
    <n v="4"/>
    <n v="35"/>
    <n v="4266"/>
    <n v="1538"/>
    <n v="184"/>
    <n v="687"/>
    <n v="922"/>
    <n v="100"/>
    <n v="163"/>
    <n v="0.98299999999999998"/>
  </r>
  <r>
    <n v="2008"/>
    <x v="4"/>
    <s v="BOS"/>
    <n v="2"/>
    <s v="N"/>
    <s v="Y"/>
    <s v="N"/>
    <s v="N"/>
    <n v="95"/>
    <n v="67"/>
    <n v="845"/>
    <n v="5596"/>
    <n v="1565"/>
    <n v="353"/>
    <n v="33"/>
    <n v="173"/>
    <n v="646"/>
    <n v="1068"/>
    <n v="120"/>
    <n v="35"/>
    <n v="70"/>
    <n v="62"/>
    <n v="694"/>
    <n v="645"/>
    <n v="4.01"/>
    <n v="5"/>
    <n v="16"/>
    <n v="47"/>
    <n v="4339"/>
    <n v="1369"/>
    <n v="147"/>
    <n v="548"/>
    <n v="1185"/>
    <n v="85"/>
    <n v="149"/>
    <n v="0.98599999999999999"/>
  </r>
  <r>
    <n v="2008"/>
    <x v="5"/>
    <s v="CHA"/>
    <n v="1"/>
    <s v="Y"/>
    <s v="N"/>
    <s v="N"/>
    <s v="N"/>
    <n v="89"/>
    <n v="74"/>
    <n v="811"/>
    <n v="5553"/>
    <n v="1458"/>
    <n v="296"/>
    <n v="13"/>
    <n v="235"/>
    <n v="540"/>
    <n v="1016"/>
    <n v="67"/>
    <n v="34"/>
    <n v="63"/>
    <n v="47"/>
    <n v="729"/>
    <n v="658"/>
    <n v="4.0599999999999996"/>
    <n v="4"/>
    <n v="10"/>
    <n v="34"/>
    <n v="4373"/>
    <n v="1471"/>
    <n v="156"/>
    <n v="460"/>
    <n v="1147"/>
    <n v="108"/>
    <n v="155"/>
    <n v="0.98299999999999998"/>
  </r>
  <r>
    <n v="2008"/>
    <x v="6"/>
    <s v="CHN"/>
    <n v="1"/>
    <s v="Y"/>
    <s v="N"/>
    <s v="N"/>
    <s v="N"/>
    <n v="97"/>
    <n v="64"/>
    <n v="855"/>
    <n v="5588"/>
    <n v="1552"/>
    <n v="329"/>
    <n v="21"/>
    <n v="184"/>
    <n v="636"/>
    <n v="1186"/>
    <n v="87"/>
    <n v="34"/>
    <n v="50"/>
    <n v="45"/>
    <n v="671"/>
    <n v="624"/>
    <n v="3.87"/>
    <n v="2"/>
    <n v="8"/>
    <n v="44"/>
    <n v="4352"/>
    <n v="1329"/>
    <n v="160"/>
    <n v="548"/>
    <n v="1264"/>
    <n v="99"/>
    <n v="118"/>
    <n v="0.98299999999999998"/>
  </r>
  <r>
    <n v="2008"/>
    <x v="7"/>
    <s v="CIN"/>
    <n v="5"/>
    <s v="N"/>
    <s v="N"/>
    <s v="N"/>
    <s v="N"/>
    <n v="74"/>
    <n v="88"/>
    <n v="704"/>
    <n v="5465"/>
    <n v="1351"/>
    <n v="269"/>
    <n v="24"/>
    <n v="187"/>
    <n v="560"/>
    <n v="1125"/>
    <n v="85"/>
    <n v="47"/>
    <n v="50"/>
    <n v="41"/>
    <n v="800"/>
    <n v="729"/>
    <n v="4.55"/>
    <n v="2"/>
    <n v="6"/>
    <n v="34"/>
    <n v="4327"/>
    <n v="1542"/>
    <n v="201"/>
    <n v="557"/>
    <n v="1227"/>
    <n v="114"/>
    <n v="156"/>
    <n v="0.98099999999999998"/>
  </r>
  <r>
    <n v="2008"/>
    <x v="8"/>
    <s v="CLE"/>
    <n v="3"/>
    <s v="N"/>
    <s v="N"/>
    <s v="N"/>
    <s v="N"/>
    <n v="81"/>
    <n v="81"/>
    <n v="805"/>
    <n v="5543"/>
    <n v="1455"/>
    <n v="339"/>
    <n v="22"/>
    <n v="171"/>
    <n v="560"/>
    <n v="1213"/>
    <n v="77"/>
    <n v="29"/>
    <n v="103"/>
    <n v="49"/>
    <n v="761"/>
    <n v="711"/>
    <n v="4.45"/>
    <n v="10"/>
    <n v="13"/>
    <n v="31"/>
    <n v="4311"/>
    <n v="1530"/>
    <n v="170"/>
    <n v="444"/>
    <n v="986"/>
    <n v="94"/>
    <n v="182"/>
    <n v="0.98499999999999999"/>
  </r>
  <r>
    <n v="2008"/>
    <x v="9"/>
    <s v="COL"/>
    <n v="3"/>
    <s v="N"/>
    <s v="N"/>
    <s v="N"/>
    <s v="N"/>
    <n v="74"/>
    <n v="88"/>
    <n v="747"/>
    <n v="5557"/>
    <n v="1462"/>
    <n v="310"/>
    <n v="28"/>
    <n v="160"/>
    <n v="570"/>
    <n v="1209"/>
    <n v="141"/>
    <n v="37"/>
    <n v="57"/>
    <n v="38"/>
    <n v="822"/>
    <n v="766"/>
    <n v="4.7699999999999996"/>
    <n v="3"/>
    <n v="8"/>
    <n v="36"/>
    <n v="4338"/>
    <n v="1547"/>
    <n v="148"/>
    <n v="562"/>
    <n v="1041"/>
    <n v="96"/>
    <n v="176"/>
    <n v="0.98499999999999999"/>
  </r>
  <r>
    <n v="2008"/>
    <x v="10"/>
    <s v="DET"/>
    <n v="5"/>
    <s v="N"/>
    <s v="N"/>
    <s v="N"/>
    <s v="N"/>
    <n v="74"/>
    <n v="88"/>
    <n v="821"/>
    <n v="5641"/>
    <n v="1529"/>
    <n v="293"/>
    <n v="41"/>
    <n v="200"/>
    <n v="572"/>
    <n v="1076"/>
    <n v="63"/>
    <n v="31"/>
    <n v="44"/>
    <n v="44"/>
    <n v="857"/>
    <n v="786"/>
    <n v="4.9000000000000004"/>
    <n v="1"/>
    <n v="2"/>
    <n v="34"/>
    <n v="4335"/>
    <n v="1541"/>
    <n v="172"/>
    <n v="644"/>
    <n v="991"/>
    <n v="113"/>
    <n v="172"/>
    <n v="0.98099999999999998"/>
  </r>
  <r>
    <n v="2008"/>
    <x v="11"/>
    <s v="FLO"/>
    <n v="3"/>
    <s v="N"/>
    <s v="N"/>
    <s v="N"/>
    <s v="N"/>
    <n v="84"/>
    <n v="77"/>
    <n v="770"/>
    <n v="5499"/>
    <n v="1397"/>
    <n v="302"/>
    <n v="28"/>
    <n v="208"/>
    <n v="543"/>
    <n v="1371"/>
    <n v="76"/>
    <n v="28"/>
    <n v="69"/>
    <n v="46"/>
    <n v="767"/>
    <n v="707"/>
    <n v="4.43"/>
    <n v="2"/>
    <n v="8"/>
    <n v="36"/>
    <n v="4306"/>
    <n v="1421"/>
    <n v="161"/>
    <n v="586"/>
    <n v="1127"/>
    <n v="117"/>
    <n v="122"/>
    <n v="0.98"/>
  </r>
  <r>
    <n v="2008"/>
    <x v="12"/>
    <s v="HOU"/>
    <n v="3"/>
    <s v="N"/>
    <s v="N"/>
    <s v="N"/>
    <s v="N"/>
    <n v="86"/>
    <n v="75"/>
    <n v="712"/>
    <n v="5451"/>
    <n v="1432"/>
    <n v="284"/>
    <n v="22"/>
    <n v="167"/>
    <n v="449"/>
    <n v="1051"/>
    <n v="114"/>
    <n v="52"/>
    <n v="52"/>
    <n v="41"/>
    <n v="743"/>
    <n v="691"/>
    <n v="4.3600000000000003"/>
    <n v="4"/>
    <n v="13"/>
    <n v="48"/>
    <n v="4276"/>
    <n v="1453"/>
    <n v="197"/>
    <n v="492"/>
    <n v="1095"/>
    <n v="67"/>
    <n v="142"/>
    <n v="0.98899999999999999"/>
  </r>
  <r>
    <n v="2008"/>
    <x v="13"/>
    <s v="KCA"/>
    <n v="4"/>
    <s v="N"/>
    <s v="N"/>
    <s v="N"/>
    <s v="N"/>
    <n v="75"/>
    <n v="87"/>
    <n v="691"/>
    <n v="5608"/>
    <n v="1507"/>
    <n v="303"/>
    <n v="28"/>
    <n v="120"/>
    <n v="392"/>
    <n v="1005"/>
    <n v="79"/>
    <n v="38"/>
    <n v="50"/>
    <n v="36"/>
    <n v="781"/>
    <n v="720"/>
    <n v="4.4800000000000004"/>
    <n v="2"/>
    <n v="8"/>
    <n v="44"/>
    <n v="4337"/>
    <n v="1473"/>
    <n v="159"/>
    <n v="515"/>
    <n v="1085"/>
    <n v="96"/>
    <n v="159"/>
    <n v="0.98399999999999999"/>
  </r>
  <r>
    <n v="2008"/>
    <x v="30"/>
    <s v="LAA"/>
    <n v="1"/>
    <s v="Y"/>
    <s v="N"/>
    <s v="N"/>
    <s v="N"/>
    <n v="100"/>
    <n v="62"/>
    <n v="765"/>
    <n v="5540"/>
    <n v="1486"/>
    <n v="274"/>
    <n v="25"/>
    <n v="159"/>
    <n v="481"/>
    <n v="987"/>
    <n v="129"/>
    <n v="48"/>
    <n v="52"/>
    <n v="50"/>
    <n v="697"/>
    <n v="644"/>
    <n v="3.99"/>
    <n v="7"/>
    <n v="10"/>
    <n v="66"/>
    <n v="4354"/>
    <n v="1455"/>
    <n v="160"/>
    <n v="457"/>
    <n v="1106"/>
    <n v="91"/>
    <n v="159"/>
    <n v="0.98499999999999999"/>
  </r>
  <r>
    <n v="2008"/>
    <x v="14"/>
    <s v="LAN"/>
    <n v="1"/>
    <s v="Y"/>
    <s v="N"/>
    <s v="N"/>
    <s v="N"/>
    <n v="84"/>
    <n v="78"/>
    <n v="700"/>
    <n v="5506"/>
    <n v="1455"/>
    <n v="271"/>
    <n v="29"/>
    <n v="137"/>
    <n v="543"/>
    <n v="1032"/>
    <n v="126"/>
    <n v="43"/>
    <n v="43"/>
    <n v="38"/>
    <n v="648"/>
    <n v="591"/>
    <n v="3.68"/>
    <n v="5"/>
    <n v="11"/>
    <n v="35"/>
    <n v="4342"/>
    <n v="1381"/>
    <n v="123"/>
    <n v="480"/>
    <n v="1205"/>
    <n v="101"/>
    <n v="138"/>
    <n v="0.98399999999999999"/>
  </r>
  <r>
    <n v="2008"/>
    <x v="15"/>
    <s v="MIL"/>
    <n v="2"/>
    <s v="N"/>
    <s v="Y"/>
    <s v="N"/>
    <s v="N"/>
    <n v="90"/>
    <n v="72"/>
    <n v="750"/>
    <n v="5535"/>
    <n v="1398"/>
    <n v="324"/>
    <n v="35"/>
    <n v="198"/>
    <n v="550"/>
    <n v="1203"/>
    <n v="108"/>
    <n v="38"/>
    <n v="69"/>
    <n v="43"/>
    <n v="689"/>
    <n v="623"/>
    <n v="3.85"/>
    <n v="12"/>
    <n v="10"/>
    <n v="45"/>
    <n v="4367"/>
    <n v="1415"/>
    <n v="175"/>
    <n v="528"/>
    <n v="1110"/>
    <n v="101"/>
    <n v="160"/>
    <n v="0.98399999999999999"/>
  </r>
  <r>
    <n v="2008"/>
    <x v="16"/>
    <s v="MIN"/>
    <n v="2"/>
    <s v="N"/>
    <s v="N"/>
    <s v="N"/>
    <s v="N"/>
    <n v="88"/>
    <n v="75"/>
    <n v="829"/>
    <n v="5641"/>
    <n v="1572"/>
    <n v="298"/>
    <n v="49"/>
    <n v="111"/>
    <n v="529"/>
    <n v="979"/>
    <n v="102"/>
    <n v="42"/>
    <n v="36"/>
    <n v="72"/>
    <n v="745"/>
    <n v="675"/>
    <n v="4.16"/>
    <n v="5"/>
    <n v="10"/>
    <n v="42"/>
    <n v="4377"/>
    <n v="1568"/>
    <n v="183"/>
    <n v="406"/>
    <n v="995"/>
    <n v="108"/>
    <n v="168"/>
    <n v="0.98199999999999998"/>
  </r>
  <r>
    <n v="2008"/>
    <x v="18"/>
    <s v="NYA"/>
    <n v="3"/>
    <s v="N"/>
    <s v="N"/>
    <s v="N"/>
    <s v="N"/>
    <n v="89"/>
    <n v="73"/>
    <n v="789"/>
    <n v="5572"/>
    <n v="1512"/>
    <n v="289"/>
    <n v="20"/>
    <n v="180"/>
    <n v="535"/>
    <n v="1015"/>
    <n v="118"/>
    <n v="39"/>
    <n v="80"/>
    <n v="39"/>
    <n v="727"/>
    <n v="685"/>
    <n v="4.28"/>
    <n v="1"/>
    <n v="11"/>
    <n v="42"/>
    <n v="4325"/>
    <n v="1478"/>
    <n v="143"/>
    <n v="489"/>
    <n v="1141"/>
    <n v="83"/>
    <n v="141"/>
    <n v="0.98599999999999999"/>
  </r>
  <r>
    <n v="2008"/>
    <x v="19"/>
    <s v="NYN"/>
    <n v="2"/>
    <s v="N"/>
    <s v="N"/>
    <s v="N"/>
    <s v="N"/>
    <n v="89"/>
    <n v="73"/>
    <n v="799"/>
    <n v="5606"/>
    <n v="1491"/>
    <n v="274"/>
    <n v="38"/>
    <n v="172"/>
    <n v="619"/>
    <n v="1024"/>
    <n v="138"/>
    <n v="36"/>
    <n v="39"/>
    <n v="49"/>
    <n v="715"/>
    <n v="662"/>
    <n v="4.07"/>
    <n v="5"/>
    <n v="12"/>
    <n v="43"/>
    <n v="4393"/>
    <n v="1415"/>
    <n v="163"/>
    <n v="590"/>
    <n v="1181"/>
    <n v="83"/>
    <n v="126"/>
    <n v="0.98599999999999999"/>
  </r>
  <r>
    <n v="2008"/>
    <x v="20"/>
    <s v="OAK"/>
    <n v="3"/>
    <s v="N"/>
    <s v="N"/>
    <s v="N"/>
    <s v="N"/>
    <n v="75"/>
    <n v="86"/>
    <n v="646"/>
    <n v="5451"/>
    <n v="1318"/>
    <n v="270"/>
    <n v="23"/>
    <n v="125"/>
    <n v="574"/>
    <n v="1226"/>
    <n v="88"/>
    <n v="21"/>
    <n v="48"/>
    <n v="35"/>
    <n v="690"/>
    <n v="640"/>
    <n v="4.01"/>
    <n v="4"/>
    <n v="7"/>
    <n v="33"/>
    <n v="4305"/>
    <n v="1364"/>
    <n v="135"/>
    <n v="576"/>
    <n v="1061"/>
    <n v="98"/>
    <n v="169"/>
    <n v="0.98399999999999999"/>
  </r>
  <r>
    <n v="2008"/>
    <x v="21"/>
    <s v="PHI"/>
    <n v="1"/>
    <s v="Y"/>
    <s v="N"/>
    <s v="Y"/>
    <s v="Y"/>
    <n v="92"/>
    <n v="70"/>
    <n v="799"/>
    <n v="5509"/>
    <n v="1407"/>
    <n v="291"/>
    <n v="36"/>
    <n v="214"/>
    <n v="586"/>
    <n v="1117"/>
    <n v="136"/>
    <n v="25"/>
    <n v="67"/>
    <n v="40"/>
    <n v="680"/>
    <n v="625"/>
    <n v="3.88"/>
    <n v="4"/>
    <n v="11"/>
    <n v="47"/>
    <n v="4349"/>
    <n v="1444"/>
    <n v="160"/>
    <n v="533"/>
    <n v="1081"/>
    <n v="90"/>
    <n v="142"/>
    <n v="0.98499999999999999"/>
  </r>
  <r>
    <n v="2008"/>
    <x v="22"/>
    <s v="PIT"/>
    <n v="6"/>
    <s v="N"/>
    <s v="N"/>
    <s v="N"/>
    <s v="N"/>
    <n v="67"/>
    <n v="95"/>
    <n v="735"/>
    <n v="5628"/>
    <n v="1454"/>
    <n v="314"/>
    <n v="21"/>
    <n v="153"/>
    <n v="474"/>
    <n v="1039"/>
    <n v="57"/>
    <n v="19"/>
    <n v="59"/>
    <n v="51"/>
    <n v="884"/>
    <n v="822"/>
    <n v="5.08"/>
    <n v="3"/>
    <n v="7"/>
    <n v="34"/>
    <n v="4365"/>
    <n v="1631"/>
    <n v="176"/>
    <n v="657"/>
    <n v="963"/>
    <n v="107"/>
    <n v="179"/>
    <n v="0.98299999999999998"/>
  </r>
  <r>
    <n v="2008"/>
    <x v="23"/>
    <s v="SDN"/>
    <n v="5"/>
    <s v="N"/>
    <s v="N"/>
    <s v="N"/>
    <s v="N"/>
    <n v="63"/>
    <n v="99"/>
    <n v="637"/>
    <n v="5568"/>
    <n v="1390"/>
    <n v="264"/>
    <n v="27"/>
    <n v="154"/>
    <n v="518"/>
    <n v="1259"/>
    <n v="36"/>
    <n v="17"/>
    <n v="53"/>
    <n v="46"/>
    <n v="764"/>
    <n v="714"/>
    <n v="4.41"/>
    <n v="3"/>
    <n v="6"/>
    <n v="30"/>
    <n v="4375"/>
    <n v="1466"/>
    <n v="165"/>
    <n v="561"/>
    <n v="1100"/>
    <n v="85"/>
    <n v="149"/>
    <n v="0.98599999999999999"/>
  </r>
  <r>
    <n v="2008"/>
    <x v="24"/>
    <s v="SEA"/>
    <n v="4"/>
    <s v="N"/>
    <s v="N"/>
    <s v="N"/>
    <s v="N"/>
    <n v="61"/>
    <n v="101"/>
    <n v="671"/>
    <n v="5643"/>
    <n v="1498"/>
    <n v="285"/>
    <n v="20"/>
    <n v="124"/>
    <n v="417"/>
    <n v="890"/>
    <n v="90"/>
    <n v="32"/>
    <n v="38"/>
    <n v="42"/>
    <n v="811"/>
    <n v="754"/>
    <n v="4.7300000000000004"/>
    <n v="4"/>
    <n v="4"/>
    <n v="36"/>
    <n v="4306"/>
    <n v="1544"/>
    <n v="161"/>
    <n v="626"/>
    <n v="1016"/>
    <n v="99"/>
    <n v="160"/>
    <n v="0.98399999999999999"/>
  </r>
  <r>
    <n v="2008"/>
    <x v="25"/>
    <s v="SFN"/>
    <n v="4"/>
    <s v="N"/>
    <s v="N"/>
    <s v="N"/>
    <s v="N"/>
    <n v="72"/>
    <n v="90"/>
    <n v="640"/>
    <n v="5543"/>
    <n v="1452"/>
    <n v="311"/>
    <n v="37"/>
    <n v="94"/>
    <n v="452"/>
    <n v="1044"/>
    <n v="108"/>
    <n v="46"/>
    <n v="48"/>
    <n v="44"/>
    <n v="759"/>
    <n v="701"/>
    <n v="4.38"/>
    <n v="4"/>
    <n v="12"/>
    <n v="41"/>
    <n v="4326"/>
    <n v="1416"/>
    <n v="147"/>
    <n v="652"/>
    <n v="1240"/>
    <n v="96"/>
    <n v="129"/>
    <n v="0.98299999999999998"/>
  </r>
  <r>
    <n v="2008"/>
    <x v="26"/>
    <s v="SLN"/>
    <n v="4"/>
    <s v="N"/>
    <s v="N"/>
    <s v="N"/>
    <s v="N"/>
    <n v="86"/>
    <n v="76"/>
    <n v="779"/>
    <n v="5636"/>
    <n v="1585"/>
    <n v="283"/>
    <n v="26"/>
    <n v="174"/>
    <n v="577"/>
    <n v="985"/>
    <n v="73"/>
    <n v="32"/>
    <n v="42"/>
    <n v="44"/>
    <n v="725"/>
    <n v="677"/>
    <n v="4.1900000000000004"/>
    <n v="2"/>
    <n v="7"/>
    <n v="42"/>
    <n v="4362"/>
    <n v="1517"/>
    <n v="163"/>
    <n v="496"/>
    <n v="957"/>
    <n v="85"/>
    <n v="156"/>
    <n v="0.98599999999999999"/>
  </r>
  <r>
    <n v="2008"/>
    <x v="32"/>
    <s v="TBA"/>
    <n v="1"/>
    <s v="Y"/>
    <s v="N"/>
    <s v="Y"/>
    <s v="N"/>
    <n v="97"/>
    <n v="65"/>
    <n v="774"/>
    <n v="5541"/>
    <n v="1443"/>
    <n v="284"/>
    <n v="37"/>
    <n v="180"/>
    <n v="626"/>
    <n v="1224"/>
    <n v="142"/>
    <n v="50"/>
    <n v="68"/>
    <n v="52"/>
    <n v="671"/>
    <n v="618"/>
    <n v="3.82"/>
    <n v="7"/>
    <n v="12"/>
    <n v="52"/>
    <n v="4373"/>
    <n v="1349"/>
    <n v="166"/>
    <n v="526"/>
    <n v="1143"/>
    <n v="90"/>
    <n v="153"/>
    <n v="0.98499999999999999"/>
  </r>
  <r>
    <n v="2008"/>
    <x v="28"/>
    <s v="TEX"/>
    <n v="2"/>
    <s v="N"/>
    <s v="N"/>
    <s v="N"/>
    <s v="N"/>
    <n v="79"/>
    <n v="83"/>
    <n v="901"/>
    <n v="5728"/>
    <n v="1619"/>
    <n v="376"/>
    <n v="35"/>
    <n v="194"/>
    <n v="595"/>
    <n v="1207"/>
    <n v="81"/>
    <n v="25"/>
    <n v="63"/>
    <n v="54"/>
    <n v="967"/>
    <n v="860"/>
    <n v="5.37"/>
    <n v="6"/>
    <n v="8"/>
    <n v="36"/>
    <n v="4326"/>
    <n v="1647"/>
    <n v="176"/>
    <n v="625"/>
    <n v="963"/>
    <n v="132"/>
    <n v="191"/>
    <n v="0.97799999999999998"/>
  </r>
  <r>
    <n v="2008"/>
    <x v="29"/>
    <s v="TOR"/>
    <n v="4"/>
    <s v="N"/>
    <s v="N"/>
    <s v="N"/>
    <s v="N"/>
    <n v="86"/>
    <n v="76"/>
    <n v="714"/>
    <n v="5503"/>
    <n v="1453"/>
    <n v="303"/>
    <n v="32"/>
    <n v="126"/>
    <n v="521"/>
    <n v="938"/>
    <n v="80"/>
    <n v="27"/>
    <n v="59"/>
    <n v="56"/>
    <n v="610"/>
    <n v="561"/>
    <n v="3.49"/>
    <n v="15"/>
    <n v="13"/>
    <n v="44"/>
    <n v="4340"/>
    <n v="1330"/>
    <n v="134"/>
    <n v="467"/>
    <n v="1184"/>
    <n v="84"/>
    <n v="137"/>
    <n v="0.98599999999999999"/>
  </r>
  <r>
    <n v="2008"/>
    <x v="31"/>
    <s v="WAS"/>
    <n v="5"/>
    <s v="N"/>
    <s v="N"/>
    <s v="N"/>
    <s v="N"/>
    <n v="59"/>
    <n v="102"/>
    <n v="641"/>
    <n v="5491"/>
    <n v="1376"/>
    <n v="269"/>
    <n v="26"/>
    <n v="117"/>
    <n v="534"/>
    <n v="1095"/>
    <n v="81"/>
    <n v="43"/>
    <n v="67"/>
    <n v="36"/>
    <n v="825"/>
    <n v="742"/>
    <n v="4.66"/>
    <n v="2"/>
    <n v="8"/>
    <n v="28"/>
    <n v="4302"/>
    <n v="1496"/>
    <n v="190"/>
    <n v="588"/>
    <n v="1063"/>
    <n v="123"/>
    <n v="143"/>
    <n v="0.98"/>
  </r>
  <r>
    <n v="2009"/>
    <x v="1"/>
    <s v="ARI"/>
    <n v="5"/>
    <s v="N"/>
    <s v="N"/>
    <s v="N"/>
    <s v="N"/>
    <n v="70"/>
    <n v="92"/>
    <n v="720"/>
    <n v="5565"/>
    <n v="1408"/>
    <n v="307"/>
    <n v="45"/>
    <n v="173"/>
    <n v="571"/>
    <n v="1298"/>
    <n v="102"/>
    <n v="40"/>
    <n v="37"/>
    <n v="41"/>
    <n v="782"/>
    <n v="711"/>
    <n v="4.42"/>
    <n v="4"/>
    <n v="12"/>
    <n v="36"/>
    <n v="4343"/>
    <n v="1470"/>
    <n v="168"/>
    <n v="525"/>
    <n v="1158"/>
    <n v="124"/>
    <n v="133"/>
    <n v="0.98"/>
  </r>
  <r>
    <n v="2009"/>
    <x v="2"/>
    <s v="ATL"/>
    <n v="3"/>
    <s v="N"/>
    <s v="N"/>
    <s v="N"/>
    <s v="N"/>
    <n v="86"/>
    <n v="76"/>
    <n v="735"/>
    <n v="5539"/>
    <n v="1459"/>
    <n v="300"/>
    <n v="20"/>
    <n v="149"/>
    <n v="602"/>
    <n v="1064"/>
    <n v="58"/>
    <n v="26"/>
    <n v="52"/>
    <n v="47"/>
    <n v="641"/>
    <n v="581"/>
    <n v="3.57"/>
    <n v="3"/>
    <n v="10"/>
    <n v="38"/>
    <n v="4388"/>
    <n v="1399"/>
    <n v="119"/>
    <n v="530"/>
    <n v="1232"/>
    <n v="96"/>
    <n v="159"/>
    <n v="0.98499999999999999"/>
  </r>
  <r>
    <n v="2009"/>
    <x v="3"/>
    <s v="BAL"/>
    <n v="5"/>
    <s v="N"/>
    <s v="N"/>
    <s v="N"/>
    <s v="N"/>
    <n v="64"/>
    <n v="98"/>
    <n v="741"/>
    <n v="5618"/>
    <n v="1508"/>
    <n v="307"/>
    <n v="19"/>
    <n v="160"/>
    <n v="517"/>
    <n v="1013"/>
    <n v="76"/>
    <n v="37"/>
    <n v="39"/>
    <n v="46"/>
    <n v="876"/>
    <n v="817"/>
    <n v="5.15"/>
    <n v="2"/>
    <n v="3"/>
    <n v="31"/>
    <n v="4287"/>
    <n v="1633"/>
    <n v="218"/>
    <n v="546"/>
    <n v="933"/>
    <n v="90"/>
    <n v="151"/>
    <n v="0.98499999999999999"/>
  </r>
  <r>
    <n v="2009"/>
    <x v="4"/>
    <s v="BOS"/>
    <n v="2"/>
    <s v="N"/>
    <s v="Y"/>
    <s v="N"/>
    <s v="N"/>
    <n v="95"/>
    <n v="67"/>
    <n v="872"/>
    <n v="5543"/>
    <n v="1495"/>
    <n v="335"/>
    <n v="25"/>
    <n v="212"/>
    <n v="659"/>
    <n v="1120"/>
    <n v="126"/>
    <n v="39"/>
    <n v="70"/>
    <n v="51"/>
    <n v="736"/>
    <n v="695"/>
    <n v="4.3499999999999996"/>
    <n v="8"/>
    <n v="11"/>
    <n v="41"/>
    <n v="4310"/>
    <n v="1494"/>
    <n v="167"/>
    <n v="530"/>
    <n v="1230"/>
    <n v="82"/>
    <n v="121"/>
    <n v="0.98599999999999999"/>
  </r>
  <r>
    <n v="2009"/>
    <x v="5"/>
    <s v="CHA"/>
    <n v="3"/>
    <s v="N"/>
    <s v="N"/>
    <s v="N"/>
    <s v="N"/>
    <n v="79"/>
    <n v="83"/>
    <n v="724"/>
    <n v="5463"/>
    <n v="1410"/>
    <n v="246"/>
    <n v="20"/>
    <n v="184"/>
    <n v="534"/>
    <n v="1022"/>
    <n v="113"/>
    <n v="49"/>
    <n v="62"/>
    <n v="39"/>
    <n v="732"/>
    <n v="663"/>
    <n v="4.1399999999999997"/>
    <n v="4"/>
    <n v="11"/>
    <n v="36"/>
    <n v="4319"/>
    <n v="1438"/>
    <n v="169"/>
    <n v="507"/>
    <n v="1119"/>
    <n v="113"/>
    <n v="158"/>
    <n v="0.98099999999999998"/>
  </r>
  <r>
    <n v="2009"/>
    <x v="6"/>
    <s v="CHN"/>
    <n v="2"/>
    <s v="N"/>
    <s v="N"/>
    <s v="N"/>
    <s v="N"/>
    <n v="83"/>
    <n v="78"/>
    <n v="707"/>
    <n v="5486"/>
    <n v="1398"/>
    <n v="293"/>
    <n v="29"/>
    <n v="161"/>
    <n v="592"/>
    <n v="1185"/>
    <n v="56"/>
    <n v="34"/>
    <n v="59"/>
    <n v="42"/>
    <n v="672"/>
    <n v="616"/>
    <n v="3.84"/>
    <n v="3"/>
    <n v="8"/>
    <n v="40"/>
    <n v="4336"/>
    <n v="1329"/>
    <n v="160"/>
    <n v="586"/>
    <n v="1272"/>
    <n v="105"/>
    <n v="144"/>
    <n v="0.98299999999999998"/>
  </r>
  <r>
    <n v="2009"/>
    <x v="7"/>
    <s v="CIN"/>
    <n v="4"/>
    <s v="N"/>
    <s v="N"/>
    <s v="N"/>
    <s v="N"/>
    <n v="78"/>
    <n v="84"/>
    <n v="673"/>
    <n v="5462"/>
    <n v="1349"/>
    <n v="280"/>
    <n v="25"/>
    <n v="158"/>
    <n v="531"/>
    <n v="1129"/>
    <n v="96"/>
    <n v="40"/>
    <n v="53"/>
    <n v="41"/>
    <n v="723"/>
    <n v="677"/>
    <n v="4.18"/>
    <n v="6"/>
    <n v="12"/>
    <n v="41"/>
    <n v="4375"/>
    <n v="1420"/>
    <n v="188"/>
    <n v="577"/>
    <n v="1069"/>
    <n v="89"/>
    <n v="161"/>
    <n v="0.98499999999999999"/>
  </r>
  <r>
    <n v="2009"/>
    <x v="8"/>
    <s v="CLE"/>
    <n v="4"/>
    <s v="N"/>
    <s v="N"/>
    <s v="N"/>
    <s v="N"/>
    <n v="65"/>
    <n v="97"/>
    <n v="773"/>
    <n v="5568"/>
    <n v="1468"/>
    <n v="314"/>
    <n v="28"/>
    <n v="161"/>
    <n v="582"/>
    <n v="1211"/>
    <n v="84"/>
    <n v="31"/>
    <n v="81"/>
    <n v="50"/>
    <n v="865"/>
    <n v="806"/>
    <n v="5.0599999999999996"/>
    <n v="5"/>
    <n v="6"/>
    <n v="25"/>
    <n v="4302"/>
    <n v="1570"/>
    <n v="183"/>
    <n v="598"/>
    <n v="986"/>
    <n v="97"/>
    <n v="170"/>
    <n v="0.98399999999999999"/>
  </r>
  <r>
    <n v="2009"/>
    <x v="9"/>
    <s v="COL"/>
    <n v="2"/>
    <s v="N"/>
    <s v="Y"/>
    <s v="N"/>
    <s v="N"/>
    <n v="92"/>
    <n v="70"/>
    <n v="804"/>
    <n v="5398"/>
    <n v="1408"/>
    <n v="300"/>
    <n v="50"/>
    <n v="190"/>
    <n v="660"/>
    <n v="1277"/>
    <n v="106"/>
    <n v="55"/>
    <n v="47"/>
    <n v="60"/>
    <n v="715"/>
    <n v="675"/>
    <n v="4.22"/>
    <n v="5"/>
    <n v="7"/>
    <n v="45"/>
    <n v="4315"/>
    <n v="1427"/>
    <n v="141"/>
    <n v="528"/>
    <n v="1154"/>
    <n v="87"/>
    <n v="146"/>
    <n v="0.98599999999999999"/>
  </r>
  <r>
    <n v="2009"/>
    <x v="10"/>
    <s v="DET"/>
    <n v="2"/>
    <s v="N"/>
    <s v="N"/>
    <s v="N"/>
    <s v="N"/>
    <n v="86"/>
    <n v="77"/>
    <n v="743"/>
    <n v="5540"/>
    <n v="1443"/>
    <n v="245"/>
    <n v="35"/>
    <n v="183"/>
    <n v="540"/>
    <n v="1114"/>
    <n v="72"/>
    <n v="33"/>
    <n v="61"/>
    <n v="39"/>
    <n v="745"/>
    <n v="690"/>
    <n v="4.29"/>
    <n v="4"/>
    <n v="9"/>
    <n v="42"/>
    <n v="4341"/>
    <n v="1449"/>
    <n v="182"/>
    <n v="594"/>
    <n v="1102"/>
    <n v="88"/>
    <n v="164"/>
    <n v="0.98499999999999999"/>
  </r>
  <r>
    <n v="2009"/>
    <x v="11"/>
    <s v="FLO"/>
    <n v="2"/>
    <s v="N"/>
    <s v="N"/>
    <s v="N"/>
    <s v="N"/>
    <n v="87"/>
    <n v="75"/>
    <n v="772"/>
    <n v="5572"/>
    <n v="1493"/>
    <n v="296"/>
    <n v="25"/>
    <n v="159"/>
    <n v="568"/>
    <n v="1226"/>
    <n v="75"/>
    <n v="35"/>
    <n v="63"/>
    <n v="39"/>
    <n v="766"/>
    <n v="690"/>
    <n v="4.29"/>
    <n v="5"/>
    <n v="5"/>
    <n v="45"/>
    <n v="4339"/>
    <n v="1425"/>
    <n v="160"/>
    <n v="601"/>
    <n v="1248"/>
    <n v="106"/>
    <n v="129"/>
    <n v="0.98199999999999998"/>
  </r>
  <r>
    <n v="2009"/>
    <x v="12"/>
    <s v="HOU"/>
    <n v="5"/>
    <s v="N"/>
    <s v="N"/>
    <s v="N"/>
    <s v="N"/>
    <n v="74"/>
    <n v="88"/>
    <n v="643"/>
    <n v="5436"/>
    <n v="1415"/>
    <n v="270"/>
    <n v="32"/>
    <n v="142"/>
    <n v="448"/>
    <n v="990"/>
    <n v="113"/>
    <n v="44"/>
    <n v="43"/>
    <n v="45"/>
    <n v="770"/>
    <n v="722"/>
    <n v="4.54"/>
    <n v="5"/>
    <n v="10"/>
    <n v="39"/>
    <n v="4290"/>
    <n v="1521"/>
    <n v="176"/>
    <n v="546"/>
    <n v="1144"/>
    <n v="78"/>
    <n v="161"/>
    <n v="0.98699999999999999"/>
  </r>
  <r>
    <n v="2009"/>
    <x v="13"/>
    <s v="KCA"/>
    <n v="4"/>
    <s v="N"/>
    <s v="N"/>
    <s v="N"/>
    <s v="N"/>
    <n v="65"/>
    <n v="97"/>
    <n v="686"/>
    <n v="5532"/>
    <n v="1432"/>
    <n v="276"/>
    <n v="51"/>
    <n v="144"/>
    <n v="457"/>
    <n v="1091"/>
    <n v="88"/>
    <n v="29"/>
    <n v="42"/>
    <n v="32"/>
    <n v="842"/>
    <n v="765"/>
    <n v="4.83"/>
    <n v="10"/>
    <n v="9"/>
    <n v="34"/>
    <n v="4278"/>
    <n v="1486"/>
    <n v="166"/>
    <n v="600"/>
    <n v="1153"/>
    <n v="117"/>
    <n v="159"/>
    <n v="0.98"/>
  </r>
  <r>
    <n v="2009"/>
    <x v="30"/>
    <s v="LAA"/>
    <n v="1"/>
    <s v="Y"/>
    <s v="N"/>
    <s v="N"/>
    <s v="N"/>
    <n v="97"/>
    <n v="65"/>
    <n v="883"/>
    <n v="5622"/>
    <n v="1604"/>
    <n v="293"/>
    <n v="33"/>
    <n v="173"/>
    <n v="547"/>
    <n v="1054"/>
    <n v="148"/>
    <n v="63"/>
    <n v="41"/>
    <n v="52"/>
    <n v="761"/>
    <n v="715"/>
    <n v="4.45"/>
    <n v="9"/>
    <n v="13"/>
    <n v="51"/>
    <n v="4335"/>
    <n v="1513"/>
    <n v="180"/>
    <n v="523"/>
    <n v="1062"/>
    <n v="85"/>
    <n v="174"/>
    <n v="0.98599999999999999"/>
  </r>
  <r>
    <n v="2009"/>
    <x v="14"/>
    <s v="LAN"/>
    <n v="1"/>
    <s v="Y"/>
    <s v="N"/>
    <s v="N"/>
    <s v="N"/>
    <n v="95"/>
    <n v="67"/>
    <n v="780"/>
    <n v="5592"/>
    <n v="1511"/>
    <n v="278"/>
    <n v="39"/>
    <n v="145"/>
    <n v="607"/>
    <n v="1068"/>
    <n v="116"/>
    <n v="48"/>
    <n v="63"/>
    <n v="44"/>
    <n v="611"/>
    <n v="558"/>
    <n v="3.41"/>
    <n v="1"/>
    <n v="9"/>
    <n v="44"/>
    <n v="4420"/>
    <n v="1265"/>
    <n v="127"/>
    <n v="584"/>
    <n v="1272"/>
    <n v="83"/>
    <n v="134"/>
    <n v="0.98599999999999999"/>
  </r>
  <r>
    <n v="2009"/>
    <x v="15"/>
    <s v="MIL"/>
    <n v="3"/>
    <s v="N"/>
    <s v="N"/>
    <s v="N"/>
    <s v="N"/>
    <n v="80"/>
    <n v="82"/>
    <n v="785"/>
    <n v="5510"/>
    <n v="1447"/>
    <n v="281"/>
    <n v="37"/>
    <n v="182"/>
    <n v="610"/>
    <n v="1231"/>
    <n v="68"/>
    <n v="37"/>
    <n v="71"/>
    <n v="47"/>
    <n v="818"/>
    <n v="770"/>
    <n v="4.83"/>
    <n v="1"/>
    <n v="8"/>
    <n v="44"/>
    <n v="4305"/>
    <n v="1498"/>
    <n v="207"/>
    <n v="607"/>
    <n v="1104"/>
    <n v="98"/>
    <n v="149"/>
    <n v="0.98399999999999999"/>
  </r>
  <r>
    <n v="2009"/>
    <x v="16"/>
    <s v="MIN"/>
    <n v="1"/>
    <s v="Y"/>
    <s v="N"/>
    <s v="N"/>
    <s v="N"/>
    <n v="87"/>
    <n v="76"/>
    <n v="817"/>
    <n v="5608"/>
    <n v="1539"/>
    <n v="271"/>
    <n v="40"/>
    <n v="172"/>
    <n v="585"/>
    <n v="1021"/>
    <n v="85"/>
    <n v="32"/>
    <n v="45"/>
    <n v="57"/>
    <n v="765"/>
    <n v="726"/>
    <n v="4.5"/>
    <n v="4"/>
    <n v="7"/>
    <n v="48"/>
    <n v="4359"/>
    <n v="1542"/>
    <n v="185"/>
    <n v="466"/>
    <n v="1052"/>
    <n v="76"/>
    <n v="135"/>
    <n v="0.98699999999999999"/>
  </r>
  <r>
    <n v="2009"/>
    <x v="18"/>
    <s v="NYA"/>
    <n v="1"/>
    <s v="Y"/>
    <s v="N"/>
    <s v="Y"/>
    <s v="Y"/>
    <n v="103"/>
    <n v="59"/>
    <n v="915"/>
    <n v="5660"/>
    <n v="1604"/>
    <n v="325"/>
    <n v="21"/>
    <n v="244"/>
    <n v="663"/>
    <n v="1014"/>
    <n v="111"/>
    <n v="28"/>
    <n v="54"/>
    <n v="39"/>
    <n v="753"/>
    <n v="687"/>
    <n v="4.26"/>
    <n v="3"/>
    <n v="8"/>
    <n v="51"/>
    <n v="4350"/>
    <n v="1386"/>
    <n v="181"/>
    <n v="574"/>
    <n v="1260"/>
    <n v="86"/>
    <n v="131"/>
    <n v="0.98499999999999999"/>
  </r>
  <r>
    <n v="2009"/>
    <x v="19"/>
    <s v="NYN"/>
    <n v="4"/>
    <s v="N"/>
    <s v="N"/>
    <s v="N"/>
    <s v="N"/>
    <n v="70"/>
    <n v="92"/>
    <n v="671"/>
    <n v="5453"/>
    <n v="1472"/>
    <n v="295"/>
    <n v="49"/>
    <n v="95"/>
    <n v="526"/>
    <n v="928"/>
    <n v="122"/>
    <n v="44"/>
    <n v="36"/>
    <n v="55"/>
    <n v="757"/>
    <n v="705"/>
    <n v="4.45"/>
    <n v="3"/>
    <n v="12"/>
    <n v="39"/>
    <n v="4278"/>
    <n v="1452"/>
    <n v="158"/>
    <n v="616"/>
    <n v="1031"/>
    <n v="97"/>
    <n v="134"/>
    <n v="0.98399999999999999"/>
  </r>
  <r>
    <n v="2009"/>
    <x v="20"/>
    <s v="OAK"/>
    <n v="4"/>
    <s v="N"/>
    <s v="N"/>
    <s v="N"/>
    <s v="N"/>
    <n v="75"/>
    <n v="87"/>
    <n v="759"/>
    <n v="5584"/>
    <n v="1464"/>
    <n v="307"/>
    <n v="21"/>
    <n v="135"/>
    <n v="527"/>
    <n v="1046"/>
    <n v="133"/>
    <n v="48"/>
    <n v="50"/>
    <n v="54"/>
    <n v="761"/>
    <n v="685"/>
    <n v="4.26"/>
    <n v="2"/>
    <n v="10"/>
    <n v="38"/>
    <n v="4342"/>
    <n v="1486"/>
    <n v="156"/>
    <n v="523"/>
    <n v="1124"/>
    <n v="105"/>
    <n v="155"/>
    <n v="0.98299999999999998"/>
  </r>
  <r>
    <n v="2009"/>
    <x v="21"/>
    <s v="PHI"/>
    <n v="1"/>
    <s v="Y"/>
    <s v="N"/>
    <s v="Y"/>
    <s v="N"/>
    <n v="93"/>
    <n v="69"/>
    <n v="820"/>
    <n v="5578"/>
    <n v="1439"/>
    <n v="312"/>
    <n v="35"/>
    <n v="224"/>
    <n v="589"/>
    <n v="1155"/>
    <n v="119"/>
    <n v="28"/>
    <n v="71"/>
    <n v="45"/>
    <n v="709"/>
    <n v="673"/>
    <n v="4.16"/>
    <n v="8"/>
    <n v="9"/>
    <n v="44"/>
    <n v="4367"/>
    <n v="1479"/>
    <n v="189"/>
    <n v="489"/>
    <n v="1153"/>
    <n v="76"/>
    <n v="132"/>
    <n v="0.98699999999999999"/>
  </r>
  <r>
    <n v="2009"/>
    <x v="22"/>
    <s v="PIT"/>
    <n v="6"/>
    <s v="N"/>
    <s v="N"/>
    <s v="N"/>
    <s v="N"/>
    <n v="62"/>
    <n v="99"/>
    <n v="636"/>
    <n v="5417"/>
    <n v="1364"/>
    <n v="289"/>
    <n v="34"/>
    <n v="125"/>
    <n v="499"/>
    <n v="1142"/>
    <n v="90"/>
    <n v="32"/>
    <n v="46"/>
    <n v="36"/>
    <n v="768"/>
    <n v="723"/>
    <n v="4.59"/>
    <n v="5"/>
    <n v="7"/>
    <n v="28"/>
    <n v="4255"/>
    <n v="1491"/>
    <n v="152"/>
    <n v="563"/>
    <n v="919"/>
    <n v="73"/>
    <n v="171"/>
    <n v="0.98799999999999999"/>
  </r>
  <r>
    <n v="2009"/>
    <x v="23"/>
    <s v="SDN"/>
    <n v="4"/>
    <s v="N"/>
    <s v="N"/>
    <s v="N"/>
    <s v="N"/>
    <n v="75"/>
    <n v="87"/>
    <n v="638"/>
    <n v="5425"/>
    <n v="1315"/>
    <n v="265"/>
    <n v="31"/>
    <n v="141"/>
    <n v="586"/>
    <n v="1182"/>
    <n v="82"/>
    <n v="29"/>
    <n v="57"/>
    <n v="36"/>
    <n v="769"/>
    <n v="704"/>
    <n v="4.37"/>
    <n v="2"/>
    <n v="9"/>
    <n v="45"/>
    <n v="4352"/>
    <n v="1422"/>
    <n v="167"/>
    <n v="603"/>
    <n v="1187"/>
    <n v="94"/>
    <n v="146"/>
    <n v="0.98399999999999999"/>
  </r>
  <r>
    <n v="2009"/>
    <x v="24"/>
    <s v="SEA"/>
    <n v="3"/>
    <s v="N"/>
    <s v="N"/>
    <s v="N"/>
    <s v="N"/>
    <n v="85"/>
    <n v="77"/>
    <n v="640"/>
    <n v="5543"/>
    <n v="1430"/>
    <n v="280"/>
    <n v="19"/>
    <n v="160"/>
    <n v="421"/>
    <n v="1093"/>
    <n v="89"/>
    <n v="33"/>
    <n v="49"/>
    <n v="44"/>
    <n v="692"/>
    <n v="625"/>
    <n v="3.87"/>
    <n v="4"/>
    <n v="10"/>
    <n v="49"/>
    <n v="4358"/>
    <n v="1359"/>
    <n v="172"/>
    <n v="534"/>
    <n v="1043"/>
    <n v="105"/>
    <n v="150"/>
    <n v="0.98199999999999998"/>
  </r>
  <r>
    <n v="2009"/>
    <x v="25"/>
    <s v="SFN"/>
    <n v="3"/>
    <s v="N"/>
    <s v="N"/>
    <s v="N"/>
    <s v="N"/>
    <n v="88"/>
    <n v="74"/>
    <n v="657"/>
    <n v="5493"/>
    <n v="1411"/>
    <n v="275"/>
    <n v="43"/>
    <n v="122"/>
    <n v="392"/>
    <n v="1158"/>
    <n v="78"/>
    <n v="28"/>
    <n v="50"/>
    <n v="55"/>
    <n v="611"/>
    <n v="571"/>
    <n v="3.55"/>
    <n v="11"/>
    <n v="18"/>
    <n v="41"/>
    <n v="4338"/>
    <n v="1268"/>
    <n v="140"/>
    <n v="584"/>
    <n v="1302"/>
    <n v="88"/>
    <n v="138"/>
    <n v="0.98499999999999999"/>
  </r>
  <r>
    <n v="2009"/>
    <x v="26"/>
    <s v="SLN"/>
    <n v="1"/>
    <s v="Y"/>
    <s v="N"/>
    <s v="N"/>
    <s v="N"/>
    <n v="91"/>
    <n v="71"/>
    <n v="730"/>
    <n v="5465"/>
    <n v="1436"/>
    <n v="294"/>
    <n v="29"/>
    <n v="160"/>
    <n v="528"/>
    <n v="1041"/>
    <n v="75"/>
    <n v="31"/>
    <n v="61"/>
    <n v="43"/>
    <n v="640"/>
    <n v="586"/>
    <n v="3.66"/>
    <n v="8"/>
    <n v="11"/>
    <n v="43"/>
    <n v="4322"/>
    <n v="1407"/>
    <n v="123"/>
    <n v="460"/>
    <n v="1049"/>
    <n v="96"/>
    <n v="167"/>
    <n v="0.98499999999999999"/>
  </r>
  <r>
    <n v="2009"/>
    <x v="32"/>
    <s v="TBA"/>
    <n v="3"/>
    <s v="N"/>
    <s v="N"/>
    <s v="N"/>
    <s v="N"/>
    <n v="84"/>
    <n v="78"/>
    <n v="803"/>
    <n v="5462"/>
    <n v="1434"/>
    <n v="297"/>
    <n v="36"/>
    <n v="199"/>
    <n v="642"/>
    <n v="1229"/>
    <n v="194"/>
    <n v="61"/>
    <n v="49"/>
    <n v="45"/>
    <n v="754"/>
    <n v="686"/>
    <n v="4.33"/>
    <n v="3"/>
    <n v="5"/>
    <n v="41"/>
    <n v="4282"/>
    <n v="1421"/>
    <n v="183"/>
    <n v="515"/>
    <n v="1125"/>
    <n v="98"/>
    <n v="135"/>
    <n v="0.98299999999999998"/>
  </r>
  <r>
    <n v="2009"/>
    <x v="28"/>
    <s v="TEX"/>
    <n v="2"/>
    <s v="N"/>
    <s v="N"/>
    <s v="N"/>
    <s v="N"/>
    <n v="87"/>
    <n v="75"/>
    <n v="784"/>
    <n v="5526"/>
    <n v="1436"/>
    <n v="296"/>
    <n v="27"/>
    <n v="224"/>
    <n v="472"/>
    <n v="1253"/>
    <n v="149"/>
    <n v="36"/>
    <n v="37"/>
    <n v="51"/>
    <n v="740"/>
    <n v="698"/>
    <n v="4.38"/>
    <n v="8"/>
    <n v="11"/>
    <n v="45"/>
    <n v="4304"/>
    <n v="1432"/>
    <n v="171"/>
    <n v="531"/>
    <n v="1016"/>
    <n v="106"/>
    <n v="168"/>
    <n v="0.98199999999999998"/>
  </r>
  <r>
    <n v="2009"/>
    <x v="29"/>
    <s v="TOR"/>
    <n v="4"/>
    <s v="N"/>
    <s v="N"/>
    <s v="N"/>
    <s v="N"/>
    <n v="75"/>
    <n v="87"/>
    <n v="798"/>
    <n v="5696"/>
    <n v="1516"/>
    <n v="339"/>
    <n v="13"/>
    <n v="209"/>
    <n v="548"/>
    <n v="1028"/>
    <n v="73"/>
    <n v="23"/>
    <n v="45"/>
    <n v="49"/>
    <n v="771"/>
    <n v="720"/>
    <n v="4.47"/>
    <n v="10"/>
    <n v="10"/>
    <n v="25"/>
    <n v="4353"/>
    <n v="1509"/>
    <n v="181"/>
    <n v="551"/>
    <n v="1181"/>
    <n v="76"/>
    <n v="168"/>
    <n v="0.98799999999999999"/>
  </r>
  <r>
    <n v="2009"/>
    <x v="31"/>
    <s v="WAS"/>
    <n v="5"/>
    <s v="N"/>
    <s v="N"/>
    <s v="N"/>
    <s v="N"/>
    <n v="59"/>
    <n v="103"/>
    <n v="710"/>
    <n v="5493"/>
    <n v="1416"/>
    <n v="271"/>
    <n v="38"/>
    <n v="156"/>
    <n v="617"/>
    <n v="1208"/>
    <n v="73"/>
    <n v="40"/>
    <n v="56"/>
    <n v="42"/>
    <n v="874"/>
    <n v="791"/>
    <n v="5"/>
    <n v="6"/>
    <n v="3"/>
    <n v="33"/>
    <n v="4273"/>
    <n v="1533"/>
    <n v="173"/>
    <n v="629"/>
    <n v="911"/>
    <n v="143"/>
    <n v="155"/>
    <n v="0.97699999999999998"/>
  </r>
  <r>
    <n v="2010"/>
    <x v="1"/>
    <s v="ARI"/>
    <n v="5"/>
    <s v="N"/>
    <s v="N"/>
    <s v="N"/>
    <s v="N"/>
    <n v="65"/>
    <n v="97"/>
    <n v="713"/>
    <n v="5473"/>
    <n v="1366"/>
    <n v="301"/>
    <n v="34"/>
    <n v="180"/>
    <n v="589"/>
    <n v="1529"/>
    <n v="86"/>
    <n v="41"/>
    <n v="39"/>
    <n v="41"/>
    <n v="836"/>
    <n v="765"/>
    <n v="4.8099999999999996"/>
    <n v="3"/>
    <n v="3"/>
    <n v="35"/>
    <n v="4296"/>
    <n v="1503"/>
    <n v="210"/>
    <n v="548"/>
    <n v="1070"/>
    <n v="102"/>
    <n v="152"/>
    <n v="0.98299999999999998"/>
  </r>
  <r>
    <n v="2010"/>
    <x v="2"/>
    <s v="ATL"/>
    <n v="2"/>
    <s v="N"/>
    <s v="Y"/>
    <s v="N"/>
    <s v="N"/>
    <n v="91"/>
    <n v="71"/>
    <n v="738"/>
    <n v="5463"/>
    <n v="1411"/>
    <n v="312"/>
    <n v="25"/>
    <n v="139"/>
    <n v="634"/>
    <n v="1140"/>
    <n v="63"/>
    <n v="29"/>
    <n v="51"/>
    <n v="35"/>
    <n v="629"/>
    <n v="569"/>
    <n v="3.56"/>
    <n v="2"/>
    <n v="9"/>
    <n v="41"/>
    <n v="4318"/>
    <n v="1326"/>
    <n v="126"/>
    <n v="505"/>
    <n v="1241"/>
    <n v="126"/>
    <n v="166"/>
    <n v="0.98"/>
  </r>
  <r>
    <n v="2010"/>
    <x v="3"/>
    <s v="BAL"/>
    <n v="5"/>
    <s v="N"/>
    <s v="N"/>
    <s v="N"/>
    <s v="N"/>
    <n v="66"/>
    <n v="96"/>
    <n v="613"/>
    <n v="5554"/>
    <n v="1440"/>
    <n v="264"/>
    <n v="21"/>
    <n v="133"/>
    <n v="424"/>
    <n v="1056"/>
    <n v="76"/>
    <n v="34"/>
    <n v="54"/>
    <n v="45"/>
    <n v="785"/>
    <n v="733"/>
    <n v="4.59"/>
    <n v="3"/>
    <n v="7"/>
    <n v="35"/>
    <n v="4309"/>
    <n v="1508"/>
    <n v="186"/>
    <n v="520"/>
    <n v="1007"/>
    <n v="105"/>
    <n v="141"/>
    <n v="0.98199999999999998"/>
  </r>
  <r>
    <n v="2010"/>
    <x v="4"/>
    <s v="BOS"/>
    <n v="3"/>
    <s v="N"/>
    <s v="N"/>
    <s v="N"/>
    <s v="N"/>
    <n v="89"/>
    <n v="73"/>
    <n v="818"/>
    <n v="5646"/>
    <n v="1511"/>
    <n v="358"/>
    <n v="22"/>
    <n v="211"/>
    <n v="587"/>
    <n v="1140"/>
    <n v="68"/>
    <n v="17"/>
    <n v="47"/>
    <n v="46"/>
    <n v="744"/>
    <n v="679"/>
    <n v="4.2"/>
    <n v="3"/>
    <n v="9"/>
    <n v="44"/>
    <n v="4370"/>
    <n v="1402"/>
    <n v="152"/>
    <n v="580"/>
    <n v="1207"/>
    <n v="111"/>
    <n v="132"/>
    <n v="0.98199999999999998"/>
  </r>
  <r>
    <n v="2010"/>
    <x v="5"/>
    <s v="CHA"/>
    <n v="2"/>
    <s v="N"/>
    <s v="N"/>
    <s v="N"/>
    <s v="N"/>
    <n v="88"/>
    <n v="74"/>
    <n v="752"/>
    <n v="5484"/>
    <n v="1467"/>
    <n v="263"/>
    <n v="21"/>
    <n v="177"/>
    <n v="467"/>
    <n v="922"/>
    <n v="160"/>
    <n v="74"/>
    <n v="79"/>
    <n v="38"/>
    <n v="704"/>
    <n v="658"/>
    <n v="4.09"/>
    <n v="6"/>
    <n v="11"/>
    <n v="43"/>
    <n v="4339"/>
    <n v="1471"/>
    <n v="136"/>
    <n v="490"/>
    <n v="1149"/>
    <n v="103"/>
    <n v="158"/>
    <n v="0.98299999999999998"/>
  </r>
  <r>
    <n v="2010"/>
    <x v="6"/>
    <s v="CHN"/>
    <n v="5"/>
    <s v="N"/>
    <s v="N"/>
    <s v="N"/>
    <s v="N"/>
    <n v="75"/>
    <n v="87"/>
    <n v="685"/>
    <n v="5512"/>
    <n v="1414"/>
    <n v="298"/>
    <n v="27"/>
    <n v="149"/>
    <n v="479"/>
    <n v="1236"/>
    <n v="55"/>
    <n v="31"/>
    <n v="50"/>
    <n v="38"/>
    <n v="767"/>
    <n v="668"/>
    <n v="4.18"/>
    <n v="1"/>
    <n v="14"/>
    <n v="40"/>
    <n v="4310"/>
    <n v="1409"/>
    <n v="154"/>
    <n v="605"/>
    <n v="1268"/>
    <n v="126"/>
    <n v="137"/>
    <n v="0.97899999999999998"/>
  </r>
  <r>
    <n v="2010"/>
    <x v="7"/>
    <s v="CIN"/>
    <n v="1"/>
    <s v="Y"/>
    <s v="N"/>
    <s v="N"/>
    <s v="N"/>
    <n v="91"/>
    <n v="71"/>
    <n v="790"/>
    <n v="5579"/>
    <n v="1515"/>
    <n v="293"/>
    <n v="30"/>
    <n v="188"/>
    <n v="522"/>
    <n v="1218"/>
    <n v="93"/>
    <n v="43"/>
    <n v="68"/>
    <n v="50"/>
    <n v="685"/>
    <n v="648"/>
    <n v="4.01"/>
    <n v="4"/>
    <n v="9"/>
    <n v="43"/>
    <n v="4359"/>
    <n v="1404"/>
    <n v="158"/>
    <n v="524"/>
    <n v="1130"/>
    <n v="72"/>
    <n v="142"/>
    <n v="0.98799999999999999"/>
  </r>
  <r>
    <n v="2010"/>
    <x v="8"/>
    <s v="CLE"/>
    <n v="4"/>
    <s v="N"/>
    <s v="N"/>
    <s v="N"/>
    <s v="N"/>
    <n v="69"/>
    <n v="93"/>
    <n v="646"/>
    <n v="5487"/>
    <n v="1362"/>
    <n v="290"/>
    <n v="20"/>
    <n v="128"/>
    <n v="545"/>
    <n v="1184"/>
    <n v="91"/>
    <n v="33"/>
    <n v="64"/>
    <n v="33"/>
    <n v="752"/>
    <n v="684"/>
    <n v="4.3"/>
    <n v="10"/>
    <n v="4"/>
    <n v="34"/>
    <n v="4299"/>
    <n v="1477"/>
    <n v="147"/>
    <n v="572"/>
    <n v="967"/>
    <n v="110"/>
    <n v="179"/>
    <n v="0.98199999999999998"/>
  </r>
  <r>
    <n v="2010"/>
    <x v="9"/>
    <s v="COL"/>
    <n v="3"/>
    <s v="N"/>
    <s v="N"/>
    <s v="N"/>
    <s v="N"/>
    <n v="83"/>
    <n v="79"/>
    <n v="770"/>
    <n v="5530"/>
    <n v="1452"/>
    <n v="270"/>
    <n v="54"/>
    <n v="173"/>
    <n v="585"/>
    <n v="1274"/>
    <n v="99"/>
    <n v="42"/>
    <n v="47"/>
    <n v="47"/>
    <n v="717"/>
    <n v="663"/>
    <n v="4.1399999999999997"/>
    <n v="6"/>
    <n v="12"/>
    <n v="35"/>
    <n v="4326"/>
    <n v="1405"/>
    <n v="139"/>
    <n v="525"/>
    <n v="1234"/>
    <n v="101"/>
    <n v="182"/>
    <n v="0.98399999999999999"/>
  </r>
  <r>
    <n v="2010"/>
    <x v="10"/>
    <s v="DET"/>
    <n v="3"/>
    <s v="N"/>
    <s v="N"/>
    <s v="N"/>
    <s v="N"/>
    <n v="81"/>
    <n v="81"/>
    <n v="751"/>
    <n v="5643"/>
    <n v="1515"/>
    <n v="308"/>
    <n v="32"/>
    <n v="152"/>
    <n v="546"/>
    <n v="1147"/>
    <n v="69"/>
    <n v="30"/>
    <n v="41"/>
    <n v="41"/>
    <n v="743"/>
    <n v="690"/>
    <n v="4.3"/>
    <n v="6"/>
    <n v="5"/>
    <n v="32"/>
    <n v="4333"/>
    <n v="1445"/>
    <n v="142"/>
    <n v="537"/>
    <n v="1056"/>
    <n v="109"/>
    <n v="171"/>
    <n v="0.98199999999999998"/>
  </r>
  <r>
    <n v="2010"/>
    <x v="11"/>
    <s v="FLO"/>
    <n v="3"/>
    <s v="N"/>
    <s v="N"/>
    <s v="N"/>
    <s v="N"/>
    <n v="80"/>
    <n v="82"/>
    <n v="719"/>
    <n v="5531"/>
    <n v="1403"/>
    <n v="294"/>
    <n v="37"/>
    <n v="152"/>
    <n v="514"/>
    <n v="1375"/>
    <n v="92"/>
    <n v="26"/>
    <n v="55"/>
    <n v="43"/>
    <n v="717"/>
    <n v="652"/>
    <n v="4.08"/>
    <n v="5"/>
    <n v="17"/>
    <n v="39"/>
    <n v="4315"/>
    <n v="1433"/>
    <n v="134"/>
    <n v="549"/>
    <n v="1168"/>
    <n v="123"/>
    <n v="130"/>
    <n v="0.97899999999999998"/>
  </r>
  <r>
    <n v="2010"/>
    <x v="12"/>
    <s v="HOU"/>
    <n v="4"/>
    <s v="N"/>
    <s v="N"/>
    <s v="N"/>
    <s v="N"/>
    <n v="76"/>
    <n v="86"/>
    <n v="611"/>
    <n v="5452"/>
    <n v="1348"/>
    <n v="252"/>
    <n v="25"/>
    <n v="108"/>
    <n v="415"/>
    <n v="1025"/>
    <n v="100"/>
    <n v="36"/>
    <n v="33"/>
    <n v="29"/>
    <n v="729"/>
    <n v="654"/>
    <n v="4.09"/>
    <n v="4"/>
    <n v="11"/>
    <n v="45"/>
    <n v="4318"/>
    <n v="1446"/>
    <n v="140"/>
    <n v="548"/>
    <n v="1210"/>
    <n v="103"/>
    <n v="135"/>
    <n v="0.98299999999999998"/>
  </r>
  <r>
    <n v="2010"/>
    <x v="13"/>
    <s v="KCA"/>
    <n v="5"/>
    <s v="N"/>
    <s v="N"/>
    <s v="N"/>
    <s v="N"/>
    <n v="67"/>
    <n v="95"/>
    <n v="676"/>
    <n v="5604"/>
    <n v="1534"/>
    <n v="279"/>
    <n v="31"/>
    <n v="121"/>
    <n v="471"/>
    <n v="905"/>
    <n v="115"/>
    <n v="50"/>
    <n v="35"/>
    <n v="53"/>
    <n v="845"/>
    <n v="794"/>
    <n v="4.97"/>
    <n v="7"/>
    <n v="3"/>
    <n v="44"/>
    <n v="4310"/>
    <n v="1553"/>
    <n v="176"/>
    <n v="551"/>
    <n v="1035"/>
    <n v="121"/>
    <n v="138"/>
    <n v="0.98"/>
  </r>
  <r>
    <n v="2010"/>
    <x v="30"/>
    <s v="LAA"/>
    <n v="3"/>
    <s v="N"/>
    <s v="N"/>
    <s v="N"/>
    <s v="N"/>
    <n v="80"/>
    <n v="82"/>
    <n v="681"/>
    <n v="5488"/>
    <n v="1363"/>
    <n v="276"/>
    <n v="19"/>
    <n v="155"/>
    <n v="466"/>
    <n v="1070"/>
    <n v="104"/>
    <n v="52"/>
    <n v="52"/>
    <n v="37"/>
    <n v="702"/>
    <n v="651"/>
    <n v="4.04"/>
    <n v="10"/>
    <n v="9"/>
    <n v="39"/>
    <n v="4348"/>
    <n v="1422"/>
    <n v="148"/>
    <n v="565"/>
    <n v="1130"/>
    <n v="113"/>
    <n v="116"/>
    <n v="0.98099999999999998"/>
  </r>
  <r>
    <n v="2010"/>
    <x v="14"/>
    <s v="LAN"/>
    <n v="4"/>
    <s v="N"/>
    <s v="N"/>
    <s v="N"/>
    <s v="N"/>
    <n v="80"/>
    <n v="82"/>
    <n v="667"/>
    <n v="5426"/>
    <n v="1368"/>
    <n v="270"/>
    <n v="29"/>
    <n v="120"/>
    <n v="533"/>
    <n v="1184"/>
    <n v="92"/>
    <n v="50"/>
    <n v="46"/>
    <n v="50"/>
    <n v="692"/>
    <n v="643"/>
    <n v="4.01"/>
    <n v="4"/>
    <n v="16"/>
    <n v="41"/>
    <n v="4325"/>
    <n v="1323"/>
    <n v="134"/>
    <n v="539"/>
    <n v="1274"/>
    <n v="98"/>
    <n v="124"/>
    <n v="0.98399999999999999"/>
  </r>
  <r>
    <n v="2010"/>
    <x v="15"/>
    <s v="MIL"/>
    <n v="3"/>
    <s v="N"/>
    <s v="N"/>
    <s v="N"/>
    <s v="N"/>
    <n v="77"/>
    <n v="85"/>
    <n v="750"/>
    <n v="5606"/>
    <n v="1471"/>
    <n v="293"/>
    <n v="33"/>
    <n v="182"/>
    <n v="546"/>
    <n v="1216"/>
    <n v="81"/>
    <n v="26"/>
    <n v="81"/>
    <n v="35"/>
    <n v="804"/>
    <n v="733"/>
    <n v="4.58"/>
    <n v="3"/>
    <n v="7"/>
    <n v="35"/>
    <n v="4317"/>
    <n v="1487"/>
    <n v="173"/>
    <n v="582"/>
    <n v="1258"/>
    <n v="101"/>
    <n v="142"/>
    <n v="0.98299999999999998"/>
  </r>
  <r>
    <n v="2010"/>
    <x v="16"/>
    <s v="MIN"/>
    <n v="1"/>
    <s v="Y"/>
    <s v="N"/>
    <s v="N"/>
    <s v="N"/>
    <n v="94"/>
    <n v="68"/>
    <n v="781"/>
    <n v="5568"/>
    <n v="1521"/>
    <n v="318"/>
    <n v="41"/>
    <n v="142"/>
    <n v="559"/>
    <n v="967"/>
    <n v="68"/>
    <n v="28"/>
    <n v="39"/>
    <n v="53"/>
    <n v="671"/>
    <n v="638"/>
    <n v="3.95"/>
    <n v="9"/>
    <n v="13"/>
    <n v="40"/>
    <n v="4358"/>
    <n v="1493"/>
    <n v="155"/>
    <n v="383"/>
    <n v="1048"/>
    <n v="78"/>
    <n v="150"/>
    <n v="0.98699999999999999"/>
  </r>
  <r>
    <n v="2010"/>
    <x v="18"/>
    <s v="NYA"/>
    <n v="2"/>
    <s v="N"/>
    <s v="Y"/>
    <s v="N"/>
    <s v="N"/>
    <n v="95"/>
    <n v="67"/>
    <n v="859"/>
    <n v="5567"/>
    <n v="1485"/>
    <n v="275"/>
    <n v="32"/>
    <n v="201"/>
    <n v="662"/>
    <n v="1136"/>
    <n v="103"/>
    <n v="30"/>
    <n v="73"/>
    <n v="44"/>
    <n v="693"/>
    <n v="651"/>
    <n v="4.0599999999999996"/>
    <n v="3"/>
    <n v="8"/>
    <n v="39"/>
    <n v="4327"/>
    <n v="1349"/>
    <n v="179"/>
    <n v="540"/>
    <n v="1154"/>
    <n v="69"/>
    <n v="161"/>
    <n v="0.98799999999999999"/>
  </r>
  <r>
    <n v="2010"/>
    <x v="19"/>
    <s v="NYN"/>
    <n v="4"/>
    <s v="N"/>
    <s v="N"/>
    <s v="N"/>
    <s v="N"/>
    <n v="79"/>
    <n v="83"/>
    <n v="656"/>
    <n v="5465"/>
    <n v="1361"/>
    <n v="266"/>
    <n v="40"/>
    <n v="128"/>
    <n v="502"/>
    <n v="1095"/>
    <n v="130"/>
    <n v="44"/>
    <n v="46"/>
    <n v="57"/>
    <n v="652"/>
    <n v="597"/>
    <n v="3.7"/>
    <n v="8"/>
    <n v="19"/>
    <n v="36"/>
    <n v="4359"/>
    <n v="1438"/>
    <n v="135"/>
    <n v="545"/>
    <n v="1106"/>
    <n v="87"/>
    <n v="159"/>
    <n v="0.98599999999999999"/>
  </r>
  <r>
    <n v="2010"/>
    <x v="20"/>
    <s v="OAK"/>
    <n v="2"/>
    <s v="N"/>
    <s v="N"/>
    <s v="N"/>
    <s v="N"/>
    <n v="81"/>
    <n v="81"/>
    <n v="663"/>
    <n v="5448"/>
    <n v="1396"/>
    <n v="276"/>
    <n v="30"/>
    <n v="109"/>
    <n v="527"/>
    <n v="1061"/>
    <n v="156"/>
    <n v="38"/>
    <n v="47"/>
    <n v="51"/>
    <n v="626"/>
    <n v="566"/>
    <n v="3.56"/>
    <n v="7"/>
    <n v="17"/>
    <n v="38"/>
    <n v="4295"/>
    <n v="1315"/>
    <n v="153"/>
    <n v="512"/>
    <n v="1070"/>
    <n v="99"/>
    <n v="147"/>
    <n v="0.98399999999999999"/>
  </r>
  <r>
    <n v="2010"/>
    <x v="21"/>
    <s v="PHI"/>
    <n v="1"/>
    <s v="Y"/>
    <s v="N"/>
    <s v="N"/>
    <s v="N"/>
    <n v="97"/>
    <n v="65"/>
    <n v="772"/>
    <n v="5581"/>
    <n v="1451"/>
    <n v="290"/>
    <n v="34"/>
    <n v="166"/>
    <n v="560"/>
    <n v="1064"/>
    <n v="108"/>
    <n v="21"/>
    <n v="63"/>
    <n v="43"/>
    <n v="640"/>
    <n v="594"/>
    <n v="3.67"/>
    <n v="14"/>
    <n v="21"/>
    <n v="40"/>
    <n v="4369"/>
    <n v="1402"/>
    <n v="168"/>
    <n v="416"/>
    <n v="1183"/>
    <n v="83"/>
    <n v="158"/>
    <n v="0.98599999999999999"/>
  </r>
  <r>
    <n v="2010"/>
    <x v="22"/>
    <s v="PIT"/>
    <n v="6"/>
    <s v="N"/>
    <s v="N"/>
    <s v="N"/>
    <s v="N"/>
    <n v="57"/>
    <n v="105"/>
    <n v="587"/>
    <n v="5386"/>
    <n v="1303"/>
    <n v="276"/>
    <n v="27"/>
    <n v="126"/>
    <n v="463"/>
    <n v="1207"/>
    <n v="87"/>
    <n v="36"/>
    <n v="33"/>
    <n v="33"/>
    <n v="866"/>
    <n v="784"/>
    <n v="5"/>
    <n v="1"/>
    <n v="6"/>
    <n v="31"/>
    <n v="4235"/>
    <n v="1567"/>
    <n v="167"/>
    <n v="538"/>
    <n v="1026"/>
    <n v="127"/>
    <n v="120"/>
    <n v="0.97899999999999998"/>
  </r>
  <r>
    <n v="2010"/>
    <x v="23"/>
    <s v="SDN"/>
    <n v="2"/>
    <s v="N"/>
    <s v="N"/>
    <s v="N"/>
    <s v="N"/>
    <n v="90"/>
    <n v="72"/>
    <n v="665"/>
    <n v="5434"/>
    <n v="1338"/>
    <n v="236"/>
    <n v="24"/>
    <n v="132"/>
    <n v="538"/>
    <n v="1183"/>
    <n v="124"/>
    <n v="50"/>
    <n v="50"/>
    <n v="46"/>
    <n v="581"/>
    <n v="549"/>
    <n v="3.39"/>
    <n v="2"/>
    <n v="20"/>
    <n v="49"/>
    <n v="4369"/>
    <n v="1305"/>
    <n v="139"/>
    <n v="517"/>
    <n v="1295"/>
    <n v="72"/>
    <n v="141"/>
    <n v="0.98799999999999999"/>
  </r>
  <r>
    <n v="2010"/>
    <x v="24"/>
    <s v="SEA"/>
    <n v="4"/>
    <s v="N"/>
    <s v="N"/>
    <s v="N"/>
    <s v="N"/>
    <n v="61"/>
    <n v="101"/>
    <n v="513"/>
    <n v="5409"/>
    <n v="1274"/>
    <n v="227"/>
    <n v="16"/>
    <n v="101"/>
    <n v="459"/>
    <n v="1184"/>
    <n v="142"/>
    <n v="39"/>
    <n v="39"/>
    <n v="40"/>
    <n v="698"/>
    <n v="628"/>
    <n v="3.93"/>
    <n v="11"/>
    <n v="10"/>
    <n v="38"/>
    <n v="4314"/>
    <n v="1402"/>
    <n v="157"/>
    <n v="452"/>
    <n v="973"/>
    <n v="110"/>
    <n v="145"/>
    <n v="0.98199999999999998"/>
  </r>
  <r>
    <n v="2010"/>
    <x v="25"/>
    <s v="SFN"/>
    <n v="1"/>
    <s v="Y"/>
    <s v="N"/>
    <s v="Y"/>
    <s v="Y"/>
    <n v="92"/>
    <n v="70"/>
    <n v="697"/>
    <n v="5488"/>
    <n v="1411"/>
    <n v="284"/>
    <n v="30"/>
    <n v="162"/>
    <n v="487"/>
    <n v="1099"/>
    <n v="55"/>
    <n v="32"/>
    <n v="50"/>
    <n v="41"/>
    <n v="583"/>
    <n v="546"/>
    <n v="3.36"/>
    <n v="6"/>
    <n v="17"/>
    <n v="57"/>
    <n v="4383"/>
    <n v="1279"/>
    <n v="134"/>
    <n v="578"/>
    <n v="1331"/>
    <n v="73"/>
    <n v="110"/>
    <n v="0.98799999999999999"/>
  </r>
  <r>
    <n v="2010"/>
    <x v="26"/>
    <s v="SLN"/>
    <n v="2"/>
    <s v="N"/>
    <s v="N"/>
    <s v="N"/>
    <s v="N"/>
    <n v="86"/>
    <n v="76"/>
    <n v="736"/>
    <n v="5542"/>
    <n v="1456"/>
    <n v="285"/>
    <n v="18"/>
    <n v="150"/>
    <n v="541"/>
    <n v="1027"/>
    <n v="79"/>
    <n v="41"/>
    <n v="50"/>
    <n v="40"/>
    <n v="641"/>
    <n v="577"/>
    <n v="3.57"/>
    <n v="7"/>
    <n v="16"/>
    <n v="32"/>
    <n v="4361"/>
    <n v="1412"/>
    <n v="133"/>
    <n v="477"/>
    <n v="1094"/>
    <n v="99"/>
    <n v="172"/>
    <n v="0.98399999999999999"/>
  </r>
  <r>
    <n v="2010"/>
    <x v="32"/>
    <s v="TBA"/>
    <n v="1"/>
    <s v="Y"/>
    <s v="N"/>
    <s v="N"/>
    <s v="N"/>
    <n v="96"/>
    <n v="66"/>
    <n v="802"/>
    <n v="5439"/>
    <n v="1343"/>
    <n v="295"/>
    <n v="37"/>
    <n v="160"/>
    <n v="672"/>
    <n v="1292"/>
    <n v="172"/>
    <n v="47"/>
    <n v="57"/>
    <n v="57"/>
    <n v="649"/>
    <n v="611"/>
    <n v="3.78"/>
    <n v="6"/>
    <n v="12"/>
    <n v="51"/>
    <n v="4361"/>
    <n v="1347"/>
    <n v="175"/>
    <n v="478"/>
    <n v="1189"/>
    <n v="85"/>
    <n v="134"/>
    <n v="0.98599999999999999"/>
  </r>
  <r>
    <n v="2010"/>
    <x v="28"/>
    <s v="TEX"/>
    <n v="1"/>
    <s v="Y"/>
    <s v="N"/>
    <s v="Y"/>
    <s v="N"/>
    <n v="90"/>
    <n v="72"/>
    <n v="787"/>
    <n v="5635"/>
    <n v="1556"/>
    <n v="268"/>
    <n v="25"/>
    <n v="162"/>
    <n v="511"/>
    <n v="986"/>
    <n v="123"/>
    <n v="48"/>
    <n v="45"/>
    <n v="54"/>
    <n v="687"/>
    <n v="636"/>
    <n v="3.93"/>
    <n v="7"/>
    <n v="8"/>
    <n v="46"/>
    <n v="4366"/>
    <n v="1355"/>
    <n v="162"/>
    <n v="551"/>
    <n v="1181"/>
    <n v="105"/>
    <n v="133"/>
    <n v="0.98199999999999998"/>
  </r>
  <r>
    <n v="2010"/>
    <x v="29"/>
    <s v="TOR"/>
    <n v="4"/>
    <s v="N"/>
    <s v="N"/>
    <s v="N"/>
    <s v="N"/>
    <n v="85"/>
    <n v="77"/>
    <n v="755"/>
    <n v="5495"/>
    <n v="1364"/>
    <n v="319"/>
    <n v="21"/>
    <n v="257"/>
    <n v="471"/>
    <n v="1164"/>
    <n v="58"/>
    <n v="20"/>
    <n v="55"/>
    <n v="34"/>
    <n v="728"/>
    <n v="676"/>
    <n v="4.22"/>
    <n v="5"/>
    <n v="11"/>
    <n v="45"/>
    <n v="4322"/>
    <n v="1407"/>
    <n v="150"/>
    <n v="539"/>
    <n v="1184"/>
    <n v="92"/>
    <n v="172"/>
    <n v="0.98499999999999999"/>
  </r>
  <r>
    <n v="2010"/>
    <x v="31"/>
    <s v="WAS"/>
    <n v="5"/>
    <s v="N"/>
    <s v="N"/>
    <s v="N"/>
    <s v="N"/>
    <n v="69"/>
    <n v="93"/>
    <n v="655"/>
    <n v="5418"/>
    <n v="1355"/>
    <n v="250"/>
    <n v="31"/>
    <n v="149"/>
    <n v="503"/>
    <n v="1220"/>
    <n v="110"/>
    <n v="41"/>
    <n v="60"/>
    <n v="47"/>
    <n v="742"/>
    <n v="658"/>
    <n v="4.13"/>
    <n v="2"/>
    <n v="5"/>
    <n v="37"/>
    <n v="4305"/>
    <n v="1469"/>
    <n v="151"/>
    <n v="512"/>
    <n v="1068"/>
    <n v="127"/>
    <n v="148"/>
    <n v="0.97899999999999998"/>
  </r>
  <r>
    <n v="2011"/>
    <x v="1"/>
    <s v="ARI"/>
    <n v="1"/>
    <s v="Y"/>
    <s v="N"/>
    <s v="N"/>
    <s v="N"/>
    <n v="94"/>
    <n v="68"/>
    <n v="731"/>
    <n v="5421"/>
    <n v="1357"/>
    <n v="293"/>
    <n v="37"/>
    <n v="172"/>
    <n v="531"/>
    <n v="1249"/>
    <n v="133"/>
    <n v="55"/>
    <n v="61"/>
    <n v="33"/>
    <n v="662"/>
    <n v="609"/>
    <n v="3.8"/>
    <n v="5"/>
    <n v="12"/>
    <n v="58"/>
    <n v="4330"/>
    <n v="1414"/>
    <n v="159"/>
    <n v="442"/>
    <n v="1058"/>
    <n v="90"/>
    <n v="131"/>
    <n v="0.98499999999999999"/>
  </r>
  <r>
    <n v="2011"/>
    <x v="2"/>
    <s v="ATL"/>
    <n v="2"/>
    <s v="N"/>
    <s v="N"/>
    <s v="N"/>
    <s v="N"/>
    <n v="89"/>
    <n v="73"/>
    <n v="641"/>
    <n v="5528"/>
    <n v="1345"/>
    <n v="244"/>
    <n v="16"/>
    <n v="173"/>
    <n v="504"/>
    <n v="1260"/>
    <n v="77"/>
    <n v="44"/>
    <n v="28"/>
    <n v="30"/>
    <n v="605"/>
    <n v="572"/>
    <n v="3.48"/>
    <n v="3"/>
    <n v="16"/>
    <n v="52"/>
    <n v="4439"/>
    <n v="1332"/>
    <n v="125"/>
    <n v="521"/>
    <n v="1332"/>
    <n v="83"/>
    <n v="131"/>
    <n v="0.98699999999999999"/>
  </r>
  <r>
    <n v="2011"/>
    <x v="3"/>
    <s v="BAL"/>
    <n v="5"/>
    <s v="N"/>
    <s v="N"/>
    <s v="N"/>
    <s v="N"/>
    <n v="69"/>
    <n v="93"/>
    <n v="708"/>
    <n v="5585"/>
    <n v="1434"/>
    <n v="273"/>
    <n v="13"/>
    <n v="191"/>
    <n v="452"/>
    <n v="1120"/>
    <n v="81"/>
    <n v="25"/>
    <n v="52"/>
    <n v="43"/>
    <n v="860"/>
    <n v="786"/>
    <n v="4.8899999999999997"/>
    <n v="3"/>
    <n v="7"/>
    <n v="32"/>
    <n v="4340"/>
    <n v="1568"/>
    <n v="210"/>
    <n v="535"/>
    <n v="1044"/>
    <n v="110"/>
    <n v="159"/>
    <n v="0.98199999999999998"/>
  </r>
  <r>
    <n v="2011"/>
    <x v="4"/>
    <s v="BOS"/>
    <n v="3"/>
    <s v="N"/>
    <s v="N"/>
    <s v="N"/>
    <s v="N"/>
    <n v="90"/>
    <n v="72"/>
    <n v="875"/>
    <n v="5710"/>
    <n v="1600"/>
    <n v="352"/>
    <n v="35"/>
    <n v="203"/>
    <n v="578"/>
    <n v="1108"/>
    <n v="102"/>
    <n v="42"/>
    <n v="50"/>
    <n v="50"/>
    <n v="737"/>
    <n v="680"/>
    <n v="4.2"/>
    <n v="2"/>
    <n v="13"/>
    <n v="36"/>
    <n v="4372"/>
    <n v="1366"/>
    <n v="156"/>
    <n v="540"/>
    <n v="1213"/>
    <n v="92"/>
    <n v="120"/>
    <n v="0.98499999999999999"/>
  </r>
  <r>
    <n v="2011"/>
    <x v="5"/>
    <s v="CHA"/>
    <n v="3"/>
    <s v="N"/>
    <s v="N"/>
    <s v="N"/>
    <s v="N"/>
    <n v="79"/>
    <n v="83"/>
    <n v="654"/>
    <n v="5502"/>
    <n v="1387"/>
    <n v="252"/>
    <n v="16"/>
    <n v="154"/>
    <n v="475"/>
    <n v="989"/>
    <n v="81"/>
    <n v="53"/>
    <n v="84"/>
    <n v="46"/>
    <n v="706"/>
    <n v="665"/>
    <n v="4.0999999999999996"/>
    <n v="6"/>
    <n v="14"/>
    <n v="42"/>
    <n v="4380"/>
    <n v="1463"/>
    <n v="147"/>
    <n v="439"/>
    <n v="1220"/>
    <n v="79"/>
    <n v="129"/>
    <n v="0.98699999999999999"/>
  </r>
  <r>
    <n v="2011"/>
    <x v="6"/>
    <s v="CHN"/>
    <n v="5"/>
    <s v="N"/>
    <s v="N"/>
    <s v="N"/>
    <s v="N"/>
    <n v="71"/>
    <n v="91"/>
    <n v="654"/>
    <n v="5549"/>
    <n v="1423"/>
    <n v="285"/>
    <n v="36"/>
    <n v="148"/>
    <n v="425"/>
    <n v="1202"/>
    <n v="69"/>
    <n v="23"/>
    <n v="59"/>
    <n v="35"/>
    <n v="756"/>
    <n v="690"/>
    <n v="4.33"/>
    <n v="4"/>
    <n v="5"/>
    <n v="40"/>
    <n v="4303"/>
    <n v="1439"/>
    <n v="162"/>
    <n v="580"/>
    <n v="1224"/>
    <n v="134"/>
    <n v="128"/>
    <n v="0.97799999999999998"/>
  </r>
  <r>
    <n v="2011"/>
    <x v="7"/>
    <s v="CIN"/>
    <n v="3"/>
    <s v="N"/>
    <s v="N"/>
    <s v="N"/>
    <s v="N"/>
    <n v="79"/>
    <n v="83"/>
    <n v="735"/>
    <n v="5612"/>
    <n v="1438"/>
    <n v="264"/>
    <n v="19"/>
    <n v="183"/>
    <n v="535"/>
    <n v="1250"/>
    <n v="97"/>
    <n v="50"/>
    <n v="63"/>
    <n v="40"/>
    <n v="720"/>
    <n v="678"/>
    <n v="4.16"/>
    <n v="4"/>
    <n v="5"/>
    <n v="39"/>
    <n v="4403"/>
    <n v="1414"/>
    <n v="185"/>
    <n v="539"/>
    <n v="1112"/>
    <n v="91"/>
    <n v="146"/>
    <n v="0.98499999999999999"/>
  </r>
  <r>
    <n v="2011"/>
    <x v="8"/>
    <s v="CLE"/>
    <n v="2"/>
    <s v="N"/>
    <s v="N"/>
    <s v="N"/>
    <s v="N"/>
    <n v="80"/>
    <n v="82"/>
    <n v="704"/>
    <n v="5509"/>
    <n v="1380"/>
    <n v="290"/>
    <n v="26"/>
    <n v="154"/>
    <n v="494"/>
    <n v="1269"/>
    <n v="89"/>
    <n v="42"/>
    <n v="65"/>
    <n v="43"/>
    <n v="760"/>
    <n v="683"/>
    <n v="4.2300000000000004"/>
    <n v="2"/>
    <n v="4"/>
    <n v="38"/>
    <n v="4360"/>
    <n v="1482"/>
    <n v="153"/>
    <n v="463"/>
    <n v="1024"/>
    <n v="110"/>
    <n v="130"/>
    <n v="0.98199999999999998"/>
  </r>
  <r>
    <n v="2011"/>
    <x v="9"/>
    <s v="COL"/>
    <n v="4"/>
    <s v="N"/>
    <s v="N"/>
    <s v="N"/>
    <s v="N"/>
    <n v="73"/>
    <n v="89"/>
    <n v="735"/>
    <n v="5544"/>
    <n v="1429"/>
    <n v="274"/>
    <n v="40"/>
    <n v="163"/>
    <n v="555"/>
    <n v="1201"/>
    <n v="118"/>
    <n v="42"/>
    <n v="57"/>
    <n v="44"/>
    <n v="774"/>
    <n v="713"/>
    <n v="4.43"/>
    <n v="5"/>
    <n v="7"/>
    <n v="41"/>
    <n v="4343"/>
    <n v="1471"/>
    <n v="176"/>
    <n v="522"/>
    <n v="1118"/>
    <n v="98"/>
    <n v="156"/>
    <n v="0.98399999999999999"/>
  </r>
  <r>
    <n v="2011"/>
    <x v="10"/>
    <s v="DET"/>
    <n v="1"/>
    <s v="Y"/>
    <s v="N"/>
    <s v="N"/>
    <s v="N"/>
    <n v="95"/>
    <n v="67"/>
    <n v="787"/>
    <n v="5563"/>
    <n v="1540"/>
    <n v="297"/>
    <n v="34"/>
    <n v="169"/>
    <n v="521"/>
    <n v="1143"/>
    <n v="49"/>
    <n v="20"/>
    <n v="39"/>
    <n v="58"/>
    <n v="711"/>
    <n v="647"/>
    <n v="4.04"/>
    <n v="4"/>
    <n v="14"/>
    <n v="52"/>
    <n v="4320"/>
    <n v="1406"/>
    <n v="149"/>
    <n v="492"/>
    <n v="1115"/>
    <n v="103"/>
    <n v="148"/>
    <n v="0.98299999999999998"/>
  </r>
  <r>
    <n v="2011"/>
    <x v="11"/>
    <s v="FLO"/>
    <n v="5"/>
    <s v="N"/>
    <s v="N"/>
    <s v="N"/>
    <s v="N"/>
    <n v="72"/>
    <n v="90"/>
    <n v="625"/>
    <n v="5508"/>
    <n v="1358"/>
    <n v="274"/>
    <n v="30"/>
    <n v="149"/>
    <n v="542"/>
    <n v="1244"/>
    <n v="95"/>
    <n v="41"/>
    <n v="51"/>
    <n v="42"/>
    <n v="702"/>
    <n v="640"/>
    <n v="3.95"/>
    <n v="7"/>
    <n v="11"/>
    <n v="40"/>
    <n v="4379"/>
    <n v="1403"/>
    <n v="149"/>
    <n v="500"/>
    <n v="1218"/>
    <n v="93"/>
    <n v="126"/>
    <n v="0.98499999999999999"/>
  </r>
  <r>
    <n v="2011"/>
    <x v="12"/>
    <s v="HOU"/>
    <n v="6"/>
    <s v="N"/>
    <s v="N"/>
    <s v="N"/>
    <s v="N"/>
    <n v="56"/>
    <n v="106"/>
    <n v="615"/>
    <n v="5598"/>
    <n v="1442"/>
    <n v="309"/>
    <n v="28"/>
    <n v="95"/>
    <n v="401"/>
    <n v="1164"/>
    <n v="118"/>
    <n v="33"/>
    <n v="46"/>
    <n v="37"/>
    <n v="796"/>
    <n v="719"/>
    <n v="4.51"/>
    <n v="2"/>
    <n v="6"/>
    <n v="25"/>
    <n v="4305"/>
    <n v="1477"/>
    <n v="188"/>
    <n v="560"/>
    <n v="1191"/>
    <n v="116"/>
    <n v="140"/>
    <n v="0.98099999999999998"/>
  </r>
  <r>
    <n v="2011"/>
    <x v="13"/>
    <s v="KCA"/>
    <n v="4"/>
    <s v="N"/>
    <s v="N"/>
    <s v="N"/>
    <s v="N"/>
    <n v="71"/>
    <n v="91"/>
    <n v="730"/>
    <n v="5672"/>
    <n v="1560"/>
    <n v="325"/>
    <n v="41"/>
    <n v="129"/>
    <n v="442"/>
    <n v="1006"/>
    <n v="153"/>
    <n v="58"/>
    <n v="39"/>
    <n v="57"/>
    <n v="762"/>
    <n v="716"/>
    <n v="4.4400000000000004"/>
    <n v="2"/>
    <n v="6"/>
    <n v="37"/>
    <n v="4354"/>
    <n v="1487"/>
    <n v="163"/>
    <n v="557"/>
    <n v="1080"/>
    <n v="95"/>
    <n v="149"/>
    <n v="0.98499999999999999"/>
  </r>
  <r>
    <n v="2011"/>
    <x v="30"/>
    <s v="LAA"/>
    <n v="2"/>
    <s v="N"/>
    <s v="N"/>
    <s v="N"/>
    <s v="N"/>
    <n v="86"/>
    <n v="76"/>
    <n v="667"/>
    <n v="5513"/>
    <n v="1394"/>
    <n v="289"/>
    <n v="34"/>
    <n v="155"/>
    <n v="442"/>
    <n v="1086"/>
    <n v="135"/>
    <n v="52"/>
    <n v="51"/>
    <n v="32"/>
    <n v="633"/>
    <n v="581"/>
    <n v="3.57"/>
    <n v="12"/>
    <n v="11"/>
    <n v="39"/>
    <n v="4395"/>
    <n v="1388"/>
    <n v="142"/>
    <n v="476"/>
    <n v="1058"/>
    <n v="93"/>
    <n v="157"/>
    <n v="0.98499999999999999"/>
  </r>
  <r>
    <n v="2011"/>
    <x v="14"/>
    <s v="LAN"/>
    <n v="3"/>
    <s v="N"/>
    <s v="N"/>
    <s v="N"/>
    <s v="N"/>
    <n v="82"/>
    <n v="79"/>
    <n v="644"/>
    <n v="5436"/>
    <n v="1395"/>
    <n v="237"/>
    <n v="28"/>
    <n v="117"/>
    <n v="498"/>
    <n v="1087"/>
    <n v="126"/>
    <n v="40"/>
    <n v="45"/>
    <n v="43"/>
    <n v="612"/>
    <n v="563"/>
    <n v="3.54"/>
    <n v="7"/>
    <n v="17"/>
    <n v="40"/>
    <n v="4296"/>
    <n v="1287"/>
    <n v="132"/>
    <n v="507"/>
    <n v="1265"/>
    <n v="85"/>
    <n v="121"/>
    <n v="0.98599999999999999"/>
  </r>
  <r>
    <n v="2011"/>
    <x v="15"/>
    <s v="MIL"/>
    <n v="1"/>
    <s v="Y"/>
    <s v="N"/>
    <s v="N"/>
    <s v="N"/>
    <n v="96"/>
    <n v="66"/>
    <n v="721"/>
    <n v="5447"/>
    <n v="1422"/>
    <n v="276"/>
    <n v="31"/>
    <n v="185"/>
    <n v="481"/>
    <n v="1083"/>
    <n v="94"/>
    <n v="31"/>
    <n v="56"/>
    <n v="44"/>
    <n v="638"/>
    <n v="582"/>
    <n v="3.63"/>
    <n v="1"/>
    <n v="13"/>
    <n v="47"/>
    <n v="4325"/>
    <n v="1348"/>
    <n v="147"/>
    <n v="440"/>
    <n v="1257"/>
    <n v="111"/>
    <n v="130"/>
    <n v="0.98199999999999998"/>
  </r>
  <r>
    <n v="2011"/>
    <x v="16"/>
    <s v="MIN"/>
    <n v="5"/>
    <s v="N"/>
    <s v="N"/>
    <s v="N"/>
    <s v="N"/>
    <n v="63"/>
    <n v="99"/>
    <n v="619"/>
    <n v="5487"/>
    <n v="1357"/>
    <n v="259"/>
    <n v="25"/>
    <n v="103"/>
    <n v="440"/>
    <n v="1048"/>
    <n v="92"/>
    <n v="39"/>
    <n v="37"/>
    <n v="25"/>
    <n v="804"/>
    <n v="724"/>
    <n v="4.58"/>
    <n v="7"/>
    <n v="8"/>
    <n v="32"/>
    <n v="4265"/>
    <n v="1564"/>
    <n v="161"/>
    <n v="480"/>
    <n v="940"/>
    <n v="119"/>
    <n v="153"/>
    <n v="0.98"/>
  </r>
  <r>
    <n v="2011"/>
    <x v="18"/>
    <s v="NYA"/>
    <n v="1"/>
    <s v="Y"/>
    <s v="N"/>
    <s v="N"/>
    <s v="N"/>
    <n v="97"/>
    <n v="65"/>
    <n v="867"/>
    <n v="5518"/>
    <n v="1452"/>
    <n v="267"/>
    <n v="33"/>
    <n v="222"/>
    <n v="627"/>
    <n v="1138"/>
    <n v="147"/>
    <n v="46"/>
    <n v="74"/>
    <n v="51"/>
    <n v="657"/>
    <n v="605"/>
    <n v="3.73"/>
    <n v="5"/>
    <n v="8"/>
    <n v="47"/>
    <n v="4375"/>
    <n v="1423"/>
    <n v="152"/>
    <n v="507"/>
    <n v="1222"/>
    <n v="102"/>
    <n v="141"/>
    <n v="0.98299999999999998"/>
  </r>
  <r>
    <n v="2011"/>
    <x v="19"/>
    <s v="NYN"/>
    <n v="4"/>
    <s v="N"/>
    <s v="N"/>
    <s v="N"/>
    <s v="N"/>
    <n v="77"/>
    <n v="85"/>
    <n v="718"/>
    <n v="5600"/>
    <n v="1477"/>
    <n v="309"/>
    <n v="39"/>
    <n v="108"/>
    <n v="571"/>
    <n v="1085"/>
    <n v="130"/>
    <n v="35"/>
    <n v="51"/>
    <n v="48"/>
    <n v="742"/>
    <n v="674"/>
    <n v="4.1900000000000004"/>
    <n v="6"/>
    <n v="9"/>
    <n v="43"/>
    <n v="4344"/>
    <n v="1482"/>
    <n v="147"/>
    <n v="514"/>
    <n v="1126"/>
    <n v="116"/>
    <n v="126"/>
    <n v="0.98099999999999998"/>
  </r>
  <r>
    <n v="2011"/>
    <x v="20"/>
    <s v="OAK"/>
    <n v="3"/>
    <s v="N"/>
    <s v="N"/>
    <s v="N"/>
    <s v="N"/>
    <n v="74"/>
    <n v="88"/>
    <n v="645"/>
    <n v="5452"/>
    <n v="1330"/>
    <n v="280"/>
    <n v="29"/>
    <n v="114"/>
    <n v="509"/>
    <n v="1094"/>
    <n v="117"/>
    <n v="43"/>
    <n v="50"/>
    <n v="57"/>
    <n v="679"/>
    <n v="597"/>
    <n v="3.71"/>
    <n v="6"/>
    <n v="12"/>
    <n v="39"/>
    <n v="4343"/>
    <n v="1380"/>
    <n v="136"/>
    <n v="519"/>
    <n v="1160"/>
    <n v="124"/>
    <n v="145"/>
    <n v="0.97899999999999998"/>
  </r>
  <r>
    <n v="2011"/>
    <x v="21"/>
    <s v="PHI"/>
    <n v="1"/>
    <s v="Y"/>
    <s v="N"/>
    <s v="N"/>
    <s v="N"/>
    <n v="102"/>
    <n v="60"/>
    <n v="713"/>
    <n v="5579"/>
    <n v="1409"/>
    <n v="258"/>
    <n v="38"/>
    <n v="153"/>
    <n v="539"/>
    <n v="1024"/>
    <n v="96"/>
    <n v="24"/>
    <n v="56"/>
    <n v="38"/>
    <n v="529"/>
    <n v="495"/>
    <n v="3.02"/>
    <n v="18"/>
    <n v="21"/>
    <n v="47"/>
    <n v="4431"/>
    <n v="1320"/>
    <n v="120"/>
    <n v="404"/>
    <n v="1299"/>
    <n v="74"/>
    <n v="135"/>
    <n v="0.98799999999999999"/>
  </r>
  <r>
    <n v="2011"/>
    <x v="22"/>
    <s v="PIT"/>
    <n v="4"/>
    <s v="N"/>
    <s v="N"/>
    <s v="N"/>
    <s v="N"/>
    <n v="72"/>
    <n v="90"/>
    <n v="610"/>
    <n v="5421"/>
    <n v="1325"/>
    <n v="277"/>
    <n v="35"/>
    <n v="107"/>
    <n v="489"/>
    <n v="1308"/>
    <n v="108"/>
    <n v="52"/>
    <n v="34"/>
    <n v="44"/>
    <n v="712"/>
    <n v="650"/>
    <n v="4.04"/>
    <n v="5"/>
    <n v="11"/>
    <n v="43"/>
    <n v="4348"/>
    <n v="1513"/>
    <n v="152"/>
    <n v="535"/>
    <n v="1031"/>
    <n v="112"/>
    <n v="154"/>
    <n v="0.98199999999999998"/>
  </r>
  <r>
    <n v="2011"/>
    <x v="23"/>
    <s v="SDN"/>
    <n v="5"/>
    <s v="N"/>
    <s v="N"/>
    <s v="N"/>
    <s v="N"/>
    <n v="71"/>
    <n v="91"/>
    <n v="593"/>
    <n v="5417"/>
    <n v="1284"/>
    <n v="247"/>
    <n v="42"/>
    <n v="91"/>
    <n v="501"/>
    <n v="1320"/>
    <n v="170"/>
    <n v="44"/>
    <n v="48"/>
    <n v="47"/>
    <n v="611"/>
    <n v="551"/>
    <n v="3.42"/>
    <n v="0"/>
    <n v="10"/>
    <n v="44"/>
    <n v="4348"/>
    <n v="1324"/>
    <n v="125"/>
    <n v="521"/>
    <n v="1139"/>
    <n v="94"/>
    <n v="139"/>
    <n v="0.98499999999999999"/>
  </r>
  <r>
    <n v="2011"/>
    <x v="24"/>
    <s v="SEA"/>
    <n v="4"/>
    <s v="N"/>
    <s v="N"/>
    <s v="N"/>
    <s v="N"/>
    <n v="67"/>
    <n v="95"/>
    <n v="556"/>
    <n v="5421"/>
    <n v="1263"/>
    <n v="253"/>
    <n v="22"/>
    <n v="109"/>
    <n v="435"/>
    <n v="1280"/>
    <n v="125"/>
    <n v="40"/>
    <n v="37"/>
    <n v="41"/>
    <n v="675"/>
    <n v="621"/>
    <n v="3.9"/>
    <n v="12"/>
    <n v="10"/>
    <n v="39"/>
    <n v="4299"/>
    <n v="1369"/>
    <n v="145"/>
    <n v="436"/>
    <n v="1088"/>
    <n v="108"/>
    <n v="152"/>
    <n v="0.98199999999999998"/>
  </r>
  <r>
    <n v="2011"/>
    <x v="25"/>
    <s v="SFN"/>
    <n v="2"/>
    <s v="N"/>
    <s v="N"/>
    <s v="N"/>
    <s v="N"/>
    <n v="86"/>
    <n v="76"/>
    <n v="570"/>
    <n v="5486"/>
    <n v="1327"/>
    <n v="282"/>
    <n v="24"/>
    <n v="121"/>
    <n v="448"/>
    <n v="1122"/>
    <n v="85"/>
    <n v="51"/>
    <n v="52"/>
    <n v="43"/>
    <n v="578"/>
    <n v="522"/>
    <n v="3.2"/>
    <n v="3"/>
    <n v="12"/>
    <n v="52"/>
    <n v="4404"/>
    <n v="1260"/>
    <n v="96"/>
    <n v="559"/>
    <n v="1316"/>
    <n v="104"/>
    <n v="127"/>
    <n v="0.98299999999999998"/>
  </r>
  <r>
    <n v="2011"/>
    <x v="26"/>
    <s v="SLN"/>
    <n v="2"/>
    <s v="N"/>
    <s v="Y"/>
    <s v="Y"/>
    <s v="Y"/>
    <n v="90"/>
    <n v="72"/>
    <n v="762"/>
    <n v="5532"/>
    <n v="1513"/>
    <n v="308"/>
    <n v="22"/>
    <n v="162"/>
    <n v="542"/>
    <n v="978"/>
    <n v="57"/>
    <n v="39"/>
    <n v="44"/>
    <n v="40"/>
    <n v="692"/>
    <n v="608"/>
    <n v="3.74"/>
    <n v="7"/>
    <n v="9"/>
    <n v="47"/>
    <n v="4386"/>
    <n v="1461"/>
    <n v="136"/>
    <n v="448"/>
    <n v="1098"/>
    <n v="116"/>
    <n v="167"/>
    <n v="0.98199999999999998"/>
  </r>
  <r>
    <n v="2011"/>
    <x v="32"/>
    <s v="TBA"/>
    <n v="2"/>
    <s v="N"/>
    <s v="Y"/>
    <s v="N"/>
    <s v="N"/>
    <n v="91"/>
    <n v="71"/>
    <n v="707"/>
    <n v="5436"/>
    <n v="1324"/>
    <n v="273"/>
    <n v="37"/>
    <n v="172"/>
    <n v="571"/>
    <n v="1193"/>
    <n v="155"/>
    <n v="62"/>
    <n v="73"/>
    <n v="35"/>
    <n v="614"/>
    <n v="577"/>
    <n v="3.58"/>
    <n v="15"/>
    <n v="13"/>
    <n v="32"/>
    <n v="4347"/>
    <n v="1263"/>
    <n v="161"/>
    <n v="504"/>
    <n v="1143"/>
    <n v="73"/>
    <n v="138"/>
    <n v="0.98799999999999999"/>
  </r>
  <r>
    <n v="2011"/>
    <x v="28"/>
    <s v="TEX"/>
    <n v="1"/>
    <s v="Y"/>
    <s v="N"/>
    <s v="Y"/>
    <s v="N"/>
    <n v="96"/>
    <n v="66"/>
    <n v="855"/>
    <n v="5659"/>
    <n v="1599"/>
    <n v="310"/>
    <n v="32"/>
    <n v="210"/>
    <n v="475"/>
    <n v="930"/>
    <n v="143"/>
    <n v="45"/>
    <n v="39"/>
    <n v="49"/>
    <n v="677"/>
    <n v="607"/>
    <n v="3.79"/>
    <n v="10"/>
    <n v="19"/>
    <n v="38"/>
    <n v="4324"/>
    <n v="1327"/>
    <n v="170"/>
    <n v="461"/>
    <n v="1179"/>
    <n v="114"/>
    <n v="164"/>
    <n v="0.98099999999999998"/>
  </r>
  <r>
    <n v="2011"/>
    <x v="29"/>
    <s v="TOR"/>
    <n v="4"/>
    <s v="N"/>
    <s v="N"/>
    <s v="N"/>
    <s v="N"/>
    <n v="81"/>
    <n v="81"/>
    <n v="743"/>
    <n v="5559"/>
    <n v="1384"/>
    <n v="285"/>
    <n v="34"/>
    <n v="186"/>
    <n v="525"/>
    <n v="1184"/>
    <n v="131"/>
    <n v="52"/>
    <n v="48"/>
    <n v="47"/>
    <n v="761"/>
    <n v="700"/>
    <n v="4.32"/>
    <n v="7"/>
    <n v="10"/>
    <n v="33"/>
    <n v="4376"/>
    <n v="1433"/>
    <n v="179"/>
    <n v="540"/>
    <n v="1169"/>
    <n v="110"/>
    <n v="148"/>
    <n v="0.98199999999999998"/>
  </r>
  <r>
    <n v="2011"/>
    <x v="31"/>
    <s v="WAS"/>
    <n v="3"/>
    <s v="N"/>
    <s v="N"/>
    <s v="N"/>
    <s v="N"/>
    <n v="80"/>
    <n v="81"/>
    <n v="624"/>
    <n v="5441"/>
    <n v="1319"/>
    <n v="257"/>
    <n v="22"/>
    <n v="154"/>
    <n v="470"/>
    <n v="1323"/>
    <n v="106"/>
    <n v="38"/>
    <n v="65"/>
    <n v="32"/>
    <n v="643"/>
    <n v="577"/>
    <n v="3.58"/>
    <n v="3"/>
    <n v="10"/>
    <n v="49"/>
    <n v="4348"/>
    <n v="1403"/>
    <n v="129"/>
    <n v="477"/>
    <n v="1049"/>
    <n v="104"/>
    <n v="145"/>
    <n v="0.98299999999999998"/>
  </r>
  <r>
    <n v="2012"/>
    <x v="1"/>
    <s v="ARI"/>
    <n v="3"/>
    <s v="N"/>
    <s v="N"/>
    <s v="N"/>
    <s v="N"/>
    <n v="81"/>
    <n v="81"/>
    <n v="734"/>
    <n v="5462"/>
    <n v="1416"/>
    <n v="307"/>
    <n v="33"/>
    <n v="165"/>
    <n v="539"/>
    <n v="1266"/>
    <n v="93"/>
    <n v="51"/>
    <n v="41"/>
    <n v="45"/>
    <n v="688"/>
    <n v="626"/>
    <n v="3.93"/>
    <n v="4"/>
    <n v="9"/>
    <n v="39"/>
    <n v="4301"/>
    <n v="1432"/>
    <n v="155"/>
    <n v="417"/>
    <n v="1200"/>
    <n v="90"/>
    <n v="146"/>
    <n v="0.98499999999999999"/>
  </r>
  <r>
    <n v="2012"/>
    <x v="2"/>
    <s v="ATL"/>
    <n v="2"/>
    <s v="N"/>
    <s v="Y"/>
    <s v="N"/>
    <s v="N"/>
    <n v="94"/>
    <n v="68"/>
    <n v="700"/>
    <n v="5425"/>
    <n v="1341"/>
    <n v="263"/>
    <n v="30"/>
    <n v="149"/>
    <n v="567"/>
    <n v="1289"/>
    <n v="101"/>
    <n v="32"/>
    <n v="34"/>
    <n v="46"/>
    <n v="600"/>
    <n v="549"/>
    <n v="3.42"/>
    <n v="5"/>
    <n v="16"/>
    <n v="47"/>
    <n v="4336"/>
    <n v="1310"/>
    <n v="145"/>
    <n v="464"/>
    <n v="1232"/>
    <n v="86"/>
    <n v="147"/>
    <n v="0.98599999999999999"/>
  </r>
  <r>
    <n v="2012"/>
    <x v="3"/>
    <s v="BAL"/>
    <n v="2"/>
    <s v="N"/>
    <s v="Y"/>
    <s v="N"/>
    <s v="N"/>
    <n v="93"/>
    <n v="69"/>
    <n v="712"/>
    <n v="5560"/>
    <n v="1375"/>
    <n v="270"/>
    <n v="16"/>
    <n v="214"/>
    <n v="480"/>
    <n v="1315"/>
    <n v="58"/>
    <n v="29"/>
    <n v="50"/>
    <n v="30"/>
    <n v="705"/>
    <n v="642"/>
    <n v="3.9"/>
    <n v="1"/>
    <n v="10"/>
    <n v="55"/>
    <n v="4449"/>
    <n v="1433"/>
    <n v="184"/>
    <n v="481"/>
    <n v="1177"/>
    <n v="106"/>
    <n v="151"/>
    <n v="0.98299999999999998"/>
  </r>
  <r>
    <n v="2012"/>
    <x v="4"/>
    <s v="BOS"/>
    <n v="5"/>
    <s v="N"/>
    <s v="N"/>
    <s v="N"/>
    <s v="N"/>
    <n v="69"/>
    <n v="93"/>
    <n v="734"/>
    <n v="5604"/>
    <n v="1459"/>
    <n v="339"/>
    <n v="16"/>
    <n v="165"/>
    <n v="428"/>
    <n v="1197"/>
    <n v="97"/>
    <n v="31"/>
    <n v="45"/>
    <n v="55"/>
    <n v="806"/>
    <n v="754"/>
    <n v="4.7"/>
    <n v="6"/>
    <n v="4"/>
    <n v="35"/>
    <n v="4329"/>
    <n v="1449"/>
    <n v="190"/>
    <n v="529"/>
    <n v="1176"/>
    <n v="101"/>
    <n v="159"/>
    <n v="0.98299999999999998"/>
  </r>
  <r>
    <n v="2012"/>
    <x v="5"/>
    <s v="CHA"/>
    <n v="2"/>
    <s v="N"/>
    <s v="N"/>
    <s v="N"/>
    <s v="N"/>
    <n v="85"/>
    <n v="77"/>
    <n v="748"/>
    <n v="5518"/>
    <n v="1409"/>
    <n v="228"/>
    <n v="29"/>
    <n v="211"/>
    <n v="461"/>
    <n v="1203"/>
    <n v="109"/>
    <n v="43"/>
    <n v="65"/>
    <n v="36"/>
    <n v="676"/>
    <n v="646"/>
    <n v="4.0199999999999996"/>
    <n v="6"/>
    <n v="11"/>
    <n v="37"/>
    <n v="4337"/>
    <n v="1365"/>
    <n v="186"/>
    <n v="503"/>
    <n v="1246"/>
    <n v="70"/>
    <n v="154"/>
    <n v="0.98799999999999999"/>
  </r>
  <r>
    <n v="2012"/>
    <x v="6"/>
    <s v="CHN"/>
    <n v="5"/>
    <s v="N"/>
    <s v="N"/>
    <s v="N"/>
    <s v="N"/>
    <n v="61"/>
    <n v="101"/>
    <n v="613"/>
    <n v="5411"/>
    <n v="1297"/>
    <n v="265"/>
    <n v="36"/>
    <n v="137"/>
    <n v="447"/>
    <n v="1235"/>
    <n v="94"/>
    <n v="45"/>
    <n v="43"/>
    <n v="24"/>
    <n v="759"/>
    <n v="708"/>
    <n v="4.51"/>
    <n v="1"/>
    <n v="9"/>
    <n v="28"/>
    <n v="4241"/>
    <n v="1399"/>
    <n v="175"/>
    <n v="573"/>
    <n v="1128"/>
    <n v="105"/>
    <n v="148"/>
    <n v="0.98199999999999998"/>
  </r>
  <r>
    <n v="2012"/>
    <x v="7"/>
    <s v="CIN"/>
    <n v="1"/>
    <s v="Y"/>
    <s v="N"/>
    <s v="N"/>
    <s v="N"/>
    <n v="97"/>
    <n v="65"/>
    <n v="669"/>
    <n v="5477"/>
    <n v="1377"/>
    <n v="296"/>
    <n v="30"/>
    <n v="172"/>
    <n v="481"/>
    <n v="1266"/>
    <n v="87"/>
    <n v="27"/>
    <n v="47"/>
    <n v="37"/>
    <n v="588"/>
    <n v="540"/>
    <n v="3.34"/>
    <n v="9"/>
    <n v="12"/>
    <n v="56"/>
    <n v="4359"/>
    <n v="1356"/>
    <n v="152"/>
    <n v="427"/>
    <n v="1248"/>
    <n v="89"/>
    <n v="113"/>
    <n v="0.98499999999999999"/>
  </r>
  <r>
    <n v="2012"/>
    <x v="8"/>
    <s v="CLE"/>
    <n v="4"/>
    <s v="N"/>
    <s v="N"/>
    <s v="N"/>
    <s v="N"/>
    <n v="68"/>
    <n v="94"/>
    <n v="667"/>
    <n v="5525"/>
    <n v="1385"/>
    <n v="266"/>
    <n v="24"/>
    <n v="136"/>
    <n v="555"/>
    <n v="1087"/>
    <n v="110"/>
    <n v="44"/>
    <n v="59"/>
    <n v="39"/>
    <n v="845"/>
    <n v="766"/>
    <n v="4.78"/>
    <n v="2"/>
    <n v="6"/>
    <n v="43"/>
    <n v="4326"/>
    <n v="1503"/>
    <n v="174"/>
    <n v="543"/>
    <n v="1086"/>
    <n v="96"/>
    <n v="157"/>
    <n v="0.98399999999999999"/>
  </r>
  <r>
    <n v="2012"/>
    <x v="9"/>
    <s v="COL"/>
    <n v="5"/>
    <s v="N"/>
    <s v="N"/>
    <s v="N"/>
    <s v="N"/>
    <n v="64"/>
    <n v="98"/>
    <n v="758"/>
    <n v="5577"/>
    <n v="1526"/>
    <n v="306"/>
    <n v="52"/>
    <n v="166"/>
    <n v="450"/>
    <n v="1213"/>
    <n v="100"/>
    <n v="40"/>
    <n v="36"/>
    <n v="39"/>
    <n v="890"/>
    <n v="824"/>
    <n v="5.22"/>
    <n v="0"/>
    <n v="7"/>
    <n v="36"/>
    <n v="4266"/>
    <n v="1637"/>
    <n v="198"/>
    <n v="566"/>
    <n v="1144"/>
    <n v="122"/>
    <n v="139"/>
    <n v="0.98"/>
  </r>
  <r>
    <n v="2012"/>
    <x v="10"/>
    <s v="DET"/>
    <n v="1"/>
    <s v="Y"/>
    <s v="N"/>
    <s v="Y"/>
    <s v="N"/>
    <n v="88"/>
    <n v="74"/>
    <n v="726"/>
    <n v="5476"/>
    <n v="1467"/>
    <n v="279"/>
    <n v="39"/>
    <n v="163"/>
    <n v="511"/>
    <n v="1103"/>
    <n v="59"/>
    <n v="23"/>
    <n v="57"/>
    <n v="39"/>
    <n v="670"/>
    <n v="596"/>
    <n v="3.75"/>
    <n v="9"/>
    <n v="8"/>
    <n v="40"/>
    <n v="4292"/>
    <n v="1409"/>
    <n v="151"/>
    <n v="438"/>
    <n v="1318"/>
    <n v="99"/>
    <n v="127"/>
    <n v="0.98299999999999998"/>
  </r>
  <r>
    <n v="2012"/>
    <x v="12"/>
    <s v="HOU"/>
    <n v="6"/>
    <s v="N"/>
    <s v="N"/>
    <s v="N"/>
    <s v="N"/>
    <n v="55"/>
    <n v="107"/>
    <n v="583"/>
    <n v="5407"/>
    <n v="1276"/>
    <n v="238"/>
    <n v="28"/>
    <n v="146"/>
    <n v="463"/>
    <n v="1365"/>
    <n v="105"/>
    <n v="46"/>
    <n v="58"/>
    <n v="30"/>
    <n v="794"/>
    <n v="721"/>
    <n v="4.5599999999999996"/>
    <n v="3"/>
    <n v="11"/>
    <n v="31"/>
    <n v="4270"/>
    <n v="1493"/>
    <n v="173"/>
    <n v="540"/>
    <n v="1170"/>
    <n v="118"/>
    <n v="132"/>
    <n v="0.98099999999999998"/>
  </r>
  <r>
    <n v="2012"/>
    <x v="13"/>
    <s v="KCA"/>
    <n v="3"/>
    <s v="N"/>
    <s v="N"/>
    <s v="N"/>
    <s v="N"/>
    <n v="72"/>
    <n v="90"/>
    <n v="676"/>
    <n v="5636"/>
    <n v="1492"/>
    <n v="295"/>
    <n v="37"/>
    <n v="131"/>
    <n v="404"/>
    <n v="1032"/>
    <n v="132"/>
    <n v="38"/>
    <n v="42"/>
    <n v="41"/>
    <n v="746"/>
    <n v="693"/>
    <n v="4.3"/>
    <n v="2"/>
    <n v="12"/>
    <n v="44"/>
    <n v="4354"/>
    <n v="1504"/>
    <n v="163"/>
    <n v="542"/>
    <n v="1177"/>
    <n v="113"/>
    <n v="171"/>
    <n v="0.98099999999999998"/>
  </r>
  <r>
    <n v="2012"/>
    <x v="30"/>
    <s v="LAA"/>
    <n v="3"/>
    <s v="N"/>
    <s v="N"/>
    <s v="N"/>
    <s v="N"/>
    <n v="89"/>
    <n v="73"/>
    <n v="767"/>
    <n v="5536"/>
    <n v="1518"/>
    <n v="273"/>
    <n v="22"/>
    <n v="187"/>
    <n v="449"/>
    <n v="1113"/>
    <n v="134"/>
    <n v="33"/>
    <n v="47"/>
    <n v="41"/>
    <n v="699"/>
    <n v="640"/>
    <n v="4.0199999999999996"/>
    <n v="6"/>
    <n v="16"/>
    <n v="38"/>
    <n v="4300"/>
    <n v="1339"/>
    <n v="186"/>
    <n v="483"/>
    <n v="1157"/>
    <n v="98"/>
    <n v="141"/>
    <n v="0.98399999999999999"/>
  </r>
  <r>
    <n v="2012"/>
    <x v="14"/>
    <s v="LAN"/>
    <n v="2"/>
    <s v="N"/>
    <s v="N"/>
    <s v="N"/>
    <s v="N"/>
    <n v="86"/>
    <n v="76"/>
    <n v="637"/>
    <n v="5438"/>
    <n v="1369"/>
    <n v="269"/>
    <n v="23"/>
    <n v="116"/>
    <n v="481"/>
    <n v="1156"/>
    <n v="104"/>
    <n v="44"/>
    <n v="52"/>
    <n v="38"/>
    <n v="597"/>
    <n v="538"/>
    <n v="3.34"/>
    <n v="2"/>
    <n v="10"/>
    <n v="40"/>
    <n v="4349"/>
    <n v="1277"/>
    <n v="122"/>
    <n v="539"/>
    <n v="1276"/>
    <n v="98"/>
    <n v="138"/>
    <n v="0.98399999999999999"/>
  </r>
  <r>
    <n v="2012"/>
    <x v="33"/>
    <s v="MIA"/>
    <n v="5"/>
    <s v="N"/>
    <s v="N"/>
    <s v="N"/>
    <s v="N"/>
    <n v="69"/>
    <n v="93"/>
    <n v="609"/>
    <n v="5437"/>
    <n v="1327"/>
    <n v="261"/>
    <n v="39"/>
    <n v="137"/>
    <n v="484"/>
    <n v="1228"/>
    <n v="149"/>
    <n v="41"/>
    <n v="35"/>
    <n v="40"/>
    <n v="724"/>
    <n v="655"/>
    <n v="4.09"/>
    <n v="5"/>
    <n v="7"/>
    <n v="38"/>
    <n v="4322"/>
    <n v="1448"/>
    <n v="133"/>
    <n v="495"/>
    <n v="1113"/>
    <n v="103"/>
    <n v="154"/>
    <n v="0.98299999999999998"/>
  </r>
  <r>
    <n v="2012"/>
    <x v="15"/>
    <s v="MIL"/>
    <n v="3"/>
    <s v="N"/>
    <s v="N"/>
    <s v="N"/>
    <s v="N"/>
    <n v="83"/>
    <n v="79"/>
    <n v="776"/>
    <n v="5557"/>
    <n v="1442"/>
    <n v="300"/>
    <n v="39"/>
    <n v="202"/>
    <n v="466"/>
    <n v="1240"/>
    <n v="158"/>
    <n v="39"/>
    <n v="90"/>
    <n v="35"/>
    <n v="733"/>
    <n v="682"/>
    <n v="4.22"/>
    <n v="0"/>
    <n v="9"/>
    <n v="44"/>
    <n v="4361"/>
    <n v="1458"/>
    <n v="169"/>
    <n v="525"/>
    <n v="1402"/>
    <n v="99"/>
    <n v="133"/>
    <n v="0.98299999999999998"/>
  </r>
  <r>
    <n v="2012"/>
    <x v="16"/>
    <s v="MIN"/>
    <n v="5"/>
    <s v="N"/>
    <s v="N"/>
    <s v="N"/>
    <s v="N"/>
    <n v="66"/>
    <n v="96"/>
    <n v="701"/>
    <n v="5562"/>
    <n v="1448"/>
    <n v="270"/>
    <n v="30"/>
    <n v="131"/>
    <n v="505"/>
    <n v="1069"/>
    <n v="135"/>
    <n v="37"/>
    <n v="53"/>
    <n v="56"/>
    <n v="832"/>
    <n v="762"/>
    <n v="4.7699999999999996"/>
    <n v="3"/>
    <n v="6"/>
    <n v="35"/>
    <n v="4316"/>
    <n v="1536"/>
    <n v="198"/>
    <n v="465"/>
    <n v="943"/>
    <n v="107"/>
    <n v="188"/>
    <n v="0.98299999999999998"/>
  </r>
  <r>
    <n v="2012"/>
    <x v="18"/>
    <s v="NYA"/>
    <n v="1"/>
    <s v="Y"/>
    <s v="N"/>
    <s v="N"/>
    <s v="N"/>
    <n v="95"/>
    <n v="67"/>
    <n v="804"/>
    <n v="5524"/>
    <n v="1462"/>
    <n v="280"/>
    <n v="13"/>
    <n v="245"/>
    <n v="565"/>
    <n v="1176"/>
    <n v="93"/>
    <n v="27"/>
    <n v="62"/>
    <n v="49"/>
    <n v="668"/>
    <n v="617"/>
    <n v="3.84"/>
    <n v="6"/>
    <n v="9"/>
    <n v="51"/>
    <n v="4336"/>
    <n v="1401"/>
    <n v="190"/>
    <n v="431"/>
    <n v="1318"/>
    <n v="75"/>
    <n v="135"/>
    <n v="0.98699999999999999"/>
  </r>
  <r>
    <n v="2012"/>
    <x v="19"/>
    <s v="NYN"/>
    <n v="4"/>
    <s v="N"/>
    <s v="N"/>
    <s v="N"/>
    <s v="N"/>
    <n v="74"/>
    <n v="88"/>
    <n v="650"/>
    <n v="5450"/>
    <n v="1357"/>
    <n v="286"/>
    <n v="21"/>
    <n v="139"/>
    <n v="503"/>
    <n v="1250"/>
    <n v="79"/>
    <n v="38"/>
    <n v="42"/>
    <n v="30"/>
    <n v="709"/>
    <n v="651"/>
    <n v="4.09"/>
    <n v="7"/>
    <n v="13"/>
    <n v="36"/>
    <n v="4302"/>
    <n v="1368"/>
    <n v="161"/>
    <n v="488"/>
    <n v="1240"/>
    <n v="101"/>
    <n v="135"/>
    <n v="0.98299999999999998"/>
  </r>
  <r>
    <n v="2012"/>
    <x v="20"/>
    <s v="OAK"/>
    <n v="1"/>
    <s v="Y"/>
    <s v="N"/>
    <s v="N"/>
    <s v="N"/>
    <n v="94"/>
    <n v="68"/>
    <n v="713"/>
    <n v="5527"/>
    <n v="1315"/>
    <n v="267"/>
    <n v="32"/>
    <n v="195"/>
    <n v="550"/>
    <n v="1387"/>
    <n v="122"/>
    <n v="32"/>
    <n v="45"/>
    <n v="34"/>
    <n v="614"/>
    <n v="569"/>
    <n v="3.48"/>
    <n v="1"/>
    <n v="13"/>
    <n v="47"/>
    <n v="4410"/>
    <n v="1360"/>
    <n v="147"/>
    <n v="462"/>
    <n v="1136"/>
    <n v="111"/>
    <n v="135"/>
    <n v="0.98199999999999998"/>
  </r>
  <r>
    <n v="2012"/>
    <x v="21"/>
    <s v="PHI"/>
    <n v="3"/>
    <s v="N"/>
    <s v="N"/>
    <s v="N"/>
    <s v="N"/>
    <n v="81"/>
    <n v="81"/>
    <n v="684"/>
    <n v="5544"/>
    <n v="1414"/>
    <n v="271"/>
    <n v="28"/>
    <n v="158"/>
    <n v="454"/>
    <n v="1094"/>
    <n v="116"/>
    <n v="23"/>
    <n v="63"/>
    <n v="39"/>
    <n v="680"/>
    <n v="618"/>
    <n v="3.83"/>
    <n v="5"/>
    <n v="11"/>
    <n v="42"/>
    <n v="4354"/>
    <n v="1387"/>
    <n v="178"/>
    <n v="409"/>
    <n v="1385"/>
    <n v="101"/>
    <n v="118"/>
    <n v="0.98299999999999998"/>
  </r>
  <r>
    <n v="2012"/>
    <x v="22"/>
    <s v="PIT"/>
    <n v="4"/>
    <s v="N"/>
    <s v="N"/>
    <s v="N"/>
    <s v="N"/>
    <n v="79"/>
    <n v="83"/>
    <n v="651"/>
    <n v="5412"/>
    <n v="1313"/>
    <n v="241"/>
    <n v="37"/>
    <n v="170"/>
    <n v="444"/>
    <n v="1354"/>
    <n v="73"/>
    <n v="52"/>
    <n v="51"/>
    <n v="45"/>
    <n v="674"/>
    <n v="615"/>
    <n v="3.86"/>
    <n v="2"/>
    <n v="10"/>
    <n v="45"/>
    <n v="4300"/>
    <n v="1357"/>
    <n v="153"/>
    <n v="490"/>
    <n v="1192"/>
    <n v="112"/>
    <n v="126"/>
    <n v="0.98199999999999998"/>
  </r>
  <r>
    <n v="2012"/>
    <x v="23"/>
    <s v="SDN"/>
    <n v="4"/>
    <s v="N"/>
    <s v="N"/>
    <s v="N"/>
    <s v="N"/>
    <n v="76"/>
    <n v="86"/>
    <n v="651"/>
    <n v="5422"/>
    <n v="1339"/>
    <n v="272"/>
    <n v="43"/>
    <n v="121"/>
    <n v="539"/>
    <n v="1238"/>
    <n v="155"/>
    <n v="46"/>
    <n v="54"/>
    <n v="34"/>
    <n v="710"/>
    <n v="640"/>
    <n v="4.01"/>
    <n v="4"/>
    <n v="11"/>
    <n v="43"/>
    <n v="4304"/>
    <n v="1356"/>
    <n v="162"/>
    <n v="539"/>
    <n v="1205"/>
    <n v="121"/>
    <n v="97"/>
    <n v="0.98"/>
  </r>
  <r>
    <n v="2012"/>
    <x v="24"/>
    <s v="SEA"/>
    <n v="4"/>
    <s v="N"/>
    <s v="N"/>
    <s v="N"/>
    <s v="N"/>
    <n v="75"/>
    <n v="87"/>
    <n v="619"/>
    <n v="5494"/>
    <n v="1285"/>
    <n v="241"/>
    <n v="27"/>
    <n v="149"/>
    <n v="466"/>
    <n v="1259"/>
    <n v="104"/>
    <n v="35"/>
    <n v="30"/>
    <n v="35"/>
    <n v="651"/>
    <n v="608"/>
    <n v="3.76"/>
    <n v="8"/>
    <n v="11"/>
    <n v="43"/>
    <n v="4370"/>
    <n v="1359"/>
    <n v="166"/>
    <n v="449"/>
    <n v="1166"/>
    <n v="72"/>
    <n v="155"/>
    <n v="0.98799999999999999"/>
  </r>
  <r>
    <n v="2012"/>
    <x v="25"/>
    <s v="SFN"/>
    <n v="1"/>
    <s v="Y"/>
    <s v="N"/>
    <s v="Y"/>
    <s v="Y"/>
    <n v="94"/>
    <n v="68"/>
    <n v="718"/>
    <n v="5558"/>
    <n v="1495"/>
    <n v="287"/>
    <n v="57"/>
    <n v="103"/>
    <n v="483"/>
    <n v="1097"/>
    <n v="118"/>
    <n v="39"/>
    <n v="29"/>
    <n v="61"/>
    <n v="649"/>
    <n v="593"/>
    <n v="3.68"/>
    <n v="5"/>
    <n v="14"/>
    <n v="53"/>
    <n v="4353"/>
    <n v="1361"/>
    <n v="142"/>
    <n v="489"/>
    <n v="1237"/>
    <n v="115"/>
    <n v="134"/>
    <n v="0.98099999999999998"/>
  </r>
  <r>
    <n v="2012"/>
    <x v="26"/>
    <s v="SLN"/>
    <n v="2"/>
    <s v="N"/>
    <s v="Y"/>
    <s v="N"/>
    <s v="N"/>
    <n v="88"/>
    <n v="74"/>
    <n v="765"/>
    <n v="5622"/>
    <n v="1526"/>
    <n v="290"/>
    <n v="37"/>
    <n v="159"/>
    <n v="533"/>
    <n v="1192"/>
    <n v="91"/>
    <n v="37"/>
    <n v="53"/>
    <n v="49"/>
    <n v="648"/>
    <n v="603"/>
    <n v="3.71"/>
    <n v="4"/>
    <n v="10"/>
    <n v="42"/>
    <n v="4388"/>
    <n v="1420"/>
    <n v="134"/>
    <n v="436"/>
    <n v="1218"/>
    <n v="107"/>
    <n v="149"/>
    <n v="0.98299999999999998"/>
  </r>
  <r>
    <n v="2012"/>
    <x v="32"/>
    <s v="TBA"/>
    <n v="3"/>
    <s v="N"/>
    <s v="N"/>
    <s v="N"/>
    <s v="N"/>
    <n v="90"/>
    <n v="72"/>
    <n v="697"/>
    <n v="5398"/>
    <n v="1293"/>
    <n v="250"/>
    <n v="30"/>
    <n v="175"/>
    <n v="571"/>
    <n v="1323"/>
    <n v="134"/>
    <n v="44"/>
    <n v="58"/>
    <n v="42"/>
    <n v="577"/>
    <n v="518"/>
    <n v="3.19"/>
    <n v="7"/>
    <n v="15"/>
    <n v="50"/>
    <n v="4379"/>
    <n v="1233"/>
    <n v="139"/>
    <n v="469"/>
    <n v="1383"/>
    <n v="114"/>
    <n v="155"/>
    <n v="0.98099999999999998"/>
  </r>
  <r>
    <n v="2012"/>
    <x v="28"/>
    <s v="TEX"/>
    <n v="2"/>
    <s v="N"/>
    <s v="Y"/>
    <s v="N"/>
    <s v="N"/>
    <n v="93"/>
    <n v="69"/>
    <n v="808"/>
    <n v="5590"/>
    <n v="1526"/>
    <n v="303"/>
    <n v="32"/>
    <n v="200"/>
    <n v="478"/>
    <n v="1103"/>
    <n v="91"/>
    <n v="44"/>
    <n v="57"/>
    <n v="53"/>
    <n v="707"/>
    <n v="639"/>
    <n v="3.99"/>
    <n v="7"/>
    <n v="10"/>
    <n v="43"/>
    <n v="4326"/>
    <n v="1378"/>
    <n v="175"/>
    <n v="446"/>
    <n v="1286"/>
    <n v="85"/>
    <n v="136"/>
    <n v="0.98599999999999999"/>
  </r>
  <r>
    <n v="2012"/>
    <x v="29"/>
    <s v="TOR"/>
    <n v="4"/>
    <s v="N"/>
    <s v="N"/>
    <s v="N"/>
    <s v="N"/>
    <n v="73"/>
    <n v="89"/>
    <n v="716"/>
    <n v="5487"/>
    <n v="1346"/>
    <n v="247"/>
    <n v="22"/>
    <n v="198"/>
    <n v="473"/>
    <n v="1251"/>
    <n v="123"/>
    <n v="41"/>
    <n v="55"/>
    <n v="45"/>
    <n v="784"/>
    <n v="745"/>
    <n v="4.6399999999999997"/>
    <n v="5"/>
    <n v="11"/>
    <n v="29"/>
    <n v="4331"/>
    <n v="1439"/>
    <n v="204"/>
    <n v="574"/>
    <n v="1142"/>
    <n v="101"/>
    <n v="167"/>
    <n v="0.98399999999999999"/>
  </r>
  <r>
    <n v="2012"/>
    <x v="31"/>
    <s v="WAS"/>
    <n v="1"/>
    <s v="Y"/>
    <s v="N"/>
    <s v="N"/>
    <s v="N"/>
    <n v="98"/>
    <n v="64"/>
    <n v="731"/>
    <n v="5615"/>
    <n v="1468"/>
    <n v="301"/>
    <n v="25"/>
    <n v="194"/>
    <n v="479"/>
    <n v="1325"/>
    <n v="105"/>
    <n v="35"/>
    <n v="41"/>
    <n v="36"/>
    <n v="594"/>
    <n v="543"/>
    <n v="3.33"/>
    <n v="3"/>
    <n v="9"/>
    <n v="51"/>
    <n v="4405"/>
    <n v="1296"/>
    <n v="129"/>
    <n v="497"/>
    <n v="1325"/>
    <n v="94"/>
    <n v="134"/>
    <n v="0.98499999999999999"/>
  </r>
  <r>
    <n v="2013"/>
    <x v="1"/>
    <s v="ARI"/>
    <n v="2"/>
    <s v="N"/>
    <s v="N"/>
    <s v="N"/>
    <s v="N"/>
    <n v="81"/>
    <n v="81"/>
    <n v="685"/>
    <n v="5676"/>
    <n v="1468"/>
    <n v="302"/>
    <n v="31"/>
    <n v="130"/>
    <n v="519"/>
    <n v="1142"/>
    <n v="62"/>
    <n v="41"/>
    <n v="43"/>
    <n v="43"/>
    <n v="695"/>
    <n v="651"/>
    <n v="3.92"/>
    <n v="6"/>
    <n v="7"/>
    <n v="38"/>
    <n v="4485"/>
    <n v="1460"/>
    <n v="176"/>
    <n v="485"/>
    <n v="1218"/>
    <n v="75"/>
    <n v="135"/>
    <n v="0.98799999999999999"/>
  </r>
  <r>
    <n v="2013"/>
    <x v="2"/>
    <s v="ATL"/>
    <n v="1"/>
    <s v="Y"/>
    <s v="N"/>
    <s v="N"/>
    <s v="N"/>
    <n v="96"/>
    <n v="66"/>
    <n v="688"/>
    <n v="5441"/>
    <n v="1354"/>
    <n v="247"/>
    <n v="21"/>
    <n v="181"/>
    <n v="542"/>
    <n v="1384"/>
    <n v="64"/>
    <n v="31"/>
    <n v="55"/>
    <n v="35"/>
    <n v="548"/>
    <n v="512"/>
    <n v="3.18"/>
    <n v="1"/>
    <n v="12"/>
    <n v="53"/>
    <n v="4351"/>
    <n v="1326"/>
    <n v="127"/>
    <n v="409"/>
    <n v="1232"/>
    <n v="85"/>
    <n v="141"/>
    <n v="0.98599999999999999"/>
  </r>
  <r>
    <n v="2013"/>
    <x v="3"/>
    <s v="BAL"/>
    <n v="3"/>
    <s v="N"/>
    <s v="N"/>
    <s v="N"/>
    <s v="N"/>
    <n v="85"/>
    <n v="77"/>
    <n v="745"/>
    <n v="5620"/>
    <n v="1460"/>
    <n v="298"/>
    <n v="14"/>
    <n v="212"/>
    <n v="416"/>
    <n v="1125"/>
    <n v="79"/>
    <n v="29"/>
    <n v="36"/>
    <n v="45"/>
    <n v="709"/>
    <n v="678"/>
    <n v="4.2"/>
    <n v="2"/>
    <n v="6"/>
    <n v="57"/>
    <n v="4359"/>
    <n v="1438"/>
    <n v="202"/>
    <n v="473"/>
    <n v="1169"/>
    <n v="54"/>
    <n v="165"/>
    <n v="0.99099999999999999"/>
  </r>
  <r>
    <n v="2013"/>
    <x v="4"/>
    <s v="BOS"/>
    <n v="1"/>
    <s v="Y"/>
    <s v="N"/>
    <s v="Y"/>
    <s v="Y"/>
    <n v="97"/>
    <n v="65"/>
    <n v="853"/>
    <n v="5651"/>
    <n v="1566"/>
    <n v="363"/>
    <n v="29"/>
    <n v="178"/>
    <n v="581"/>
    <n v="1308"/>
    <n v="123"/>
    <n v="19"/>
    <n v="72"/>
    <n v="50"/>
    <n v="656"/>
    <n v="613"/>
    <n v="3.79"/>
    <n v="5"/>
    <n v="8"/>
    <n v="33"/>
    <n v="4362"/>
    <n v="1366"/>
    <n v="156"/>
    <n v="524"/>
    <n v="1294"/>
    <n v="80"/>
    <n v="142"/>
    <n v="0.98699999999999999"/>
  </r>
  <r>
    <n v="2013"/>
    <x v="5"/>
    <s v="CHA"/>
    <n v="5"/>
    <s v="N"/>
    <s v="N"/>
    <s v="N"/>
    <s v="N"/>
    <n v="63"/>
    <n v="99"/>
    <n v="598"/>
    <n v="5563"/>
    <n v="1385"/>
    <n v="237"/>
    <n v="19"/>
    <n v="148"/>
    <n v="411"/>
    <n v="1207"/>
    <n v="105"/>
    <n v="42"/>
    <n v="34"/>
    <n v="48"/>
    <n v="723"/>
    <n v="643"/>
    <n v="3.98"/>
    <n v="5"/>
    <n v="5"/>
    <n v="40"/>
    <n v="4365"/>
    <n v="1424"/>
    <n v="182"/>
    <n v="509"/>
    <n v="1249"/>
    <n v="121"/>
    <n v="155"/>
    <n v="0.98"/>
  </r>
  <r>
    <n v="2013"/>
    <x v="6"/>
    <s v="CHN"/>
    <n v="5"/>
    <s v="N"/>
    <s v="N"/>
    <s v="N"/>
    <s v="N"/>
    <n v="66"/>
    <n v="96"/>
    <n v="602"/>
    <n v="5498"/>
    <n v="1307"/>
    <n v="297"/>
    <n v="18"/>
    <n v="172"/>
    <n v="439"/>
    <n v="1230"/>
    <n v="63"/>
    <n v="32"/>
    <n v="67"/>
    <n v="30"/>
    <n v="689"/>
    <n v="643"/>
    <n v="4"/>
    <n v="3"/>
    <n v="6"/>
    <n v="39"/>
    <n v="4344"/>
    <n v="1332"/>
    <n v="160"/>
    <n v="540"/>
    <n v="1184"/>
    <n v="100"/>
    <n v="129"/>
    <n v="0.98299999999999998"/>
  </r>
  <r>
    <n v="2013"/>
    <x v="7"/>
    <s v="CIN"/>
    <n v="3"/>
    <s v="N"/>
    <s v="Y"/>
    <s v="N"/>
    <s v="N"/>
    <n v="90"/>
    <n v="72"/>
    <n v="698"/>
    <n v="5499"/>
    <n v="1370"/>
    <n v="274"/>
    <n v="20"/>
    <n v="155"/>
    <n v="585"/>
    <n v="1245"/>
    <n v="67"/>
    <n v="35"/>
    <n v="76"/>
    <n v="46"/>
    <n v="589"/>
    <n v="554"/>
    <n v="3.38"/>
    <n v="5"/>
    <n v="17"/>
    <n v="43"/>
    <n v="4421"/>
    <n v="1294"/>
    <n v="170"/>
    <n v="435"/>
    <n v="1296"/>
    <n v="76"/>
    <n v="131"/>
    <n v="0.98799999999999999"/>
  </r>
  <r>
    <n v="2013"/>
    <x v="8"/>
    <s v="CLE"/>
    <n v="2"/>
    <s v="N"/>
    <s v="Y"/>
    <s v="N"/>
    <s v="N"/>
    <n v="92"/>
    <n v="70"/>
    <n v="745"/>
    <n v="5465"/>
    <n v="1391"/>
    <n v="290"/>
    <n v="23"/>
    <n v="171"/>
    <n v="562"/>
    <n v="1283"/>
    <n v="117"/>
    <n v="36"/>
    <n v="51"/>
    <n v="56"/>
    <n v="662"/>
    <n v="611"/>
    <n v="3.82"/>
    <n v="3"/>
    <n v="16"/>
    <n v="38"/>
    <n v="4324"/>
    <n v="1359"/>
    <n v="147"/>
    <n v="554"/>
    <n v="1379"/>
    <n v="98"/>
    <n v="135"/>
    <n v="0.98299999999999998"/>
  </r>
  <r>
    <n v="2013"/>
    <x v="9"/>
    <s v="COL"/>
    <n v="5"/>
    <s v="N"/>
    <s v="N"/>
    <s v="N"/>
    <s v="N"/>
    <n v="74"/>
    <n v="88"/>
    <n v="706"/>
    <n v="5599"/>
    <n v="1511"/>
    <n v="283"/>
    <n v="36"/>
    <n v="159"/>
    <n v="427"/>
    <n v="1204"/>
    <n v="112"/>
    <n v="32"/>
    <n v="26"/>
    <n v="35"/>
    <n v="760"/>
    <n v="708"/>
    <n v="4.4400000000000004"/>
    <n v="1"/>
    <n v="5"/>
    <n v="35"/>
    <n v="4308"/>
    <n v="1545"/>
    <n v="136"/>
    <n v="517"/>
    <n v="1064"/>
    <n v="90"/>
    <n v="162"/>
    <n v="0.98599999999999999"/>
  </r>
  <r>
    <n v="2013"/>
    <x v="10"/>
    <s v="DET"/>
    <n v="1"/>
    <s v="Y"/>
    <s v="N"/>
    <s v="N"/>
    <s v="N"/>
    <n v="93"/>
    <n v="69"/>
    <n v="796"/>
    <n v="5735"/>
    <n v="1625"/>
    <n v="292"/>
    <n v="23"/>
    <n v="176"/>
    <n v="531"/>
    <n v="1073"/>
    <n v="35"/>
    <n v="20"/>
    <n v="43"/>
    <n v="47"/>
    <n v="624"/>
    <n v="587"/>
    <n v="3.61"/>
    <n v="3"/>
    <n v="12"/>
    <n v="39"/>
    <n v="4388"/>
    <n v="1369"/>
    <n v="128"/>
    <n v="462"/>
    <n v="1428"/>
    <n v="76"/>
    <n v="136"/>
    <n v="0.98699999999999999"/>
  </r>
  <r>
    <n v="2013"/>
    <x v="12"/>
    <s v="HOU"/>
    <n v="5"/>
    <s v="N"/>
    <s v="N"/>
    <s v="N"/>
    <s v="N"/>
    <n v="51"/>
    <n v="111"/>
    <n v="610"/>
    <n v="5457"/>
    <n v="1307"/>
    <n v="266"/>
    <n v="16"/>
    <n v="148"/>
    <n v="426"/>
    <n v="1535"/>
    <n v="110"/>
    <n v="61"/>
    <n v="52"/>
    <n v="38"/>
    <n v="848"/>
    <n v="766"/>
    <n v="4.79"/>
    <n v="2"/>
    <n v="5"/>
    <n v="32"/>
    <n v="4320"/>
    <n v="1530"/>
    <n v="191"/>
    <n v="616"/>
    <n v="1084"/>
    <n v="125"/>
    <n v="168"/>
    <n v="0.97899999999999998"/>
  </r>
  <r>
    <n v="2013"/>
    <x v="13"/>
    <s v="KCA"/>
    <n v="3"/>
    <s v="N"/>
    <s v="N"/>
    <s v="N"/>
    <s v="N"/>
    <n v="86"/>
    <n v="76"/>
    <n v="648"/>
    <n v="5549"/>
    <n v="1443"/>
    <n v="254"/>
    <n v="34"/>
    <n v="112"/>
    <n v="422"/>
    <n v="1048"/>
    <n v="153"/>
    <n v="32"/>
    <n v="42"/>
    <n v="42"/>
    <n v="601"/>
    <n v="555"/>
    <n v="3.45"/>
    <n v="5"/>
    <n v="12"/>
    <n v="52"/>
    <n v="4345"/>
    <n v="1366"/>
    <n v="155"/>
    <n v="469"/>
    <n v="1208"/>
    <n v="85"/>
    <n v="136"/>
    <n v="0.98599999999999999"/>
  </r>
  <r>
    <n v="2013"/>
    <x v="30"/>
    <s v="LAA"/>
    <n v="3"/>
    <s v="N"/>
    <s v="N"/>
    <s v="N"/>
    <s v="N"/>
    <n v="78"/>
    <n v="84"/>
    <n v="733"/>
    <n v="5588"/>
    <n v="1476"/>
    <n v="270"/>
    <n v="39"/>
    <n v="164"/>
    <n v="523"/>
    <n v="1221"/>
    <n v="82"/>
    <n v="34"/>
    <n v="48"/>
    <n v="64"/>
    <n v="737"/>
    <n v="685"/>
    <n v="4.2300000000000004"/>
    <n v="4"/>
    <n v="12"/>
    <n v="41"/>
    <n v="4373"/>
    <n v="1475"/>
    <n v="167"/>
    <n v="533"/>
    <n v="1200"/>
    <n v="112"/>
    <n v="135"/>
    <n v="0.98099999999999998"/>
  </r>
  <r>
    <n v="2013"/>
    <x v="14"/>
    <s v="LAN"/>
    <n v="1"/>
    <s v="Y"/>
    <s v="N"/>
    <s v="N"/>
    <s v="N"/>
    <n v="92"/>
    <n v="70"/>
    <n v="649"/>
    <n v="5491"/>
    <n v="1447"/>
    <n v="281"/>
    <n v="17"/>
    <n v="138"/>
    <n v="476"/>
    <n v="1146"/>
    <n v="78"/>
    <n v="28"/>
    <n v="57"/>
    <n v="48"/>
    <n v="582"/>
    <n v="524"/>
    <n v="3.25"/>
    <n v="7"/>
    <n v="22"/>
    <n v="46"/>
    <n v="4351"/>
    <n v="1321"/>
    <n v="127"/>
    <n v="460"/>
    <n v="1292"/>
    <n v="109"/>
    <n v="160"/>
    <n v="0.98199999999999998"/>
  </r>
  <r>
    <n v="2013"/>
    <x v="33"/>
    <s v="MIA"/>
    <n v="5"/>
    <s v="N"/>
    <s v="N"/>
    <s v="N"/>
    <s v="N"/>
    <n v="62"/>
    <n v="100"/>
    <n v="513"/>
    <n v="5449"/>
    <n v="1257"/>
    <n v="219"/>
    <n v="31"/>
    <n v="95"/>
    <n v="432"/>
    <n v="1232"/>
    <n v="78"/>
    <n v="29"/>
    <n v="56"/>
    <n v="26"/>
    <n v="646"/>
    <n v="602"/>
    <n v="3.71"/>
    <n v="2"/>
    <n v="13"/>
    <n v="36"/>
    <n v="4380"/>
    <n v="1376"/>
    <n v="121"/>
    <n v="526"/>
    <n v="1177"/>
    <n v="88"/>
    <n v="144"/>
    <n v="0.98599999999999999"/>
  </r>
  <r>
    <n v="2013"/>
    <x v="15"/>
    <s v="MIL"/>
    <n v="4"/>
    <s v="N"/>
    <s v="N"/>
    <s v="N"/>
    <s v="N"/>
    <n v="74"/>
    <n v="88"/>
    <n v="640"/>
    <n v="5474"/>
    <n v="1381"/>
    <n v="238"/>
    <n v="43"/>
    <n v="157"/>
    <n v="407"/>
    <n v="1183"/>
    <n v="142"/>
    <n v="50"/>
    <n v="71"/>
    <n v="35"/>
    <n v="687"/>
    <n v="615"/>
    <n v="3.84"/>
    <n v="4"/>
    <n v="15"/>
    <n v="40"/>
    <n v="4328"/>
    <n v="1401"/>
    <n v="175"/>
    <n v="466"/>
    <n v="1125"/>
    <n v="114"/>
    <n v="153"/>
    <n v="0.98099999999999998"/>
  </r>
  <r>
    <n v="2013"/>
    <x v="16"/>
    <s v="MIN"/>
    <n v="4"/>
    <s v="N"/>
    <s v="N"/>
    <s v="N"/>
    <s v="N"/>
    <n v="66"/>
    <n v="96"/>
    <n v="614"/>
    <n v="5564"/>
    <n v="1346"/>
    <n v="285"/>
    <n v="15"/>
    <n v="151"/>
    <n v="533"/>
    <n v="1430"/>
    <n v="52"/>
    <n v="33"/>
    <n v="52"/>
    <n v="32"/>
    <n v="788"/>
    <n v="733"/>
    <n v="4.55"/>
    <n v="1"/>
    <n v="7"/>
    <n v="40"/>
    <n v="4351"/>
    <n v="1591"/>
    <n v="168"/>
    <n v="458"/>
    <n v="985"/>
    <n v="81"/>
    <n v="178"/>
    <n v="0.98699999999999999"/>
  </r>
  <r>
    <n v="2013"/>
    <x v="18"/>
    <s v="NYA"/>
    <n v="4"/>
    <s v="N"/>
    <s v="N"/>
    <s v="N"/>
    <s v="N"/>
    <n v="85"/>
    <n v="77"/>
    <n v="650"/>
    <n v="5449"/>
    <n v="1321"/>
    <n v="247"/>
    <n v="24"/>
    <n v="144"/>
    <n v="466"/>
    <n v="1214"/>
    <n v="115"/>
    <n v="31"/>
    <n v="57"/>
    <n v="36"/>
    <n v="671"/>
    <n v="633"/>
    <n v="3.94"/>
    <n v="7"/>
    <n v="10"/>
    <n v="49"/>
    <n v="4342"/>
    <n v="1452"/>
    <n v="171"/>
    <n v="437"/>
    <n v="1233"/>
    <n v="69"/>
    <n v="139"/>
    <n v="0.98799999999999999"/>
  </r>
  <r>
    <n v="2013"/>
    <x v="19"/>
    <s v="NYN"/>
    <n v="4"/>
    <s v="N"/>
    <s v="N"/>
    <s v="N"/>
    <s v="N"/>
    <n v="74"/>
    <n v="88"/>
    <n v="619"/>
    <n v="5559"/>
    <n v="1318"/>
    <n v="263"/>
    <n v="32"/>
    <n v="130"/>
    <n v="512"/>
    <n v="1384"/>
    <n v="114"/>
    <n v="35"/>
    <n v="51"/>
    <n v="32"/>
    <n v="684"/>
    <n v="618"/>
    <n v="3.77"/>
    <n v="4"/>
    <n v="10"/>
    <n v="40"/>
    <n v="4430"/>
    <n v="1442"/>
    <n v="152"/>
    <n v="458"/>
    <n v="1209"/>
    <n v="93"/>
    <n v="127"/>
    <n v="0.98499999999999999"/>
  </r>
  <r>
    <n v="2013"/>
    <x v="20"/>
    <s v="OAK"/>
    <n v="1"/>
    <s v="Y"/>
    <s v="N"/>
    <s v="N"/>
    <s v="N"/>
    <n v="96"/>
    <n v="66"/>
    <n v="767"/>
    <n v="5521"/>
    <n v="1403"/>
    <n v="301"/>
    <n v="25"/>
    <n v="186"/>
    <n v="573"/>
    <n v="1178"/>
    <n v="74"/>
    <n v="28"/>
    <n v="45"/>
    <n v="49"/>
    <n v="625"/>
    <n v="574"/>
    <n v="3.56"/>
    <n v="6"/>
    <n v="13"/>
    <n v="46"/>
    <n v="4356"/>
    <n v="1339"/>
    <n v="163"/>
    <n v="428"/>
    <n v="1183"/>
    <n v="97"/>
    <n v="112"/>
    <n v="0.98299999999999998"/>
  </r>
  <r>
    <n v="2013"/>
    <x v="21"/>
    <s v="PHI"/>
    <n v="4"/>
    <s v="N"/>
    <s v="N"/>
    <s v="N"/>
    <s v="N"/>
    <n v="73"/>
    <n v="89"/>
    <n v="610"/>
    <n v="5456"/>
    <n v="1355"/>
    <n v="255"/>
    <n v="32"/>
    <n v="140"/>
    <n v="417"/>
    <n v="1205"/>
    <n v="73"/>
    <n v="29"/>
    <n v="53"/>
    <n v="31"/>
    <n v="749"/>
    <n v="689"/>
    <n v="4.32"/>
    <n v="6"/>
    <n v="3"/>
    <n v="32"/>
    <n v="4309"/>
    <n v="1465"/>
    <n v="152"/>
    <n v="506"/>
    <n v="1199"/>
    <n v="97"/>
    <n v="141"/>
    <n v="0.98399999999999999"/>
  </r>
  <r>
    <n v="2013"/>
    <x v="22"/>
    <s v="PIT"/>
    <n v="2"/>
    <s v="N"/>
    <s v="Y"/>
    <s v="N"/>
    <s v="N"/>
    <n v="94"/>
    <n v="68"/>
    <n v="634"/>
    <n v="5486"/>
    <n v="1346"/>
    <n v="273"/>
    <n v="35"/>
    <n v="161"/>
    <n v="469"/>
    <n v="1330"/>
    <n v="94"/>
    <n v="42"/>
    <n v="88"/>
    <n v="29"/>
    <n v="577"/>
    <n v="533"/>
    <n v="3.26"/>
    <n v="3"/>
    <n v="16"/>
    <n v="55"/>
    <n v="4412"/>
    <n v="1299"/>
    <n v="101"/>
    <n v="515"/>
    <n v="1261"/>
    <n v="106"/>
    <n v="154"/>
    <n v="0.98399999999999999"/>
  </r>
  <r>
    <n v="2013"/>
    <x v="23"/>
    <s v="SDN"/>
    <n v="3"/>
    <s v="N"/>
    <s v="N"/>
    <s v="N"/>
    <s v="N"/>
    <n v="76"/>
    <n v="86"/>
    <n v="618"/>
    <n v="5517"/>
    <n v="1349"/>
    <n v="246"/>
    <n v="26"/>
    <n v="146"/>
    <n v="467"/>
    <n v="1309"/>
    <n v="118"/>
    <n v="34"/>
    <n v="52"/>
    <n v="34"/>
    <n v="700"/>
    <n v="643"/>
    <n v="3.98"/>
    <n v="3"/>
    <n v="6"/>
    <n v="40"/>
    <n v="4365"/>
    <n v="1407"/>
    <n v="156"/>
    <n v="525"/>
    <n v="1171"/>
    <n v="83"/>
    <n v="140"/>
    <n v="0.98599999999999999"/>
  </r>
  <r>
    <n v="2013"/>
    <x v="24"/>
    <s v="SEA"/>
    <n v="4"/>
    <s v="N"/>
    <s v="N"/>
    <s v="N"/>
    <s v="N"/>
    <n v="71"/>
    <n v="91"/>
    <n v="624"/>
    <n v="5558"/>
    <n v="1318"/>
    <n v="249"/>
    <n v="17"/>
    <n v="188"/>
    <n v="529"/>
    <n v="1353"/>
    <n v="49"/>
    <n v="23"/>
    <n v="31"/>
    <n v="28"/>
    <n v="754"/>
    <n v="702"/>
    <n v="4.3099999999999996"/>
    <n v="4"/>
    <n v="14"/>
    <n v="43"/>
    <n v="4395"/>
    <n v="1467"/>
    <n v="174"/>
    <n v="478"/>
    <n v="1297"/>
    <n v="88"/>
    <n v="149"/>
    <n v="0.98599999999999999"/>
  </r>
  <r>
    <n v="2013"/>
    <x v="25"/>
    <s v="SFN"/>
    <n v="4"/>
    <s v="N"/>
    <s v="N"/>
    <s v="N"/>
    <s v="N"/>
    <n v="76"/>
    <n v="86"/>
    <n v="629"/>
    <n v="5552"/>
    <n v="1446"/>
    <n v="280"/>
    <n v="35"/>
    <n v="107"/>
    <n v="469"/>
    <n v="1078"/>
    <n v="67"/>
    <n v="26"/>
    <n v="39"/>
    <n v="42"/>
    <n v="691"/>
    <n v="643"/>
    <n v="4"/>
    <n v="2"/>
    <n v="13"/>
    <n v="41"/>
    <n v="4342"/>
    <n v="1380"/>
    <n v="145"/>
    <n v="521"/>
    <n v="1256"/>
    <n v="107"/>
    <n v="128"/>
    <n v="0.98199999999999998"/>
  </r>
  <r>
    <n v="2013"/>
    <x v="26"/>
    <s v="SLN"/>
    <n v="1"/>
    <s v="Y"/>
    <s v="N"/>
    <s v="Y"/>
    <s v="N"/>
    <n v="97"/>
    <n v="65"/>
    <n v="783"/>
    <n v="5557"/>
    <n v="1494"/>
    <n v="322"/>
    <n v="20"/>
    <n v="125"/>
    <n v="481"/>
    <n v="1110"/>
    <n v="45"/>
    <n v="22"/>
    <n v="64"/>
    <n v="44"/>
    <n v="596"/>
    <n v="555"/>
    <n v="3.42"/>
    <n v="7"/>
    <n v="15"/>
    <n v="44"/>
    <n v="4379"/>
    <n v="1366"/>
    <n v="112"/>
    <n v="451"/>
    <n v="1254"/>
    <n v="75"/>
    <n v="177"/>
    <n v="0.98799999999999999"/>
  </r>
  <r>
    <n v="2013"/>
    <x v="32"/>
    <s v="TBA"/>
    <n v="2"/>
    <s v="N"/>
    <s v="Y"/>
    <s v="N"/>
    <s v="N"/>
    <n v="92"/>
    <n v="71"/>
    <n v="700"/>
    <n v="5538"/>
    <n v="1421"/>
    <n v="296"/>
    <n v="23"/>
    <n v="165"/>
    <n v="589"/>
    <n v="1171"/>
    <n v="73"/>
    <n v="38"/>
    <n v="36"/>
    <n v="55"/>
    <n v="646"/>
    <n v="608"/>
    <n v="3.74"/>
    <n v="9"/>
    <n v="17"/>
    <n v="42"/>
    <n v="4392"/>
    <n v="1315"/>
    <n v="153"/>
    <n v="482"/>
    <n v="1310"/>
    <n v="59"/>
    <n v="147"/>
    <n v="0.99"/>
  </r>
  <r>
    <n v="2013"/>
    <x v="28"/>
    <s v="TEX"/>
    <n v="2"/>
    <s v="N"/>
    <s v="N"/>
    <s v="N"/>
    <s v="N"/>
    <n v="91"/>
    <n v="72"/>
    <n v="730"/>
    <n v="5585"/>
    <n v="1465"/>
    <n v="262"/>
    <n v="23"/>
    <n v="176"/>
    <n v="462"/>
    <n v="1067"/>
    <n v="149"/>
    <n v="46"/>
    <n v="61"/>
    <n v="42"/>
    <n v="636"/>
    <n v="589"/>
    <n v="3.62"/>
    <n v="4"/>
    <n v="10"/>
    <n v="46"/>
    <n v="4390"/>
    <n v="1370"/>
    <n v="157"/>
    <n v="498"/>
    <n v="1309"/>
    <n v="86"/>
    <n v="146"/>
    <n v="0.98599999999999999"/>
  </r>
  <r>
    <n v="2013"/>
    <x v="29"/>
    <s v="TOR"/>
    <n v="5"/>
    <s v="N"/>
    <s v="N"/>
    <s v="N"/>
    <s v="N"/>
    <n v="74"/>
    <n v="88"/>
    <n v="712"/>
    <n v="5537"/>
    <n v="1398"/>
    <n v="273"/>
    <n v="24"/>
    <n v="185"/>
    <n v="510"/>
    <n v="1123"/>
    <n v="112"/>
    <n v="41"/>
    <n v="38"/>
    <n v="38"/>
    <n v="756"/>
    <n v="685"/>
    <n v="4.25"/>
    <n v="4"/>
    <n v="11"/>
    <n v="39"/>
    <n v="4356"/>
    <n v="1451"/>
    <n v="195"/>
    <n v="500"/>
    <n v="1208"/>
    <n v="111"/>
    <n v="145"/>
    <n v="0.98199999999999998"/>
  </r>
  <r>
    <n v="2013"/>
    <x v="31"/>
    <s v="WAS"/>
    <n v="2"/>
    <s v="N"/>
    <s v="N"/>
    <s v="N"/>
    <s v="N"/>
    <n v="86"/>
    <n v="76"/>
    <n v="656"/>
    <n v="5436"/>
    <n v="1365"/>
    <n v="259"/>
    <n v="27"/>
    <n v="161"/>
    <n v="464"/>
    <n v="1192"/>
    <n v="88"/>
    <n v="28"/>
    <n v="40"/>
    <n v="39"/>
    <n v="626"/>
    <n v="576"/>
    <n v="3.59"/>
    <n v="6"/>
    <n v="13"/>
    <n v="47"/>
    <n v="4337"/>
    <n v="1367"/>
    <n v="142"/>
    <n v="405"/>
    <n v="1236"/>
    <n v="107"/>
    <n v="146"/>
    <n v="0.98199999999999998"/>
  </r>
  <r>
    <n v="2014"/>
    <x v="1"/>
    <s v="ARI"/>
    <n v="5"/>
    <s v="N"/>
    <s v="N"/>
    <s v="N"/>
    <s v="N"/>
    <n v="64"/>
    <n v="98"/>
    <n v="615"/>
    <n v="5552"/>
    <n v="1379"/>
    <n v="259"/>
    <n v="47"/>
    <n v="118"/>
    <n v="398"/>
    <n v="1165"/>
    <n v="86"/>
    <n v="33"/>
    <n v="43"/>
    <n v="36"/>
    <n v="742"/>
    <n v="683"/>
    <n v="4.26"/>
    <n v="2"/>
    <n v="4"/>
    <n v="35"/>
    <n v="4333"/>
    <n v="1467"/>
    <n v="154"/>
    <n v="469"/>
    <n v="1278"/>
    <n v="101"/>
    <n v="147"/>
    <n v="0.98299999999999998"/>
  </r>
  <r>
    <n v="2014"/>
    <x v="2"/>
    <s v="ATL"/>
    <n v="2"/>
    <s v="N"/>
    <s v="N"/>
    <s v="N"/>
    <s v="N"/>
    <n v="79"/>
    <n v="83"/>
    <n v="573"/>
    <n v="5468"/>
    <n v="1316"/>
    <n v="240"/>
    <n v="22"/>
    <n v="123"/>
    <n v="472"/>
    <n v="1369"/>
    <n v="95"/>
    <n v="33"/>
    <n v="43"/>
    <n v="27"/>
    <n v="597"/>
    <n v="547"/>
    <n v="3.38"/>
    <n v="5"/>
    <n v="13"/>
    <n v="54"/>
    <n v="4365"/>
    <n v="1369"/>
    <n v="121"/>
    <n v="472"/>
    <n v="1301"/>
    <n v="85"/>
    <n v="143"/>
    <n v="0.98599999999999999"/>
  </r>
  <r>
    <n v="2014"/>
    <x v="3"/>
    <s v="BAL"/>
    <n v="1"/>
    <s v="Y"/>
    <s v="N"/>
    <s v="N"/>
    <s v="N"/>
    <n v="96"/>
    <n v="66"/>
    <n v="705"/>
    <n v="5596"/>
    <n v="1434"/>
    <n v="264"/>
    <n v="16"/>
    <n v="211"/>
    <n v="401"/>
    <n v="1285"/>
    <n v="44"/>
    <n v="20"/>
    <n v="62"/>
    <n v="36"/>
    <n v="593"/>
    <n v="557"/>
    <n v="3.43"/>
    <n v="3"/>
    <n v="13"/>
    <n v="53"/>
    <n v="4384"/>
    <n v="1342"/>
    <n v="151"/>
    <n v="472"/>
    <n v="1174"/>
    <n v="87"/>
    <n v="156"/>
    <n v="0.98599999999999999"/>
  </r>
  <r>
    <n v="2014"/>
    <x v="4"/>
    <s v="BOS"/>
    <n v="5"/>
    <s v="N"/>
    <s v="N"/>
    <s v="N"/>
    <s v="N"/>
    <n v="71"/>
    <n v="91"/>
    <n v="634"/>
    <n v="5551"/>
    <n v="1355"/>
    <n v="282"/>
    <n v="20"/>
    <n v="123"/>
    <n v="535"/>
    <n v="1337"/>
    <n v="63"/>
    <n v="25"/>
    <n v="68"/>
    <n v="52"/>
    <n v="715"/>
    <n v="653"/>
    <n v="4.01"/>
    <n v="3"/>
    <n v="7"/>
    <n v="36"/>
    <n v="4397"/>
    <n v="1458"/>
    <n v="154"/>
    <n v="482"/>
    <n v="1213"/>
    <n v="92"/>
    <n v="155"/>
    <n v="0.98499999999999999"/>
  </r>
  <r>
    <n v="2014"/>
    <x v="5"/>
    <s v="CHA"/>
    <n v="4"/>
    <s v="N"/>
    <s v="N"/>
    <s v="N"/>
    <s v="N"/>
    <n v="73"/>
    <n v="89"/>
    <n v="660"/>
    <n v="5543"/>
    <n v="1400"/>
    <n v="279"/>
    <n v="32"/>
    <n v="155"/>
    <n v="417"/>
    <n v="1362"/>
    <n v="85"/>
    <n v="36"/>
    <n v="60"/>
    <n v="38"/>
    <n v="758"/>
    <n v="687"/>
    <n v="4.29"/>
    <n v="3"/>
    <n v="6"/>
    <n v="36"/>
    <n v="4323"/>
    <n v="1468"/>
    <n v="140"/>
    <n v="557"/>
    <n v="1152"/>
    <n v="107"/>
    <n v="170"/>
    <n v="0.98199999999999998"/>
  </r>
  <r>
    <n v="2014"/>
    <x v="6"/>
    <s v="CHN"/>
    <n v="5"/>
    <s v="N"/>
    <s v="N"/>
    <s v="N"/>
    <s v="N"/>
    <n v="73"/>
    <n v="89"/>
    <n v="614"/>
    <n v="5508"/>
    <n v="1315"/>
    <n v="270"/>
    <n v="31"/>
    <n v="157"/>
    <n v="442"/>
    <n v="1477"/>
    <n v="65"/>
    <n v="40"/>
    <n v="54"/>
    <n v="41"/>
    <n v="707"/>
    <n v="636"/>
    <n v="3.91"/>
    <n v="1"/>
    <n v="11"/>
    <n v="37"/>
    <n v="4390"/>
    <n v="1398"/>
    <n v="115"/>
    <n v="504"/>
    <n v="1311"/>
    <n v="103"/>
    <n v="137"/>
    <n v="0.98299999999999998"/>
  </r>
  <r>
    <n v="2014"/>
    <x v="7"/>
    <s v="CIN"/>
    <n v="4"/>
    <s v="N"/>
    <s v="N"/>
    <s v="N"/>
    <s v="N"/>
    <n v="76"/>
    <n v="86"/>
    <n v="595"/>
    <n v="5395"/>
    <n v="1282"/>
    <n v="254"/>
    <n v="20"/>
    <n v="131"/>
    <n v="415"/>
    <n v="1252"/>
    <n v="122"/>
    <n v="52"/>
    <n v="52"/>
    <n v="37"/>
    <n v="612"/>
    <n v="576"/>
    <n v="3.59"/>
    <n v="5"/>
    <n v="13"/>
    <n v="44"/>
    <n v="4338"/>
    <n v="1282"/>
    <n v="163"/>
    <n v="507"/>
    <n v="1290"/>
    <n v="72"/>
    <n v="120"/>
    <n v="0.98799999999999999"/>
  </r>
  <r>
    <n v="2014"/>
    <x v="8"/>
    <s v="CLE"/>
    <n v="3"/>
    <s v="N"/>
    <s v="N"/>
    <s v="N"/>
    <s v="N"/>
    <n v="85"/>
    <n v="77"/>
    <n v="669"/>
    <n v="5575"/>
    <n v="1411"/>
    <n v="284"/>
    <n v="23"/>
    <n v="142"/>
    <n v="504"/>
    <n v="1189"/>
    <n v="104"/>
    <n v="27"/>
    <n v="42"/>
    <n v="49"/>
    <n v="653"/>
    <n v="581"/>
    <n v="3.56"/>
    <n v="6"/>
    <n v="15"/>
    <n v="40"/>
    <n v="4405"/>
    <n v="1398"/>
    <n v="135"/>
    <n v="464"/>
    <n v="1450"/>
    <n v="116"/>
    <n v="139"/>
    <n v="0.98099999999999998"/>
  </r>
  <r>
    <n v="2014"/>
    <x v="9"/>
    <s v="COL"/>
    <n v="4"/>
    <s v="N"/>
    <s v="N"/>
    <s v="N"/>
    <s v="N"/>
    <n v="66"/>
    <n v="96"/>
    <n v="755"/>
    <n v="5612"/>
    <n v="1551"/>
    <n v="307"/>
    <n v="41"/>
    <n v="186"/>
    <n v="397"/>
    <n v="1281"/>
    <n v="85"/>
    <n v="48"/>
    <n v="48"/>
    <n v="48"/>
    <n v="818"/>
    <n v="770"/>
    <n v="4.84"/>
    <n v="1"/>
    <n v="4"/>
    <n v="24"/>
    <n v="4293"/>
    <n v="1528"/>
    <n v="173"/>
    <n v="531"/>
    <n v="1074"/>
    <n v="106"/>
    <n v="166"/>
    <n v="0.98299999999999998"/>
  </r>
  <r>
    <n v="2014"/>
    <x v="10"/>
    <s v="DET"/>
    <n v="1"/>
    <s v="Y"/>
    <s v="N"/>
    <s v="N"/>
    <s v="N"/>
    <n v="90"/>
    <n v="72"/>
    <n v="757"/>
    <n v="5630"/>
    <n v="1557"/>
    <n v="325"/>
    <n v="26"/>
    <n v="155"/>
    <n v="443"/>
    <n v="1144"/>
    <n v="106"/>
    <n v="41"/>
    <n v="44"/>
    <n v="61"/>
    <n v="705"/>
    <n v="648"/>
    <n v="4.01"/>
    <n v="5"/>
    <n v="8"/>
    <n v="41"/>
    <n v="4362"/>
    <n v="1475"/>
    <n v="127"/>
    <n v="462"/>
    <n v="1244"/>
    <n v="101"/>
    <n v="153"/>
    <n v="0.98299999999999998"/>
  </r>
  <r>
    <n v="2014"/>
    <x v="12"/>
    <s v="HOU"/>
    <n v="4"/>
    <s v="N"/>
    <s v="N"/>
    <s v="N"/>
    <s v="N"/>
    <n v="70"/>
    <n v="92"/>
    <n v="629"/>
    <n v="5447"/>
    <n v="1317"/>
    <n v="240"/>
    <n v="19"/>
    <n v="163"/>
    <n v="495"/>
    <n v="1442"/>
    <n v="122"/>
    <n v="37"/>
    <n v="55"/>
    <n v="36"/>
    <n v="723"/>
    <n v="657"/>
    <n v="4.1100000000000003"/>
    <n v="7"/>
    <n v="3"/>
    <n v="31"/>
    <n v="4316"/>
    <n v="1437"/>
    <n v="139"/>
    <n v="484"/>
    <n v="1137"/>
    <n v="106"/>
    <n v="151"/>
    <n v="0.98299999999999998"/>
  </r>
  <r>
    <n v="2014"/>
    <x v="13"/>
    <s v="KCA"/>
    <n v="2"/>
    <s v="N"/>
    <s v="Y"/>
    <s v="Y"/>
    <s v="N"/>
    <n v="89"/>
    <n v="73"/>
    <n v="651"/>
    <n v="5545"/>
    <n v="1456"/>
    <n v="286"/>
    <n v="29"/>
    <n v="95"/>
    <n v="380"/>
    <n v="985"/>
    <n v="153"/>
    <n v="36"/>
    <n v="53"/>
    <n v="47"/>
    <n v="624"/>
    <n v="565"/>
    <n v="3.51"/>
    <n v="3"/>
    <n v="14"/>
    <n v="53"/>
    <n v="4352"/>
    <n v="1386"/>
    <n v="128"/>
    <n v="440"/>
    <n v="1168"/>
    <n v="104"/>
    <n v="122"/>
    <n v="0.98299999999999998"/>
  </r>
  <r>
    <n v="2014"/>
    <x v="30"/>
    <s v="LAA"/>
    <n v="1"/>
    <s v="Y"/>
    <s v="N"/>
    <s v="N"/>
    <s v="N"/>
    <n v="98"/>
    <n v="64"/>
    <n v="773"/>
    <n v="5652"/>
    <n v="1464"/>
    <n v="304"/>
    <n v="31"/>
    <n v="155"/>
    <n v="492"/>
    <n v="1266"/>
    <n v="81"/>
    <n v="39"/>
    <n v="60"/>
    <n v="54"/>
    <n v="630"/>
    <n v="590"/>
    <n v="3.58"/>
    <n v="3"/>
    <n v="13"/>
    <n v="46"/>
    <n v="4448"/>
    <n v="1307"/>
    <n v="126"/>
    <n v="504"/>
    <n v="1342"/>
    <n v="83"/>
    <n v="127"/>
    <n v="0.98599999999999999"/>
  </r>
  <r>
    <n v="2014"/>
    <x v="14"/>
    <s v="LAN"/>
    <n v="1"/>
    <s v="Y"/>
    <s v="N"/>
    <s v="N"/>
    <s v="N"/>
    <n v="94"/>
    <n v="68"/>
    <n v="718"/>
    <n v="5560"/>
    <n v="1476"/>
    <n v="302"/>
    <n v="38"/>
    <n v="134"/>
    <n v="519"/>
    <n v="1246"/>
    <n v="138"/>
    <n v="50"/>
    <n v="61"/>
    <n v="43"/>
    <n v="617"/>
    <n v="554"/>
    <n v="3.4"/>
    <n v="7"/>
    <n v="16"/>
    <n v="47"/>
    <n v="4394"/>
    <n v="1338"/>
    <n v="142"/>
    <n v="429"/>
    <n v="1373"/>
    <n v="107"/>
    <n v="145"/>
    <n v="0.98299999999999998"/>
  </r>
  <r>
    <n v="2014"/>
    <x v="33"/>
    <s v="MIA"/>
    <n v="4"/>
    <s v="N"/>
    <s v="N"/>
    <s v="N"/>
    <s v="N"/>
    <n v="77"/>
    <n v="85"/>
    <n v="645"/>
    <n v="5538"/>
    <n v="1399"/>
    <n v="254"/>
    <n v="36"/>
    <n v="122"/>
    <n v="501"/>
    <n v="1419"/>
    <n v="58"/>
    <n v="21"/>
    <n v="35"/>
    <n v="39"/>
    <n v="674"/>
    <n v="613"/>
    <n v="3.78"/>
    <n v="3"/>
    <n v="16"/>
    <n v="42"/>
    <n v="4373"/>
    <n v="1481"/>
    <n v="114"/>
    <n v="458"/>
    <n v="1190"/>
    <n v="97"/>
    <n v="154"/>
    <n v="0.98399999999999999"/>
  </r>
  <r>
    <n v="2014"/>
    <x v="15"/>
    <s v="MIL"/>
    <n v="3"/>
    <s v="N"/>
    <s v="N"/>
    <s v="N"/>
    <s v="N"/>
    <n v="82"/>
    <n v="80"/>
    <n v="650"/>
    <n v="5462"/>
    <n v="1366"/>
    <n v="297"/>
    <n v="28"/>
    <n v="150"/>
    <n v="423"/>
    <n v="1197"/>
    <n v="102"/>
    <n v="43"/>
    <n v="73"/>
    <n v="37"/>
    <n v="657"/>
    <n v="594"/>
    <n v="3.67"/>
    <n v="3"/>
    <n v="9"/>
    <n v="45"/>
    <n v="4373"/>
    <n v="1386"/>
    <n v="167"/>
    <n v="431"/>
    <n v="1246"/>
    <n v="99"/>
    <n v="130"/>
    <n v="0.98399999999999999"/>
  </r>
  <r>
    <n v="2014"/>
    <x v="16"/>
    <s v="MIN"/>
    <n v="5"/>
    <s v="N"/>
    <s v="N"/>
    <s v="N"/>
    <s v="N"/>
    <n v="70"/>
    <n v="92"/>
    <n v="715"/>
    <n v="5567"/>
    <n v="1412"/>
    <n v="316"/>
    <n v="27"/>
    <n v="128"/>
    <n v="544"/>
    <n v="1329"/>
    <n v="99"/>
    <n v="36"/>
    <n v="53"/>
    <n v="44"/>
    <n v="777"/>
    <n v="728"/>
    <n v="4.57"/>
    <n v="2"/>
    <n v="7"/>
    <n v="38"/>
    <n v="4305"/>
    <n v="1588"/>
    <n v="147"/>
    <n v="408"/>
    <n v="1031"/>
    <n v="97"/>
    <n v="136"/>
    <n v="0.98399999999999999"/>
  </r>
  <r>
    <n v="2014"/>
    <x v="18"/>
    <s v="NYA"/>
    <n v="2"/>
    <s v="N"/>
    <s v="N"/>
    <s v="N"/>
    <s v="N"/>
    <n v="84"/>
    <n v="78"/>
    <n v="633"/>
    <n v="5497"/>
    <n v="1349"/>
    <n v="247"/>
    <n v="26"/>
    <n v="147"/>
    <n v="452"/>
    <n v="1133"/>
    <n v="112"/>
    <n v="26"/>
    <n v="56"/>
    <n v="47"/>
    <n v="664"/>
    <n v="605"/>
    <n v="3.75"/>
    <n v="5"/>
    <n v="10"/>
    <n v="48"/>
    <n v="4359"/>
    <n v="1392"/>
    <n v="164"/>
    <n v="398"/>
    <n v="1370"/>
    <n v="92"/>
    <n v="107"/>
    <n v="0.98399999999999999"/>
  </r>
  <r>
    <n v="2014"/>
    <x v="19"/>
    <s v="NYN"/>
    <n v="3"/>
    <s v="N"/>
    <s v="N"/>
    <s v="N"/>
    <s v="N"/>
    <n v="79"/>
    <n v="83"/>
    <n v="629"/>
    <n v="5472"/>
    <n v="1306"/>
    <n v="275"/>
    <n v="19"/>
    <n v="125"/>
    <n v="516"/>
    <n v="1264"/>
    <n v="101"/>
    <n v="34"/>
    <n v="54"/>
    <n v="44"/>
    <n v="618"/>
    <n v="568"/>
    <n v="3.49"/>
    <n v="1"/>
    <n v="11"/>
    <n v="42"/>
    <n v="4391"/>
    <n v="1370"/>
    <n v="141"/>
    <n v="509"/>
    <n v="1303"/>
    <n v="104"/>
    <n v="158"/>
    <n v="0.98299999999999998"/>
  </r>
  <r>
    <n v="2014"/>
    <x v="20"/>
    <s v="OAK"/>
    <n v="2"/>
    <s v="N"/>
    <s v="Y"/>
    <s v="N"/>
    <s v="N"/>
    <n v="88"/>
    <n v="74"/>
    <n v="729"/>
    <n v="5545"/>
    <n v="1354"/>
    <n v="253"/>
    <n v="33"/>
    <n v="146"/>
    <n v="586"/>
    <n v="1104"/>
    <n v="83"/>
    <n v="20"/>
    <n v="49"/>
    <n v="43"/>
    <n v="572"/>
    <n v="524"/>
    <n v="3.22"/>
    <n v="7"/>
    <n v="13"/>
    <n v="31"/>
    <n v="4390"/>
    <n v="1269"/>
    <n v="147"/>
    <n v="406"/>
    <n v="1244"/>
    <n v="111"/>
    <n v="150"/>
    <n v="0.98199999999999998"/>
  </r>
  <r>
    <n v="2014"/>
    <x v="21"/>
    <s v="PHI"/>
    <n v="5"/>
    <s v="N"/>
    <s v="N"/>
    <s v="N"/>
    <s v="N"/>
    <n v="73"/>
    <n v="89"/>
    <n v="619"/>
    <n v="5603"/>
    <n v="1356"/>
    <n v="251"/>
    <n v="27"/>
    <n v="125"/>
    <n v="443"/>
    <n v="1306"/>
    <n v="109"/>
    <n v="26"/>
    <n v="55"/>
    <n v="37"/>
    <n v="687"/>
    <n v="619"/>
    <n v="3.79"/>
    <n v="2"/>
    <n v="12"/>
    <n v="40"/>
    <n v="4405"/>
    <n v="1396"/>
    <n v="134"/>
    <n v="521"/>
    <n v="1255"/>
    <n v="83"/>
    <n v="133"/>
    <n v="0.98699999999999999"/>
  </r>
  <r>
    <n v="2014"/>
    <x v="22"/>
    <s v="PIT"/>
    <n v="2"/>
    <s v="N"/>
    <s v="Y"/>
    <s v="N"/>
    <s v="N"/>
    <n v="88"/>
    <n v="74"/>
    <n v="682"/>
    <n v="5536"/>
    <n v="1436"/>
    <n v="275"/>
    <n v="30"/>
    <n v="156"/>
    <n v="520"/>
    <n v="1244"/>
    <n v="104"/>
    <n v="47"/>
    <n v="78"/>
    <n v="35"/>
    <n v="631"/>
    <n v="562"/>
    <n v="3.47"/>
    <n v="2"/>
    <n v="7"/>
    <n v="48"/>
    <n v="4369"/>
    <n v="1341"/>
    <n v="128"/>
    <n v="499"/>
    <n v="1228"/>
    <n v="109"/>
    <n v="148"/>
    <n v="0.98299999999999998"/>
  </r>
  <r>
    <n v="2014"/>
    <x v="23"/>
    <s v="SDN"/>
    <n v="3"/>
    <s v="N"/>
    <s v="N"/>
    <s v="N"/>
    <s v="N"/>
    <n v="77"/>
    <n v="85"/>
    <n v="535"/>
    <n v="5294"/>
    <n v="1199"/>
    <n v="224"/>
    <n v="30"/>
    <n v="109"/>
    <n v="468"/>
    <n v="1294"/>
    <n v="91"/>
    <n v="34"/>
    <n v="41"/>
    <n v="45"/>
    <n v="577"/>
    <n v="523"/>
    <n v="3.27"/>
    <n v="4"/>
    <n v="10"/>
    <n v="41"/>
    <n v="4316"/>
    <n v="1300"/>
    <n v="117"/>
    <n v="462"/>
    <n v="1284"/>
    <n v="101"/>
    <n v="124"/>
    <n v="0.98299999999999998"/>
  </r>
  <r>
    <n v="2014"/>
    <x v="24"/>
    <s v="SEA"/>
    <n v="3"/>
    <s v="N"/>
    <s v="N"/>
    <s v="N"/>
    <s v="N"/>
    <n v="87"/>
    <n v="75"/>
    <n v="634"/>
    <n v="5450"/>
    <n v="1328"/>
    <n v="247"/>
    <n v="32"/>
    <n v="136"/>
    <n v="396"/>
    <n v="1232"/>
    <n v="96"/>
    <n v="42"/>
    <n v="60"/>
    <n v="34"/>
    <n v="554"/>
    <n v="512"/>
    <n v="3.17"/>
    <n v="2"/>
    <n v="9"/>
    <n v="51"/>
    <n v="4356"/>
    <n v="1240"/>
    <n v="137"/>
    <n v="463"/>
    <n v="1317"/>
    <n v="82"/>
    <n v="139"/>
    <n v="0.98599999999999999"/>
  </r>
  <r>
    <n v="2014"/>
    <x v="25"/>
    <s v="SFN"/>
    <n v="2"/>
    <s v="N"/>
    <s v="Y"/>
    <s v="Y"/>
    <s v="Y"/>
    <n v="88"/>
    <n v="74"/>
    <n v="665"/>
    <n v="5523"/>
    <n v="1407"/>
    <n v="257"/>
    <n v="42"/>
    <n v="132"/>
    <n v="427"/>
    <n v="1245"/>
    <n v="56"/>
    <n v="27"/>
    <n v="43"/>
    <n v="49"/>
    <n v="614"/>
    <n v="564"/>
    <n v="3.5"/>
    <n v="8"/>
    <n v="12"/>
    <n v="46"/>
    <n v="4347"/>
    <n v="1305"/>
    <n v="133"/>
    <n v="389"/>
    <n v="1211"/>
    <n v="100"/>
    <n v="155"/>
    <n v="0.98399999999999999"/>
  </r>
  <r>
    <n v="2014"/>
    <x v="26"/>
    <s v="SLN"/>
    <n v="1"/>
    <s v="Y"/>
    <s v="N"/>
    <s v="N"/>
    <s v="N"/>
    <n v="90"/>
    <n v="72"/>
    <n v="619"/>
    <n v="5426"/>
    <n v="1371"/>
    <n v="275"/>
    <n v="21"/>
    <n v="105"/>
    <n v="471"/>
    <n v="1133"/>
    <n v="57"/>
    <n v="32"/>
    <n v="86"/>
    <n v="39"/>
    <n v="603"/>
    <n v="564"/>
    <n v="3.5"/>
    <n v="8"/>
    <n v="23"/>
    <n v="55"/>
    <n v="4346"/>
    <n v="1321"/>
    <n v="123"/>
    <n v="470"/>
    <n v="1221"/>
    <n v="88"/>
    <n v="145"/>
    <n v="0.98499999999999999"/>
  </r>
  <r>
    <n v="2014"/>
    <x v="32"/>
    <s v="TBA"/>
    <n v="4"/>
    <s v="N"/>
    <s v="N"/>
    <s v="N"/>
    <s v="N"/>
    <n v="77"/>
    <n v="85"/>
    <n v="612"/>
    <n v="5516"/>
    <n v="1361"/>
    <n v="263"/>
    <n v="24"/>
    <n v="117"/>
    <n v="527"/>
    <n v="1124"/>
    <n v="63"/>
    <n v="27"/>
    <n v="66"/>
    <n v="53"/>
    <n v="625"/>
    <n v="579"/>
    <n v="3.56"/>
    <n v="3"/>
    <n v="22"/>
    <n v="37"/>
    <n v="4391"/>
    <n v="1292"/>
    <n v="145"/>
    <n v="482"/>
    <n v="1437"/>
    <n v="88"/>
    <n v="96"/>
    <n v="0.98499999999999999"/>
  </r>
  <r>
    <n v="2014"/>
    <x v="28"/>
    <s v="TEX"/>
    <n v="5"/>
    <s v="N"/>
    <s v="N"/>
    <s v="N"/>
    <s v="N"/>
    <n v="67"/>
    <n v="95"/>
    <n v="637"/>
    <n v="5460"/>
    <n v="1400"/>
    <n v="260"/>
    <n v="28"/>
    <n v="111"/>
    <n v="417"/>
    <n v="1162"/>
    <n v="105"/>
    <n v="59"/>
    <n v="61"/>
    <n v="45"/>
    <n v="773"/>
    <n v="711"/>
    <n v="4.49"/>
    <n v="6"/>
    <n v="17"/>
    <n v="33"/>
    <n v="4279"/>
    <n v="1510"/>
    <n v="160"/>
    <n v="505"/>
    <n v="1110"/>
    <n v="106"/>
    <n v="155"/>
    <n v="0.98199999999999998"/>
  </r>
  <r>
    <n v="2014"/>
    <x v="29"/>
    <s v="TOR"/>
    <n v="3"/>
    <s v="N"/>
    <s v="N"/>
    <s v="N"/>
    <s v="N"/>
    <n v="83"/>
    <n v="79"/>
    <n v="723"/>
    <n v="5549"/>
    <n v="1435"/>
    <n v="282"/>
    <n v="24"/>
    <n v="177"/>
    <n v="502"/>
    <n v="1151"/>
    <n v="78"/>
    <n v="21"/>
    <n v="41"/>
    <n v="40"/>
    <n v="686"/>
    <n v="642"/>
    <n v="4"/>
    <n v="3"/>
    <n v="16"/>
    <n v="45"/>
    <n v="4329"/>
    <n v="1400"/>
    <n v="151"/>
    <n v="490"/>
    <n v="1199"/>
    <n v="87"/>
    <n v="130"/>
    <n v="0.98499999999999999"/>
  </r>
  <r>
    <n v="2014"/>
    <x v="31"/>
    <s v="WAS"/>
    <n v="1"/>
    <s v="Y"/>
    <s v="N"/>
    <s v="N"/>
    <s v="N"/>
    <n v="96"/>
    <n v="66"/>
    <n v="686"/>
    <n v="5542"/>
    <n v="1403"/>
    <n v="265"/>
    <n v="27"/>
    <n v="152"/>
    <n v="517"/>
    <n v="1304"/>
    <n v="101"/>
    <n v="23"/>
    <n v="56"/>
    <n v="41"/>
    <n v="555"/>
    <n v="495"/>
    <n v="3.03"/>
    <n v="5"/>
    <n v="19"/>
    <n v="45"/>
    <n v="4412"/>
    <n v="1351"/>
    <n v="110"/>
    <n v="352"/>
    <n v="1288"/>
    <n v="100"/>
    <n v="139"/>
    <n v="0.98399999999999999"/>
  </r>
  <r>
    <n v="2015"/>
    <x v="1"/>
    <s v="ARI"/>
    <n v="3"/>
    <s v="N"/>
    <s v="N"/>
    <s v="N"/>
    <s v="N"/>
    <n v="79"/>
    <n v="83"/>
    <n v="720"/>
    <n v="5649"/>
    <n v="1494"/>
    <n v="289"/>
    <n v="48"/>
    <n v="154"/>
    <n v="490"/>
    <n v="1312"/>
    <n v="132"/>
    <n v="44"/>
    <n v="33"/>
    <n v="57"/>
    <n v="713"/>
    <n v="659"/>
    <n v="4.04"/>
    <n v="1"/>
    <n v="12"/>
    <n v="44"/>
    <n v="4400"/>
    <n v="1450"/>
    <n v="182"/>
    <n v="500"/>
    <n v="1215"/>
    <n v="86"/>
    <n v="146"/>
    <n v="0.98599999999999999"/>
  </r>
  <r>
    <n v="2015"/>
    <x v="2"/>
    <s v="ATL"/>
    <n v="4"/>
    <s v="N"/>
    <s v="N"/>
    <s v="N"/>
    <s v="N"/>
    <n v="67"/>
    <n v="95"/>
    <n v="573"/>
    <n v="5420"/>
    <n v="1361"/>
    <n v="251"/>
    <n v="18"/>
    <n v="100"/>
    <n v="471"/>
    <n v="1107"/>
    <n v="69"/>
    <n v="33"/>
    <n v="44"/>
    <n v="31"/>
    <n v="760"/>
    <n v="698"/>
    <n v="4.41"/>
    <n v="3"/>
    <n v="10"/>
    <n v="44"/>
    <n v="4276"/>
    <n v="1462"/>
    <n v="170"/>
    <n v="550"/>
    <n v="1148"/>
    <n v="90"/>
    <n v="186"/>
    <n v="0.98499999999999999"/>
  </r>
  <r>
    <n v="2015"/>
    <x v="3"/>
    <s v="BAL"/>
    <n v="3"/>
    <s v="N"/>
    <s v="N"/>
    <s v="N"/>
    <s v="N"/>
    <n v="81"/>
    <n v="81"/>
    <n v="713"/>
    <n v="5485"/>
    <n v="1370"/>
    <n v="246"/>
    <n v="20"/>
    <n v="217"/>
    <n v="418"/>
    <n v="1331"/>
    <n v="44"/>
    <n v="25"/>
    <n v="51"/>
    <n v="32"/>
    <n v="693"/>
    <n v="646"/>
    <n v="4.05"/>
    <n v="0"/>
    <n v="10"/>
    <n v="43"/>
    <n v="4304"/>
    <n v="1406"/>
    <n v="174"/>
    <n v="483"/>
    <n v="1233"/>
    <n v="77"/>
    <n v="134"/>
    <n v="0.98699999999999999"/>
  </r>
  <r>
    <n v="2015"/>
    <x v="4"/>
    <s v="BOS"/>
    <n v="5"/>
    <s v="N"/>
    <s v="N"/>
    <s v="N"/>
    <s v="N"/>
    <n v="78"/>
    <n v="84"/>
    <n v="748"/>
    <n v="5640"/>
    <n v="1495"/>
    <n v="294"/>
    <n v="33"/>
    <n v="161"/>
    <n v="478"/>
    <n v="1148"/>
    <n v="71"/>
    <n v="27"/>
    <n v="46"/>
    <n v="42"/>
    <n v="753"/>
    <n v="694"/>
    <n v="4.3099999999999996"/>
    <n v="3"/>
    <n v="10"/>
    <n v="40"/>
    <n v="4345"/>
    <n v="1486"/>
    <n v="178"/>
    <n v="478"/>
    <n v="1218"/>
    <n v="97"/>
    <n v="148"/>
    <n v="0.98399999999999999"/>
  </r>
  <r>
    <n v="2015"/>
    <x v="5"/>
    <s v="CHA"/>
    <n v="4"/>
    <s v="N"/>
    <s v="N"/>
    <s v="N"/>
    <s v="N"/>
    <n v="76"/>
    <n v="86"/>
    <n v="622"/>
    <n v="5533"/>
    <n v="1381"/>
    <n v="260"/>
    <n v="27"/>
    <n v="136"/>
    <n v="404"/>
    <n v="1231"/>
    <n v="68"/>
    <n v="42"/>
    <n v="65"/>
    <n v="37"/>
    <n v="701"/>
    <n v="643"/>
    <n v="3.98"/>
    <n v="7"/>
    <n v="9"/>
    <n v="37"/>
    <n v="4358"/>
    <n v="1443"/>
    <n v="162"/>
    <n v="474"/>
    <n v="1359"/>
    <n v="101"/>
    <n v="159"/>
    <n v="0.98299999999999998"/>
  </r>
  <r>
    <n v="2015"/>
    <x v="6"/>
    <s v="CHN"/>
    <n v="3"/>
    <s v="N"/>
    <s v="Y"/>
    <s v="N"/>
    <s v="N"/>
    <n v="97"/>
    <n v="65"/>
    <n v="689"/>
    <n v="5491"/>
    <n v="1341"/>
    <n v="272"/>
    <n v="30"/>
    <n v="171"/>
    <n v="567"/>
    <n v="1518"/>
    <n v="95"/>
    <n v="37"/>
    <n v="74"/>
    <n v="35"/>
    <n v="608"/>
    <n v="546"/>
    <n v="3.36"/>
    <n v="6"/>
    <n v="21"/>
    <n v="48"/>
    <n v="4384"/>
    <n v="1276"/>
    <n v="134"/>
    <n v="407"/>
    <n v="1431"/>
    <n v="111"/>
    <n v="120"/>
    <n v="0.98199999999999998"/>
  </r>
  <r>
    <n v="2015"/>
    <x v="7"/>
    <s v="CIN"/>
    <n v="5"/>
    <s v="N"/>
    <s v="N"/>
    <s v="N"/>
    <s v="N"/>
    <n v="64"/>
    <n v="98"/>
    <n v="640"/>
    <n v="5571"/>
    <n v="1382"/>
    <n v="257"/>
    <n v="27"/>
    <n v="167"/>
    <n v="496"/>
    <n v="1255"/>
    <n v="134"/>
    <n v="38"/>
    <n v="42"/>
    <n v="40"/>
    <n v="754"/>
    <n v="700"/>
    <n v="4.33"/>
    <n v="2"/>
    <n v="8"/>
    <n v="35"/>
    <n v="4360"/>
    <n v="1436"/>
    <n v="177"/>
    <n v="544"/>
    <n v="1252"/>
    <n v="90"/>
    <n v="131"/>
    <n v="0.98499999999999999"/>
  </r>
  <r>
    <n v="2015"/>
    <x v="8"/>
    <s v="CLE"/>
    <n v="3"/>
    <s v="N"/>
    <s v="N"/>
    <s v="N"/>
    <s v="N"/>
    <n v="81"/>
    <n v="80"/>
    <n v="669"/>
    <n v="5439"/>
    <n v="1395"/>
    <n v="303"/>
    <n v="29"/>
    <n v="141"/>
    <n v="533"/>
    <n v="1157"/>
    <n v="86"/>
    <n v="28"/>
    <n v="39"/>
    <n v="50"/>
    <n v="640"/>
    <n v="584"/>
    <n v="3.67"/>
    <n v="11"/>
    <n v="10"/>
    <n v="38"/>
    <n v="4298"/>
    <n v="1274"/>
    <n v="161"/>
    <n v="425"/>
    <n v="1407"/>
    <n v="79"/>
    <n v="136"/>
    <n v="0.98699999999999999"/>
  </r>
  <r>
    <n v="2015"/>
    <x v="9"/>
    <s v="COL"/>
    <n v="5"/>
    <s v="N"/>
    <s v="N"/>
    <s v="N"/>
    <s v="N"/>
    <n v="68"/>
    <n v="94"/>
    <n v="737"/>
    <n v="5572"/>
    <n v="1479"/>
    <n v="274"/>
    <n v="49"/>
    <n v="186"/>
    <n v="388"/>
    <n v="1283"/>
    <n v="97"/>
    <n v="43"/>
    <n v="33"/>
    <n v="34"/>
    <n v="844"/>
    <n v="799"/>
    <n v="5.04"/>
    <n v="4"/>
    <n v="4"/>
    <n v="36"/>
    <n v="4279"/>
    <n v="1579"/>
    <n v="183"/>
    <n v="579"/>
    <n v="1112"/>
    <n v="95"/>
    <n v="171"/>
    <n v="0.98499999999999999"/>
  </r>
  <r>
    <n v="2015"/>
    <x v="10"/>
    <s v="DET"/>
    <n v="5"/>
    <s v="N"/>
    <s v="N"/>
    <s v="N"/>
    <s v="N"/>
    <n v="74"/>
    <n v="87"/>
    <n v="689"/>
    <n v="5605"/>
    <n v="1515"/>
    <n v="289"/>
    <n v="49"/>
    <n v="151"/>
    <n v="455"/>
    <n v="1259"/>
    <n v="83"/>
    <n v="51"/>
    <n v="41"/>
    <n v="35"/>
    <n v="803"/>
    <n v="746"/>
    <n v="4.6399999999999997"/>
    <n v="7"/>
    <n v="12"/>
    <n v="35"/>
    <n v="4341"/>
    <n v="1491"/>
    <n v="193"/>
    <n v="489"/>
    <n v="1100"/>
    <n v="86"/>
    <n v="165"/>
    <n v="0.98599999999999999"/>
  </r>
  <r>
    <n v="2015"/>
    <x v="12"/>
    <s v="HOU"/>
    <n v="2"/>
    <s v="N"/>
    <s v="Y"/>
    <s v="N"/>
    <s v="N"/>
    <n v="86"/>
    <n v="76"/>
    <n v="729"/>
    <n v="5459"/>
    <n v="1363"/>
    <n v="278"/>
    <n v="26"/>
    <n v="230"/>
    <n v="486"/>
    <n v="1392"/>
    <n v="121"/>
    <n v="48"/>
    <n v="56"/>
    <n v="43"/>
    <n v="618"/>
    <n v="572"/>
    <n v="3.57"/>
    <n v="5"/>
    <n v="13"/>
    <n v="39"/>
    <n v="4323"/>
    <n v="1308"/>
    <n v="148"/>
    <n v="423"/>
    <n v="1280"/>
    <n v="85"/>
    <n v="131"/>
    <n v="0.98599999999999999"/>
  </r>
  <r>
    <n v="2015"/>
    <x v="13"/>
    <s v="KCA"/>
    <n v="1"/>
    <s v="Y"/>
    <s v="N"/>
    <s v="Y"/>
    <s v="Y"/>
    <n v="95"/>
    <n v="67"/>
    <n v="724"/>
    <n v="5575"/>
    <n v="1497"/>
    <n v="300"/>
    <n v="42"/>
    <n v="139"/>
    <n v="383"/>
    <n v="973"/>
    <n v="104"/>
    <n v="34"/>
    <n v="77"/>
    <n v="47"/>
    <n v="641"/>
    <n v="601"/>
    <n v="3.73"/>
    <n v="2"/>
    <n v="8"/>
    <n v="56"/>
    <n v="4356"/>
    <n v="1372"/>
    <n v="155"/>
    <n v="489"/>
    <n v="1160"/>
    <n v="88"/>
    <n v="138"/>
    <n v="0.98499999999999999"/>
  </r>
  <r>
    <n v="2015"/>
    <x v="30"/>
    <s v="LAA"/>
    <n v="3"/>
    <s v="N"/>
    <s v="N"/>
    <s v="N"/>
    <s v="N"/>
    <n v="85"/>
    <n v="77"/>
    <n v="661"/>
    <n v="5417"/>
    <n v="1331"/>
    <n v="243"/>
    <n v="21"/>
    <n v="176"/>
    <n v="435"/>
    <n v="1150"/>
    <n v="52"/>
    <n v="34"/>
    <n v="58"/>
    <n v="40"/>
    <n v="675"/>
    <n v="630"/>
    <n v="3.94"/>
    <n v="2"/>
    <n v="12"/>
    <n v="46"/>
    <n v="4322"/>
    <n v="1355"/>
    <n v="166"/>
    <n v="466"/>
    <n v="1221"/>
    <n v="93"/>
    <n v="108"/>
    <n v="0.98399999999999999"/>
  </r>
  <r>
    <n v="2015"/>
    <x v="14"/>
    <s v="LAN"/>
    <n v="1"/>
    <s v="Y"/>
    <s v="N"/>
    <s v="N"/>
    <s v="N"/>
    <n v="92"/>
    <n v="70"/>
    <n v="667"/>
    <n v="5385"/>
    <n v="1346"/>
    <n v="263"/>
    <n v="26"/>
    <n v="187"/>
    <n v="563"/>
    <n v="1258"/>
    <n v="59"/>
    <n v="34"/>
    <n v="60"/>
    <n v="30"/>
    <n v="595"/>
    <n v="553"/>
    <n v="3.44"/>
    <n v="6"/>
    <n v="21"/>
    <n v="47"/>
    <n v="4337"/>
    <n v="1317"/>
    <n v="145"/>
    <n v="395"/>
    <n v="1396"/>
    <n v="75"/>
    <n v="133"/>
    <n v="0.98799999999999999"/>
  </r>
  <r>
    <n v="2015"/>
    <x v="33"/>
    <s v="MIA"/>
    <n v="3"/>
    <s v="N"/>
    <s v="N"/>
    <s v="N"/>
    <s v="N"/>
    <n v="71"/>
    <n v="91"/>
    <n v="613"/>
    <n v="5463"/>
    <n v="1420"/>
    <n v="236"/>
    <n v="40"/>
    <n v="120"/>
    <n v="375"/>
    <n v="1150"/>
    <n v="112"/>
    <n v="45"/>
    <n v="39"/>
    <n v="40"/>
    <n v="678"/>
    <n v="638"/>
    <n v="4.0199999999999996"/>
    <n v="0"/>
    <n v="12"/>
    <n v="35"/>
    <n v="4281"/>
    <n v="1374"/>
    <n v="141"/>
    <n v="508"/>
    <n v="1152"/>
    <n v="77"/>
    <n v="162"/>
    <n v="0.98699999999999999"/>
  </r>
  <r>
    <n v="2015"/>
    <x v="15"/>
    <s v="MIL"/>
    <n v="4"/>
    <s v="N"/>
    <s v="N"/>
    <s v="N"/>
    <s v="N"/>
    <n v="68"/>
    <n v="94"/>
    <n v="655"/>
    <n v="5480"/>
    <n v="1378"/>
    <n v="274"/>
    <n v="34"/>
    <n v="145"/>
    <n v="412"/>
    <n v="1299"/>
    <n v="84"/>
    <n v="29"/>
    <n v="41"/>
    <n v="34"/>
    <n v="737"/>
    <n v="682"/>
    <n v="4.28"/>
    <n v="1"/>
    <n v="7"/>
    <n v="40"/>
    <n v="4305"/>
    <n v="1432"/>
    <n v="176"/>
    <n v="517"/>
    <n v="1260"/>
    <n v="116"/>
    <n v="164"/>
    <n v="0.98099999999999998"/>
  </r>
  <r>
    <n v="2015"/>
    <x v="16"/>
    <s v="MIN"/>
    <n v="2"/>
    <s v="N"/>
    <s v="N"/>
    <s v="N"/>
    <s v="N"/>
    <n v="83"/>
    <n v="79"/>
    <n v="696"/>
    <n v="5467"/>
    <n v="1349"/>
    <n v="277"/>
    <n v="44"/>
    <n v="156"/>
    <n v="439"/>
    <n v="1264"/>
    <n v="70"/>
    <n v="38"/>
    <n v="40"/>
    <n v="41"/>
    <n v="700"/>
    <n v="653"/>
    <n v="4.07"/>
    <n v="2"/>
    <n v="12"/>
    <n v="45"/>
    <n v="4329"/>
    <n v="1506"/>
    <n v="163"/>
    <n v="413"/>
    <n v="1046"/>
    <n v="86"/>
    <n v="150"/>
    <n v="0.98599999999999999"/>
  </r>
  <r>
    <n v="2015"/>
    <x v="18"/>
    <s v="NYA"/>
    <n v="2"/>
    <s v="N"/>
    <s v="Y"/>
    <s v="N"/>
    <s v="N"/>
    <n v="87"/>
    <n v="75"/>
    <n v="764"/>
    <n v="5567"/>
    <n v="1397"/>
    <n v="272"/>
    <n v="19"/>
    <n v="212"/>
    <n v="554"/>
    <n v="1227"/>
    <n v="63"/>
    <n v="25"/>
    <n v="63"/>
    <n v="54"/>
    <n v="698"/>
    <n v="652"/>
    <n v="4.03"/>
    <n v="3"/>
    <n v="4"/>
    <n v="48"/>
    <n v="4373"/>
    <n v="1416"/>
    <n v="182"/>
    <n v="474"/>
    <n v="1370"/>
    <n v="93"/>
    <n v="135"/>
    <n v="0.98499999999999999"/>
  </r>
  <r>
    <n v="2015"/>
    <x v="19"/>
    <s v="NYN"/>
    <n v="1"/>
    <s v="Y"/>
    <s v="N"/>
    <s v="Y"/>
    <s v="N"/>
    <n v="90"/>
    <n v="72"/>
    <n v="683"/>
    <n v="5527"/>
    <n v="1351"/>
    <n v="295"/>
    <n v="17"/>
    <n v="177"/>
    <n v="488"/>
    <n v="1290"/>
    <n v="51"/>
    <n v="25"/>
    <n v="68"/>
    <n v="32"/>
    <n v="613"/>
    <n v="557"/>
    <n v="3.43"/>
    <n v="1"/>
    <n v="14"/>
    <n v="50"/>
    <n v="4388"/>
    <n v="1341"/>
    <n v="152"/>
    <n v="383"/>
    <n v="1337"/>
    <n v="88"/>
    <n v="131"/>
    <n v="0.98599999999999999"/>
  </r>
  <r>
    <n v="2015"/>
    <x v="20"/>
    <s v="OAK"/>
    <n v="5"/>
    <s v="N"/>
    <s v="N"/>
    <s v="N"/>
    <s v="N"/>
    <n v="68"/>
    <n v="94"/>
    <n v="694"/>
    <n v="5600"/>
    <n v="1405"/>
    <n v="277"/>
    <n v="46"/>
    <n v="146"/>
    <n v="475"/>
    <n v="1119"/>
    <n v="78"/>
    <n v="29"/>
    <n v="40"/>
    <n v="38"/>
    <n v="729"/>
    <n v="664"/>
    <n v="4.1399999999999997"/>
    <n v="5"/>
    <n v="15"/>
    <n v="28"/>
    <n v="4334"/>
    <n v="1402"/>
    <n v="172"/>
    <n v="474"/>
    <n v="1179"/>
    <n v="126"/>
    <n v="154"/>
    <n v="0.97899999999999998"/>
  </r>
  <r>
    <n v="2015"/>
    <x v="21"/>
    <s v="PHI"/>
    <n v="5"/>
    <s v="N"/>
    <s v="N"/>
    <s v="N"/>
    <s v="N"/>
    <n v="63"/>
    <n v="99"/>
    <n v="626"/>
    <n v="5529"/>
    <n v="1374"/>
    <n v="272"/>
    <n v="37"/>
    <n v="130"/>
    <n v="387"/>
    <n v="1274"/>
    <n v="88"/>
    <n v="32"/>
    <n v="54"/>
    <n v="29"/>
    <n v="809"/>
    <n v="749"/>
    <n v="4.6900000000000004"/>
    <n v="1"/>
    <n v="7"/>
    <n v="35"/>
    <n v="4309"/>
    <n v="1592"/>
    <n v="191"/>
    <n v="488"/>
    <n v="1153"/>
    <n v="117"/>
    <n v="145"/>
    <n v="0.98099999999999998"/>
  </r>
  <r>
    <n v="2015"/>
    <x v="22"/>
    <s v="PIT"/>
    <n v="2"/>
    <s v="N"/>
    <s v="Y"/>
    <s v="N"/>
    <s v="N"/>
    <n v="98"/>
    <n v="64"/>
    <n v="697"/>
    <n v="5631"/>
    <n v="1462"/>
    <n v="292"/>
    <n v="27"/>
    <n v="140"/>
    <n v="461"/>
    <n v="1322"/>
    <n v="98"/>
    <n v="45"/>
    <n v="89"/>
    <n v="41"/>
    <n v="596"/>
    <n v="532"/>
    <n v="3.21"/>
    <n v="0"/>
    <n v="13"/>
    <n v="54"/>
    <n v="4469"/>
    <n v="1392"/>
    <n v="110"/>
    <n v="453"/>
    <n v="1338"/>
    <n v="122"/>
    <n v="177"/>
    <n v="0.98099999999999998"/>
  </r>
  <r>
    <n v="2015"/>
    <x v="23"/>
    <s v="SDN"/>
    <n v="4"/>
    <s v="N"/>
    <s v="N"/>
    <s v="N"/>
    <s v="N"/>
    <n v="74"/>
    <n v="88"/>
    <n v="650"/>
    <n v="5457"/>
    <n v="1324"/>
    <n v="260"/>
    <n v="36"/>
    <n v="148"/>
    <n v="426"/>
    <n v="1327"/>
    <n v="82"/>
    <n v="29"/>
    <n v="40"/>
    <n v="42"/>
    <n v="731"/>
    <n v="655"/>
    <n v="4.09"/>
    <n v="1"/>
    <n v="6"/>
    <n v="41"/>
    <n v="4321"/>
    <n v="1371"/>
    <n v="171"/>
    <n v="516"/>
    <n v="1393"/>
    <n v="92"/>
    <n v="138"/>
    <n v="0.98499999999999999"/>
  </r>
  <r>
    <n v="2015"/>
    <x v="24"/>
    <s v="SEA"/>
    <n v="4"/>
    <s v="N"/>
    <s v="N"/>
    <s v="N"/>
    <s v="N"/>
    <n v="76"/>
    <n v="86"/>
    <n v="656"/>
    <n v="5544"/>
    <n v="1379"/>
    <n v="262"/>
    <n v="22"/>
    <n v="198"/>
    <n v="478"/>
    <n v="1336"/>
    <n v="69"/>
    <n v="45"/>
    <n v="36"/>
    <n v="35"/>
    <n v="726"/>
    <n v="677"/>
    <n v="4.16"/>
    <n v="6"/>
    <n v="12"/>
    <n v="45"/>
    <n v="4389"/>
    <n v="1430"/>
    <n v="181"/>
    <n v="491"/>
    <n v="1283"/>
    <n v="94"/>
    <n v="155"/>
    <n v="0.98499999999999999"/>
  </r>
  <r>
    <n v="2015"/>
    <x v="25"/>
    <s v="SFN"/>
    <n v="2"/>
    <s v="N"/>
    <s v="N"/>
    <s v="N"/>
    <s v="N"/>
    <n v="84"/>
    <n v="78"/>
    <n v="696"/>
    <n v="5565"/>
    <n v="1486"/>
    <n v="288"/>
    <n v="39"/>
    <n v="136"/>
    <n v="457"/>
    <n v="1159"/>
    <n v="93"/>
    <n v="36"/>
    <n v="49"/>
    <n v="37"/>
    <n v="627"/>
    <n v="597"/>
    <n v="3.72"/>
    <n v="7"/>
    <n v="18"/>
    <n v="41"/>
    <n v="4333"/>
    <n v="1344"/>
    <n v="155"/>
    <n v="431"/>
    <n v="1165"/>
    <n v="78"/>
    <n v="145"/>
    <n v="0.98699999999999999"/>
  </r>
  <r>
    <n v="2015"/>
    <x v="26"/>
    <s v="SLN"/>
    <n v="1"/>
    <s v="Y"/>
    <s v="N"/>
    <s v="N"/>
    <s v="N"/>
    <n v="100"/>
    <n v="62"/>
    <n v="647"/>
    <n v="5484"/>
    <n v="1386"/>
    <n v="288"/>
    <n v="39"/>
    <n v="137"/>
    <n v="506"/>
    <n v="1267"/>
    <n v="69"/>
    <n v="38"/>
    <n v="66"/>
    <n v="42"/>
    <n v="525"/>
    <n v="478"/>
    <n v="2.94"/>
    <n v="1"/>
    <n v="15"/>
    <n v="62"/>
    <n v="4394"/>
    <n v="1359"/>
    <n v="123"/>
    <n v="477"/>
    <n v="1329"/>
    <n v="96"/>
    <n v="159"/>
    <n v="0.98399999999999999"/>
  </r>
  <r>
    <n v="2015"/>
    <x v="32"/>
    <s v="TBA"/>
    <n v="4"/>
    <s v="N"/>
    <s v="N"/>
    <s v="N"/>
    <s v="N"/>
    <n v="80"/>
    <n v="82"/>
    <n v="644"/>
    <n v="5485"/>
    <n v="1383"/>
    <n v="278"/>
    <n v="32"/>
    <n v="167"/>
    <n v="436"/>
    <n v="1310"/>
    <n v="87"/>
    <n v="45"/>
    <n v="84"/>
    <n v="47"/>
    <n v="642"/>
    <n v="604"/>
    <n v="3.74"/>
    <n v="1"/>
    <n v="12"/>
    <n v="60"/>
    <n v="4360"/>
    <n v="1314"/>
    <n v="175"/>
    <n v="477"/>
    <n v="1355"/>
    <n v="95"/>
    <n v="118"/>
    <n v="0.98399999999999999"/>
  </r>
  <r>
    <n v="2015"/>
    <x v="28"/>
    <s v="TEX"/>
    <n v="1"/>
    <s v="Y"/>
    <s v="N"/>
    <s v="N"/>
    <s v="N"/>
    <n v="88"/>
    <n v="74"/>
    <n v="751"/>
    <n v="5511"/>
    <n v="1419"/>
    <n v="279"/>
    <n v="32"/>
    <n v="172"/>
    <n v="503"/>
    <n v="1233"/>
    <n v="101"/>
    <n v="39"/>
    <n v="76"/>
    <n v="54"/>
    <n v="733"/>
    <n v="680"/>
    <n v="4.24"/>
    <n v="5"/>
    <n v="9"/>
    <n v="45"/>
    <n v="4328"/>
    <n v="1459"/>
    <n v="171"/>
    <n v="508"/>
    <n v="1095"/>
    <n v="119"/>
    <n v="169"/>
    <n v="0.98099999999999998"/>
  </r>
  <r>
    <n v="2015"/>
    <x v="29"/>
    <s v="TOR"/>
    <n v="1"/>
    <s v="Y"/>
    <s v="N"/>
    <s v="N"/>
    <s v="N"/>
    <n v="93"/>
    <n v="69"/>
    <n v="891"/>
    <n v="5509"/>
    <n v="1480"/>
    <n v="308"/>
    <n v="17"/>
    <n v="232"/>
    <n v="570"/>
    <n v="1151"/>
    <n v="88"/>
    <n v="23"/>
    <n v="54"/>
    <n v="62"/>
    <n v="670"/>
    <n v="609"/>
    <n v="3.8"/>
    <n v="7"/>
    <n v="10"/>
    <n v="34"/>
    <n v="4323"/>
    <n v="1353"/>
    <n v="173"/>
    <n v="397"/>
    <n v="1117"/>
    <n v="88"/>
    <n v="145"/>
    <n v="0.98499999999999999"/>
  </r>
  <r>
    <n v="2015"/>
    <x v="31"/>
    <s v="WAS"/>
    <n v="2"/>
    <s v="N"/>
    <s v="N"/>
    <s v="N"/>
    <s v="N"/>
    <n v="83"/>
    <n v="79"/>
    <n v="703"/>
    <n v="5428"/>
    <n v="1363"/>
    <n v="265"/>
    <n v="13"/>
    <n v="177"/>
    <n v="539"/>
    <n v="1344"/>
    <n v="57"/>
    <n v="23"/>
    <n v="44"/>
    <n v="51"/>
    <n v="635"/>
    <n v="577"/>
    <n v="3.62"/>
    <n v="4"/>
    <n v="13"/>
    <n v="41"/>
    <n v="4304"/>
    <n v="1366"/>
    <n v="145"/>
    <n v="364"/>
    <n v="1342"/>
    <n v="90"/>
    <n v="125"/>
    <n v="0.98499999999999999"/>
  </r>
  <r>
    <n v="2016"/>
    <x v="1"/>
    <s v="ARI"/>
    <n v="4"/>
    <s v="N"/>
    <s v="N"/>
    <s v="N"/>
    <s v="N"/>
    <n v="69"/>
    <n v="93"/>
    <n v="752"/>
    <n v="5665"/>
    <n v="1479"/>
    <n v="285"/>
    <n v="56"/>
    <n v="190"/>
    <n v="463"/>
    <n v="1427"/>
    <n v="137"/>
    <n v="31"/>
    <n v="50"/>
    <n v="38"/>
    <n v="890"/>
    <n v="821"/>
    <n v="5.09"/>
    <n v="2"/>
    <n v="7"/>
    <n v="31"/>
    <n v="4354"/>
    <n v="1563"/>
    <n v="202"/>
    <n v="603"/>
    <n v="1318"/>
    <n v="101"/>
    <n v="143"/>
    <n v="0.98299999999999998"/>
  </r>
  <r>
    <n v="2016"/>
    <x v="2"/>
    <s v="ATL"/>
    <n v="5"/>
    <s v="N"/>
    <s v="N"/>
    <s v="N"/>
    <s v="N"/>
    <n v="68"/>
    <n v="93"/>
    <n v="649"/>
    <n v="5514"/>
    <n v="1404"/>
    <n v="295"/>
    <n v="27"/>
    <n v="122"/>
    <n v="502"/>
    <n v="1240"/>
    <n v="75"/>
    <n v="34"/>
    <n v="59"/>
    <n v="52"/>
    <n v="779"/>
    <n v="725"/>
    <n v="4.51"/>
    <n v="1"/>
    <n v="9"/>
    <n v="39"/>
    <n v="4343"/>
    <n v="1414"/>
    <n v="177"/>
    <n v="547"/>
    <n v="1227"/>
    <n v="101"/>
    <n v="134"/>
    <n v="0.98299999999999998"/>
  </r>
  <r>
    <n v="2016"/>
    <x v="3"/>
    <s v="BAL"/>
    <n v="2"/>
    <s v="N"/>
    <s v="Y"/>
    <s v="N"/>
    <s v="N"/>
    <n v="89"/>
    <n v="73"/>
    <n v="744"/>
    <n v="5524"/>
    <n v="1413"/>
    <n v="265"/>
    <n v="6"/>
    <n v="253"/>
    <n v="468"/>
    <n v="1324"/>
    <n v="19"/>
    <n v="13"/>
    <n v="44"/>
    <n v="36"/>
    <n v="715"/>
    <n v="671"/>
    <n v="4.22"/>
    <n v="1"/>
    <n v="9"/>
    <n v="54"/>
    <n v="4296"/>
    <n v="1408"/>
    <n v="183"/>
    <n v="545"/>
    <n v="1248"/>
    <n v="80"/>
    <n v="165"/>
    <n v="0.98699999999999999"/>
  </r>
  <r>
    <n v="2016"/>
    <x v="4"/>
    <s v="BOS"/>
    <n v="1"/>
    <s v="Y"/>
    <s v="N"/>
    <s v="N"/>
    <s v="N"/>
    <n v="93"/>
    <n v="69"/>
    <n v="878"/>
    <n v="5670"/>
    <n v="1598"/>
    <n v="343"/>
    <n v="25"/>
    <n v="208"/>
    <n v="558"/>
    <n v="1160"/>
    <n v="83"/>
    <n v="24"/>
    <n v="43"/>
    <n v="40"/>
    <n v="694"/>
    <n v="640"/>
    <n v="4"/>
    <n v="9"/>
    <n v="5"/>
    <n v="43"/>
    <n v="4319"/>
    <n v="1342"/>
    <n v="176"/>
    <n v="490"/>
    <n v="1362"/>
    <n v="75"/>
    <n v="139"/>
    <n v="0.98699999999999999"/>
  </r>
  <r>
    <n v="2016"/>
    <x v="5"/>
    <s v="CHA"/>
    <n v="4"/>
    <s v="N"/>
    <s v="N"/>
    <s v="N"/>
    <s v="N"/>
    <n v="78"/>
    <n v="84"/>
    <n v="686"/>
    <n v="5550"/>
    <n v="1428"/>
    <n v="277"/>
    <n v="33"/>
    <n v="168"/>
    <n v="455"/>
    <n v="1285"/>
    <n v="77"/>
    <n v="36"/>
    <n v="53"/>
    <n v="44"/>
    <n v="715"/>
    <n v="659"/>
    <n v="4.0999999999999996"/>
    <n v="7"/>
    <n v="10"/>
    <n v="43"/>
    <n v="4340"/>
    <n v="1422"/>
    <n v="185"/>
    <n v="521"/>
    <n v="1270"/>
    <n v="95"/>
    <n v="148"/>
    <n v="0.98399999999999999"/>
  </r>
  <r>
    <n v="2016"/>
    <x v="6"/>
    <s v="CHN"/>
    <n v="1"/>
    <s v="Y"/>
    <s v="N"/>
    <s v="Y"/>
    <s v="Y"/>
    <n v="103"/>
    <n v="58"/>
    <n v="808"/>
    <n v="5503"/>
    <n v="1409"/>
    <n v="293"/>
    <n v="30"/>
    <n v="199"/>
    <n v="656"/>
    <n v="1339"/>
    <n v="66"/>
    <n v="34"/>
    <n v="96"/>
    <n v="37"/>
    <n v="556"/>
    <n v="511"/>
    <n v="3.15"/>
    <n v="5"/>
    <n v="15"/>
    <n v="38"/>
    <n v="4379"/>
    <n v="1125"/>
    <n v="163"/>
    <n v="495"/>
    <n v="1441"/>
    <n v="101"/>
    <n v="116"/>
    <n v="0.98299999999999998"/>
  </r>
  <r>
    <n v="2016"/>
    <x v="7"/>
    <s v="CIN"/>
    <n v="5"/>
    <s v="N"/>
    <s v="N"/>
    <s v="N"/>
    <s v="N"/>
    <n v="68"/>
    <n v="94"/>
    <n v="716"/>
    <n v="5487"/>
    <n v="1403"/>
    <n v="277"/>
    <n v="33"/>
    <n v="164"/>
    <n v="452"/>
    <n v="1284"/>
    <n v="139"/>
    <n v="51"/>
    <n v="52"/>
    <n v="44"/>
    <n v="854"/>
    <n v="786"/>
    <n v="4.91"/>
    <n v="2"/>
    <n v="8"/>
    <n v="28"/>
    <n v="4326"/>
    <n v="1457"/>
    <n v="258"/>
    <n v="636"/>
    <n v="1241"/>
    <n v="102"/>
    <n v="142"/>
    <n v="0.98299999999999998"/>
  </r>
  <r>
    <n v="2016"/>
    <x v="8"/>
    <s v="CLE"/>
    <n v="1"/>
    <s v="Y"/>
    <s v="N"/>
    <s v="Y"/>
    <s v="N"/>
    <n v="94"/>
    <n v="67"/>
    <n v="777"/>
    <n v="5484"/>
    <n v="1435"/>
    <n v="308"/>
    <n v="29"/>
    <n v="185"/>
    <n v="531"/>
    <n v="1246"/>
    <n v="134"/>
    <n v="31"/>
    <n v="49"/>
    <n v="60"/>
    <n v="676"/>
    <n v="617"/>
    <n v="3.84"/>
    <n v="5"/>
    <n v="11"/>
    <n v="37"/>
    <n v="4335"/>
    <n v="1330"/>
    <n v="186"/>
    <n v="461"/>
    <n v="1398"/>
    <n v="89"/>
    <n v="126"/>
    <n v="0.98499999999999999"/>
  </r>
  <r>
    <n v="2016"/>
    <x v="9"/>
    <s v="COL"/>
    <n v="3"/>
    <s v="N"/>
    <s v="N"/>
    <s v="N"/>
    <s v="N"/>
    <n v="75"/>
    <n v="87"/>
    <n v="845"/>
    <n v="5614"/>
    <n v="1544"/>
    <n v="318"/>
    <n v="47"/>
    <n v="204"/>
    <n v="494"/>
    <n v="1330"/>
    <n v="66"/>
    <n v="39"/>
    <n v="40"/>
    <n v="34"/>
    <n v="860"/>
    <n v="779"/>
    <n v="4.91"/>
    <n v="2"/>
    <n v="9"/>
    <n v="37"/>
    <n v="4288"/>
    <n v="1532"/>
    <n v="181"/>
    <n v="547"/>
    <n v="1223"/>
    <n v="110"/>
    <n v="148"/>
    <n v="0.98199999999999998"/>
  </r>
  <r>
    <n v="2016"/>
    <x v="10"/>
    <s v="DET"/>
    <n v="2"/>
    <s v="N"/>
    <s v="N"/>
    <s v="N"/>
    <s v="N"/>
    <n v="86"/>
    <n v="75"/>
    <n v="750"/>
    <n v="5526"/>
    <n v="1476"/>
    <n v="252"/>
    <n v="30"/>
    <n v="211"/>
    <n v="493"/>
    <n v="1303"/>
    <n v="58"/>
    <n v="29"/>
    <n v="53"/>
    <n v="38"/>
    <n v="721"/>
    <n v="672"/>
    <n v="4.24"/>
    <n v="3"/>
    <n v="8"/>
    <n v="47"/>
    <n v="4284"/>
    <n v="1417"/>
    <n v="182"/>
    <n v="462"/>
    <n v="1232"/>
    <n v="75"/>
    <n v="148"/>
    <n v="0.98699999999999999"/>
  </r>
  <r>
    <n v="2016"/>
    <x v="12"/>
    <s v="HOU"/>
    <n v="3"/>
    <s v="N"/>
    <s v="N"/>
    <s v="N"/>
    <s v="N"/>
    <n v="84"/>
    <n v="78"/>
    <n v="724"/>
    <n v="5545"/>
    <n v="1367"/>
    <n v="291"/>
    <n v="29"/>
    <n v="198"/>
    <n v="554"/>
    <n v="1452"/>
    <n v="102"/>
    <n v="44"/>
    <n v="47"/>
    <n v="31"/>
    <n v="701"/>
    <n v="663"/>
    <n v="4.0599999999999996"/>
    <n v="2"/>
    <n v="8"/>
    <n v="44"/>
    <n v="4404"/>
    <n v="1441"/>
    <n v="181"/>
    <n v="453"/>
    <n v="1396"/>
    <n v="77"/>
    <n v="135"/>
    <n v="0.98699999999999999"/>
  </r>
  <r>
    <n v="2016"/>
    <x v="13"/>
    <s v="KCA"/>
    <n v="3"/>
    <s v="N"/>
    <s v="N"/>
    <s v="N"/>
    <s v="N"/>
    <n v="81"/>
    <n v="81"/>
    <n v="675"/>
    <n v="5552"/>
    <n v="1450"/>
    <n v="264"/>
    <n v="33"/>
    <n v="147"/>
    <n v="382"/>
    <n v="1224"/>
    <n v="121"/>
    <n v="35"/>
    <n v="45"/>
    <n v="34"/>
    <n v="712"/>
    <n v="674"/>
    <n v="4.21"/>
    <n v="3"/>
    <n v="7"/>
    <n v="41"/>
    <n v="4320"/>
    <n v="1433"/>
    <n v="206"/>
    <n v="517"/>
    <n v="1287"/>
    <n v="94"/>
    <n v="134"/>
    <n v="0.98399999999999999"/>
  </r>
  <r>
    <n v="2016"/>
    <x v="30"/>
    <s v="LAA"/>
    <n v="4"/>
    <s v="N"/>
    <s v="N"/>
    <s v="N"/>
    <s v="N"/>
    <n v="74"/>
    <n v="88"/>
    <n v="717"/>
    <n v="5431"/>
    <n v="1410"/>
    <n v="279"/>
    <n v="20"/>
    <n v="156"/>
    <n v="471"/>
    <n v="991"/>
    <n v="73"/>
    <n v="34"/>
    <n v="51"/>
    <n v="49"/>
    <n v="727"/>
    <n v="676"/>
    <n v="4.28"/>
    <n v="4"/>
    <n v="12"/>
    <n v="29"/>
    <n v="4264"/>
    <n v="1480"/>
    <n v="208"/>
    <n v="498"/>
    <n v="1136"/>
    <n v="97"/>
    <n v="148"/>
    <n v="0.98299999999999998"/>
  </r>
  <r>
    <n v="2016"/>
    <x v="14"/>
    <s v="LAN"/>
    <n v="1"/>
    <s v="Y"/>
    <s v="N"/>
    <s v="N"/>
    <s v="N"/>
    <n v="91"/>
    <n v="71"/>
    <n v="725"/>
    <n v="5518"/>
    <n v="1376"/>
    <n v="272"/>
    <n v="21"/>
    <n v="189"/>
    <n v="525"/>
    <n v="1321"/>
    <n v="45"/>
    <n v="26"/>
    <n v="58"/>
    <n v="32"/>
    <n v="638"/>
    <n v="598"/>
    <n v="3.7"/>
    <n v="3"/>
    <n v="15"/>
    <n v="47"/>
    <n v="4359"/>
    <n v="1266"/>
    <n v="165"/>
    <n v="464"/>
    <n v="1510"/>
    <n v="80"/>
    <n v="101"/>
    <n v="0.98599999999999999"/>
  </r>
  <r>
    <n v="2016"/>
    <x v="33"/>
    <s v="MIA"/>
    <n v="3"/>
    <s v="N"/>
    <s v="N"/>
    <s v="N"/>
    <s v="N"/>
    <n v="79"/>
    <n v="82"/>
    <n v="655"/>
    <n v="5547"/>
    <n v="1460"/>
    <n v="259"/>
    <n v="42"/>
    <n v="128"/>
    <n v="447"/>
    <n v="1213"/>
    <n v="71"/>
    <n v="28"/>
    <n v="54"/>
    <n v="38"/>
    <n v="682"/>
    <n v="646"/>
    <n v="4.05"/>
    <n v="0"/>
    <n v="12"/>
    <n v="55"/>
    <n v="4305"/>
    <n v="1358"/>
    <n v="152"/>
    <n v="595"/>
    <n v="1379"/>
    <n v="86"/>
    <n v="137"/>
    <n v="0.98499999999999999"/>
  </r>
  <r>
    <n v="2016"/>
    <x v="15"/>
    <s v="MIL"/>
    <n v="4"/>
    <s v="N"/>
    <s v="N"/>
    <s v="N"/>
    <s v="N"/>
    <n v="73"/>
    <n v="89"/>
    <n v="671"/>
    <n v="5330"/>
    <n v="1299"/>
    <n v="249"/>
    <n v="19"/>
    <n v="194"/>
    <n v="599"/>
    <n v="1543"/>
    <n v="181"/>
    <n v="56"/>
    <n v="37"/>
    <n v="39"/>
    <n v="733"/>
    <n v="650"/>
    <n v="4.08"/>
    <n v="0"/>
    <n v="7"/>
    <n v="46"/>
    <n v="4303"/>
    <n v="1450"/>
    <n v="178"/>
    <n v="532"/>
    <n v="1175"/>
    <n v="136"/>
    <n v="145"/>
    <n v="0.97799999999999998"/>
  </r>
  <r>
    <n v="2016"/>
    <x v="16"/>
    <s v="MIN"/>
    <n v="5"/>
    <s v="N"/>
    <s v="N"/>
    <s v="N"/>
    <s v="N"/>
    <n v="59"/>
    <n v="103"/>
    <n v="722"/>
    <n v="5618"/>
    <n v="1409"/>
    <n v="288"/>
    <n v="35"/>
    <n v="200"/>
    <n v="513"/>
    <n v="1426"/>
    <n v="91"/>
    <n v="32"/>
    <n v="44"/>
    <n v="43"/>
    <n v="889"/>
    <n v="814"/>
    <n v="5.08"/>
    <n v="4"/>
    <n v="3"/>
    <n v="26"/>
    <n v="4329"/>
    <n v="1617"/>
    <n v="221"/>
    <n v="479"/>
    <n v="1191"/>
    <n v="126"/>
    <n v="172"/>
    <n v="0.97899999999999998"/>
  </r>
  <r>
    <n v="2016"/>
    <x v="18"/>
    <s v="NYA"/>
    <n v="4"/>
    <s v="N"/>
    <s v="N"/>
    <s v="N"/>
    <s v="N"/>
    <n v="84"/>
    <n v="78"/>
    <n v="680"/>
    <n v="5458"/>
    <n v="1378"/>
    <n v="245"/>
    <n v="20"/>
    <n v="183"/>
    <n v="475"/>
    <n v="1188"/>
    <n v="72"/>
    <n v="22"/>
    <n v="42"/>
    <n v="49"/>
    <n v="702"/>
    <n v="660"/>
    <n v="4.16"/>
    <n v="0"/>
    <n v="10"/>
    <n v="48"/>
    <n v="4285"/>
    <n v="1358"/>
    <n v="214"/>
    <n v="444"/>
    <n v="1393"/>
    <n v="86"/>
    <n v="116"/>
    <n v="0.98499999999999999"/>
  </r>
  <r>
    <n v="2016"/>
    <x v="19"/>
    <s v="NYN"/>
    <n v="2"/>
    <s v="N"/>
    <s v="Y"/>
    <s v="N"/>
    <s v="N"/>
    <n v="87"/>
    <n v="75"/>
    <n v="671"/>
    <n v="5459"/>
    <n v="1342"/>
    <n v="240"/>
    <n v="19"/>
    <n v="218"/>
    <n v="517"/>
    <n v="1302"/>
    <n v="42"/>
    <n v="18"/>
    <n v="62"/>
    <n v="41"/>
    <n v="617"/>
    <n v="574"/>
    <n v="3.57"/>
    <n v="1"/>
    <n v="13"/>
    <n v="55"/>
    <n v="4341"/>
    <n v="1397"/>
    <n v="152"/>
    <n v="439"/>
    <n v="1396"/>
    <n v="90"/>
    <n v="138"/>
    <n v="0.98499999999999999"/>
  </r>
  <r>
    <n v="2016"/>
    <x v="20"/>
    <s v="OAK"/>
    <n v="5"/>
    <s v="N"/>
    <s v="N"/>
    <s v="N"/>
    <s v="N"/>
    <n v="69"/>
    <n v="93"/>
    <n v="653"/>
    <n v="5500"/>
    <n v="1352"/>
    <n v="270"/>
    <n v="21"/>
    <n v="169"/>
    <n v="442"/>
    <n v="1145"/>
    <n v="50"/>
    <n v="23"/>
    <n v="33"/>
    <n v="34"/>
    <n v="761"/>
    <n v="718"/>
    <n v="4.51"/>
    <n v="2"/>
    <n v="7"/>
    <n v="42"/>
    <n v="4300"/>
    <n v="1459"/>
    <n v="185"/>
    <n v="464"/>
    <n v="1188"/>
    <n v="97"/>
    <n v="152"/>
    <n v="0.98399999999999999"/>
  </r>
  <r>
    <n v="2016"/>
    <x v="21"/>
    <s v="PHI"/>
    <n v="4"/>
    <s v="N"/>
    <s v="N"/>
    <s v="N"/>
    <s v="N"/>
    <n v="71"/>
    <n v="91"/>
    <n v="610"/>
    <n v="5434"/>
    <n v="1305"/>
    <n v="231"/>
    <n v="35"/>
    <n v="161"/>
    <n v="424"/>
    <n v="1376"/>
    <n v="96"/>
    <n v="45"/>
    <n v="58"/>
    <n v="30"/>
    <n v="796"/>
    <n v="739"/>
    <n v="4.63"/>
    <n v="4"/>
    <n v="12"/>
    <n v="43"/>
    <n v="4311"/>
    <n v="1468"/>
    <n v="213"/>
    <n v="466"/>
    <n v="1299"/>
    <n v="97"/>
    <n v="142"/>
    <n v="0.98399999999999999"/>
  </r>
  <r>
    <n v="2016"/>
    <x v="22"/>
    <s v="PIT"/>
    <n v="3"/>
    <s v="N"/>
    <s v="N"/>
    <s v="N"/>
    <s v="N"/>
    <n v="78"/>
    <n v="83"/>
    <n v="729"/>
    <n v="5542"/>
    <n v="1426"/>
    <n v="277"/>
    <n v="32"/>
    <n v="153"/>
    <n v="561"/>
    <n v="1334"/>
    <n v="110"/>
    <n v="45"/>
    <n v="81"/>
    <n v="36"/>
    <n v="758"/>
    <n v="679"/>
    <n v="4.21"/>
    <n v="5"/>
    <n v="5"/>
    <n v="51"/>
    <n v="4352"/>
    <n v="1490"/>
    <n v="180"/>
    <n v="533"/>
    <n v="1232"/>
    <n v="111"/>
    <n v="172"/>
    <n v="0.98199999999999998"/>
  </r>
  <r>
    <n v="2016"/>
    <x v="23"/>
    <s v="SDN"/>
    <n v="5"/>
    <s v="N"/>
    <s v="N"/>
    <s v="N"/>
    <s v="N"/>
    <n v="68"/>
    <n v="94"/>
    <n v="686"/>
    <n v="5419"/>
    <n v="1275"/>
    <n v="257"/>
    <n v="26"/>
    <n v="177"/>
    <n v="449"/>
    <n v="1500"/>
    <n v="125"/>
    <n v="45"/>
    <n v="58"/>
    <n v="36"/>
    <n v="770"/>
    <n v="708"/>
    <n v="4.43"/>
    <n v="1"/>
    <n v="9"/>
    <n v="35"/>
    <n v="4320"/>
    <n v="1425"/>
    <n v="183"/>
    <n v="569"/>
    <n v="1222"/>
    <n v="109"/>
    <n v="165"/>
    <n v="0.98199999999999998"/>
  </r>
  <r>
    <n v="2016"/>
    <x v="24"/>
    <s v="SEA"/>
    <n v="2"/>
    <s v="N"/>
    <s v="N"/>
    <s v="N"/>
    <s v="N"/>
    <n v="86"/>
    <n v="76"/>
    <n v="768"/>
    <n v="5583"/>
    <n v="1446"/>
    <n v="251"/>
    <n v="17"/>
    <n v="223"/>
    <n v="506"/>
    <n v="1288"/>
    <n v="56"/>
    <n v="28"/>
    <n v="72"/>
    <n v="41"/>
    <n v="707"/>
    <n v="647"/>
    <n v="4"/>
    <n v="2"/>
    <n v="8"/>
    <n v="49"/>
    <n v="4371"/>
    <n v="1410"/>
    <n v="213"/>
    <n v="460"/>
    <n v="1318"/>
    <n v="89"/>
    <n v="158"/>
    <n v="0.98499999999999999"/>
  </r>
  <r>
    <n v="2016"/>
    <x v="25"/>
    <s v="SFN"/>
    <n v="2"/>
    <s v="N"/>
    <s v="Y"/>
    <s v="N"/>
    <s v="N"/>
    <n v="87"/>
    <n v="75"/>
    <n v="715"/>
    <n v="5565"/>
    <n v="1437"/>
    <n v="280"/>
    <n v="54"/>
    <n v="130"/>
    <n v="572"/>
    <n v="1107"/>
    <n v="79"/>
    <n v="36"/>
    <n v="42"/>
    <n v="46"/>
    <n v="631"/>
    <n v="593"/>
    <n v="3.65"/>
    <n v="10"/>
    <n v="11"/>
    <n v="43"/>
    <n v="4381"/>
    <n v="1334"/>
    <n v="158"/>
    <n v="439"/>
    <n v="1309"/>
    <n v="72"/>
    <n v="136"/>
    <n v="0.98799999999999999"/>
  </r>
  <r>
    <n v="2016"/>
    <x v="26"/>
    <s v="SLN"/>
    <n v="2"/>
    <s v="N"/>
    <s v="N"/>
    <s v="N"/>
    <s v="N"/>
    <n v="86"/>
    <n v="76"/>
    <n v="779"/>
    <n v="5548"/>
    <n v="1415"/>
    <n v="299"/>
    <n v="32"/>
    <n v="225"/>
    <n v="526"/>
    <n v="1318"/>
    <n v="35"/>
    <n v="26"/>
    <n v="70"/>
    <n v="41"/>
    <n v="712"/>
    <n v="656"/>
    <n v="4.08"/>
    <n v="2"/>
    <n v="10"/>
    <n v="38"/>
    <n v="4345"/>
    <n v="1432"/>
    <n v="159"/>
    <n v="475"/>
    <n v="1290"/>
    <n v="107"/>
    <n v="169"/>
    <n v="0.98299999999999998"/>
  </r>
  <r>
    <n v="2016"/>
    <x v="32"/>
    <s v="TBA"/>
    <n v="5"/>
    <s v="N"/>
    <s v="N"/>
    <s v="N"/>
    <s v="N"/>
    <n v="68"/>
    <n v="94"/>
    <n v="672"/>
    <n v="5481"/>
    <n v="1333"/>
    <n v="288"/>
    <n v="32"/>
    <n v="216"/>
    <n v="449"/>
    <n v="1482"/>
    <n v="60"/>
    <n v="37"/>
    <n v="69"/>
    <n v="28"/>
    <n v="713"/>
    <n v="665"/>
    <n v="4.2"/>
    <n v="1"/>
    <n v="8"/>
    <n v="42"/>
    <n v="4279"/>
    <n v="1395"/>
    <n v="210"/>
    <n v="491"/>
    <n v="1357"/>
    <n v="94"/>
    <n v="129"/>
    <n v="0.98399999999999999"/>
  </r>
  <r>
    <n v="2016"/>
    <x v="28"/>
    <s v="TEX"/>
    <n v="1"/>
    <s v="Y"/>
    <s v="N"/>
    <s v="N"/>
    <s v="N"/>
    <n v="95"/>
    <n v="67"/>
    <n v="765"/>
    <n v="5525"/>
    <n v="1446"/>
    <n v="257"/>
    <n v="23"/>
    <n v="215"/>
    <n v="436"/>
    <n v="1220"/>
    <n v="99"/>
    <n v="36"/>
    <n v="70"/>
    <n v="40"/>
    <n v="757"/>
    <n v="700"/>
    <n v="4.37"/>
    <n v="1"/>
    <n v="6"/>
    <n v="56"/>
    <n v="4329"/>
    <n v="1441"/>
    <n v="201"/>
    <n v="534"/>
    <n v="1154"/>
    <n v="97"/>
    <n v="190"/>
    <n v="0.98399999999999999"/>
  </r>
  <r>
    <n v="2016"/>
    <x v="29"/>
    <s v="TOR"/>
    <n v="2"/>
    <s v="N"/>
    <s v="Y"/>
    <s v="N"/>
    <s v="N"/>
    <n v="89"/>
    <n v="73"/>
    <n v="759"/>
    <n v="5479"/>
    <n v="1358"/>
    <n v="276"/>
    <n v="18"/>
    <n v="221"/>
    <n v="632"/>
    <n v="1362"/>
    <n v="54"/>
    <n v="24"/>
    <n v="55"/>
    <n v="40"/>
    <n v="666"/>
    <n v="613"/>
    <n v="3.78"/>
    <n v="0"/>
    <n v="10"/>
    <n v="43"/>
    <n v="4378"/>
    <n v="1340"/>
    <n v="183"/>
    <n v="461"/>
    <n v="1314"/>
    <n v="88"/>
    <n v="144"/>
    <n v="0.98599999999999999"/>
  </r>
  <r>
    <n v="2016"/>
    <x v="31"/>
    <s v="WAS"/>
    <n v="1"/>
    <s v="Y"/>
    <s v="N"/>
    <s v="N"/>
    <s v="N"/>
    <n v="95"/>
    <n v="67"/>
    <n v="763"/>
    <n v="5490"/>
    <n v="1403"/>
    <n v="268"/>
    <n v="29"/>
    <n v="203"/>
    <n v="536"/>
    <n v="1252"/>
    <n v="121"/>
    <n v="39"/>
    <n v="64"/>
    <n v="63"/>
    <n v="612"/>
    <n v="570"/>
    <n v="3.51"/>
    <n v="1"/>
    <n v="12"/>
    <n v="46"/>
    <n v="4379"/>
    <n v="1272"/>
    <n v="155"/>
    <n v="468"/>
    <n v="1476"/>
    <n v="73"/>
    <n v="142"/>
    <n v="0.98799999999999999"/>
  </r>
  <r>
    <n v="2017"/>
    <x v="1"/>
    <s v="ARI"/>
    <n v="2"/>
    <s v="N"/>
    <s v="Y"/>
    <s v="N"/>
    <s v="N"/>
    <n v="93"/>
    <n v="69"/>
    <n v="812"/>
    <n v="5525"/>
    <n v="1405"/>
    <n v="314"/>
    <n v="39"/>
    <n v="220"/>
    <n v="578"/>
    <n v="1456"/>
    <n v="103"/>
    <n v="30"/>
    <n v="54"/>
    <n v="27"/>
    <n v="659"/>
    <n v="586"/>
    <n v="3.66"/>
    <n v="2"/>
    <n v="11"/>
    <n v="43"/>
    <n v="4323"/>
    <n v="1309"/>
    <n v="171"/>
    <n v="516"/>
    <n v="1482"/>
    <n v="108"/>
    <n v="140"/>
    <n v="0.98199999999999998"/>
  </r>
  <r>
    <n v="2017"/>
    <x v="2"/>
    <s v="ATL"/>
    <n v="3"/>
    <s v="N"/>
    <s v="N"/>
    <s v="N"/>
    <s v="N"/>
    <n v="72"/>
    <n v="90"/>
    <n v="732"/>
    <n v="5584"/>
    <n v="1467"/>
    <n v="289"/>
    <n v="26"/>
    <n v="165"/>
    <n v="474"/>
    <n v="1184"/>
    <n v="77"/>
    <n v="31"/>
    <n v="66"/>
    <n v="32"/>
    <n v="821"/>
    <n v="756"/>
    <n v="4.72"/>
    <n v="0"/>
    <n v="6"/>
    <n v="36"/>
    <n v="4324"/>
    <n v="1463"/>
    <n v="192"/>
    <n v="584"/>
    <n v="1258"/>
    <n v="97"/>
    <n v="137"/>
    <n v="0.98399999999999999"/>
  </r>
  <r>
    <n v="2017"/>
    <x v="3"/>
    <s v="BAL"/>
    <n v="5"/>
    <s v="N"/>
    <s v="N"/>
    <s v="N"/>
    <s v="N"/>
    <n v="75"/>
    <n v="87"/>
    <n v="743"/>
    <n v="5650"/>
    <n v="1469"/>
    <n v="269"/>
    <n v="12"/>
    <n v="232"/>
    <n v="392"/>
    <n v="1412"/>
    <n v="32"/>
    <n v="13"/>
    <n v="50"/>
    <n v="37"/>
    <n v="841"/>
    <n v="795"/>
    <n v="4.97"/>
    <n v="1"/>
    <n v="10"/>
    <n v="35"/>
    <n v="4323"/>
    <n v="1505"/>
    <n v="242"/>
    <n v="579"/>
    <n v="1233"/>
    <n v="94"/>
    <n v="175"/>
    <n v="0.98399999999999999"/>
  </r>
  <r>
    <n v="2017"/>
    <x v="4"/>
    <s v="BOS"/>
    <n v="1"/>
    <s v="Y"/>
    <s v="N"/>
    <s v="N"/>
    <s v="N"/>
    <n v="93"/>
    <n v="69"/>
    <n v="785"/>
    <n v="5669"/>
    <n v="1461"/>
    <n v="302"/>
    <n v="19"/>
    <n v="168"/>
    <n v="571"/>
    <n v="1224"/>
    <n v="106"/>
    <n v="31"/>
    <n v="53"/>
    <n v="36"/>
    <n v="668"/>
    <n v="610"/>
    <n v="3.7"/>
    <n v="5"/>
    <n v="11"/>
    <n v="39"/>
    <n v="4447"/>
    <n v="1384"/>
    <n v="195"/>
    <n v="465"/>
    <n v="1580"/>
    <n v="107"/>
    <n v="126"/>
    <n v="0.98199999999999998"/>
  </r>
  <r>
    <n v="2017"/>
    <x v="5"/>
    <s v="CHA"/>
    <n v="4"/>
    <s v="N"/>
    <s v="N"/>
    <s v="N"/>
    <s v="N"/>
    <n v="67"/>
    <n v="95"/>
    <n v="706"/>
    <n v="5513"/>
    <n v="1412"/>
    <n v="256"/>
    <n v="37"/>
    <n v="186"/>
    <n v="401"/>
    <n v="1397"/>
    <n v="71"/>
    <n v="31"/>
    <n v="76"/>
    <n v="33"/>
    <n v="820"/>
    <n v="755"/>
    <n v="4.78"/>
    <n v="0"/>
    <n v="3"/>
    <n v="25"/>
    <n v="4265"/>
    <n v="1384"/>
    <n v="242"/>
    <n v="632"/>
    <n v="1193"/>
    <n v="114"/>
    <n v="157"/>
    <n v="0.98099999999999998"/>
  </r>
  <r>
    <n v="2017"/>
    <x v="6"/>
    <s v="CHN"/>
    <n v="1"/>
    <s v="Y"/>
    <s v="N"/>
    <s v="N"/>
    <s v="N"/>
    <n v="92"/>
    <n v="70"/>
    <n v="822"/>
    <n v="5496"/>
    <n v="1402"/>
    <n v="274"/>
    <n v="29"/>
    <n v="223"/>
    <n v="622"/>
    <n v="1401"/>
    <n v="62"/>
    <n v="31"/>
    <n v="82"/>
    <n v="32"/>
    <n v="695"/>
    <n v="636"/>
    <n v="3.95"/>
    <n v="2"/>
    <n v="8"/>
    <n v="38"/>
    <n v="4342"/>
    <n v="1294"/>
    <n v="194"/>
    <n v="554"/>
    <n v="1439"/>
    <n v="95"/>
    <n v="139"/>
    <n v="0.98399999999999999"/>
  </r>
  <r>
    <n v="2017"/>
    <x v="7"/>
    <s v="CIN"/>
    <n v="5"/>
    <s v="N"/>
    <s v="N"/>
    <s v="N"/>
    <s v="N"/>
    <n v="68"/>
    <n v="94"/>
    <n v="753"/>
    <n v="5484"/>
    <n v="1390"/>
    <n v="249"/>
    <n v="38"/>
    <n v="219"/>
    <n v="565"/>
    <n v="1329"/>
    <n v="120"/>
    <n v="39"/>
    <n v="72"/>
    <n v="42"/>
    <n v="869"/>
    <n v="821"/>
    <n v="5.17"/>
    <n v="2"/>
    <n v="8"/>
    <n v="33"/>
    <n v="4290"/>
    <n v="1442"/>
    <n v="248"/>
    <n v="631"/>
    <n v="1300"/>
    <n v="81"/>
    <n v="132"/>
    <n v="0.98599999999999999"/>
  </r>
  <r>
    <n v="2017"/>
    <x v="8"/>
    <s v="CLE"/>
    <n v="1"/>
    <s v="Y"/>
    <s v="N"/>
    <s v="N"/>
    <s v="N"/>
    <n v="102"/>
    <n v="60"/>
    <n v="818"/>
    <n v="5511"/>
    <n v="1449"/>
    <n v="333"/>
    <n v="29"/>
    <n v="212"/>
    <n v="604"/>
    <n v="1153"/>
    <n v="88"/>
    <n v="23"/>
    <n v="50"/>
    <n v="45"/>
    <n v="564"/>
    <n v="529"/>
    <n v="3.3"/>
    <n v="7"/>
    <n v="19"/>
    <n v="37"/>
    <n v="4322"/>
    <n v="1267"/>
    <n v="163"/>
    <n v="406"/>
    <n v="1614"/>
    <n v="76"/>
    <n v="167"/>
    <n v="0.98699999999999999"/>
  </r>
  <r>
    <n v="2017"/>
    <x v="9"/>
    <s v="COL"/>
    <n v="3"/>
    <s v="N"/>
    <s v="Y"/>
    <s v="N"/>
    <s v="N"/>
    <n v="87"/>
    <n v="75"/>
    <n v="824"/>
    <n v="5534"/>
    <n v="1510"/>
    <n v="293"/>
    <n v="38"/>
    <n v="192"/>
    <n v="519"/>
    <n v="1408"/>
    <n v="59"/>
    <n v="34"/>
    <n v="44"/>
    <n v="41"/>
    <n v="757"/>
    <n v="721"/>
    <n v="4.51"/>
    <n v="1"/>
    <n v="9"/>
    <n v="47"/>
    <n v="4313"/>
    <n v="1453"/>
    <n v="190"/>
    <n v="532"/>
    <n v="1270"/>
    <n v="77"/>
    <n v="168"/>
    <n v="0.98699999999999999"/>
  </r>
  <r>
    <n v="2017"/>
    <x v="10"/>
    <s v="DET"/>
    <n v="5"/>
    <s v="N"/>
    <s v="N"/>
    <s v="N"/>
    <s v="N"/>
    <n v="64"/>
    <n v="98"/>
    <n v="735"/>
    <n v="5556"/>
    <n v="1435"/>
    <n v="289"/>
    <n v="35"/>
    <n v="187"/>
    <n v="503"/>
    <n v="1313"/>
    <n v="65"/>
    <n v="34"/>
    <n v="52"/>
    <n v="27"/>
    <n v="894"/>
    <n v="846"/>
    <n v="5.36"/>
    <n v="2"/>
    <n v="4"/>
    <n v="32"/>
    <n v="4261"/>
    <n v="1587"/>
    <n v="218"/>
    <n v="538"/>
    <n v="1202"/>
    <n v="84"/>
    <n v="146"/>
    <n v="0.98499999999999999"/>
  </r>
  <r>
    <n v="2017"/>
    <x v="12"/>
    <s v="HOU"/>
    <n v="1"/>
    <s v="Y"/>
    <s v="N"/>
    <s v="Y"/>
    <s v="Y"/>
    <n v="101"/>
    <n v="61"/>
    <n v="896"/>
    <n v="5611"/>
    <n v="1581"/>
    <n v="346"/>
    <n v="20"/>
    <n v="238"/>
    <n v="509"/>
    <n v="1087"/>
    <n v="98"/>
    <n v="42"/>
    <n v="70"/>
    <n v="61"/>
    <n v="700"/>
    <n v="662"/>
    <n v="4.12"/>
    <n v="1"/>
    <n v="9"/>
    <n v="45"/>
    <n v="4338"/>
    <n v="1314"/>
    <n v="192"/>
    <n v="522"/>
    <n v="1593"/>
    <n v="99"/>
    <n v="153"/>
    <n v="0.98299999999999998"/>
  </r>
  <r>
    <n v="2017"/>
    <x v="13"/>
    <s v="KCA"/>
    <n v="3"/>
    <s v="N"/>
    <s v="N"/>
    <s v="N"/>
    <s v="N"/>
    <n v="80"/>
    <n v="82"/>
    <n v="702"/>
    <n v="5536"/>
    <n v="1436"/>
    <n v="260"/>
    <n v="24"/>
    <n v="193"/>
    <n v="390"/>
    <n v="1166"/>
    <n v="91"/>
    <n v="31"/>
    <n v="45"/>
    <n v="37"/>
    <n v="791"/>
    <n v="737"/>
    <n v="4.6100000000000003"/>
    <n v="1"/>
    <n v="6"/>
    <n v="39"/>
    <n v="4313"/>
    <n v="1480"/>
    <n v="196"/>
    <n v="519"/>
    <n v="1216"/>
    <n v="79"/>
    <n v="145"/>
    <n v="0.98699999999999999"/>
  </r>
  <r>
    <n v="2017"/>
    <x v="30"/>
    <s v="LAA"/>
    <n v="2"/>
    <s v="N"/>
    <s v="N"/>
    <s v="N"/>
    <s v="N"/>
    <n v="80"/>
    <n v="82"/>
    <n v="710"/>
    <n v="5415"/>
    <n v="1314"/>
    <n v="251"/>
    <n v="14"/>
    <n v="186"/>
    <n v="523"/>
    <n v="1198"/>
    <n v="136"/>
    <n v="44"/>
    <n v="70"/>
    <n v="46"/>
    <n v="709"/>
    <n v="672"/>
    <n v="4.2"/>
    <n v="1"/>
    <n v="10"/>
    <n v="43"/>
    <n v="4322"/>
    <n v="1373"/>
    <n v="224"/>
    <n v="470"/>
    <n v="1312"/>
    <n v="80"/>
    <n v="135"/>
    <n v="0.98599999999999999"/>
  </r>
  <r>
    <n v="2017"/>
    <x v="14"/>
    <s v="LAN"/>
    <n v="1"/>
    <s v="Y"/>
    <s v="N"/>
    <s v="Y"/>
    <s v="N"/>
    <n v="104"/>
    <n v="58"/>
    <n v="770"/>
    <n v="5408"/>
    <n v="1347"/>
    <n v="312"/>
    <n v="20"/>
    <n v="221"/>
    <n v="649"/>
    <n v="1380"/>
    <n v="77"/>
    <n v="28"/>
    <n v="64"/>
    <n v="38"/>
    <n v="580"/>
    <n v="543"/>
    <n v="3.38"/>
    <n v="2"/>
    <n v="16"/>
    <n v="51"/>
    <n v="4334"/>
    <n v="1226"/>
    <n v="184"/>
    <n v="442"/>
    <n v="1549"/>
    <n v="88"/>
    <n v="131"/>
    <n v="0.98499999999999999"/>
  </r>
  <r>
    <n v="2017"/>
    <x v="33"/>
    <s v="MIA"/>
    <n v="2"/>
    <s v="N"/>
    <s v="N"/>
    <s v="N"/>
    <s v="N"/>
    <n v="77"/>
    <n v="85"/>
    <n v="778"/>
    <n v="5602"/>
    <n v="1497"/>
    <n v="271"/>
    <n v="31"/>
    <n v="194"/>
    <n v="486"/>
    <n v="1282"/>
    <n v="91"/>
    <n v="30"/>
    <n v="67"/>
    <n v="41"/>
    <n v="822"/>
    <n v="772"/>
    <n v="4.82"/>
    <n v="1"/>
    <n v="7"/>
    <n v="34"/>
    <n v="4328"/>
    <n v="1450"/>
    <n v="193"/>
    <n v="627"/>
    <n v="1202"/>
    <n v="73"/>
    <n v="156"/>
    <n v="0.98799999999999999"/>
  </r>
  <r>
    <n v="2017"/>
    <x v="15"/>
    <s v="MIL"/>
    <n v="2"/>
    <s v="N"/>
    <s v="N"/>
    <s v="N"/>
    <s v="N"/>
    <n v="86"/>
    <n v="76"/>
    <n v="732"/>
    <n v="5467"/>
    <n v="1363"/>
    <n v="267"/>
    <n v="22"/>
    <n v="224"/>
    <n v="547"/>
    <n v="1571"/>
    <n v="128"/>
    <n v="41"/>
    <n v="53"/>
    <n v="26"/>
    <n v="697"/>
    <n v="642"/>
    <n v="4"/>
    <n v="1"/>
    <n v="12"/>
    <n v="54"/>
    <n v="4337"/>
    <n v="1381"/>
    <n v="185"/>
    <n v="553"/>
    <n v="1346"/>
    <n v="115"/>
    <n v="164"/>
    <n v="0.98099999999999998"/>
  </r>
  <r>
    <n v="2017"/>
    <x v="16"/>
    <s v="MIN"/>
    <n v="2"/>
    <s v="N"/>
    <s v="Y"/>
    <s v="N"/>
    <s v="N"/>
    <n v="85"/>
    <n v="77"/>
    <n v="815"/>
    <n v="5557"/>
    <n v="1444"/>
    <n v="286"/>
    <n v="31"/>
    <n v="206"/>
    <n v="593"/>
    <n v="1342"/>
    <n v="95"/>
    <n v="28"/>
    <n v="46"/>
    <n v="39"/>
    <n v="788"/>
    <n v="732"/>
    <n v="4.59"/>
    <n v="6"/>
    <n v="11"/>
    <n v="42"/>
    <n v="4308"/>
    <n v="1487"/>
    <n v="224"/>
    <n v="483"/>
    <n v="1166"/>
    <n v="78"/>
    <n v="143"/>
    <n v="0.98699999999999999"/>
  </r>
  <r>
    <n v="2017"/>
    <x v="18"/>
    <s v="NYA"/>
    <n v="2"/>
    <s v="N"/>
    <s v="Y"/>
    <s v="N"/>
    <s v="N"/>
    <n v="91"/>
    <n v="71"/>
    <n v="858"/>
    <n v="5594"/>
    <n v="1463"/>
    <n v="266"/>
    <n v="23"/>
    <n v="241"/>
    <n v="616"/>
    <n v="1386"/>
    <n v="90"/>
    <n v="22"/>
    <n v="64"/>
    <n v="56"/>
    <n v="660"/>
    <n v="599"/>
    <n v="3.72"/>
    <n v="2"/>
    <n v="7"/>
    <n v="36"/>
    <n v="4346"/>
    <n v="1248"/>
    <n v="192"/>
    <n v="504"/>
    <n v="1560"/>
    <n v="95"/>
    <n v="102"/>
    <n v="0.98399999999999999"/>
  </r>
  <r>
    <n v="2017"/>
    <x v="19"/>
    <s v="NYN"/>
    <n v="4"/>
    <s v="N"/>
    <s v="N"/>
    <s v="N"/>
    <s v="N"/>
    <n v="70"/>
    <n v="92"/>
    <n v="735"/>
    <n v="5510"/>
    <n v="1379"/>
    <n v="286"/>
    <n v="28"/>
    <n v="224"/>
    <n v="529"/>
    <n v="1291"/>
    <n v="58"/>
    <n v="23"/>
    <n v="57"/>
    <n v="37"/>
    <n v="863"/>
    <n v="799"/>
    <n v="5.01"/>
    <n v="2"/>
    <n v="5"/>
    <n v="34"/>
    <n v="4304"/>
    <n v="1538"/>
    <n v="220"/>
    <n v="593"/>
    <n v="1374"/>
    <n v="92"/>
    <n v="125"/>
    <n v="0.98399999999999999"/>
  </r>
  <r>
    <n v="2017"/>
    <x v="20"/>
    <s v="OAK"/>
    <n v="5"/>
    <s v="N"/>
    <s v="N"/>
    <s v="N"/>
    <s v="N"/>
    <n v="75"/>
    <n v="87"/>
    <n v="739"/>
    <n v="5464"/>
    <n v="1344"/>
    <n v="305"/>
    <n v="15"/>
    <n v="234"/>
    <n v="565"/>
    <n v="1491"/>
    <n v="57"/>
    <n v="22"/>
    <n v="43"/>
    <n v="40"/>
    <n v="826"/>
    <n v="743"/>
    <n v="4.67"/>
    <n v="1"/>
    <n v="6"/>
    <n v="35"/>
    <n v="4293"/>
    <n v="1444"/>
    <n v="210"/>
    <n v="502"/>
    <n v="1202"/>
    <n v="121"/>
    <n v="162"/>
    <n v="0.98"/>
  </r>
  <r>
    <n v="2017"/>
    <x v="21"/>
    <s v="PHI"/>
    <n v="5"/>
    <s v="N"/>
    <s v="N"/>
    <s v="N"/>
    <s v="N"/>
    <n v="66"/>
    <n v="96"/>
    <n v="690"/>
    <n v="5535"/>
    <n v="1382"/>
    <n v="287"/>
    <n v="36"/>
    <n v="174"/>
    <n v="494"/>
    <n v="1417"/>
    <n v="59"/>
    <n v="25"/>
    <n v="47"/>
    <n v="36"/>
    <n v="782"/>
    <n v="729"/>
    <n v="4.55"/>
    <n v="1"/>
    <n v="7"/>
    <n v="33"/>
    <n v="4323"/>
    <n v="1471"/>
    <n v="221"/>
    <n v="527"/>
    <n v="1309"/>
    <n v="82"/>
    <n v="145"/>
    <n v="0.98599999999999999"/>
  </r>
  <r>
    <n v="2017"/>
    <x v="22"/>
    <s v="PIT"/>
    <n v="4"/>
    <s v="N"/>
    <s v="N"/>
    <s v="N"/>
    <s v="N"/>
    <n v="75"/>
    <n v="87"/>
    <n v="668"/>
    <n v="5458"/>
    <n v="1331"/>
    <n v="249"/>
    <n v="36"/>
    <n v="151"/>
    <n v="519"/>
    <n v="1213"/>
    <n v="67"/>
    <n v="36"/>
    <n v="88"/>
    <n v="28"/>
    <n v="731"/>
    <n v="676"/>
    <n v="4.22"/>
    <n v="2"/>
    <n v="12"/>
    <n v="36"/>
    <n v="4322"/>
    <n v="1464"/>
    <n v="182"/>
    <n v="511"/>
    <n v="1262"/>
    <n v="99"/>
    <n v="156"/>
    <n v="0.98399999999999999"/>
  </r>
  <r>
    <n v="2017"/>
    <x v="23"/>
    <s v="SDN"/>
    <n v="4"/>
    <s v="N"/>
    <s v="N"/>
    <s v="N"/>
    <s v="N"/>
    <n v="71"/>
    <n v="91"/>
    <n v="604"/>
    <n v="5356"/>
    <n v="1251"/>
    <n v="227"/>
    <n v="31"/>
    <n v="189"/>
    <n v="460"/>
    <n v="1499"/>
    <n v="89"/>
    <n v="33"/>
    <n v="53"/>
    <n v="33"/>
    <n v="816"/>
    <n v="742"/>
    <n v="4.67"/>
    <n v="2"/>
    <n v="12"/>
    <n v="45"/>
    <n v="4292"/>
    <n v="1417"/>
    <n v="226"/>
    <n v="554"/>
    <n v="1325"/>
    <n v="113"/>
    <n v="177"/>
    <n v="0.98099999999999998"/>
  </r>
  <r>
    <n v="2017"/>
    <x v="24"/>
    <s v="SEA"/>
    <n v="3"/>
    <s v="N"/>
    <s v="N"/>
    <s v="N"/>
    <s v="N"/>
    <n v="78"/>
    <n v="84"/>
    <n v="750"/>
    <n v="5551"/>
    <n v="1436"/>
    <n v="281"/>
    <n v="17"/>
    <n v="200"/>
    <n v="487"/>
    <n v="1267"/>
    <n v="89"/>
    <n v="35"/>
    <n v="78"/>
    <n v="35"/>
    <n v="772"/>
    <n v="713"/>
    <n v="4.46"/>
    <n v="1"/>
    <n v="9"/>
    <n v="39"/>
    <n v="4321"/>
    <n v="1399"/>
    <n v="237"/>
    <n v="490"/>
    <n v="1244"/>
    <n v="103"/>
    <n v="147"/>
    <n v="0.98199999999999998"/>
  </r>
  <r>
    <n v="2017"/>
    <x v="25"/>
    <s v="SFN"/>
    <n v="5"/>
    <s v="N"/>
    <s v="N"/>
    <s v="N"/>
    <s v="N"/>
    <n v="64"/>
    <n v="98"/>
    <n v="639"/>
    <n v="5551"/>
    <n v="1382"/>
    <n v="290"/>
    <n v="28"/>
    <n v="128"/>
    <n v="467"/>
    <n v="1204"/>
    <n v="76"/>
    <n v="34"/>
    <n v="36"/>
    <n v="52"/>
    <n v="776"/>
    <n v="726"/>
    <n v="4.5"/>
    <n v="3"/>
    <n v="5"/>
    <n v="32"/>
    <n v="4356"/>
    <n v="1515"/>
    <n v="182"/>
    <n v="496"/>
    <n v="1234"/>
    <n v="87"/>
    <n v="127"/>
    <n v="0.98499999999999999"/>
  </r>
  <r>
    <n v="2017"/>
    <x v="26"/>
    <s v="SLN"/>
    <n v="3"/>
    <s v="N"/>
    <s v="N"/>
    <s v="N"/>
    <s v="N"/>
    <n v="83"/>
    <n v="79"/>
    <n v="761"/>
    <n v="5470"/>
    <n v="1402"/>
    <n v="284"/>
    <n v="28"/>
    <n v="196"/>
    <n v="593"/>
    <n v="1348"/>
    <n v="81"/>
    <n v="31"/>
    <n v="65"/>
    <n v="44"/>
    <n v="705"/>
    <n v="646"/>
    <n v="4.01"/>
    <n v="3"/>
    <n v="12"/>
    <n v="43"/>
    <n v="4351"/>
    <n v="1393"/>
    <n v="183"/>
    <n v="493"/>
    <n v="1351"/>
    <n v="94"/>
    <n v="164"/>
    <n v="0.98399999999999999"/>
  </r>
  <r>
    <n v="2017"/>
    <x v="32"/>
    <s v="TBA"/>
    <n v="3"/>
    <s v="N"/>
    <s v="N"/>
    <s v="N"/>
    <s v="N"/>
    <n v="80"/>
    <n v="82"/>
    <n v="694"/>
    <n v="5478"/>
    <n v="1340"/>
    <n v="226"/>
    <n v="32"/>
    <n v="228"/>
    <n v="545"/>
    <n v="1538"/>
    <n v="88"/>
    <n v="34"/>
    <n v="55"/>
    <n v="48"/>
    <n v="704"/>
    <n v="638"/>
    <n v="3.97"/>
    <n v="0"/>
    <n v="9"/>
    <n v="53"/>
    <n v="4335"/>
    <n v="1324"/>
    <n v="193"/>
    <n v="503"/>
    <n v="1352"/>
    <n v="100"/>
    <n v="129"/>
    <n v="0.98299999999999998"/>
  </r>
  <r>
    <n v="2017"/>
    <x v="28"/>
    <s v="TEX"/>
    <n v="4"/>
    <s v="N"/>
    <s v="N"/>
    <s v="N"/>
    <s v="N"/>
    <n v="78"/>
    <n v="84"/>
    <n v="799"/>
    <n v="5430"/>
    <n v="1326"/>
    <n v="255"/>
    <n v="21"/>
    <n v="237"/>
    <n v="544"/>
    <n v="1493"/>
    <n v="113"/>
    <n v="44"/>
    <n v="81"/>
    <n v="39"/>
    <n v="816"/>
    <n v="742"/>
    <n v="4.66"/>
    <n v="2"/>
    <n v="6"/>
    <n v="29"/>
    <n v="4303"/>
    <n v="1443"/>
    <n v="214"/>
    <n v="559"/>
    <n v="1107"/>
    <n v="108"/>
    <n v="173"/>
    <n v="0.98199999999999998"/>
  </r>
  <r>
    <n v="2017"/>
    <x v="29"/>
    <s v="TOR"/>
    <n v="4"/>
    <s v="N"/>
    <s v="N"/>
    <s v="N"/>
    <s v="N"/>
    <n v="76"/>
    <n v="86"/>
    <n v="693"/>
    <n v="5499"/>
    <n v="1320"/>
    <n v="269"/>
    <n v="5"/>
    <n v="222"/>
    <n v="542"/>
    <n v="1327"/>
    <n v="53"/>
    <n v="24"/>
    <n v="51"/>
    <n v="35"/>
    <n v="784"/>
    <n v="720"/>
    <n v="4.42"/>
    <n v="2"/>
    <n v="6"/>
    <n v="45"/>
    <n v="4395"/>
    <n v="1460"/>
    <n v="203"/>
    <n v="549"/>
    <n v="1372"/>
    <n v="92"/>
    <n v="145"/>
    <n v="0.98499999999999999"/>
  </r>
  <r>
    <n v="2017"/>
    <x v="31"/>
    <s v="WAS"/>
    <n v="1"/>
    <s v="Y"/>
    <s v="N"/>
    <s v="N"/>
    <s v="N"/>
    <n v="97"/>
    <n v="65"/>
    <n v="819"/>
    <n v="5553"/>
    <n v="1477"/>
    <n v="311"/>
    <n v="31"/>
    <n v="215"/>
    <n v="542"/>
    <n v="1327"/>
    <n v="108"/>
    <n v="30"/>
    <n v="31"/>
    <n v="45"/>
    <n v="672"/>
    <n v="623"/>
    <n v="3.88"/>
    <n v="3"/>
    <n v="5"/>
    <n v="46"/>
    <n v="4340"/>
    <n v="1300"/>
    <n v="189"/>
    <n v="495"/>
    <n v="1457"/>
    <n v="86"/>
    <n v="139"/>
    <n v="0.98499999999999999"/>
  </r>
  <r>
    <n v="2018"/>
    <x v="1"/>
    <s v="ARI"/>
    <n v="3"/>
    <s v="N"/>
    <s v="N"/>
    <s v="N"/>
    <s v="N"/>
    <n v="82"/>
    <n v="80"/>
    <n v="693"/>
    <n v="5460"/>
    <n v="1283"/>
    <n v="259"/>
    <n v="50"/>
    <n v="176"/>
    <n v="560"/>
    <n v="1460"/>
    <n v="79"/>
    <n v="25"/>
    <n v="52"/>
    <n v="45"/>
    <n v="644"/>
    <n v="605"/>
    <n v="3.72"/>
    <n v="2"/>
    <n v="9"/>
    <n v="39"/>
    <n v="4389"/>
    <n v="1313"/>
    <n v="174"/>
    <n v="522"/>
    <n v="1448"/>
    <n v="75"/>
    <n v="152"/>
    <n v="0.98799999999999999"/>
  </r>
  <r>
    <n v="2018"/>
    <x v="2"/>
    <s v="ATL"/>
    <n v="1"/>
    <s v="Y"/>
    <s v="N"/>
    <s v="N"/>
    <s v="N"/>
    <n v="90"/>
    <n v="72"/>
    <n v="759"/>
    <n v="5582"/>
    <n v="1433"/>
    <n v="314"/>
    <n v="29"/>
    <n v="175"/>
    <n v="511"/>
    <n v="1290"/>
    <n v="90"/>
    <n v="36"/>
    <n v="66"/>
    <n v="43"/>
    <n v="657"/>
    <n v="607"/>
    <n v="3.75"/>
    <n v="2"/>
    <n v="11"/>
    <n v="40"/>
    <n v="4370"/>
    <n v="1236"/>
    <n v="153"/>
    <n v="635"/>
    <n v="1423"/>
    <n v="80"/>
    <n v="134"/>
    <n v="0.98599999999999999"/>
  </r>
  <r>
    <n v="2018"/>
    <x v="3"/>
    <s v="BAL"/>
    <n v="5"/>
    <s v="N"/>
    <s v="N"/>
    <s v="N"/>
    <s v="N"/>
    <n v="47"/>
    <n v="115"/>
    <n v="622"/>
    <n v="5507"/>
    <n v="1317"/>
    <n v="242"/>
    <n v="15"/>
    <n v="188"/>
    <n v="422"/>
    <n v="1412"/>
    <n v="81"/>
    <n v="22"/>
    <n v="57"/>
    <n v="35"/>
    <n v="892"/>
    <n v="824"/>
    <n v="5.18"/>
    <n v="2"/>
    <n v="7"/>
    <n v="28"/>
    <n v="4293"/>
    <n v="1552"/>
    <n v="234"/>
    <n v="589"/>
    <n v="1203"/>
    <n v="104"/>
    <n v="159"/>
    <n v="0.98199999999999998"/>
  </r>
  <r>
    <n v="2018"/>
    <x v="4"/>
    <s v="BOS"/>
    <n v="1"/>
    <s v="Y"/>
    <s v="N"/>
    <s v="Y"/>
    <s v="Y"/>
    <n v="108"/>
    <n v="54"/>
    <n v="876"/>
    <n v="5623"/>
    <n v="1509"/>
    <n v="355"/>
    <n v="31"/>
    <n v="208"/>
    <n v="569"/>
    <n v="1253"/>
    <n v="125"/>
    <n v="31"/>
    <n v="55"/>
    <n v="48"/>
    <n v="647"/>
    <n v="608"/>
    <n v="3.75"/>
    <n v="2"/>
    <n v="14"/>
    <n v="46"/>
    <n v="4376"/>
    <n v="1305"/>
    <n v="176"/>
    <n v="512"/>
    <n v="1558"/>
    <n v="77"/>
    <n v="106"/>
    <n v="0.98699999999999999"/>
  </r>
  <r>
    <n v="2018"/>
    <x v="5"/>
    <s v="CHA"/>
    <n v="4"/>
    <s v="N"/>
    <s v="N"/>
    <s v="N"/>
    <s v="N"/>
    <n v="62"/>
    <n v="100"/>
    <n v="656"/>
    <n v="5523"/>
    <n v="1332"/>
    <n v="259"/>
    <n v="40"/>
    <n v="182"/>
    <n v="425"/>
    <n v="1594"/>
    <n v="98"/>
    <n v="41"/>
    <n v="66"/>
    <n v="32"/>
    <n v="848"/>
    <n v="772"/>
    <n v="4.84"/>
    <n v="0"/>
    <n v="8"/>
    <n v="34"/>
    <n v="4311"/>
    <n v="1405"/>
    <n v="196"/>
    <n v="653"/>
    <n v="1259"/>
    <n v="114"/>
    <n v="135"/>
    <n v="0.98099999999999998"/>
  </r>
  <r>
    <n v="2018"/>
    <x v="6"/>
    <s v="CHN"/>
    <n v="2"/>
    <s v="N"/>
    <s v="Y"/>
    <s v="N"/>
    <s v="N"/>
    <n v="95"/>
    <n v="68"/>
    <n v="761"/>
    <n v="5624"/>
    <n v="1453"/>
    <n v="286"/>
    <n v="34"/>
    <n v="167"/>
    <n v="576"/>
    <n v="1388"/>
    <n v="66"/>
    <n v="38"/>
    <n v="78"/>
    <n v="46"/>
    <n v="645"/>
    <n v="598"/>
    <n v="3.65"/>
    <n v="1"/>
    <n v="18"/>
    <n v="46"/>
    <n v="4429"/>
    <n v="1319"/>
    <n v="157"/>
    <n v="622"/>
    <n v="1333"/>
    <n v="104"/>
    <n v="155"/>
    <n v="0.98299999999999998"/>
  </r>
  <r>
    <n v="2018"/>
    <x v="7"/>
    <s v="CIN"/>
    <n v="5"/>
    <s v="N"/>
    <s v="N"/>
    <s v="N"/>
    <s v="N"/>
    <n v="67"/>
    <n v="95"/>
    <n v="696"/>
    <n v="5532"/>
    <n v="1404"/>
    <n v="251"/>
    <n v="25"/>
    <n v="172"/>
    <n v="559"/>
    <n v="1376"/>
    <n v="77"/>
    <n v="33"/>
    <n v="65"/>
    <n v="35"/>
    <n v="819"/>
    <n v="741"/>
    <n v="4.63"/>
    <n v="1"/>
    <n v="6"/>
    <n v="38"/>
    <n v="4323"/>
    <n v="1491"/>
    <n v="228"/>
    <n v="532"/>
    <n v="1258"/>
    <n v="95"/>
    <n v="144"/>
    <n v="0.98399999999999999"/>
  </r>
  <r>
    <n v="2018"/>
    <x v="8"/>
    <s v="CLE"/>
    <n v="1"/>
    <s v="Y"/>
    <s v="N"/>
    <s v="N"/>
    <s v="N"/>
    <n v="91"/>
    <n v="71"/>
    <n v="818"/>
    <n v="5595"/>
    <n v="1447"/>
    <n v="297"/>
    <n v="19"/>
    <n v="216"/>
    <n v="554"/>
    <n v="1189"/>
    <n v="135"/>
    <n v="36"/>
    <n v="80"/>
    <n v="44"/>
    <n v="648"/>
    <n v="611"/>
    <n v="3.77"/>
    <n v="5"/>
    <n v="17"/>
    <n v="41"/>
    <n v="4372"/>
    <n v="1349"/>
    <n v="200"/>
    <n v="407"/>
    <n v="1544"/>
    <n v="83"/>
    <n v="123"/>
    <n v="0.98599999999999999"/>
  </r>
  <r>
    <n v="2018"/>
    <x v="9"/>
    <s v="COL"/>
    <n v="2"/>
    <s v="N"/>
    <s v="Y"/>
    <s v="N"/>
    <s v="N"/>
    <n v="91"/>
    <n v="72"/>
    <n v="780"/>
    <n v="5541"/>
    <n v="1418"/>
    <n v="280"/>
    <n v="42"/>
    <n v="210"/>
    <n v="507"/>
    <n v="1397"/>
    <n v="95"/>
    <n v="33"/>
    <n v="51"/>
    <n v="37"/>
    <n v="745"/>
    <n v="699"/>
    <n v="4.33"/>
    <n v="0"/>
    <n v="10"/>
    <n v="51"/>
    <n v="4357"/>
    <n v="1378"/>
    <n v="184"/>
    <n v="525"/>
    <n v="1409"/>
    <n v="74"/>
    <n v="162"/>
    <n v="0.98799999999999999"/>
  </r>
  <r>
    <n v="2018"/>
    <x v="10"/>
    <s v="DET"/>
    <n v="3"/>
    <s v="N"/>
    <s v="N"/>
    <s v="N"/>
    <s v="N"/>
    <n v="64"/>
    <n v="98"/>
    <n v="630"/>
    <n v="5494"/>
    <n v="1326"/>
    <n v="284"/>
    <n v="35"/>
    <n v="135"/>
    <n v="428"/>
    <n v="1341"/>
    <n v="70"/>
    <n v="30"/>
    <n v="52"/>
    <n v="40"/>
    <n v="796"/>
    <n v="726"/>
    <n v="4.58"/>
    <n v="0"/>
    <n v="2"/>
    <n v="37"/>
    <n v="4276"/>
    <n v="1423"/>
    <n v="216"/>
    <n v="491"/>
    <n v="1215"/>
    <n v="95"/>
    <n v="126"/>
    <n v="0.98399999999999999"/>
  </r>
  <r>
    <n v="2018"/>
    <x v="12"/>
    <s v="HOU"/>
    <n v="1"/>
    <s v="Y"/>
    <s v="N"/>
    <s v="N"/>
    <s v="N"/>
    <n v="103"/>
    <n v="59"/>
    <n v="797"/>
    <n v="5453"/>
    <n v="1390"/>
    <n v="278"/>
    <n v="18"/>
    <n v="205"/>
    <n v="565"/>
    <n v="1197"/>
    <n v="71"/>
    <n v="26"/>
    <n v="61"/>
    <n v="45"/>
    <n v="534"/>
    <n v="503"/>
    <n v="3.11"/>
    <n v="3"/>
    <n v="12"/>
    <n v="46"/>
    <n v="4365"/>
    <n v="1164"/>
    <n v="152"/>
    <n v="435"/>
    <n v="1687"/>
    <n v="63"/>
    <n v="116"/>
    <n v="0.98899999999999999"/>
  </r>
  <r>
    <n v="2018"/>
    <x v="13"/>
    <s v="KCA"/>
    <n v="5"/>
    <s v="N"/>
    <s v="N"/>
    <s v="N"/>
    <s v="N"/>
    <n v="58"/>
    <n v="104"/>
    <n v="638"/>
    <n v="5505"/>
    <n v="1350"/>
    <n v="283"/>
    <n v="29"/>
    <n v="155"/>
    <n v="427"/>
    <n v="1310"/>
    <n v="117"/>
    <n v="38"/>
    <n v="67"/>
    <n v="40"/>
    <n v="833"/>
    <n v="786"/>
    <n v="4.9400000000000004"/>
    <n v="2"/>
    <n v="8"/>
    <n v="33"/>
    <n v="4296"/>
    <n v="1542"/>
    <n v="205"/>
    <n v="549"/>
    <n v="1157"/>
    <n v="77"/>
    <n v="142"/>
    <n v="0.98699999999999999"/>
  </r>
  <r>
    <n v="2018"/>
    <x v="30"/>
    <s v="LAA"/>
    <n v="4"/>
    <s v="N"/>
    <s v="N"/>
    <s v="N"/>
    <s v="N"/>
    <n v="80"/>
    <n v="82"/>
    <n v="721"/>
    <n v="5472"/>
    <n v="1323"/>
    <n v="249"/>
    <n v="23"/>
    <n v="214"/>
    <n v="514"/>
    <n v="1300"/>
    <n v="89"/>
    <n v="22"/>
    <n v="73"/>
    <n v="39"/>
    <n v="722"/>
    <n v="662"/>
    <n v="4.1500000000000004"/>
    <n v="1"/>
    <n v="9"/>
    <n v="35"/>
    <n v="4312"/>
    <n v="1353"/>
    <n v="205"/>
    <n v="546"/>
    <n v="1386"/>
    <n v="76"/>
    <n v="173"/>
    <n v="0.98699999999999999"/>
  </r>
  <r>
    <n v="2018"/>
    <x v="14"/>
    <s v="LAN"/>
    <n v="1"/>
    <s v="Y"/>
    <s v="N"/>
    <s v="Y"/>
    <s v="N"/>
    <n v="92"/>
    <n v="71"/>
    <n v="804"/>
    <n v="5572"/>
    <n v="1394"/>
    <n v="296"/>
    <n v="33"/>
    <n v="235"/>
    <n v="647"/>
    <n v="1436"/>
    <n v="75"/>
    <n v="24"/>
    <n v="61"/>
    <n v="39"/>
    <n v="610"/>
    <n v="554"/>
    <n v="3.38"/>
    <n v="0"/>
    <n v="11"/>
    <n v="48"/>
    <n v="4428"/>
    <n v="1279"/>
    <n v="179"/>
    <n v="422"/>
    <n v="1565"/>
    <n v="100"/>
    <n v="111"/>
    <n v="0.98299999999999998"/>
  </r>
  <r>
    <n v="2018"/>
    <x v="33"/>
    <s v="MIA"/>
    <n v="5"/>
    <s v="N"/>
    <s v="N"/>
    <s v="N"/>
    <s v="N"/>
    <n v="63"/>
    <n v="98"/>
    <n v="589"/>
    <n v="5488"/>
    <n v="1303"/>
    <n v="222"/>
    <n v="24"/>
    <n v="128"/>
    <n v="455"/>
    <n v="1384"/>
    <n v="45"/>
    <n v="31"/>
    <n v="73"/>
    <n v="31"/>
    <n v="809"/>
    <n v="762"/>
    <n v="4.76"/>
    <n v="1"/>
    <n v="12"/>
    <n v="30"/>
    <n v="4326"/>
    <n v="1388"/>
    <n v="192"/>
    <n v="605"/>
    <n v="1249"/>
    <n v="83"/>
    <n v="133"/>
    <n v="0.98599999999999999"/>
  </r>
  <r>
    <n v="2018"/>
    <x v="15"/>
    <s v="MIL"/>
    <n v="1"/>
    <s v="Y"/>
    <s v="N"/>
    <s v="N"/>
    <s v="N"/>
    <n v="96"/>
    <n v="67"/>
    <n v="754"/>
    <n v="5542"/>
    <n v="1398"/>
    <n v="252"/>
    <n v="24"/>
    <n v="218"/>
    <n v="537"/>
    <n v="1458"/>
    <n v="124"/>
    <n v="32"/>
    <n v="58"/>
    <n v="41"/>
    <n v="659"/>
    <n v="606"/>
    <n v="3.73"/>
    <n v="0"/>
    <n v="14"/>
    <n v="49"/>
    <n v="4383"/>
    <n v="1259"/>
    <n v="173"/>
    <n v="553"/>
    <n v="1428"/>
    <n v="108"/>
    <n v="141"/>
    <n v="0.98199999999999998"/>
  </r>
  <r>
    <n v="2018"/>
    <x v="16"/>
    <s v="MIN"/>
    <n v="2"/>
    <s v="N"/>
    <s v="N"/>
    <s v="N"/>
    <s v="N"/>
    <n v="78"/>
    <n v="84"/>
    <n v="738"/>
    <n v="5526"/>
    <n v="1380"/>
    <n v="318"/>
    <n v="22"/>
    <n v="166"/>
    <n v="534"/>
    <n v="1328"/>
    <n v="47"/>
    <n v="27"/>
    <n v="37"/>
    <n v="38"/>
    <n v="775"/>
    <n v="721"/>
    <n v="4.5"/>
    <n v="2"/>
    <n v="7"/>
    <n v="37"/>
    <n v="4330"/>
    <n v="1425"/>
    <n v="198"/>
    <n v="573"/>
    <n v="1377"/>
    <n v="97"/>
    <n v="127"/>
    <n v="0.98399999999999999"/>
  </r>
  <r>
    <n v="2018"/>
    <x v="18"/>
    <s v="NYA"/>
    <n v="2"/>
    <s v="N"/>
    <s v="Y"/>
    <s v="N"/>
    <s v="N"/>
    <n v="100"/>
    <n v="62"/>
    <n v="851"/>
    <n v="5515"/>
    <n v="1374"/>
    <n v="269"/>
    <n v="23"/>
    <n v="267"/>
    <n v="625"/>
    <n v="1421"/>
    <n v="63"/>
    <n v="21"/>
    <n v="62"/>
    <n v="59"/>
    <n v="669"/>
    <n v="611"/>
    <n v="3.78"/>
    <n v="2"/>
    <n v="11"/>
    <n v="49"/>
    <n v="4369"/>
    <n v="1311"/>
    <n v="177"/>
    <n v="494"/>
    <n v="1634"/>
    <n v="94"/>
    <n v="95"/>
    <n v="0.98399999999999999"/>
  </r>
  <r>
    <n v="2018"/>
    <x v="19"/>
    <s v="NYN"/>
    <n v="4"/>
    <s v="N"/>
    <s v="N"/>
    <s v="N"/>
    <s v="N"/>
    <n v="77"/>
    <n v="85"/>
    <n v="676"/>
    <n v="5468"/>
    <n v="1282"/>
    <n v="265"/>
    <n v="34"/>
    <n v="170"/>
    <n v="566"/>
    <n v="1404"/>
    <n v="71"/>
    <n v="39"/>
    <n v="73"/>
    <n v="42"/>
    <n v="707"/>
    <n v="661"/>
    <n v="4.07"/>
    <n v="3"/>
    <n v="15"/>
    <n v="41"/>
    <n v="4382"/>
    <n v="1364"/>
    <n v="185"/>
    <n v="484"/>
    <n v="1446"/>
    <n v="88"/>
    <n v="121"/>
    <n v="0.98499999999999999"/>
  </r>
  <r>
    <n v="2018"/>
    <x v="20"/>
    <s v="OAK"/>
    <n v="2"/>
    <s v="N"/>
    <s v="Y"/>
    <s v="N"/>
    <s v="N"/>
    <n v="97"/>
    <n v="65"/>
    <n v="813"/>
    <n v="5579"/>
    <n v="1407"/>
    <n v="322"/>
    <n v="20"/>
    <n v="227"/>
    <n v="550"/>
    <n v="1381"/>
    <n v="35"/>
    <n v="21"/>
    <n v="76"/>
    <n v="44"/>
    <n v="674"/>
    <n v="621"/>
    <n v="3.81"/>
    <n v="2"/>
    <n v="14"/>
    <n v="44"/>
    <n v="4397"/>
    <n v="1303"/>
    <n v="184"/>
    <n v="474"/>
    <n v="1237"/>
    <n v="89"/>
    <n v="125"/>
    <n v="0.98499999999999999"/>
  </r>
  <r>
    <n v="2018"/>
    <x v="21"/>
    <s v="PHI"/>
    <n v="3"/>
    <s v="N"/>
    <s v="N"/>
    <s v="N"/>
    <s v="N"/>
    <n v="80"/>
    <n v="82"/>
    <n v="677"/>
    <n v="5424"/>
    <n v="1271"/>
    <n v="241"/>
    <n v="30"/>
    <n v="186"/>
    <n v="582"/>
    <n v="1520"/>
    <n v="69"/>
    <n v="26"/>
    <n v="64"/>
    <n v="32"/>
    <n v="728"/>
    <n v="665"/>
    <n v="4.1399999999999997"/>
    <n v="0"/>
    <n v="12"/>
    <n v="44"/>
    <n v="4337"/>
    <n v="1366"/>
    <n v="171"/>
    <n v="500"/>
    <n v="1465"/>
    <n v="123"/>
    <n v="138"/>
    <n v="0.97899999999999998"/>
  </r>
  <r>
    <n v="2018"/>
    <x v="22"/>
    <s v="PIT"/>
    <n v="4"/>
    <s v="N"/>
    <s v="N"/>
    <s v="N"/>
    <s v="N"/>
    <n v="82"/>
    <n v="79"/>
    <n v="692"/>
    <n v="5447"/>
    <n v="1381"/>
    <n v="290"/>
    <n v="38"/>
    <n v="157"/>
    <n v="474"/>
    <n v="1229"/>
    <n v="70"/>
    <n v="38"/>
    <n v="59"/>
    <n v="52"/>
    <n v="693"/>
    <n v="637"/>
    <n v="4"/>
    <n v="3"/>
    <n v="16"/>
    <n v="40"/>
    <n v="4302"/>
    <n v="1380"/>
    <n v="174"/>
    <n v="497"/>
    <n v="1336"/>
    <n v="105"/>
    <n v="129"/>
    <n v="0.98199999999999998"/>
  </r>
  <r>
    <n v="2018"/>
    <x v="23"/>
    <s v="SDN"/>
    <n v="5"/>
    <s v="N"/>
    <s v="N"/>
    <s v="N"/>
    <s v="N"/>
    <n v="66"/>
    <n v="96"/>
    <n v="617"/>
    <n v="5486"/>
    <n v="1289"/>
    <n v="250"/>
    <n v="30"/>
    <n v="162"/>
    <n v="471"/>
    <n v="1523"/>
    <n v="95"/>
    <n v="36"/>
    <n v="31"/>
    <n v="36"/>
    <n v="767"/>
    <n v="713"/>
    <n v="4.4000000000000004"/>
    <n v="0"/>
    <n v="5"/>
    <n v="36"/>
    <n v="4371"/>
    <n v="1430"/>
    <n v="185"/>
    <n v="519"/>
    <n v="1399"/>
    <n v="100"/>
    <n v="127"/>
    <n v="0.98299999999999998"/>
  </r>
  <r>
    <n v="2018"/>
    <x v="24"/>
    <s v="SEA"/>
    <n v="3"/>
    <s v="N"/>
    <s v="N"/>
    <s v="N"/>
    <s v="N"/>
    <n v="89"/>
    <n v="73"/>
    <n v="677"/>
    <n v="5513"/>
    <n v="1402"/>
    <n v="256"/>
    <n v="32"/>
    <n v="176"/>
    <n v="430"/>
    <n v="1221"/>
    <n v="79"/>
    <n v="37"/>
    <n v="70"/>
    <n v="41"/>
    <n v="711"/>
    <n v="664"/>
    <n v="4.13"/>
    <n v="3"/>
    <n v="12"/>
    <n v="60"/>
    <n v="4346"/>
    <n v="1396"/>
    <n v="195"/>
    <n v="400"/>
    <n v="1328"/>
    <n v="88"/>
    <n v="152"/>
    <n v="0.98499999999999999"/>
  </r>
  <r>
    <n v="2018"/>
    <x v="25"/>
    <s v="SFN"/>
    <n v="4"/>
    <s v="N"/>
    <s v="N"/>
    <s v="N"/>
    <s v="N"/>
    <n v="73"/>
    <n v="89"/>
    <n v="603"/>
    <n v="5541"/>
    <n v="1324"/>
    <n v="255"/>
    <n v="30"/>
    <n v="133"/>
    <n v="448"/>
    <n v="1467"/>
    <n v="77"/>
    <n v="34"/>
    <n v="49"/>
    <n v="42"/>
    <n v="699"/>
    <n v="641"/>
    <n v="3.95"/>
    <n v="1"/>
    <n v="15"/>
    <n v="36"/>
    <n v="4384"/>
    <n v="1387"/>
    <n v="156"/>
    <n v="524"/>
    <n v="1269"/>
    <n v="97"/>
    <n v="160"/>
    <n v="0.98399999999999999"/>
  </r>
  <r>
    <n v="2018"/>
    <x v="26"/>
    <s v="SLN"/>
    <n v="3"/>
    <s v="N"/>
    <s v="N"/>
    <s v="N"/>
    <s v="N"/>
    <n v="88"/>
    <n v="74"/>
    <n v="759"/>
    <n v="5498"/>
    <n v="1369"/>
    <n v="248"/>
    <n v="9"/>
    <n v="205"/>
    <n v="525"/>
    <n v="1380"/>
    <n v="63"/>
    <n v="32"/>
    <n v="80"/>
    <n v="48"/>
    <n v="691"/>
    <n v="622"/>
    <n v="3.85"/>
    <n v="1"/>
    <n v="8"/>
    <n v="43"/>
    <n v="4366"/>
    <n v="1354"/>
    <n v="144"/>
    <n v="593"/>
    <n v="1337"/>
    <n v="133"/>
    <n v="151"/>
    <n v="0.97799999999999998"/>
  </r>
  <r>
    <n v="2018"/>
    <x v="32"/>
    <s v="TBA"/>
    <n v="3"/>
    <s v="N"/>
    <s v="N"/>
    <s v="N"/>
    <s v="N"/>
    <n v="90"/>
    <n v="72"/>
    <n v="716"/>
    <n v="5475"/>
    <n v="1415"/>
    <n v="274"/>
    <n v="43"/>
    <n v="150"/>
    <n v="540"/>
    <n v="1388"/>
    <n v="128"/>
    <n v="51"/>
    <n v="101"/>
    <n v="50"/>
    <n v="646"/>
    <n v="602"/>
    <n v="3.74"/>
    <n v="0"/>
    <n v="14"/>
    <n v="52"/>
    <n v="4345"/>
    <n v="1236"/>
    <n v="164"/>
    <n v="501"/>
    <n v="1421"/>
    <n v="85"/>
    <n v="136"/>
    <n v="0.98599999999999999"/>
  </r>
  <r>
    <n v="2018"/>
    <x v="28"/>
    <s v="TEX"/>
    <n v="5"/>
    <s v="N"/>
    <s v="N"/>
    <s v="N"/>
    <s v="N"/>
    <n v="67"/>
    <n v="95"/>
    <n v="737"/>
    <n v="5453"/>
    <n v="1308"/>
    <n v="266"/>
    <n v="24"/>
    <n v="194"/>
    <n v="555"/>
    <n v="1484"/>
    <n v="74"/>
    <n v="35"/>
    <n v="88"/>
    <n v="34"/>
    <n v="848"/>
    <n v="783"/>
    <n v="4.92"/>
    <n v="1"/>
    <n v="5"/>
    <n v="42"/>
    <n v="4293"/>
    <n v="1516"/>
    <n v="222"/>
    <n v="491"/>
    <n v="1121"/>
    <n v="120"/>
    <n v="168"/>
    <n v="0.98"/>
  </r>
  <r>
    <n v="2018"/>
    <x v="29"/>
    <s v="TOR"/>
    <n v="4"/>
    <s v="N"/>
    <s v="N"/>
    <s v="N"/>
    <s v="N"/>
    <n v="73"/>
    <n v="89"/>
    <n v="709"/>
    <n v="5477"/>
    <n v="1336"/>
    <n v="320"/>
    <n v="16"/>
    <n v="217"/>
    <n v="499"/>
    <n v="1387"/>
    <n v="47"/>
    <n v="30"/>
    <n v="58"/>
    <n v="37"/>
    <n v="832"/>
    <n v="772"/>
    <n v="4.8499999999999996"/>
    <n v="0"/>
    <n v="3"/>
    <n v="39"/>
    <n v="4301"/>
    <n v="1476"/>
    <n v="208"/>
    <n v="551"/>
    <n v="1298"/>
    <n v="101"/>
    <n v="138"/>
    <n v="0.98299999999999998"/>
  </r>
  <r>
    <n v="2018"/>
    <x v="31"/>
    <s v="WAS"/>
    <n v="2"/>
    <s v="N"/>
    <s v="N"/>
    <s v="N"/>
    <s v="N"/>
    <n v="82"/>
    <n v="80"/>
    <n v="771"/>
    <n v="5517"/>
    <n v="1402"/>
    <n v="284"/>
    <n v="25"/>
    <n v="191"/>
    <n v="631"/>
    <n v="1289"/>
    <n v="119"/>
    <n v="33"/>
    <n v="59"/>
    <n v="40"/>
    <n v="682"/>
    <n v="649"/>
    <n v="4.04"/>
    <n v="2"/>
    <n v="7"/>
    <n v="40"/>
    <n v="4338"/>
    <n v="1320"/>
    <n v="198"/>
    <n v="487"/>
    <n v="1417"/>
    <n v="64"/>
    <n v="115"/>
    <n v="0.988999999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0">
  <r>
    <x v="0"/>
    <x v="0"/>
    <s v="2000 Anaheim Angels"/>
    <n v="5628"/>
    <x v="0"/>
    <x v="0"/>
    <n v="34"/>
    <n v="236"/>
    <n v="608"/>
    <n v="47"/>
    <n v="3399"/>
    <n v="6401"/>
    <n v="1007"/>
    <n v="276"/>
    <n v="23"/>
    <n v="228"/>
    <n v="662"/>
    <n v="36"/>
    <n v="4169"/>
  </r>
  <r>
    <x v="0"/>
    <x v="1"/>
    <s v="2000 Arizona Diamondbacks"/>
    <n v="5527"/>
    <x v="1"/>
    <x v="1"/>
    <n v="44"/>
    <n v="179"/>
    <n v="535"/>
    <n v="59"/>
    <n v="3467"/>
    <n v="6158"/>
    <n v="960"/>
    <n v="261"/>
    <n v="30"/>
    <n v="190"/>
    <n v="500"/>
    <n v="42"/>
    <n v="4175"/>
  </r>
  <r>
    <x v="0"/>
    <x v="2"/>
    <s v="2000 Atlanta Braves"/>
    <n v="5489"/>
    <x v="2"/>
    <x v="2"/>
    <n v="26"/>
    <n v="179"/>
    <n v="595"/>
    <n v="59"/>
    <n v="3345"/>
    <n v="6165"/>
    <n v="979"/>
    <n v="263"/>
    <n v="21"/>
    <n v="165"/>
    <n v="484"/>
    <n v="37"/>
    <n v="4216"/>
  </r>
  <r>
    <x v="0"/>
    <x v="3"/>
    <s v="2000 Baltimore Orioles"/>
    <n v="5549"/>
    <x v="3"/>
    <x v="3"/>
    <n v="22"/>
    <n v="184"/>
    <n v="558"/>
    <n v="49"/>
    <n v="3434"/>
    <n v="6433"/>
    <n v="1010"/>
    <n v="296"/>
    <n v="39"/>
    <n v="202"/>
    <n v="665"/>
    <n v="36"/>
    <n v="4185"/>
  </r>
  <r>
    <x v="0"/>
    <x v="4"/>
    <s v="2000 Boston Red Sox"/>
    <n v="5630"/>
    <x v="4"/>
    <x v="4"/>
    <n v="32"/>
    <n v="167"/>
    <n v="611"/>
    <n v="42"/>
    <n v="3474"/>
    <n v="6225"/>
    <n v="952"/>
    <n v="279"/>
    <n v="29"/>
    <n v="173"/>
    <n v="498"/>
    <n v="58"/>
    <n v="4236"/>
  </r>
  <r>
    <x v="0"/>
    <x v="5"/>
    <s v="2000 Chicago Cubs"/>
    <n v="5577"/>
    <x v="5"/>
    <x v="5"/>
    <n v="23"/>
    <n v="183"/>
    <n v="632"/>
    <n v="54"/>
    <n v="3465"/>
    <n v="6451"/>
    <n v="965"/>
    <n v="280"/>
    <n v="29"/>
    <n v="231"/>
    <n v="658"/>
    <n v="62"/>
    <n v="4226"/>
  </r>
  <r>
    <x v="0"/>
    <x v="6"/>
    <s v="2000 Chicago White Sox"/>
    <n v="5646"/>
    <x v="6"/>
    <x v="6"/>
    <n v="33"/>
    <n v="216"/>
    <n v="591"/>
    <n v="53"/>
    <n v="3387"/>
    <n v="6337"/>
    <n v="1018"/>
    <n v="263"/>
    <n v="33"/>
    <n v="195"/>
    <n v="614"/>
    <n v="54"/>
    <n v="4160"/>
  </r>
  <r>
    <x v="0"/>
    <x v="7"/>
    <s v="2000 Cincinnati Reds"/>
    <n v="5635"/>
    <x v="7"/>
    <x v="7"/>
    <n v="36"/>
    <n v="200"/>
    <n v="559"/>
    <n v="64"/>
    <n v="3467"/>
    <n v="6362"/>
    <n v="884"/>
    <n v="334"/>
    <n v="38"/>
    <n v="190"/>
    <n v="659"/>
    <n v="43"/>
    <n v="4214"/>
  </r>
  <r>
    <x v="0"/>
    <x v="8"/>
    <s v="2000 Cleveland Indians"/>
    <n v="5683"/>
    <x v="8"/>
    <x v="3"/>
    <n v="30"/>
    <n v="221"/>
    <n v="685"/>
    <n v="51"/>
    <n v="3308"/>
    <n v="6380"/>
    <n v="1021"/>
    <n v="288"/>
    <n v="29"/>
    <n v="173"/>
    <n v="666"/>
    <n v="42"/>
    <n v="4161"/>
  </r>
  <r>
    <x v="0"/>
    <x v="9"/>
    <s v="2000 Colorado Rockies"/>
    <n v="5660"/>
    <x v="9"/>
    <x v="8"/>
    <n v="53"/>
    <n v="161"/>
    <n v="601"/>
    <n v="42"/>
    <n v="3353"/>
    <n v="6340"/>
    <n v="990"/>
    <n v="319"/>
    <n v="38"/>
    <n v="221"/>
    <n v="588"/>
    <n v="72"/>
    <n v="4112"/>
  </r>
  <r>
    <x v="0"/>
    <x v="10"/>
    <s v="2000 Detroit Tigers"/>
    <n v="5644"/>
    <x v="10"/>
    <x v="9"/>
    <n v="41"/>
    <n v="177"/>
    <n v="562"/>
    <n v="43"/>
    <n v="3486"/>
    <n v="6295"/>
    <n v="1059"/>
    <n v="304"/>
    <n v="43"/>
    <n v="177"/>
    <n v="496"/>
    <n v="47"/>
    <n v="4169"/>
  </r>
  <r>
    <x v="0"/>
    <x v="11"/>
    <s v="2000 Florida Marlins"/>
    <n v="5509"/>
    <x v="11"/>
    <x v="2"/>
    <n v="29"/>
    <n v="160"/>
    <n v="540"/>
    <n v="60"/>
    <n v="3468"/>
    <n v="6307"/>
    <n v="980"/>
    <n v="284"/>
    <n v="44"/>
    <n v="169"/>
    <n v="650"/>
    <n v="43"/>
    <n v="4137"/>
  </r>
  <r>
    <x v="0"/>
    <x v="12"/>
    <s v="2000 Houston Astros"/>
    <n v="5570"/>
    <x v="12"/>
    <x v="10"/>
    <n v="36"/>
    <n v="249"/>
    <n v="673"/>
    <n v="83"/>
    <n v="3267"/>
    <n v="6455"/>
    <n v="1005"/>
    <n v="312"/>
    <n v="45"/>
    <n v="234"/>
    <n v="598"/>
    <n v="60"/>
    <n v="4201"/>
  </r>
  <r>
    <x v="0"/>
    <x v="13"/>
    <s v="2000 Kansas City Royals"/>
    <n v="5709"/>
    <x v="13"/>
    <x v="11"/>
    <n v="27"/>
    <n v="150"/>
    <n v="511"/>
    <n v="48"/>
    <n v="3506"/>
    <n v="6443"/>
    <n v="1010"/>
    <n v="309"/>
    <n v="27"/>
    <n v="239"/>
    <n v="693"/>
    <n v="42"/>
    <n v="4123"/>
  </r>
  <r>
    <x v="0"/>
    <x v="14"/>
    <s v="2000 Los Angeles Dodgers"/>
    <n v="5481"/>
    <x v="14"/>
    <x v="12"/>
    <n v="28"/>
    <n v="211"/>
    <n v="668"/>
    <n v="51"/>
    <n v="3354"/>
    <n v="6249"/>
    <n v="901"/>
    <n v="283"/>
    <n v="19"/>
    <n v="176"/>
    <n v="600"/>
    <n v="75"/>
    <n v="4195"/>
  </r>
  <r>
    <x v="0"/>
    <x v="15"/>
    <s v="2000 Milwaukee Brewers"/>
    <n v="5563"/>
    <x v="15"/>
    <x v="13"/>
    <n v="25"/>
    <n v="177"/>
    <n v="620"/>
    <n v="61"/>
    <n v="3516"/>
    <n v="6497"/>
    <n v="1040"/>
    <n v="254"/>
    <n v="33"/>
    <n v="174"/>
    <n v="728"/>
    <n v="65"/>
    <n v="4203"/>
  </r>
  <r>
    <x v="0"/>
    <x v="16"/>
    <s v="2000 Minnesota Twins"/>
    <n v="5615"/>
    <x v="16"/>
    <x v="6"/>
    <n v="49"/>
    <n v="116"/>
    <n v="556"/>
    <n v="35"/>
    <n v="3508"/>
    <n v="6336"/>
    <n v="1070"/>
    <n v="319"/>
    <n v="33"/>
    <n v="212"/>
    <n v="516"/>
    <n v="35"/>
    <n v="4151"/>
  </r>
  <r>
    <x v="0"/>
    <x v="17"/>
    <s v="2000 Montreal Expos"/>
    <n v="5535"/>
    <x v="17"/>
    <x v="3"/>
    <n v="35"/>
    <n v="178"/>
    <n v="476"/>
    <n v="29"/>
    <n v="3555"/>
    <n v="6340"/>
    <n v="1047"/>
    <n v="309"/>
    <n v="38"/>
    <n v="181"/>
    <n v="579"/>
    <n v="60"/>
    <n v="4126"/>
  </r>
  <r>
    <x v="0"/>
    <x v="18"/>
    <s v="2000 New York Mets"/>
    <n v="5486"/>
    <x v="18"/>
    <x v="11"/>
    <n v="20"/>
    <n v="198"/>
    <n v="675"/>
    <n v="45"/>
    <n v="3321"/>
    <n v="6276"/>
    <n v="919"/>
    <n v="286"/>
    <n v="29"/>
    <n v="164"/>
    <n v="574"/>
    <n v="60"/>
    <n v="4244"/>
  </r>
  <r>
    <x v="0"/>
    <x v="19"/>
    <s v="2000 New York Yankees"/>
    <n v="5556"/>
    <x v="19"/>
    <x v="14"/>
    <n v="25"/>
    <n v="205"/>
    <n v="631"/>
    <n v="57"/>
    <n v="3327"/>
    <n v="6256"/>
    <n v="960"/>
    <n v="296"/>
    <n v="25"/>
    <n v="177"/>
    <n v="577"/>
    <n v="52"/>
    <n v="4169"/>
  </r>
  <r>
    <x v="0"/>
    <x v="20"/>
    <s v="2000 Oakland Athletics"/>
    <n v="5560"/>
    <x v="20"/>
    <x v="11"/>
    <n v="23"/>
    <n v="239"/>
    <n v="750"/>
    <n v="52"/>
    <n v="3257"/>
    <n v="6355"/>
    <n v="1043"/>
    <n v="308"/>
    <n v="26"/>
    <n v="158"/>
    <n v="615"/>
    <n v="48"/>
    <n v="4157"/>
  </r>
  <r>
    <x v="0"/>
    <x v="21"/>
    <s v="2000 Philadelphia Phillies"/>
    <n v="5511"/>
    <x v="21"/>
    <x v="15"/>
    <n v="40"/>
    <n v="144"/>
    <n v="611"/>
    <n v="44"/>
    <n v="3470"/>
    <n v="6314"/>
    <n v="887"/>
    <n v="337"/>
    <n v="33"/>
    <n v="201"/>
    <n v="640"/>
    <n v="42"/>
    <n v="4174"/>
  </r>
  <r>
    <x v="0"/>
    <x v="22"/>
    <s v="2000 Pittsburgh Pirates"/>
    <n v="5643"/>
    <x v="22"/>
    <x v="8"/>
    <n v="31"/>
    <n v="168"/>
    <n v="564"/>
    <n v="66"/>
    <n v="3507"/>
    <n v="6514"/>
    <n v="1043"/>
    <n v="313"/>
    <n v="35"/>
    <n v="163"/>
    <n v="711"/>
    <n v="60"/>
    <n v="4189"/>
  </r>
  <r>
    <x v="0"/>
    <x v="23"/>
    <s v="2000 San Diego Padres"/>
    <n v="5560"/>
    <x v="23"/>
    <x v="16"/>
    <n v="37"/>
    <n v="157"/>
    <n v="602"/>
    <n v="46"/>
    <n v="3499"/>
    <n v="6414"/>
    <n v="965"/>
    <n v="260"/>
    <n v="27"/>
    <n v="191"/>
    <n v="649"/>
    <n v="68"/>
    <n v="4254"/>
  </r>
  <r>
    <x v="0"/>
    <x v="24"/>
    <s v="2000 Seattle Mariners"/>
    <n v="5497"/>
    <x v="24"/>
    <x v="17"/>
    <n v="26"/>
    <n v="198"/>
    <n v="775"/>
    <n v="48"/>
    <n v="3193"/>
    <n v="6269"/>
    <n v="957"/>
    <n v="292"/>
    <n v="26"/>
    <n v="167"/>
    <n v="634"/>
    <n v="38"/>
    <n v="4155"/>
  </r>
  <r>
    <x v="0"/>
    <x v="25"/>
    <s v="2000 San Francisco Giants"/>
    <n v="5519"/>
    <x v="1"/>
    <x v="15"/>
    <n v="44"/>
    <n v="226"/>
    <n v="709"/>
    <n v="51"/>
    <n v="3224"/>
    <n v="6270"/>
    <n v="997"/>
    <n v="265"/>
    <n v="39"/>
    <n v="151"/>
    <n v="623"/>
    <n v="41"/>
    <n v="4154"/>
  </r>
  <r>
    <x v="0"/>
    <x v="26"/>
    <s v="2000 St. Louis Cardinals"/>
    <n v="5478"/>
    <x v="25"/>
    <x v="18"/>
    <n v="25"/>
    <n v="235"/>
    <n v="675"/>
    <n v="84"/>
    <n v="3238"/>
    <n v="6200"/>
    <n v="880"/>
    <n v="299"/>
    <n v="28"/>
    <n v="196"/>
    <n v="606"/>
    <n v="62"/>
    <n v="4129"/>
  </r>
  <r>
    <x v="0"/>
    <x v="27"/>
    <s v="2000 Tampa Bay Devil Rays"/>
    <n v="5505"/>
    <x v="26"/>
    <x v="19"/>
    <n v="22"/>
    <n v="162"/>
    <n v="558"/>
    <n v="51"/>
    <n v="3482"/>
    <n v="6283"/>
    <n v="1012"/>
    <n v="307"/>
    <n v="36"/>
    <n v="198"/>
    <n v="533"/>
    <n v="66"/>
    <n v="4131"/>
  </r>
  <r>
    <x v="0"/>
    <x v="28"/>
    <s v="2000 Texas Rangers"/>
    <n v="5648"/>
    <x v="27"/>
    <x v="20"/>
    <n v="35"/>
    <n v="173"/>
    <n v="580"/>
    <n v="39"/>
    <n v="3428"/>
    <n v="6559"/>
    <n v="1080"/>
    <n v="367"/>
    <n v="34"/>
    <n v="202"/>
    <n v="661"/>
    <n v="63"/>
    <n v="4152"/>
  </r>
  <r>
    <x v="0"/>
    <x v="29"/>
    <s v="2000 Toronto Blue Jays"/>
    <n v="5677"/>
    <x v="28"/>
    <x v="21"/>
    <n v="21"/>
    <n v="244"/>
    <n v="526"/>
    <n v="60"/>
    <n v="3529"/>
    <n v="6377"/>
    <n v="1059"/>
    <n v="338"/>
    <n v="23"/>
    <n v="195"/>
    <n v="560"/>
    <n v="64"/>
    <n v="4138"/>
  </r>
  <r>
    <x v="1"/>
    <x v="0"/>
    <s v="2001 Anaheim Angels"/>
    <n v="5551"/>
    <x v="4"/>
    <x v="22"/>
    <n v="26"/>
    <n v="158"/>
    <n v="494"/>
    <n v="77"/>
    <n v="3533"/>
    <n v="6195"/>
    <n v="980"/>
    <n v="285"/>
    <n v="19"/>
    <n v="168"/>
    <n v="525"/>
    <n v="64"/>
    <n v="4154"/>
  </r>
  <r>
    <x v="1"/>
    <x v="1"/>
    <s v="2001 Arizona Diamondbacks"/>
    <n v="5595"/>
    <x v="29"/>
    <x v="23"/>
    <n v="35"/>
    <n v="208"/>
    <n v="587"/>
    <n v="57"/>
    <n v="3457"/>
    <n v="6090"/>
    <n v="907"/>
    <n v="228"/>
    <n v="22"/>
    <n v="195"/>
    <n v="461"/>
    <n v="59"/>
    <n v="4218"/>
  </r>
  <r>
    <x v="1"/>
    <x v="2"/>
    <s v="2001 Atlanta Braves"/>
    <n v="5498"/>
    <x v="30"/>
    <x v="24"/>
    <n v="24"/>
    <n v="174"/>
    <n v="493"/>
    <n v="45"/>
    <n v="3528"/>
    <n v="6089"/>
    <n v="960"/>
    <n v="228"/>
    <n v="22"/>
    <n v="153"/>
    <n v="499"/>
    <n v="33"/>
    <n v="4194"/>
  </r>
  <r>
    <x v="1"/>
    <x v="3"/>
    <s v="2001 Baltimore Orioles"/>
    <n v="5472"/>
    <x v="31"/>
    <x v="25"/>
    <n v="24"/>
    <n v="136"/>
    <n v="514"/>
    <n v="77"/>
    <n v="3522"/>
    <n v="6273"/>
    <n v="965"/>
    <n v="316"/>
    <n v="29"/>
    <n v="194"/>
    <n v="528"/>
    <n v="74"/>
    <n v="4167"/>
  </r>
  <r>
    <x v="1"/>
    <x v="4"/>
    <s v="2001 Boston Red Sox"/>
    <n v="5605"/>
    <x v="32"/>
    <x v="4"/>
    <n v="29"/>
    <n v="198"/>
    <n v="520"/>
    <n v="70"/>
    <n v="3522"/>
    <n v="6272"/>
    <n v="959"/>
    <n v="280"/>
    <n v="27"/>
    <n v="146"/>
    <n v="544"/>
    <n v="93"/>
    <n v="4223"/>
  </r>
  <r>
    <x v="1"/>
    <x v="5"/>
    <s v="2001 Chicago Cubs"/>
    <n v="5406"/>
    <x v="33"/>
    <x v="26"/>
    <n v="32"/>
    <n v="194"/>
    <n v="577"/>
    <n v="66"/>
    <n v="3354"/>
    <n v="6159"/>
    <n v="892"/>
    <n v="276"/>
    <n v="25"/>
    <n v="164"/>
    <n v="550"/>
    <n v="50"/>
    <n v="4202"/>
  </r>
  <r>
    <x v="1"/>
    <x v="6"/>
    <s v="2001 Chicago White Sox"/>
    <n v="5464"/>
    <x v="34"/>
    <x v="17"/>
    <n v="29"/>
    <n v="214"/>
    <n v="520"/>
    <n v="52"/>
    <n v="3429"/>
    <n v="6200"/>
    <n v="968"/>
    <n v="289"/>
    <n v="27"/>
    <n v="181"/>
    <n v="500"/>
    <n v="88"/>
    <n v="4147"/>
  </r>
  <r>
    <x v="1"/>
    <x v="7"/>
    <s v="2001 Cincinnati Reds"/>
    <n v="5583"/>
    <x v="25"/>
    <x v="15"/>
    <n v="22"/>
    <n v="176"/>
    <n v="468"/>
    <n v="65"/>
    <n v="3586"/>
    <n v="6324"/>
    <n v="1002"/>
    <n v="344"/>
    <n v="28"/>
    <n v="198"/>
    <n v="515"/>
    <n v="48"/>
    <n v="4189"/>
  </r>
  <r>
    <x v="1"/>
    <x v="8"/>
    <s v="2001 Cleveland Indians"/>
    <n v="5600"/>
    <x v="35"/>
    <x v="14"/>
    <n v="37"/>
    <n v="212"/>
    <n v="577"/>
    <n v="69"/>
    <n v="3395"/>
    <n v="6312"/>
    <n v="1017"/>
    <n v="320"/>
    <n v="27"/>
    <n v="148"/>
    <n v="573"/>
    <n v="49"/>
    <n v="4178"/>
  </r>
  <r>
    <x v="1"/>
    <x v="9"/>
    <s v="2001 Colorado Rockies"/>
    <n v="5690"/>
    <x v="36"/>
    <x v="27"/>
    <n v="61"/>
    <n v="213"/>
    <n v="511"/>
    <n v="61"/>
    <n v="3455"/>
    <n v="6306"/>
    <n v="897"/>
    <n v="351"/>
    <n v="35"/>
    <n v="239"/>
    <n v="598"/>
    <n v="64"/>
    <n v="4122"/>
  </r>
  <r>
    <x v="1"/>
    <x v="10"/>
    <s v="2001 Detroit Tigers"/>
    <n v="5537"/>
    <x v="37"/>
    <x v="28"/>
    <n v="60"/>
    <n v="139"/>
    <n v="466"/>
    <n v="51"/>
    <n v="3581"/>
    <n v="6361"/>
    <n v="1062"/>
    <n v="333"/>
    <n v="49"/>
    <n v="180"/>
    <n v="553"/>
    <n v="73"/>
    <n v="4111"/>
  </r>
  <r>
    <x v="1"/>
    <x v="11"/>
    <s v="2001 Florida Marlins"/>
    <n v="5542"/>
    <x v="23"/>
    <x v="6"/>
    <n v="30"/>
    <n v="166"/>
    <n v="470"/>
    <n v="67"/>
    <n v="3544"/>
    <n v="6227"/>
    <n v="911"/>
    <n v="289"/>
    <n v="46"/>
    <n v="151"/>
    <n v="617"/>
    <n v="70"/>
    <n v="4143"/>
  </r>
  <r>
    <x v="1"/>
    <x v="12"/>
    <s v="2001 Houston Astros"/>
    <n v="5528"/>
    <x v="32"/>
    <x v="29"/>
    <n v="29"/>
    <n v="208"/>
    <n v="581"/>
    <n v="89"/>
    <n v="3358"/>
    <n v="6236"/>
    <n v="942"/>
    <n v="262"/>
    <n v="28"/>
    <n v="221"/>
    <n v="486"/>
    <n v="70"/>
    <n v="4227"/>
  </r>
  <r>
    <x v="1"/>
    <x v="13"/>
    <s v="2001 Kansas City Royals"/>
    <n v="5643"/>
    <x v="38"/>
    <x v="30"/>
    <n v="37"/>
    <n v="152"/>
    <n v="406"/>
    <n v="44"/>
    <n v="3690"/>
    <n v="6289"/>
    <n v="1028"/>
    <n v="261"/>
    <n v="39"/>
    <n v="209"/>
    <n v="576"/>
    <n v="61"/>
    <n v="4115"/>
  </r>
  <r>
    <x v="1"/>
    <x v="14"/>
    <s v="2001 Los Angeles Dodgers"/>
    <n v="5493"/>
    <x v="39"/>
    <x v="31"/>
    <n v="27"/>
    <n v="206"/>
    <n v="519"/>
    <n v="56"/>
    <n v="3519"/>
    <n v="6201"/>
    <n v="909"/>
    <n v="268"/>
    <n v="26"/>
    <n v="184"/>
    <n v="524"/>
    <n v="72"/>
    <n v="4218"/>
  </r>
  <r>
    <x v="1"/>
    <x v="15"/>
    <s v="2001 Milwaukee Brewers"/>
    <n v="5488"/>
    <x v="40"/>
    <x v="32"/>
    <n v="30"/>
    <n v="209"/>
    <n v="488"/>
    <n v="72"/>
    <n v="3550"/>
    <n v="6338"/>
    <n v="924"/>
    <n v="293"/>
    <n v="38"/>
    <n v="197"/>
    <n v="667"/>
    <n v="72"/>
    <n v="4147"/>
  </r>
  <r>
    <x v="1"/>
    <x v="16"/>
    <s v="2001 Minnesota Twins"/>
    <n v="5560"/>
    <x v="41"/>
    <x v="21"/>
    <n v="38"/>
    <n v="164"/>
    <n v="495"/>
    <n v="64"/>
    <n v="3487"/>
    <n v="6187"/>
    <n v="967"/>
    <n v="302"/>
    <n v="33"/>
    <n v="192"/>
    <n v="445"/>
    <n v="56"/>
    <n v="4192"/>
  </r>
  <r>
    <x v="1"/>
    <x v="17"/>
    <s v="2001 Montreal Expos"/>
    <n v="5379"/>
    <x v="42"/>
    <x v="8"/>
    <n v="28"/>
    <n v="131"/>
    <n v="478"/>
    <n v="60"/>
    <n v="3480"/>
    <n v="6250"/>
    <n v="983"/>
    <n v="306"/>
    <n v="30"/>
    <n v="190"/>
    <n v="525"/>
    <n v="61"/>
    <n v="4155"/>
  </r>
  <r>
    <x v="1"/>
    <x v="18"/>
    <s v="2001 New York Mets"/>
    <n v="5459"/>
    <x v="43"/>
    <x v="32"/>
    <n v="18"/>
    <n v="147"/>
    <n v="545"/>
    <n v="65"/>
    <n v="3488"/>
    <n v="6107"/>
    <n v="933"/>
    <n v="266"/>
    <n v="33"/>
    <n v="186"/>
    <n v="438"/>
    <n v="43"/>
    <n v="4208"/>
  </r>
  <r>
    <x v="1"/>
    <x v="19"/>
    <s v="2001 New York Yankees"/>
    <n v="5577"/>
    <x v="44"/>
    <x v="10"/>
    <n v="20"/>
    <n v="203"/>
    <n v="519"/>
    <n v="64"/>
    <n v="3506"/>
    <n v="6174"/>
    <n v="980"/>
    <n v="266"/>
    <n v="25"/>
    <n v="158"/>
    <n v="465"/>
    <n v="55"/>
    <n v="4225"/>
  </r>
  <r>
    <x v="1"/>
    <x v="20"/>
    <s v="2001 Oakland Athletics"/>
    <n v="5573"/>
    <x v="45"/>
    <x v="33"/>
    <n v="22"/>
    <n v="199"/>
    <n v="640"/>
    <n v="88"/>
    <n v="3376"/>
    <n v="6115"/>
    <n v="986"/>
    <n v="223"/>
    <n v="22"/>
    <n v="153"/>
    <n v="440"/>
    <n v="46"/>
    <n v="4245"/>
  </r>
  <r>
    <x v="1"/>
    <x v="21"/>
    <s v="2001 Philadelphia Phillies"/>
    <n v="5497"/>
    <x v="46"/>
    <x v="34"/>
    <n v="29"/>
    <n v="164"/>
    <n v="551"/>
    <n v="43"/>
    <n v="3472"/>
    <n v="6198"/>
    <n v="887"/>
    <n v="322"/>
    <n v="38"/>
    <n v="170"/>
    <n v="527"/>
    <n v="70"/>
    <n v="4184"/>
  </r>
  <r>
    <x v="1"/>
    <x v="22"/>
    <s v="2001 Pittsburgh Pirates"/>
    <n v="5398"/>
    <x v="47"/>
    <x v="35"/>
    <n v="25"/>
    <n v="161"/>
    <n v="467"/>
    <n v="67"/>
    <n v="3531"/>
    <n v="6222"/>
    <n v="980"/>
    <n v="310"/>
    <n v="36"/>
    <n v="167"/>
    <n v="549"/>
    <n v="80"/>
    <n v="4100"/>
  </r>
  <r>
    <x v="1"/>
    <x v="23"/>
    <s v="2001 San Diego Padres"/>
    <n v="5482"/>
    <x v="48"/>
    <x v="32"/>
    <n v="26"/>
    <n v="161"/>
    <n v="678"/>
    <n v="41"/>
    <n v="3384"/>
    <n v="6278"/>
    <n v="972"/>
    <n v="294"/>
    <n v="34"/>
    <n v="219"/>
    <n v="476"/>
    <n v="56"/>
    <n v="4227"/>
  </r>
  <r>
    <x v="1"/>
    <x v="24"/>
    <s v="2001 Seattle Mariners"/>
    <n v="5680"/>
    <x v="49"/>
    <x v="3"/>
    <n v="38"/>
    <n v="169"/>
    <n v="614"/>
    <n v="62"/>
    <n v="3367"/>
    <n v="6096"/>
    <n v="852"/>
    <n v="259"/>
    <n v="22"/>
    <n v="160"/>
    <n v="465"/>
    <n v="64"/>
    <n v="4274"/>
  </r>
  <r>
    <x v="1"/>
    <x v="25"/>
    <s v="2001 San Francisco Giants"/>
    <n v="5612"/>
    <x v="45"/>
    <x v="15"/>
    <n v="40"/>
    <n v="235"/>
    <n v="625"/>
    <n v="50"/>
    <n v="3444"/>
    <n v="6294"/>
    <n v="963"/>
    <n v="286"/>
    <n v="43"/>
    <n v="145"/>
    <n v="579"/>
    <n v="33"/>
    <n v="4245"/>
  </r>
  <r>
    <x v="1"/>
    <x v="26"/>
    <s v="2001 St. Louis Cardinals"/>
    <n v="5450"/>
    <x v="50"/>
    <x v="2"/>
    <n v="32"/>
    <n v="199"/>
    <n v="529"/>
    <n v="65"/>
    <n v="3387"/>
    <n v="6121"/>
    <n v="874"/>
    <n v="296"/>
    <n v="23"/>
    <n v="196"/>
    <n v="526"/>
    <n v="72"/>
    <n v="4134"/>
  </r>
  <r>
    <x v="1"/>
    <x v="27"/>
    <s v="2001 Tampa Bay Devil Rays"/>
    <n v="5524"/>
    <x v="12"/>
    <x v="36"/>
    <n v="21"/>
    <n v="121"/>
    <n v="456"/>
    <n v="54"/>
    <n v="3588"/>
    <n v="6288"/>
    <n v="965"/>
    <n v="312"/>
    <n v="29"/>
    <n v="207"/>
    <n v="569"/>
    <n v="75"/>
    <n v="4131"/>
  </r>
  <r>
    <x v="1"/>
    <x v="28"/>
    <s v="2001 Texas Rangers"/>
    <n v="5685"/>
    <x v="30"/>
    <x v="37"/>
    <n v="23"/>
    <n v="246"/>
    <n v="548"/>
    <n v="75"/>
    <n v="3496"/>
    <n v="6469"/>
    <n v="1010"/>
    <n v="391"/>
    <n v="47"/>
    <n v="222"/>
    <n v="596"/>
    <n v="63"/>
    <n v="4140"/>
  </r>
  <r>
    <x v="1"/>
    <x v="29"/>
    <s v="2001 Toronto Blue Jays"/>
    <n v="5663"/>
    <x v="30"/>
    <x v="38"/>
    <n v="36"/>
    <n v="195"/>
    <n v="470"/>
    <n v="74"/>
    <n v="3630"/>
    <n v="6305"/>
    <n v="1005"/>
    <n v="357"/>
    <n v="26"/>
    <n v="165"/>
    <n v="490"/>
    <n v="76"/>
    <n v="4186"/>
  </r>
  <r>
    <x v="2"/>
    <x v="0"/>
    <s v="2002 Anaheim Angels"/>
    <n v="5678"/>
    <x v="51"/>
    <x v="39"/>
    <n v="32"/>
    <n v="152"/>
    <n v="462"/>
    <n v="74"/>
    <n v="3539"/>
    <n v="6097"/>
    <n v="909"/>
    <n v="248"/>
    <n v="19"/>
    <n v="169"/>
    <n v="509"/>
    <n v="49"/>
    <n v="4194"/>
  </r>
  <r>
    <x v="2"/>
    <x v="1"/>
    <s v="2002 Arizona Diamondbacks"/>
    <n v="5508"/>
    <x v="52"/>
    <x v="40"/>
    <n v="41"/>
    <n v="165"/>
    <n v="643"/>
    <n v="50"/>
    <n v="3344"/>
    <n v="6067"/>
    <n v="907"/>
    <n v="252"/>
    <n v="32"/>
    <n v="170"/>
    <n v="421"/>
    <n v="54"/>
    <n v="4231"/>
  </r>
  <r>
    <x v="2"/>
    <x v="2"/>
    <s v="2002 Atlanta Braves"/>
    <n v="5495"/>
    <x v="53"/>
    <x v="41"/>
    <n v="25"/>
    <n v="164"/>
    <n v="558"/>
    <n v="54"/>
    <n v="3455"/>
    <n v="6131"/>
    <n v="907"/>
    <n v="240"/>
    <n v="32"/>
    <n v="123"/>
    <n v="554"/>
    <n v="42"/>
    <n v="4233"/>
  </r>
  <r>
    <x v="2"/>
    <x v="3"/>
    <s v="2002 Baltimore Orioles"/>
    <n v="5491"/>
    <x v="54"/>
    <x v="36"/>
    <n v="27"/>
    <n v="165"/>
    <n v="452"/>
    <n v="64"/>
    <n v="3622"/>
    <n v="6258"/>
    <n v="992"/>
    <n v="265"/>
    <n v="26"/>
    <n v="208"/>
    <n v="549"/>
    <n v="54"/>
    <n v="4164"/>
  </r>
  <r>
    <x v="2"/>
    <x v="4"/>
    <s v="2002 Boston Red Sox"/>
    <n v="5640"/>
    <x v="55"/>
    <x v="42"/>
    <n v="33"/>
    <n v="177"/>
    <n v="545"/>
    <n v="72"/>
    <n v="3463"/>
    <n v="6049"/>
    <n v="892"/>
    <n v="277"/>
    <n v="24"/>
    <n v="146"/>
    <n v="430"/>
    <n v="84"/>
    <n v="4196"/>
  </r>
  <r>
    <x v="2"/>
    <x v="5"/>
    <s v="2002 Chicago Cubs"/>
    <n v="5496"/>
    <x v="56"/>
    <x v="18"/>
    <n v="29"/>
    <n v="200"/>
    <n v="585"/>
    <n v="44"/>
    <n v="3516"/>
    <n v="6236"/>
    <n v="902"/>
    <n v="274"/>
    <n v="30"/>
    <n v="167"/>
    <n v="606"/>
    <n v="58"/>
    <n v="4199"/>
  </r>
  <r>
    <x v="2"/>
    <x v="6"/>
    <s v="2002 Chicago White Sox"/>
    <n v="5502"/>
    <x v="23"/>
    <x v="10"/>
    <n v="29"/>
    <n v="217"/>
    <n v="555"/>
    <n v="49"/>
    <n v="3423"/>
    <n v="6131"/>
    <n v="929"/>
    <n v="287"/>
    <n v="16"/>
    <n v="190"/>
    <n v="528"/>
    <n v="60"/>
    <n v="4121"/>
  </r>
  <r>
    <x v="2"/>
    <x v="7"/>
    <s v="2002 Cincinnati Reds"/>
    <n v="5470"/>
    <x v="57"/>
    <x v="13"/>
    <n v="21"/>
    <n v="169"/>
    <n v="583"/>
    <n v="66"/>
    <n v="3435"/>
    <n v="6296"/>
    <n v="1000"/>
    <n v="301"/>
    <n v="28"/>
    <n v="173"/>
    <n v="550"/>
    <n v="56"/>
    <n v="4188"/>
  </r>
  <r>
    <x v="2"/>
    <x v="8"/>
    <s v="2002 Cleveland Indians"/>
    <n v="5423"/>
    <x v="58"/>
    <x v="43"/>
    <n v="26"/>
    <n v="192"/>
    <n v="542"/>
    <n v="56"/>
    <n v="3476"/>
    <n v="6271"/>
    <n v="1014"/>
    <n v="311"/>
    <n v="41"/>
    <n v="142"/>
    <n v="603"/>
    <n v="57"/>
    <n v="4103"/>
  </r>
  <r>
    <x v="2"/>
    <x v="9"/>
    <s v="2002 Colorado Rockies"/>
    <n v="5512"/>
    <x v="59"/>
    <x v="40"/>
    <n v="41"/>
    <n v="152"/>
    <n v="497"/>
    <n v="56"/>
    <n v="3451"/>
    <n v="6345"/>
    <n v="984"/>
    <n v="306"/>
    <n v="39"/>
    <n v="225"/>
    <n v="582"/>
    <n v="64"/>
    <n v="4145"/>
  </r>
  <r>
    <x v="2"/>
    <x v="10"/>
    <s v="2002 Detroit Tigers"/>
    <n v="5406"/>
    <x v="45"/>
    <x v="12"/>
    <n v="37"/>
    <n v="124"/>
    <n v="363"/>
    <n v="64"/>
    <n v="3639"/>
    <n v="6215"/>
    <n v="1027"/>
    <n v="345"/>
    <n v="58"/>
    <n v="163"/>
    <n v="463"/>
    <n v="62"/>
    <n v="4097"/>
  </r>
  <r>
    <x v="2"/>
    <x v="11"/>
    <s v="2002 Florida Marlins"/>
    <n v="5496"/>
    <x v="60"/>
    <x v="41"/>
    <n v="32"/>
    <n v="146"/>
    <n v="595"/>
    <n v="61"/>
    <n v="3407"/>
    <n v="6340"/>
    <n v="947"/>
    <n v="308"/>
    <n v="43"/>
    <n v="151"/>
    <n v="631"/>
    <n v="58"/>
    <n v="4202"/>
  </r>
  <r>
    <x v="2"/>
    <x v="12"/>
    <s v="2002 Houston Astros"/>
    <n v="5503"/>
    <x v="61"/>
    <x v="28"/>
    <n v="32"/>
    <n v="167"/>
    <n v="589"/>
    <n v="59"/>
    <n v="3414"/>
    <n v="6205"/>
    <n v="934"/>
    <n v="305"/>
    <n v="33"/>
    <n v="151"/>
    <n v="546"/>
    <n v="55"/>
    <n v="4181"/>
  </r>
  <r>
    <x v="2"/>
    <x v="13"/>
    <s v="2002 Kansas City Royals"/>
    <n v="5535"/>
    <x v="5"/>
    <x v="44"/>
    <n v="42"/>
    <n v="140"/>
    <n v="524"/>
    <n v="52"/>
    <n v="3544"/>
    <n v="6386"/>
    <n v="1014"/>
    <n v="328"/>
    <n v="33"/>
    <n v="212"/>
    <n v="572"/>
    <n v="52"/>
    <n v="4175"/>
  </r>
  <r>
    <x v="2"/>
    <x v="14"/>
    <s v="2002 Los Angeles Dodgers"/>
    <n v="5554"/>
    <x v="62"/>
    <x v="45"/>
    <n v="29"/>
    <n v="155"/>
    <n v="428"/>
    <n v="53"/>
    <n v="3609"/>
    <n v="6139"/>
    <n v="874"/>
    <n v="252"/>
    <n v="20"/>
    <n v="165"/>
    <n v="555"/>
    <n v="46"/>
    <n v="4227"/>
  </r>
  <r>
    <x v="2"/>
    <x v="15"/>
    <s v="2002 Milwaukee Brewers"/>
    <n v="5415"/>
    <x v="63"/>
    <x v="46"/>
    <n v="29"/>
    <n v="139"/>
    <n v="500"/>
    <n v="55"/>
    <n v="3491"/>
    <n v="6339"/>
    <n v="942"/>
    <n v="299"/>
    <n v="28"/>
    <n v="199"/>
    <n v="666"/>
    <n v="62"/>
    <n v="4143"/>
  </r>
  <r>
    <x v="2"/>
    <x v="16"/>
    <s v="2002 Minnesota Twins"/>
    <n v="5582"/>
    <x v="29"/>
    <x v="42"/>
    <n v="36"/>
    <n v="167"/>
    <n v="472"/>
    <n v="56"/>
    <n v="3536"/>
    <n v="6133"/>
    <n v="958"/>
    <n v="280"/>
    <n v="32"/>
    <n v="184"/>
    <n v="439"/>
    <n v="45"/>
    <n v="4195"/>
  </r>
  <r>
    <x v="2"/>
    <x v="17"/>
    <s v="2002 Montreal Expos"/>
    <n v="5479"/>
    <x v="64"/>
    <x v="17"/>
    <n v="36"/>
    <n v="162"/>
    <n v="575"/>
    <n v="46"/>
    <n v="3426"/>
    <n v="6246"/>
    <n v="968"/>
    <n v="305"/>
    <n v="37"/>
    <n v="165"/>
    <n v="508"/>
    <n v="46"/>
    <n v="4217"/>
  </r>
  <r>
    <x v="2"/>
    <x v="18"/>
    <s v="2002 New York Mets"/>
    <n v="5496"/>
    <x v="65"/>
    <x v="47"/>
    <n v="22"/>
    <n v="160"/>
    <n v="486"/>
    <n v="63"/>
    <n v="3538"/>
    <n v="6212"/>
    <n v="958"/>
    <n v="256"/>
    <n v="31"/>
    <n v="163"/>
    <n v="543"/>
    <n v="55"/>
    <n v="4206"/>
  </r>
  <r>
    <x v="2"/>
    <x v="19"/>
    <s v="2002 New York Yankees"/>
    <n v="5601"/>
    <x v="66"/>
    <x v="48"/>
    <n v="12"/>
    <n v="223"/>
    <n v="640"/>
    <n v="72"/>
    <n v="3349"/>
    <n v="6159"/>
    <n v="970"/>
    <n v="301"/>
    <n v="26"/>
    <n v="144"/>
    <n v="403"/>
    <n v="48"/>
    <n v="4267"/>
  </r>
  <r>
    <x v="2"/>
    <x v="20"/>
    <s v="2002 Oakland Athletics"/>
    <n v="5558"/>
    <x v="67"/>
    <x v="16"/>
    <n v="28"/>
    <n v="205"/>
    <n v="609"/>
    <n v="68"/>
    <n v="3431"/>
    <n v="6158"/>
    <n v="959"/>
    <n v="269"/>
    <n v="28"/>
    <n v="135"/>
    <n v="474"/>
    <n v="62"/>
    <n v="4231"/>
  </r>
  <r>
    <x v="2"/>
    <x v="21"/>
    <s v="2002 Philadelphia Phillies"/>
    <n v="5523"/>
    <x v="68"/>
    <x v="6"/>
    <n v="41"/>
    <n v="165"/>
    <n v="640"/>
    <n v="53"/>
    <n v="3402"/>
    <n v="6222"/>
    <n v="906"/>
    <n v="285"/>
    <n v="37"/>
    <n v="153"/>
    <n v="570"/>
    <n v="70"/>
    <n v="4201"/>
  </r>
  <r>
    <x v="2"/>
    <x v="22"/>
    <s v="2002 Pittsburgh Pirates"/>
    <n v="5330"/>
    <x v="69"/>
    <x v="24"/>
    <n v="20"/>
    <n v="142"/>
    <n v="537"/>
    <n v="73"/>
    <n v="3420"/>
    <n v="6131"/>
    <n v="963"/>
    <n v="290"/>
    <n v="31"/>
    <n v="163"/>
    <n v="572"/>
    <n v="55"/>
    <n v="4057"/>
  </r>
  <r>
    <x v="2"/>
    <x v="23"/>
    <s v="2002 San Diego Padres"/>
    <n v="5515"/>
    <x v="70"/>
    <x v="49"/>
    <n v="29"/>
    <n v="136"/>
    <n v="547"/>
    <n v="30"/>
    <n v="3545"/>
    <n v="6333"/>
    <n v="981"/>
    <n v="323"/>
    <n v="41"/>
    <n v="177"/>
    <n v="582"/>
    <n v="66"/>
    <n v="4163"/>
  </r>
  <r>
    <x v="2"/>
    <x v="24"/>
    <s v="2002 Seattle Mariners"/>
    <n v="5569"/>
    <x v="27"/>
    <x v="44"/>
    <n v="31"/>
    <n v="152"/>
    <n v="629"/>
    <n v="51"/>
    <n v="3358"/>
    <n v="6117"/>
    <n v="946"/>
    <n v="283"/>
    <n v="15"/>
    <n v="178"/>
    <n v="441"/>
    <n v="49"/>
    <n v="4205"/>
  </r>
  <r>
    <x v="2"/>
    <x v="25"/>
    <s v="2002 San Francisco Giants"/>
    <n v="5497"/>
    <x v="63"/>
    <x v="17"/>
    <n v="35"/>
    <n v="198"/>
    <n v="616"/>
    <n v="65"/>
    <n v="3351"/>
    <n v="6056"/>
    <n v="960"/>
    <n v="242"/>
    <n v="31"/>
    <n v="116"/>
    <n v="523"/>
    <n v="36"/>
    <n v="4148"/>
  </r>
  <r>
    <x v="2"/>
    <x v="26"/>
    <s v="2002 St. Louis Cardinals"/>
    <n v="5505"/>
    <x v="65"/>
    <x v="44"/>
    <n v="26"/>
    <n v="175"/>
    <n v="542"/>
    <n v="67"/>
    <n v="3421"/>
    <n v="6135"/>
    <n v="924"/>
    <n v="275"/>
    <n v="15"/>
    <n v="141"/>
    <n v="547"/>
    <n v="60"/>
    <n v="4173"/>
  </r>
  <r>
    <x v="2"/>
    <x v="27"/>
    <s v="2002 Tampa Bay Devil Rays"/>
    <n v="5604"/>
    <x v="71"/>
    <x v="13"/>
    <n v="35"/>
    <n v="133"/>
    <n v="456"/>
    <n v="58"/>
    <n v="3672"/>
    <n v="6424"/>
    <n v="990"/>
    <n v="337"/>
    <n v="25"/>
    <n v="215"/>
    <n v="620"/>
    <n v="94"/>
    <n v="4143"/>
  </r>
  <r>
    <x v="2"/>
    <x v="28"/>
    <s v="2002 Texas Rangers"/>
    <n v="5618"/>
    <x v="37"/>
    <x v="15"/>
    <n v="27"/>
    <n v="230"/>
    <n v="554"/>
    <n v="62"/>
    <n v="3492"/>
    <n v="6446"/>
    <n v="949"/>
    <n v="344"/>
    <n v="41"/>
    <n v="194"/>
    <n v="669"/>
    <n v="76"/>
    <n v="4173"/>
  </r>
  <r>
    <x v="2"/>
    <x v="29"/>
    <s v="2002 Toronto Blue Jays"/>
    <n v="5581"/>
    <x v="72"/>
    <x v="50"/>
    <n v="38"/>
    <n v="187"/>
    <n v="522"/>
    <n v="53"/>
    <n v="3549"/>
    <n v="6338"/>
    <n v="986"/>
    <n v="312"/>
    <n v="29"/>
    <n v="177"/>
    <n v="590"/>
    <n v="71"/>
    <n v="4173"/>
  </r>
  <r>
    <x v="3"/>
    <x v="0"/>
    <s v="2003 Anaheim Angels"/>
    <n v="5487"/>
    <x v="73"/>
    <x v="51"/>
    <n v="33"/>
    <n v="150"/>
    <n v="476"/>
    <n v="56"/>
    <n v="3482"/>
    <n v="6161"/>
    <n v="967"/>
    <n v="260"/>
    <n v="27"/>
    <n v="190"/>
    <n v="486"/>
    <n v="76"/>
    <n v="4155"/>
  </r>
  <r>
    <x v="3"/>
    <x v="1"/>
    <s v="2003 Arizona Diamondbacks"/>
    <n v="5570"/>
    <x v="74"/>
    <x v="52"/>
    <n v="47"/>
    <n v="152"/>
    <n v="531"/>
    <n v="45"/>
    <n v="3527"/>
    <n v="6230"/>
    <n v="939"/>
    <n v="266"/>
    <n v="24"/>
    <n v="150"/>
    <n v="526"/>
    <n v="72"/>
    <n v="4253"/>
  </r>
  <r>
    <x v="3"/>
    <x v="2"/>
    <s v="2003 Atlanta Braves"/>
    <n v="5670"/>
    <x v="75"/>
    <x v="53"/>
    <n v="31"/>
    <n v="235"/>
    <n v="545"/>
    <n v="49"/>
    <n v="3468"/>
    <n v="6247"/>
    <n v="944"/>
    <n v="309"/>
    <n v="25"/>
    <n v="147"/>
    <n v="555"/>
    <n v="42"/>
    <n v="4225"/>
  </r>
  <r>
    <x v="3"/>
    <x v="3"/>
    <s v="2003 Baltimore Orioles"/>
    <n v="5665"/>
    <x v="27"/>
    <x v="30"/>
    <n v="24"/>
    <n v="152"/>
    <n v="431"/>
    <n v="54"/>
    <n v="3664"/>
    <n v="6366"/>
    <n v="1045"/>
    <n v="309"/>
    <n v="27"/>
    <n v="198"/>
    <n v="526"/>
    <n v="80"/>
    <n v="4181"/>
  </r>
  <r>
    <x v="3"/>
    <x v="4"/>
    <s v="2003 Boston Red Sox"/>
    <n v="5769"/>
    <x v="76"/>
    <x v="54"/>
    <n v="40"/>
    <n v="238"/>
    <n v="620"/>
    <n v="53"/>
    <n v="3429"/>
    <n v="6355"/>
    <n v="982"/>
    <n v="328"/>
    <n v="40"/>
    <n v="153"/>
    <n v="488"/>
    <n v="76"/>
    <n v="4288"/>
  </r>
  <r>
    <x v="3"/>
    <x v="5"/>
    <s v="2003 Chicago Cubs"/>
    <n v="5519"/>
    <x v="77"/>
    <x v="7"/>
    <n v="24"/>
    <n v="172"/>
    <n v="492"/>
    <n v="50"/>
    <n v="3546"/>
    <n v="6227"/>
    <n v="894"/>
    <n v="248"/>
    <n v="19"/>
    <n v="143"/>
    <n v="617"/>
    <n v="71"/>
    <n v="4235"/>
  </r>
  <r>
    <x v="3"/>
    <x v="6"/>
    <s v="2003 Chicago White Sox"/>
    <n v="5487"/>
    <x v="78"/>
    <x v="52"/>
    <n v="19"/>
    <n v="220"/>
    <n v="519"/>
    <n v="58"/>
    <n v="3465"/>
    <n v="6067"/>
    <n v="899"/>
    <n v="279"/>
    <n v="24"/>
    <n v="162"/>
    <n v="518"/>
    <n v="53"/>
    <n v="4132"/>
  </r>
  <r>
    <x v="3"/>
    <x v="7"/>
    <s v="2003 Cincinnati Reds"/>
    <n v="5509"/>
    <x v="79"/>
    <x v="55"/>
    <n v="21"/>
    <n v="182"/>
    <n v="524"/>
    <n v="79"/>
    <n v="3557"/>
    <n v="6423"/>
    <n v="984"/>
    <n v="348"/>
    <n v="37"/>
    <n v="209"/>
    <n v="590"/>
    <n v="48"/>
    <n v="4207"/>
  </r>
  <r>
    <x v="3"/>
    <x v="8"/>
    <s v="2003 Cleveland Indians"/>
    <n v="5572"/>
    <x v="77"/>
    <x v="56"/>
    <n v="26"/>
    <n v="158"/>
    <n v="466"/>
    <n v="62"/>
    <n v="3631"/>
    <n v="6254"/>
    <n v="961"/>
    <n v="306"/>
    <n v="31"/>
    <n v="179"/>
    <n v="501"/>
    <n v="64"/>
    <n v="4212"/>
  </r>
  <r>
    <x v="3"/>
    <x v="9"/>
    <s v="2003 Colorado Rockies"/>
    <n v="5518"/>
    <x v="80"/>
    <x v="20"/>
    <n v="31"/>
    <n v="198"/>
    <n v="619"/>
    <n v="52"/>
    <n v="3375"/>
    <n v="6364"/>
    <n v="1060"/>
    <n v="325"/>
    <n v="44"/>
    <n v="200"/>
    <n v="552"/>
    <n v="84"/>
    <n v="4099"/>
  </r>
  <r>
    <x v="3"/>
    <x v="10"/>
    <s v="2003 Detroit Tigers"/>
    <n v="5466"/>
    <x v="48"/>
    <x v="57"/>
    <n v="39"/>
    <n v="153"/>
    <n v="443"/>
    <n v="47"/>
    <n v="3664"/>
    <n v="6376"/>
    <n v="1065"/>
    <n v="308"/>
    <n v="48"/>
    <n v="195"/>
    <n v="557"/>
    <n v="56"/>
    <n v="4147"/>
  </r>
  <r>
    <x v="3"/>
    <x v="11"/>
    <s v="2003 Florida Marlins"/>
    <n v="5490"/>
    <x v="81"/>
    <x v="58"/>
    <n v="44"/>
    <n v="157"/>
    <n v="515"/>
    <n v="57"/>
    <n v="3459"/>
    <n v="6165"/>
    <n v="950"/>
    <n v="300"/>
    <n v="37"/>
    <n v="128"/>
    <n v="530"/>
    <n v="40"/>
    <n v="4180"/>
  </r>
  <r>
    <x v="3"/>
    <x v="12"/>
    <s v="2003 Houston Astros"/>
    <n v="5583"/>
    <x v="31"/>
    <x v="59"/>
    <n v="30"/>
    <n v="191"/>
    <n v="557"/>
    <n v="81"/>
    <n v="3479"/>
    <n v="6176"/>
    <n v="896"/>
    <n v="262"/>
    <n v="31"/>
    <n v="161"/>
    <n v="565"/>
    <n v="74"/>
    <n v="4187"/>
  </r>
  <r>
    <x v="3"/>
    <x v="13"/>
    <s v="2003 Kansas City Royals"/>
    <n v="5568"/>
    <x v="38"/>
    <x v="60"/>
    <n v="39"/>
    <n v="162"/>
    <n v="476"/>
    <n v="75"/>
    <n v="3491"/>
    <n v="6366"/>
    <n v="1016"/>
    <n v="329"/>
    <n v="34"/>
    <n v="190"/>
    <n v="566"/>
    <n v="66"/>
    <n v="4165"/>
  </r>
  <r>
    <x v="3"/>
    <x v="14"/>
    <s v="2003 Los Angeles Dodgers"/>
    <n v="5458"/>
    <x v="48"/>
    <x v="61"/>
    <n v="25"/>
    <n v="124"/>
    <n v="407"/>
    <n v="72"/>
    <n v="3651"/>
    <n v="6001"/>
    <n v="895"/>
    <n v="205"/>
    <n v="27"/>
    <n v="127"/>
    <n v="526"/>
    <n v="40"/>
    <n v="4181"/>
  </r>
  <r>
    <x v="3"/>
    <x v="15"/>
    <s v="2003 Milwaukee Brewers"/>
    <n v="5548"/>
    <x v="31"/>
    <x v="62"/>
    <n v="24"/>
    <n v="196"/>
    <n v="547"/>
    <n v="71"/>
    <n v="3507"/>
    <n v="6459"/>
    <n v="1024"/>
    <n v="304"/>
    <n v="43"/>
    <n v="219"/>
    <n v="575"/>
    <n v="61"/>
    <n v="4233"/>
  </r>
  <r>
    <x v="3"/>
    <x v="16"/>
    <s v="2003 Minnesota Twins"/>
    <n v="5655"/>
    <x v="82"/>
    <x v="63"/>
    <n v="45"/>
    <n v="155"/>
    <n v="512"/>
    <n v="63"/>
    <n v="3513"/>
    <n v="6246"/>
    <n v="1013"/>
    <n v="302"/>
    <n v="24"/>
    <n v="187"/>
    <n v="402"/>
    <n v="50"/>
    <n v="4268"/>
  </r>
  <r>
    <x v="3"/>
    <x v="17"/>
    <s v="2003 Montreal Expos"/>
    <n v="5437"/>
    <x v="83"/>
    <x v="14"/>
    <n v="25"/>
    <n v="144"/>
    <n v="522"/>
    <n v="45"/>
    <n v="3466"/>
    <n v="6171"/>
    <n v="970"/>
    <n v="292"/>
    <n v="24"/>
    <n v="181"/>
    <n v="463"/>
    <n v="71"/>
    <n v="4170"/>
  </r>
  <r>
    <x v="3"/>
    <x v="18"/>
    <s v="2003 New York Mets"/>
    <n v="5341"/>
    <x v="79"/>
    <x v="25"/>
    <n v="24"/>
    <n v="124"/>
    <n v="489"/>
    <n v="54"/>
    <n v="3481"/>
    <n v="6204"/>
    <n v="971"/>
    <n v="317"/>
    <n v="41"/>
    <n v="168"/>
    <n v="576"/>
    <n v="45"/>
    <n v="4086"/>
  </r>
  <r>
    <x v="3"/>
    <x v="19"/>
    <s v="2003 New York Yankees"/>
    <n v="5605"/>
    <x v="84"/>
    <x v="15"/>
    <n v="14"/>
    <n v="230"/>
    <n v="684"/>
    <n v="81"/>
    <n v="3322"/>
    <n v="6209"/>
    <n v="1019"/>
    <n v="323"/>
    <n v="25"/>
    <n v="145"/>
    <n v="375"/>
    <n v="49"/>
    <n v="4273"/>
  </r>
  <r>
    <x v="3"/>
    <x v="20"/>
    <s v="2003 Oakland Athletics"/>
    <n v="5497"/>
    <x v="85"/>
    <x v="64"/>
    <n v="24"/>
    <n v="176"/>
    <n v="556"/>
    <n v="59"/>
    <n v="3484"/>
    <n v="6078"/>
    <n v="928"/>
    <n v="248"/>
    <n v="20"/>
    <n v="140"/>
    <n v="499"/>
    <n v="54"/>
    <n v="4189"/>
  </r>
  <r>
    <x v="3"/>
    <x v="21"/>
    <s v="2003 Philadelphia Phillies"/>
    <n v="5543"/>
    <x v="86"/>
    <x v="6"/>
    <n v="27"/>
    <n v="166"/>
    <n v="651"/>
    <n v="55"/>
    <n v="3389"/>
    <n v="6195"/>
    <n v="896"/>
    <n v="315"/>
    <n v="33"/>
    <n v="142"/>
    <n v="536"/>
    <n v="77"/>
    <n v="4196"/>
  </r>
  <r>
    <x v="3"/>
    <x v="22"/>
    <s v="2003 Pittsburgh Pirates"/>
    <n v="5581"/>
    <x v="87"/>
    <x v="22"/>
    <n v="45"/>
    <n v="163"/>
    <n v="529"/>
    <n v="87"/>
    <n v="3473"/>
    <n v="6293"/>
    <n v="1021"/>
    <n v="301"/>
    <n v="27"/>
    <n v="178"/>
    <n v="502"/>
    <n v="61"/>
    <n v="4203"/>
  </r>
  <r>
    <x v="3"/>
    <x v="23"/>
    <s v="2003 San Diego Padres"/>
    <n v="5531"/>
    <x v="88"/>
    <x v="65"/>
    <n v="32"/>
    <n v="128"/>
    <n v="565"/>
    <n v="57"/>
    <n v="3467"/>
    <n v="6303"/>
    <n v="954"/>
    <n v="259"/>
    <n v="37"/>
    <n v="208"/>
    <n v="611"/>
    <n v="62"/>
    <n v="4172"/>
  </r>
  <r>
    <x v="3"/>
    <x v="24"/>
    <s v="2003 Seattle Mariners"/>
    <n v="5561"/>
    <x v="89"/>
    <x v="66"/>
    <n v="33"/>
    <n v="139"/>
    <n v="586"/>
    <n v="53"/>
    <n v="3413"/>
    <n v="6025"/>
    <n v="933"/>
    <n v="220"/>
    <n v="14"/>
    <n v="173"/>
    <n v="466"/>
    <n v="54"/>
    <n v="4165"/>
  </r>
  <r>
    <x v="3"/>
    <x v="25"/>
    <s v="2003 San Francisco Giants"/>
    <n v="5456"/>
    <x v="32"/>
    <x v="11"/>
    <n v="29"/>
    <n v="180"/>
    <n v="593"/>
    <n v="40"/>
    <n v="3383"/>
    <n v="6090"/>
    <n v="923"/>
    <n v="259"/>
    <n v="31"/>
    <n v="136"/>
    <n v="546"/>
    <n v="43"/>
    <n v="4152"/>
  </r>
  <r>
    <x v="3"/>
    <x v="26"/>
    <s v="2003 St. Louis Cardinals"/>
    <n v="5672"/>
    <x v="90"/>
    <x v="67"/>
    <n v="32"/>
    <n v="196"/>
    <n v="580"/>
    <n v="73"/>
    <n v="3439"/>
    <n v="6375"/>
    <n v="969"/>
    <n v="335"/>
    <n v="30"/>
    <n v="210"/>
    <n v="508"/>
    <n v="65"/>
    <n v="4258"/>
  </r>
  <r>
    <x v="3"/>
    <x v="27"/>
    <s v="2003 Tampa Bay Devil Rays"/>
    <n v="5654"/>
    <x v="10"/>
    <x v="68"/>
    <n v="38"/>
    <n v="137"/>
    <n v="420"/>
    <n v="56"/>
    <n v="3677"/>
    <n v="6340"/>
    <n v="908"/>
    <n v="319"/>
    <n v="31"/>
    <n v="196"/>
    <n v="639"/>
    <n v="95"/>
    <n v="4152"/>
  </r>
  <r>
    <x v="3"/>
    <x v="28"/>
    <s v="2003 Texas Rangers"/>
    <n v="5664"/>
    <x v="24"/>
    <x v="2"/>
    <n v="36"/>
    <n v="239"/>
    <n v="488"/>
    <n v="75"/>
    <n v="3595"/>
    <n v="6413"/>
    <n v="1029"/>
    <n v="351"/>
    <n v="37"/>
    <n v="208"/>
    <n v="603"/>
    <n v="63"/>
    <n v="4122"/>
  </r>
  <r>
    <x v="3"/>
    <x v="29"/>
    <s v="2003 Toronto Blue Jays"/>
    <n v="5661"/>
    <x v="91"/>
    <x v="69"/>
    <n v="33"/>
    <n v="190"/>
    <n v="546"/>
    <n v="90"/>
    <n v="3445"/>
    <n v="6270"/>
    <n v="1034"/>
    <n v="300"/>
    <n v="42"/>
    <n v="184"/>
    <n v="485"/>
    <n v="57"/>
    <n v="4168"/>
  </r>
  <r>
    <x v="4"/>
    <x v="0"/>
    <s v="2004 Anaheim Angels"/>
    <n v="5675"/>
    <x v="92"/>
    <x v="5"/>
    <n v="37"/>
    <n v="162"/>
    <n v="450"/>
    <n v="73"/>
    <n v="3549"/>
    <n v="6246"/>
    <n v="985"/>
    <n v="298"/>
    <n v="23"/>
    <n v="170"/>
    <n v="502"/>
    <n v="44"/>
    <n v="4224"/>
  </r>
  <r>
    <x v="4"/>
    <x v="1"/>
    <s v="2004 Arizona Diamondbacks"/>
    <n v="5544"/>
    <x v="77"/>
    <x v="34"/>
    <n v="38"/>
    <n v="135"/>
    <n v="441"/>
    <n v="35"/>
    <n v="3667"/>
    <n v="6418"/>
    <n v="954"/>
    <n v="289"/>
    <n v="40"/>
    <n v="197"/>
    <n v="668"/>
    <n v="75"/>
    <n v="4195"/>
  </r>
  <r>
    <x v="4"/>
    <x v="2"/>
    <s v="2004 Atlanta Braves"/>
    <n v="5570"/>
    <x v="41"/>
    <x v="15"/>
    <n v="37"/>
    <n v="178"/>
    <n v="587"/>
    <n v="59"/>
    <n v="3421"/>
    <n v="6218"/>
    <n v="1054"/>
    <n v="250"/>
    <n v="17"/>
    <n v="154"/>
    <n v="523"/>
    <n v="27"/>
    <n v="4193"/>
  </r>
  <r>
    <x v="4"/>
    <x v="3"/>
    <s v="2004 Baltimore Orioles"/>
    <n v="5736"/>
    <x v="93"/>
    <x v="70"/>
    <n v="18"/>
    <n v="169"/>
    <n v="528"/>
    <n v="57"/>
    <n v="3537"/>
    <n v="6459"/>
    <n v="1048"/>
    <n v="253"/>
    <n v="28"/>
    <n v="159"/>
    <n v="687"/>
    <n v="62"/>
    <n v="4222"/>
  </r>
  <r>
    <x v="4"/>
    <x v="4"/>
    <s v="2004 Boston Red Sox"/>
    <n v="5720"/>
    <x v="94"/>
    <x v="71"/>
    <n v="25"/>
    <n v="222"/>
    <n v="659"/>
    <n v="69"/>
    <n v="3379"/>
    <n v="6222"/>
    <n v="922"/>
    <n v="318"/>
    <n v="31"/>
    <n v="159"/>
    <n v="447"/>
    <n v="92"/>
    <n v="4253"/>
  </r>
  <r>
    <x v="4"/>
    <x v="5"/>
    <s v="2004 Chicago Cubs"/>
    <n v="5628"/>
    <x v="95"/>
    <x v="59"/>
    <n v="29"/>
    <n v="235"/>
    <n v="489"/>
    <n v="38"/>
    <n v="3593"/>
    <n v="6262"/>
    <n v="918"/>
    <n v="245"/>
    <n v="31"/>
    <n v="169"/>
    <n v="545"/>
    <n v="76"/>
    <n v="4278"/>
  </r>
  <r>
    <x v="4"/>
    <x v="6"/>
    <s v="2004 Chicago White Sox"/>
    <n v="5534"/>
    <x v="95"/>
    <x v="23"/>
    <n v="19"/>
    <n v="242"/>
    <n v="499"/>
    <n v="63"/>
    <n v="3491"/>
    <n v="6189"/>
    <n v="981"/>
    <n v="276"/>
    <n v="24"/>
    <n v="224"/>
    <n v="527"/>
    <n v="48"/>
    <n v="4109"/>
  </r>
  <r>
    <x v="4"/>
    <x v="7"/>
    <s v="2004 Cincinnati Reds"/>
    <n v="5518"/>
    <x v="96"/>
    <x v="38"/>
    <n v="28"/>
    <n v="194"/>
    <n v="599"/>
    <n v="81"/>
    <n v="3458"/>
    <n v="6451"/>
    <n v="954"/>
    <n v="373"/>
    <n v="32"/>
    <n v="236"/>
    <n v="572"/>
    <n v="54"/>
    <n v="4230"/>
  </r>
  <r>
    <x v="4"/>
    <x v="8"/>
    <s v="2004 Cleveland Indians"/>
    <n v="5676"/>
    <x v="7"/>
    <x v="72"/>
    <n v="29"/>
    <n v="184"/>
    <n v="606"/>
    <n v="78"/>
    <n v="3427"/>
    <n v="6450"/>
    <n v="986"/>
    <n v="338"/>
    <n v="28"/>
    <n v="201"/>
    <n v="579"/>
    <n v="62"/>
    <n v="4256"/>
  </r>
  <r>
    <x v="4"/>
    <x v="9"/>
    <s v="2004 Colorado Rockies"/>
    <n v="5577"/>
    <x v="50"/>
    <x v="73"/>
    <n v="34"/>
    <n v="202"/>
    <n v="568"/>
    <n v="54"/>
    <n v="3424"/>
    <n v="6535"/>
    <n v="1057"/>
    <n v="336"/>
    <n v="43"/>
    <n v="198"/>
    <n v="697"/>
    <n v="71"/>
    <n v="4133"/>
  </r>
  <r>
    <x v="4"/>
    <x v="10"/>
    <s v="2004 Detroit Tigers"/>
    <n v="5623"/>
    <x v="3"/>
    <x v="23"/>
    <n v="54"/>
    <n v="201"/>
    <n v="518"/>
    <n v="50"/>
    <n v="3524"/>
    <n v="6296"/>
    <n v="1024"/>
    <n v="291"/>
    <n v="37"/>
    <n v="190"/>
    <n v="530"/>
    <n v="54"/>
    <n v="4170"/>
  </r>
  <r>
    <x v="4"/>
    <x v="11"/>
    <s v="2004 Florida Marlins"/>
    <n v="5486"/>
    <x v="3"/>
    <x v="22"/>
    <n v="32"/>
    <n v="148"/>
    <n v="499"/>
    <n v="58"/>
    <n v="3482"/>
    <n v="6110"/>
    <n v="913"/>
    <n v="280"/>
    <n v="36"/>
    <n v="166"/>
    <n v="513"/>
    <n v="51"/>
    <n v="4151"/>
  </r>
  <r>
    <x v="4"/>
    <x v="12"/>
    <s v="2004 Houston Astros"/>
    <n v="5468"/>
    <x v="83"/>
    <x v="14"/>
    <n v="36"/>
    <n v="187"/>
    <n v="590"/>
    <n v="61"/>
    <n v="3359"/>
    <n v="6201"/>
    <n v="924"/>
    <n v="283"/>
    <n v="35"/>
    <n v="174"/>
    <n v="525"/>
    <n v="68"/>
    <n v="4192"/>
  </r>
  <r>
    <x v="4"/>
    <x v="13"/>
    <s v="2004 Kansas City Royals"/>
    <n v="5538"/>
    <x v="3"/>
    <x v="74"/>
    <n v="29"/>
    <n v="150"/>
    <n v="461"/>
    <n v="76"/>
    <n v="3569"/>
    <n v="6320"/>
    <n v="1036"/>
    <n v="361"/>
    <n v="33"/>
    <n v="208"/>
    <n v="518"/>
    <n v="56"/>
    <n v="4108"/>
  </r>
  <r>
    <x v="4"/>
    <x v="14"/>
    <s v="2004 Los Angeles Dodgers"/>
    <n v="5542"/>
    <x v="66"/>
    <x v="75"/>
    <n v="30"/>
    <n v="203"/>
    <n v="536"/>
    <n v="62"/>
    <n v="3494"/>
    <n v="6155"/>
    <n v="927"/>
    <n v="255"/>
    <n v="26"/>
    <n v="178"/>
    <n v="521"/>
    <n v="54"/>
    <n v="4194"/>
  </r>
  <r>
    <x v="4"/>
    <x v="15"/>
    <s v="2004 Milwaukee Brewers"/>
    <n v="5483"/>
    <x v="97"/>
    <x v="34"/>
    <n v="32"/>
    <n v="135"/>
    <n v="540"/>
    <n v="68"/>
    <n v="3517"/>
    <n v="6204"/>
    <n v="920"/>
    <n v="325"/>
    <n v="31"/>
    <n v="164"/>
    <n v="476"/>
    <n v="51"/>
    <n v="4237"/>
  </r>
  <r>
    <x v="4"/>
    <x v="16"/>
    <s v="2004 Minnesota Twins"/>
    <n v="5623"/>
    <x v="28"/>
    <x v="3"/>
    <n v="24"/>
    <n v="191"/>
    <n v="513"/>
    <n v="64"/>
    <n v="3552"/>
    <n v="6269"/>
    <n v="1086"/>
    <n v="247"/>
    <n v="23"/>
    <n v="167"/>
    <n v="431"/>
    <n v="54"/>
    <n v="4261"/>
  </r>
  <r>
    <x v="4"/>
    <x v="17"/>
    <s v="2004 Montreal Expos"/>
    <n v="5474"/>
    <x v="79"/>
    <x v="51"/>
    <n v="27"/>
    <n v="151"/>
    <n v="496"/>
    <n v="35"/>
    <n v="3582"/>
    <n v="6307"/>
    <n v="973"/>
    <n v="284"/>
    <n v="29"/>
    <n v="191"/>
    <n v="582"/>
    <n v="79"/>
    <n v="4169"/>
  </r>
  <r>
    <x v="4"/>
    <x v="18"/>
    <s v="2004 New York Mets"/>
    <n v="5532"/>
    <x v="42"/>
    <x v="10"/>
    <n v="20"/>
    <n v="185"/>
    <n v="512"/>
    <n v="61"/>
    <n v="3583"/>
    <n v="6333"/>
    <n v="984"/>
    <n v="288"/>
    <n v="24"/>
    <n v="156"/>
    <n v="592"/>
    <n v="49"/>
    <n v="4240"/>
  </r>
  <r>
    <x v="4"/>
    <x v="19"/>
    <s v="2004 New York Yankees"/>
    <n v="5527"/>
    <x v="23"/>
    <x v="11"/>
    <n v="20"/>
    <n v="242"/>
    <n v="670"/>
    <n v="80"/>
    <n v="3294"/>
    <n v="6240"/>
    <n v="1018"/>
    <n v="304"/>
    <n v="28"/>
    <n v="182"/>
    <n v="445"/>
    <n v="60"/>
    <n v="4203"/>
  </r>
  <r>
    <x v="4"/>
    <x v="20"/>
    <s v="2004 Oakland Athletics"/>
    <n v="5728"/>
    <x v="98"/>
    <x v="76"/>
    <n v="15"/>
    <n v="189"/>
    <n v="608"/>
    <n v="55"/>
    <n v="3520"/>
    <n v="6313"/>
    <n v="989"/>
    <n v="291"/>
    <n v="22"/>
    <n v="164"/>
    <n v="544"/>
    <n v="68"/>
    <n v="4235"/>
  </r>
  <r>
    <x v="4"/>
    <x v="21"/>
    <s v="2004 Philadelphia Phillies"/>
    <n v="5643"/>
    <x v="50"/>
    <x v="52"/>
    <n v="23"/>
    <n v="215"/>
    <n v="645"/>
    <n v="58"/>
    <n v="3435"/>
    <n v="6308"/>
    <n v="920"/>
    <n v="318"/>
    <n v="36"/>
    <n v="214"/>
    <n v="502"/>
    <n v="66"/>
    <n v="4252"/>
  </r>
  <r>
    <x v="4"/>
    <x v="22"/>
    <s v="2004 Pittsburgh Pirates"/>
    <n v="5483"/>
    <x v="99"/>
    <x v="77"/>
    <n v="39"/>
    <n v="142"/>
    <n v="415"/>
    <n v="95"/>
    <n v="3545"/>
    <n v="6197"/>
    <n v="973"/>
    <n v="295"/>
    <n v="34"/>
    <n v="149"/>
    <n v="576"/>
    <n v="63"/>
    <n v="4107"/>
  </r>
  <r>
    <x v="4"/>
    <x v="23"/>
    <s v="2004 San Diego Padres"/>
    <n v="5573"/>
    <x v="100"/>
    <x v="15"/>
    <n v="32"/>
    <n v="139"/>
    <n v="566"/>
    <n v="56"/>
    <n v="3430"/>
    <n v="6135"/>
    <n v="932"/>
    <n v="308"/>
    <n v="36"/>
    <n v="184"/>
    <n v="422"/>
    <n v="48"/>
    <n v="4205"/>
  </r>
  <r>
    <x v="4"/>
    <x v="24"/>
    <s v="2004 Seattle Mariners"/>
    <n v="5722"/>
    <x v="101"/>
    <x v="51"/>
    <n v="20"/>
    <n v="136"/>
    <n v="492"/>
    <n v="54"/>
    <n v="3632"/>
    <n v="6389"/>
    <n v="949"/>
    <n v="317"/>
    <n v="20"/>
    <n v="212"/>
    <n v="575"/>
    <n v="72"/>
    <n v="4244"/>
  </r>
  <r>
    <x v="4"/>
    <x v="25"/>
    <s v="2004 San Francisco Giants"/>
    <n v="5546"/>
    <x v="84"/>
    <x v="48"/>
    <n v="33"/>
    <n v="183"/>
    <n v="705"/>
    <n v="72"/>
    <n v="3269"/>
    <n v="6321"/>
    <n v="963"/>
    <n v="310"/>
    <n v="47"/>
    <n v="161"/>
    <n v="548"/>
    <n v="47"/>
    <n v="4245"/>
  </r>
  <r>
    <x v="4"/>
    <x v="26"/>
    <s v="2004 St. Louis Cardinals"/>
    <n v="5555"/>
    <x v="22"/>
    <x v="70"/>
    <n v="24"/>
    <n v="214"/>
    <n v="548"/>
    <n v="51"/>
    <n v="3412"/>
    <n v="6104"/>
    <n v="905"/>
    <n v="285"/>
    <n v="19"/>
    <n v="169"/>
    <n v="440"/>
    <n v="67"/>
    <n v="4219"/>
  </r>
  <r>
    <x v="4"/>
    <x v="27"/>
    <s v="2004 Tampa Bay Devil Rays"/>
    <n v="5483"/>
    <x v="102"/>
    <x v="78"/>
    <n v="46"/>
    <n v="145"/>
    <n v="469"/>
    <n v="55"/>
    <n v="3543"/>
    <n v="6261"/>
    <n v="916"/>
    <n v="324"/>
    <n v="27"/>
    <n v="192"/>
    <n v="580"/>
    <n v="93"/>
    <n v="4129"/>
  </r>
  <r>
    <x v="4"/>
    <x v="28"/>
    <s v="2004 Texas Rangers"/>
    <n v="5615"/>
    <x v="103"/>
    <x v="79"/>
    <n v="34"/>
    <n v="227"/>
    <n v="500"/>
    <n v="61"/>
    <n v="3562"/>
    <n v="6345"/>
    <n v="1040"/>
    <n v="284"/>
    <n v="30"/>
    <n v="182"/>
    <n v="547"/>
    <n v="81"/>
    <n v="4181"/>
  </r>
  <r>
    <x v="4"/>
    <x v="29"/>
    <s v="2004 Toronto Blue Jays"/>
    <n v="5531"/>
    <x v="28"/>
    <x v="66"/>
    <n v="34"/>
    <n v="145"/>
    <n v="513"/>
    <n v="71"/>
    <n v="3509"/>
    <n v="6281"/>
    <n v="1003"/>
    <n v="293"/>
    <n v="28"/>
    <n v="181"/>
    <n v="608"/>
    <n v="58"/>
    <n v="4110"/>
  </r>
  <r>
    <x v="5"/>
    <x v="0"/>
    <s v="2005 Anaheim Angels"/>
    <n v="5624"/>
    <x v="36"/>
    <x v="78"/>
    <n v="30"/>
    <n v="147"/>
    <n v="447"/>
    <n v="29"/>
    <n v="3628"/>
    <n v="6158"/>
    <n v="945"/>
    <n v="285"/>
    <n v="31"/>
    <n v="158"/>
    <n v="443"/>
    <n v="48"/>
    <n v="4248"/>
  </r>
  <r>
    <x v="5"/>
    <x v="1"/>
    <s v="2005 Arizona Diamondbacks"/>
    <n v="5550"/>
    <x v="104"/>
    <x v="28"/>
    <n v="27"/>
    <n v="191"/>
    <n v="606"/>
    <n v="55"/>
    <n v="3470"/>
    <n v="6402"/>
    <n v="1005"/>
    <n v="341"/>
    <n v="41"/>
    <n v="193"/>
    <n v="537"/>
    <n v="62"/>
    <n v="4223"/>
  </r>
  <r>
    <x v="5"/>
    <x v="2"/>
    <s v="2005 Atlanta Braves"/>
    <n v="5486"/>
    <x v="105"/>
    <x v="59"/>
    <n v="37"/>
    <n v="184"/>
    <n v="534"/>
    <n v="45"/>
    <n v="3454"/>
    <n v="6186"/>
    <n v="1035"/>
    <n v="285"/>
    <n v="22"/>
    <n v="145"/>
    <n v="520"/>
    <n v="32"/>
    <n v="4147"/>
  </r>
  <r>
    <x v="5"/>
    <x v="3"/>
    <s v="2005 Baltimore Orioles"/>
    <n v="5551"/>
    <x v="99"/>
    <x v="56"/>
    <n v="27"/>
    <n v="189"/>
    <n v="447"/>
    <n v="54"/>
    <n v="3558"/>
    <n v="6242"/>
    <n v="996"/>
    <n v="260"/>
    <n v="22"/>
    <n v="180"/>
    <n v="580"/>
    <n v="52"/>
    <n v="4152"/>
  </r>
  <r>
    <x v="5"/>
    <x v="4"/>
    <s v="2005 Boston Red Sox"/>
    <n v="5626"/>
    <x v="106"/>
    <x v="80"/>
    <n v="21"/>
    <n v="199"/>
    <n v="653"/>
    <n v="47"/>
    <n v="3347"/>
    <n v="6227"/>
    <n v="991"/>
    <n v="354"/>
    <n v="41"/>
    <n v="164"/>
    <n v="440"/>
    <n v="89"/>
    <n v="4148"/>
  </r>
  <r>
    <x v="5"/>
    <x v="5"/>
    <s v="2005 Chicago Cubs"/>
    <n v="5584"/>
    <x v="81"/>
    <x v="79"/>
    <n v="23"/>
    <n v="194"/>
    <n v="419"/>
    <n v="50"/>
    <n v="3609"/>
    <n v="6185"/>
    <n v="894"/>
    <n v="258"/>
    <n v="19"/>
    <n v="186"/>
    <n v="576"/>
    <n v="50"/>
    <n v="4202"/>
  </r>
  <r>
    <x v="5"/>
    <x v="6"/>
    <s v="2005 Chicago White Sox"/>
    <n v="5529"/>
    <x v="107"/>
    <x v="19"/>
    <n v="23"/>
    <n v="200"/>
    <n v="435"/>
    <n v="79"/>
    <n v="3565"/>
    <n v="6176"/>
    <n v="924"/>
    <n v="278"/>
    <n v="23"/>
    <n v="167"/>
    <n v="459"/>
    <n v="52"/>
    <n v="4273"/>
  </r>
  <r>
    <x v="5"/>
    <x v="7"/>
    <s v="2005 Cincinnati Reds"/>
    <n v="5565"/>
    <x v="85"/>
    <x v="81"/>
    <n v="15"/>
    <n v="222"/>
    <n v="611"/>
    <n v="62"/>
    <n v="3439"/>
    <n v="6397"/>
    <n v="1033"/>
    <n v="366"/>
    <n v="39"/>
    <n v="219"/>
    <n v="492"/>
    <n v="80"/>
    <n v="4168"/>
  </r>
  <r>
    <x v="5"/>
    <x v="8"/>
    <s v="2005 Cleveland Indians"/>
    <n v="5609"/>
    <x v="5"/>
    <x v="82"/>
    <n v="30"/>
    <n v="207"/>
    <n v="503"/>
    <n v="54"/>
    <n v="3530"/>
    <n v="6048"/>
    <n v="922"/>
    <n v="269"/>
    <n v="15"/>
    <n v="157"/>
    <n v="413"/>
    <n v="41"/>
    <n v="4231"/>
  </r>
  <r>
    <x v="5"/>
    <x v="9"/>
    <s v="2005 Colorado Rockies"/>
    <n v="5542"/>
    <x v="108"/>
    <x v="41"/>
    <n v="34"/>
    <n v="150"/>
    <n v="509"/>
    <n v="64"/>
    <n v="3492"/>
    <n v="6385"/>
    <n v="1036"/>
    <n v="357"/>
    <n v="32"/>
    <n v="175"/>
    <n v="604"/>
    <n v="84"/>
    <n v="4097"/>
  </r>
  <r>
    <x v="5"/>
    <x v="10"/>
    <s v="2005 Detroit Tigers"/>
    <n v="5602"/>
    <x v="88"/>
    <x v="40"/>
    <n v="45"/>
    <n v="168"/>
    <n v="384"/>
    <n v="53"/>
    <n v="3644"/>
    <n v="6139"/>
    <n v="1018"/>
    <n v="258"/>
    <n v="35"/>
    <n v="193"/>
    <n v="461"/>
    <n v="51"/>
    <n v="4123"/>
  </r>
  <r>
    <x v="5"/>
    <x v="11"/>
    <s v="2005 Florida Marlins"/>
    <n v="5502"/>
    <x v="109"/>
    <x v="83"/>
    <n v="32"/>
    <n v="128"/>
    <n v="512"/>
    <n v="67"/>
    <n v="3424"/>
    <n v="6236"/>
    <n v="991"/>
    <n v="306"/>
    <n v="46"/>
    <n v="116"/>
    <n v="563"/>
    <n v="65"/>
    <n v="4149"/>
  </r>
  <r>
    <x v="5"/>
    <x v="12"/>
    <s v="2005 Houston Astros"/>
    <n v="5462"/>
    <x v="110"/>
    <x v="11"/>
    <n v="32"/>
    <n v="161"/>
    <n v="481"/>
    <n v="72"/>
    <n v="3509"/>
    <n v="6023"/>
    <n v="895"/>
    <n v="259"/>
    <n v="27"/>
    <n v="155"/>
    <n v="440"/>
    <n v="59"/>
    <n v="4188"/>
  </r>
  <r>
    <x v="5"/>
    <x v="13"/>
    <s v="2005 Kansas City Royals"/>
    <n v="5503"/>
    <x v="111"/>
    <x v="10"/>
    <n v="34"/>
    <n v="126"/>
    <n v="424"/>
    <n v="63"/>
    <n v="3571"/>
    <n v="6370"/>
    <n v="1073"/>
    <n v="347"/>
    <n v="42"/>
    <n v="178"/>
    <n v="580"/>
    <n v="74"/>
    <n v="4076"/>
  </r>
  <r>
    <x v="5"/>
    <x v="14"/>
    <s v="2005 Los Angeles Dodgers"/>
    <n v="5433"/>
    <x v="34"/>
    <x v="23"/>
    <n v="21"/>
    <n v="149"/>
    <n v="541"/>
    <n v="67"/>
    <n v="3451"/>
    <n v="6113"/>
    <n v="928"/>
    <n v="291"/>
    <n v="33"/>
    <n v="182"/>
    <n v="471"/>
    <n v="64"/>
    <n v="4144"/>
  </r>
  <r>
    <x v="5"/>
    <x v="15"/>
    <s v="2005 Milwaukee Brewers"/>
    <n v="5448"/>
    <x v="112"/>
    <x v="84"/>
    <n v="19"/>
    <n v="175"/>
    <n v="531"/>
    <n v="73"/>
    <n v="3431"/>
    <n v="6208"/>
    <n v="883"/>
    <n v="300"/>
    <n v="30"/>
    <n v="169"/>
    <n v="569"/>
    <n v="45"/>
    <n v="4212"/>
  </r>
  <r>
    <x v="5"/>
    <x v="16"/>
    <s v="2005 Minnesota Twins"/>
    <n v="5564"/>
    <x v="113"/>
    <x v="46"/>
    <n v="32"/>
    <n v="134"/>
    <n v="485"/>
    <n v="59"/>
    <n v="3579"/>
    <n v="6072"/>
    <n v="1004"/>
    <n v="257"/>
    <n v="28"/>
    <n v="169"/>
    <n v="348"/>
    <n v="43"/>
    <n v="4223"/>
  </r>
  <r>
    <x v="5"/>
    <x v="18"/>
    <s v="2005 New York Mets"/>
    <n v="5505"/>
    <x v="114"/>
    <x v="16"/>
    <n v="32"/>
    <n v="175"/>
    <n v="486"/>
    <n v="48"/>
    <n v="3550"/>
    <n v="6121"/>
    <n v="957"/>
    <n v="277"/>
    <n v="21"/>
    <n v="135"/>
    <n v="491"/>
    <n v="56"/>
    <n v="4184"/>
  </r>
  <r>
    <x v="5"/>
    <x v="19"/>
    <s v="2005 New York Yankees"/>
    <n v="5624"/>
    <x v="115"/>
    <x v="18"/>
    <n v="16"/>
    <n v="229"/>
    <n v="637"/>
    <n v="73"/>
    <n v="3362"/>
    <n v="6182"/>
    <n v="1005"/>
    <n v="295"/>
    <n v="31"/>
    <n v="164"/>
    <n v="463"/>
    <n v="84"/>
    <n v="4140"/>
  </r>
  <r>
    <x v="5"/>
    <x v="20"/>
    <s v="2005 Oakland Athletics"/>
    <n v="5627"/>
    <x v="66"/>
    <x v="3"/>
    <n v="20"/>
    <n v="155"/>
    <n v="537"/>
    <n v="52"/>
    <n v="3562"/>
    <n v="6080"/>
    <n v="881"/>
    <n v="257"/>
    <n v="23"/>
    <n v="154"/>
    <n v="504"/>
    <n v="60"/>
    <n v="4201"/>
  </r>
  <r>
    <x v="5"/>
    <x v="21"/>
    <s v="2005 Philadelphia Phillies"/>
    <n v="5542"/>
    <x v="90"/>
    <x v="1"/>
    <n v="35"/>
    <n v="167"/>
    <n v="639"/>
    <n v="56"/>
    <n v="3353"/>
    <n v="6119"/>
    <n v="843"/>
    <n v="319"/>
    <n v="28"/>
    <n v="189"/>
    <n v="487"/>
    <n v="72"/>
    <n v="4181"/>
  </r>
  <r>
    <x v="5"/>
    <x v="22"/>
    <s v="2005 Pittsburgh Pirates"/>
    <n v="5573"/>
    <x v="44"/>
    <x v="58"/>
    <n v="38"/>
    <n v="139"/>
    <n v="471"/>
    <n v="72"/>
    <n v="3585"/>
    <n v="6264"/>
    <n v="945"/>
    <n v="322"/>
    <n v="27"/>
    <n v="162"/>
    <n v="612"/>
    <n v="65"/>
    <n v="4131"/>
  </r>
  <r>
    <x v="5"/>
    <x v="23"/>
    <s v="2005 San Diego Padres"/>
    <n v="5502"/>
    <x v="11"/>
    <x v="46"/>
    <n v="39"/>
    <n v="130"/>
    <n v="600"/>
    <n v="49"/>
    <n v="3437"/>
    <n v="6253"/>
    <n v="946"/>
    <n v="318"/>
    <n v="42"/>
    <n v="146"/>
    <n v="503"/>
    <n v="46"/>
    <n v="4252"/>
  </r>
  <r>
    <x v="5"/>
    <x v="24"/>
    <s v="2005 Seattle Mariners"/>
    <n v="5507"/>
    <x v="116"/>
    <x v="10"/>
    <n v="34"/>
    <n v="130"/>
    <n v="466"/>
    <n v="48"/>
    <n v="3585"/>
    <n v="6172"/>
    <n v="1015"/>
    <n v="267"/>
    <n v="22"/>
    <n v="179"/>
    <n v="496"/>
    <n v="57"/>
    <n v="4136"/>
  </r>
  <r>
    <x v="5"/>
    <x v="25"/>
    <s v="2005 San Francisco Giants"/>
    <n v="5462"/>
    <x v="107"/>
    <x v="85"/>
    <n v="26"/>
    <n v="128"/>
    <n v="431"/>
    <n v="49"/>
    <n v="3555"/>
    <n v="6280"/>
    <n v="977"/>
    <n v="288"/>
    <n v="40"/>
    <n v="151"/>
    <n v="592"/>
    <n v="42"/>
    <n v="4190"/>
  </r>
  <r>
    <x v="5"/>
    <x v="26"/>
    <s v="2005 St. Louis Cardinals"/>
    <n v="5538"/>
    <x v="2"/>
    <x v="38"/>
    <n v="26"/>
    <n v="170"/>
    <n v="534"/>
    <n v="62"/>
    <n v="3448"/>
    <n v="6047"/>
    <n v="958"/>
    <n v="267"/>
    <n v="21"/>
    <n v="153"/>
    <n v="443"/>
    <n v="60"/>
    <n v="4145"/>
  </r>
  <r>
    <x v="5"/>
    <x v="27"/>
    <s v="2005 Tampa Bay Devil Rays"/>
    <n v="5552"/>
    <x v="109"/>
    <x v="10"/>
    <n v="40"/>
    <n v="157"/>
    <n v="412"/>
    <n v="69"/>
    <n v="3552"/>
    <n v="6384"/>
    <n v="1020"/>
    <n v="315"/>
    <n v="41"/>
    <n v="194"/>
    <n v="615"/>
    <n v="64"/>
    <n v="4135"/>
  </r>
  <r>
    <x v="5"/>
    <x v="28"/>
    <s v="2005 Texas Rangers"/>
    <n v="5716"/>
    <x v="117"/>
    <x v="36"/>
    <n v="29"/>
    <n v="260"/>
    <n v="495"/>
    <n v="48"/>
    <n v="3645"/>
    <n v="6371"/>
    <n v="1080"/>
    <n v="325"/>
    <n v="25"/>
    <n v="159"/>
    <n v="522"/>
    <n v="60"/>
    <n v="4200"/>
  </r>
  <r>
    <x v="5"/>
    <x v="29"/>
    <s v="2005 Toronto Blue Jays"/>
    <n v="5581"/>
    <x v="118"/>
    <x v="9"/>
    <n v="39"/>
    <n v="136"/>
    <n v="486"/>
    <n v="89"/>
    <n v="3526"/>
    <n v="6166"/>
    <n v="1007"/>
    <n v="263"/>
    <n v="20"/>
    <n v="185"/>
    <n v="444"/>
    <n v="68"/>
    <n v="4179"/>
  </r>
  <r>
    <x v="5"/>
    <x v="30"/>
    <s v="2005 Washington Nationals"/>
    <n v="5426"/>
    <x v="79"/>
    <x v="36"/>
    <n v="32"/>
    <n v="117"/>
    <n v="491"/>
    <n v="89"/>
    <n v="3479"/>
    <n v="6286"/>
    <n v="1016"/>
    <n v="279"/>
    <n v="21"/>
    <n v="140"/>
    <n v="539"/>
    <n v="72"/>
    <n v="4219"/>
  </r>
  <r>
    <x v="6"/>
    <x v="0"/>
    <s v="2006 Anaheim Angels"/>
    <n v="5609"/>
    <x v="119"/>
    <x v="0"/>
    <n v="29"/>
    <n v="159"/>
    <n v="486"/>
    <n v="42"/>
    <n v="3542"/>
    <n v="6149"/>
    <n v="929"/>
    <n v="300"/>
    <n v="23"/>
    <n v="158"/>
    <n v="471"/>
    <n v="50"/>
    <n v="4218"/>
  </r>
  <r>
    <x v="6"/>
    <x v="1"/>
    <s v="2006 Arizona Diamondbacks"/>
    <n v="5645"/>
    <x v="26"/>
    <x v="73"/>
    <n v="38"/>
    <n v="160"/>
    <n v="504"/>
    <n v="67"/>
    <n v="3568"/>
    <n v="6341"/>
    <n v="961"/>
    <n v="325"/>
    <n v="49"/>
    <n v="168"/>
    <n v="536"/>
    <n v="61"/>
    <n v="4241"/>
  </r>
  <r>
    <x v="6"/>
    <x v="2"/>
    <s v="2006 Atlanta Braves"/>
    <n v="5583"/>
    <x v="32"/>
    <x v="86"/>
    <n v="26"/>
    <n v="222"/>
    <n v="526"/>
    <n v="52"/>
    <n v="3495"/>
    <n v="6350"/>
    <n v="1006"/>
    <n v="304"/>
    <n v="36"/>
    <n v="183"/>
    <n v="572"/>
    <n v="55"/>
    <n v="4194"/>
  </r>
  <r>
    <x v="6"/>
    <x v="3"/>
    <s v="2006 Baltimore Orioles"/>
    <n v="5610"/>
    <x v="120"/>
    <x v="60"/>
    <n v="20"/>
    <n v="164"/>
    <n v="474"/>
    <n v="73"/>
    <n v="3507"/>
    <n v="6327"/>
    <n v="1049"/>
    <n v="286"/>
    <n v="28"/>
    <n v="216"/>
    <n v="613"/>
    <n v="48"/>
    <n v="4087"/>
  </r>
  <r>
    <x v="6"/>
    <x v="4"/>
    <s v="2006 Boston Red Sox"/>
    <n v="5619"/>
    <x v="60"/>
    <x v="84"/>
    <n v="16"/>
    <n v="192"/>
    <n v="672"/>
    <n v="66"/>
    <n v="3371"/>
    <n v="6292"/>
    <n v="1013"/>
    <n v="348"/>
    <n v="28"/>
    <n v="181"/>
    <n v="509"/>
    <n v="68"/>
    <n v="4145"/>
  </r>
  <r>
    <x v="6"/>
    <x v="5"/>
    <s v="2006 Chicago Cubs"/>
    <n v="5587"/>
    <x v="108"/>
    <x v="87"/>
    <n v="46"/>
    <n v="166"/>
    <n v="395"/>
    <n v="43"/>
    <n v="3653"/>
    <n v="6366"/>
    <n v="878"/>
    <n v="276"/>
    <n v="32"/>
    <n v="210"/>
    <n v="687"/>
    <n v="67"/>
    <n v="4216"/>
  </r>
  <r>
    <x v="6"/>
    <x v="6"/>
    <s v="2006 Chicago White Sox"/>
    <n v="5657"/>
    <x v="121"/>
    <x v="28"/>
    <n v="20"/>
    <n v="236"/>
    <n v="502"/>
    <n v="58"/>
    <n v="3511"/>
    <n v="6232"/>
    <n v="1007"/>
    <n v="296"/>
    <n v="31"/>
    <n v="200"/>
    <n v="433"/>
    <n v="58"/>
    <n v="4207"/>
  </r>
  <r>
    <x v="6"/>
    <x v="7"/>
    <s v="2006 Cincinnati Reds"/>
    <n v="5515"/>
    <x v="57"/>
    <x v="28"/>
    <n v="12"/>
    <n v="217"/>
    <n v="614"/>
    <n v="59"/>
    <n v="3423"/>
    <n v="6319"/>
    <n v="1008"/>
    <n v="332"/>
    <n v="23"/>
    <n v="213"/>
    <n v="464"/>
    <n v="60"/>
    <n v="4219"/>
  </r>
  <r>
    <x v="6"/>
    <x v="8"/>
    <s v="2006 Cleveland Indians"/>
    <n v="5619"/>
    <x v="55"/>
    <x v="88"/>
    <n v="27"/>
    <n v="196"/>
    <n v="556"/>
    <n v="54"/>
    <n v="3433"/>
    <n v="6190"/>
    <n v="1101"/>
    <n v="293"/>
    <n v="23"/>
    <n v="166"/>
    <n v="429"/>
    <n v="51"/>
    <n v="4127"/>
  </r>
  <r>
    <x v="6"/>
    <x v="9"/>
    <s v="2006 Colorado Rockies"/>
    <n v="5562"/>
    <x v="122"/>
    <x v="6"/>
    <n v="54"/>
    <n v="157"/>
    <n v="561"/>
    <n v="60"/>
    <n v="3437"/>
    <n v="6318"/>
    <n v="1008"/>
    <n v="331"/>
    <n v="55"/>
    <n v="155"/>
    <n v="553"/>
    <n v="66"/>
    <n v="4150"/>
  </r>
  <r>
    <x v="6"/>
    <x v="10"/>
    <s v="2006 Detroit Tigers"/>
    <n v="5642"/>
    <x v="2"/>
    <x v="14"/>
    <n v="40"/>
    <n v="203"/>
    <n v="430"/>
    <n v="45"/>
    <n v="3619"/>
    <n v="6145"/>
    <n v="959"/>
    <n v="263"/>
    <n v="38"/>
    <n v="160"/>
    <n v="489"/>
    <n v="53"/>
    <n v="4183"/>
  </r>
  <r>
    <x v="6"/>
    <x v="11"/>
    <s v="2006 Florida Marlins"/>
    <n v="5502"/>
    <x v="123"/>
    <x v="0"/>
    <n v="42"/>
    <n v="182"/>
    <n v="497"/>
    <n v="74"/>
    <n v="3477"/>
    <n v="6294"/>
    <n v="984"/>
    <n v="268"/>
    <n v="47"/>
    <n v="166"/>
    <n v="622"/>
    <n v="74"/>
    <n v="4133"/>
  </r>
  <r>
    <x v="6"/>
    <x v="12"/>
    <s v="2006 Houston Astros"/>
    <n v="5521"/>
    <x v="124"/>
    <x v="22"/>
    <n v="27"/>
    <n v="174"/>
    <n v="585"/>
    <n v="73"/>
    <n v="3456"/>
    <n v="6219"/>
    <n v="894"/>
    <n v="321"/>
    <n v="28"/>
    <n v="182"/>
    <n v="480"/>
    <n v="54"/>
    <n v="4260"/>
  </r>
  <r>
    <x v="6"/>
    <x v="13"/>
    <s v="2006 Kansas City Royals"/>
    <n v="5589"/>
    <x v="125"/>
    <x v="81"/>
    <n v="37"/>
    <n v="124"/>
    <n v="474"/>
    <n v="64"/>
    <n v="3536"/>
    <n v="6434"/>
    <n v="1067"/>
    <n v="341"/>
    <n v="27"/>
    <n v="213"/>
    <n v="637"/>
    <n v="60"/>
    <n v="4089"/>
  </r>
  <r>
    <x v="6"/>
    <x v="14"/>
    <s v="2006 Los Angeles Dodgers"/>
    <n v="5628"/>
    <x v="126"/>
    <x v="9"/>
    <n v="58"/>
    <n v="153"/>
    <n v="601"/>
    <n v="51"/>
    <n v="3424"/>
    <n v="6289"/>
    <n v="1019"/>
    <n v="323"/>
    <n v="30"/>
    <n v="152"/>
    <n v="492"/>
    <n v="41"/>
    <n v="4232"/>
  </r>
  <r>
    <x v="6"/>
    <x v="15"/>
    <s v="2006 Milwaukee Brewers"/>
    <n v="5433"/>
    <x v="57"/>
    <x v="89"/>
    <n v="20"/>
    <n v="180"/>
    <n v="502"/>
    <n v="82"/>
    <n v="3449"/>
    <n v="6210"/>
    <n v="890"/>
    <n v="355"/>
    <n v="32"/>
    <n v="177"/>
    <n v="514"/>
    <n v="74"/>
    <n v="4168"/>
  </r>
  <r>
    <x v="6"/>
    <x v="16"/>
    <s v="2006 Minnesota Twins"/>
    <n v="5602"/>
    <x v="127"/>
    <x v="22"/>
    <n v="34"/>
    <n v="143"/>
    <n v="490"/>
    <n v="50"/>
    <n v="3454"/>
    <n v="6066"/>
    <n v="1005"/>
    <n v="280"/>
    <n v="23"/>
    <n v="182"/>
    <n v="356"/>
    <n v="36"/>
    <n v="4184"/>
  </r>
  <r>
    <x v="6"/>
    <x v="18"/>
    <s v="2006 New York Mets"/>
    <n v="5558"/>
    <x v="128"/>
    <x v="79"/>
    <n v="41"/>
    <n v="200"/>
    <n v="547"/>
    <n v="62"/>
    <n v="3480"/>
    <n v="6240"/>
    <n v="930"/>
    <n v="274"/>
    <n v="18"/>
    <n v="180"/>
    <n v="527"/>
    <n v="62"/>
    <n v="4249"/>
  </r>
  <r>
    <x v="6"/>
    <x v="19"/>
    <s v="2006 New York Yankees"/>
    <n v="5651"/>
    <x v="129"/>
    <x v="84"/>
    <n v="21"/>
    <n v="210"/>
    <n v="649"/>
    <n v="72"/>
    <n v="3322"/>
    <n v="6215"/>
    <n v="977"/>
    <n v="294"/>
    <n v="22"/>
    <n v="170"/>
    <n v="496"/>
    <n v="59"/>
    <n v="4197"/>
  </r>
  <r>
    <x v="6"/>
    <x v="20"/>
    <s v="2006 Oakland Athletics"/>
    <n v="5500"/>
    <x v="81"/>
    <x v="62"/>
    <n v="22"/>
    <n v="175"/>
    <n v="650"/>
    <n v="50"/>
    <n v="3371"/>
    <n v="6279"/>
    <n v="1040"/>
    <n v="289"/>
    <n v="34"/>
    <n v="162"/>
    <n v="529"/>
    <n v="55"/>
    <n v="4170"/>
  </r>
  <r>
    <x v="6"/>
    <x v="21"/>
    <s v="2006 Philadelphia Phillies"/>
    <n v="5687"/>
    <x v="29"/>
    <x v="14"/>
    <n v="41"/>
    <n v="216"/>
    <n v="626"/>
    <n v="95"/>
    <n v="3448"/>
    <n v="6366"/>
    <n v="975"/>
    <n v="335"/>
    <n v="40"/>
    <n v="211"/>
    <n v="512"/>
    <n v="62"/>
    <n v="4231"/>
  </r>
  <r>
    <x v="6"/>
    <x v="22"/>
    <s v="2006 Pittsburgh Pirates"/>
    <n v="5558"/>
    <x v="76"/>
    <x v="45"/>
    <n v="17"/>
    <n v="141"/>
    <n v="459"/>
    <n v="89"/>
    <n v="3548"/>
    <n v="6354"/>
    <n v="1058"/>
    <n v="300"/>
    <n v="31"/>
    <n v="156"/>
    <n v="620"/>
    <n v="70"/>
    <n v="4119"/>
  </r>
  <r>
    <x v="6"/>
    <x v="23"/>
    <s v="2006 San Diego Padres"/>
    <n v="5576"/>
    <x v="122"/>
    <x v="68"/>
    <n v="38"/>
    <n v="161"/>
    <n v="564"/>
    <n v="40"/>
    <n v="3507"/>
    <n v="6175"/>
    <n v="910"/>
    <n v="264"/>
    <n v="35"/>
    <n v="176"/>
    <n v="468"/>
    <n v="50"/>
    <n v="4272"/>
  </r>
  <r>
    <x v="6"/>
    <x v="24"/>
    <s v="2006 Seattle Mariners"/>
    <n v="5670"/>
    <x v="130"/>
    <x v="62"/>
    <n v="42"/>
    <n v="172"/>
    <n v="404"/>
    <n v="63"/>
    <n v="3663"/>
    <n v="6294"/>
    <n v="967"/>
    <n v="327"/>
    <n v="23"/>
    <n v="183"/>
    <n v="560"/>
    <n v="53"/>
    <n v="4181"/>
  </r>
  <r>
    <x v="6"/>
    <x v="25"/>
    <s v="2006 San Francisco Giants"/>
    <n v="5472"/>
    <x v="131"/>
    <x v="13"/>
    <n v="52"/>
    <n v="163"/>
    <n v="494"/>
    <n v="53"/>
    <n v="3507"/>
    <n v="6225"/>
    <n v="935"/>
    <n v="287"/>
    <n v="47"/>
    <n v="153"/>
    <n v="584"/>
    <n v="70"/>
    <n v="4149"/>
  </r>
  <r>
    <x v="6"/>
    <x v="26"/>
    <s v="2006 St. Louis Cardinals"/>
    <n v="5522"/>
    <x v="132"/>
    <x v="58"/>
    <n v="27"/>
    <n v="184"/>
    <n v="531"/>
    <n v="61"/>
    <n v="3446"/>
    <n v="6196"/>
    <n v="938"/>
    <n v="310"/>
    <n v="34"/>
    <n v="193"/>
    <n v="504"/>
    <n v="80"/>
    <n v="4137"/>
  </r>
  <r>
    <x v="6"/>
    <x v="27"/>
    <s v="2006 Tampa Bay Devil Rays"/>
    <n v="5474"/>
    <x v="128"/>
    <x v="77"/>
    <n v="33"/>
    <n v="190"/>
    <n v="441"/>
    <n v="47"/>
    <n v="3591"/>
    <n v="6374"/>
    <n v="1059"/>
    <n v="334"/>
    <n v="27"/>
    <n v="180"/>
    <n v="606"/>
    <n v="63"/>
    <n v="4105"/>
  </r>
  <r>
    <x v="6"/>
    <x v="28"/>
    <s v="2006 Texas Rangers"/>
    <n v="5659"/>
    <x v="133"/>
    <x v="69"/>
    <n v="23"/>
    <n v="183"/>
    <n v="505"/>
    <n v="40"/>
    <n v="3543"/>
    <n v="6237"/>
    <n v="1088"/>
    <n v="283"/>
    <n v="25"/>
    <n v="162"/>
    <n v="496"/>
    <n v="66"/>
    <n v="4117"/>
  </r>
  <r>
    <x v="6"/>
    <x v="29"/>
    <s v="2006 Toronto Blue Jays"/>
    <n v="5596"/>
    <x v="19"/>
    <x v="42"/>
    <n v="27"/>
    <n v="199"/>
    <n v="514"/>
    <n v="63"/>
    <n v="3428"/>
    <n v="6151"/>
    <n v="950"/>
    <n v="291"/>
    <n v="21"/>
    <n v="185"/>
    <n v="504"/>
    <n v="59"/>
    <n v="4141"/>
  </r>
  <r>
    <x v="6"/>
    <x v="30"/>
    <s v="2006 Washington Nationals"/>
    <n v="5495"/>
    <x v="134"/>
    <x v="90"/>
    <n v="22"/>
    <n v="164"/>
    <n v="594"/>
    <n v="69"/>
    <n v="3395"/>
    <n v="6424"/>
    <n v="995"/>
    <n v="305"/>
    <n v="42"/>
    <n v="193"/>
    <n v="584"/>
    <n v="92"/>
    <n v="4213"/>
  </r>
  <r>
    <x v="7"/>
    <x v="0"/>
    <s v="2007 Anaheim Angels"/>
    <n v="5554"/>
    <x v="93"/>
    <x v="27"/>
    <n v="23"/>
    <n v="123"/>
    <n v="507"/>
    <n v="40"/>
    <n v="3429"/>
    <n v="6161"/>
    <n v="1006"/>
    <n v="289"/>
    <n v="34"/>
    <n v="151"/>
    <n v="477"/>
    <n v="51"/>
    <n v="4153"/>
  </r>
  <r>
    <x v="7"/>
    <x v="1"/>
    <s v="2007 Arizona Diamondbacks"/>
    <n v="5398"/>
    <x v="135"/>
    <x v="45"/>
    <n v="40"/>
    <n v="171"/>
    <n v="532"/>
    <n v="57"/>
    <n v="3459"/>
    <n v="6216"/>
    <n v="950"/>
    <n v="293"/>
    <n v="34"/>
    <n v="169"/>
    <n v="546"/>
    <n v="61"/>
    <n v="4163"/>
  </r>
  <r>
    <x v="7"/>
    <x v="2"/>
    <s v="2007 Atlanta Braves"/>
    <n v="5689"/>
    <x v="136"/>
    <x v="21"/>
    <n v="27"/>
    <n v="176"/>
    <n v="534"/>
    <n v="49"/>
    <n v="3544"/>
    <n v="6263"/>
    <n v="959"/>
    <n v="272"/>
    <n v="39"/>
    <n v="172"/>
    <n v="537"/>
    <n v="42"/>
    <n v="4242"/>
  </r>
  <r>
    <x v="7"/>
    <x v="3"/>
    <s v="2007 Baltimore Orioles"/>
    <n v="5631"/>
    <x v="137"/>
    <x v="83"/>
    <n v="30"/>
    <n v="142"/>
    <n v="500"/>
    <n v="47"/>
    <n v="3555"/>
    <n v="6418"/>
    <n v="1030"/>
    <n v="283"/>
    <n v="17"/>
    <n v="161"/>
    <n v="696"/>
    <n v="72"/>
    <n v="4159"/>
  </r>
  <r>
    <x v="7"/>
    <x v="4"/>
    <s v="2007 Boston Red Sox"/>
    <n v="5589"/>
    <x v="133"/>
    <x v="91"/>
    <n v="35"/>
    <n v="166"/>
    <n v="689"/>
    <n v="64"/>
    <n v="3275"/>
    <n v="6071"/>
    <n v="884"/>
    <n v="295"/>
    <n v="20"/>
    <n v="151"/>
    <n v="482"/>
    <n v="62"/>
    <n v="4177"/>
  </r>
  <r>
    <x v="7"/>
    <x v="5"/>
    <s v="2007 Chicago Cubs"/>
    <n v="5643"/>
    <x v="2"/>
    <x v="92"/>
    <n v="28"/>
    <n v="151"/>
    <n v="500"/>
    <n v="40"/>
    <n v="3573"/>
    <n v="6186"/>
    <n v="866"/>
    <n v="280"/>
    <n v="29"/>
    <n v="165"/>
    <n v="573"/>
    <n v="59"/>
    <n v="4214"/>
  </r>
  <r>
    <x v="7"/>
    <x v="6"/>
    <s v="2007 Chicago White Sox"/>
    <n v="5441"/>
    <x v="42"/>
    <x v="93"/>
    <n v="20"/>
    <n v="190"/>
    <n v="532"/>
    <n v="52"/>
    <n v="3516"/>
    <n v="6293"/>
    <n v="1049"/>
    <n v="297"/>
    <n v="36"/>
    <n v="174"/>
    <n v="499"/>
    <n v="59"/>
    <n v="4179"/>
  </r>
  <r>
    <x v="7"/>
    <x v="7"/>
    <s v="2007 Cincinnati Reds"/>
    <n v="5607"/>
    <x v="44"/>
    <x v="94"/>
    <n v="23"/>
    <n v="204"/>
    <n v="536"/>
    <n v="66"/>
    <n v="3509"/>
    <n v="6354"/>
    <n v="1036"/>
    <n v="345"/>
    <n v="26"/>
    <n v="198"/>
    <n v="482"/>
    <n v="73"/>
    <n v="4194"/>
  </r>
  <r>
    <x v="7"/>
    <x v="8"/>
    <s v="2007 Cleveland Indians"/>
    <n v="5604"/>
    <x v="62"/>
    <x v="50"/>
    <n v="27"/>
    <n v="178"/>
    <n v="590"/>
    <n v="80"/>
    <n v="3430"/>
    <n v="6206"/>
    <n v="1045"/>
    <n v="306"/>
    <n v="22"/>
    <n v="146"/>
    <n v="410"/>
    <n v="56"/>
    <n v="4221"/>
  </r>
  <r>
    <x v="7"/>
    <x v="9"/>
    <s v="2007 Colorado Rockies"/>
    <n v="5691"/>
    <x v="138"/>
    <x v="29"/>
    <n v="36"/>
    <n v="171"/>
    <n v="622"/>
    <n v="58"/>
    <n v="3420"/>
    <n v="6293"/>
    <n v="990"/>
    <n v="298"/>
    <n v="45"/>
    <n v="164"/>
    <n v="504"/>
    <n v="59"/>
    <n v="4233"/>
  </r>
  <r>
    <x v="7"/>
    <x v="10"/>
    <s v="2007 Detroit Tigers"/>
    <n v="5757"/>
    <x v="139"/>
    <x v="91"/>
    <n v="50"/>
    <n v="177"/>
    <n v="474"/>
    <n v="56"/>
    <n v="3575"/>
    <n v="6345"/>
    <n v="990"/>
    <n v="288"/>
    <n v="46"/>
    <n v="174"/>
    <n v="566"/>
    <n v="68"/>
    <n v="4213"/>
  </r>
  <r>
    <x v="7"/>
    <x v="11"/>
    <s v="2007 Florida Marlins"/>
    <n v="5627"/>
    <x v="140"/>
    <x v="92"/>
    <n v="38"/>
    <n v="201"/>
    <n v="521"/>
    <n v="82"/>
    <n v="3520"/>
    <n v="6544"/>
    <n v="1108"/>
    <n v="302"/>
    <n v="31"/>
    <n v="176"/>
    <n v="661"/>
    <n v="76"/>
    <n v="4190"/>
  </r>
  <r>
    <x v="7"/>
    <x v="12"/>
    <s v="2007 Houston Astros"/>
    <n v="5605"/>
    <x v="29"/>
    <x v="94"/>
    <n v="30"/>
    <n v="167"/>
    <n v="547"/>
    <n v="55"/>
    <n v="3546"/>
    <n v="6417"/>
    <n v="978"/>
    <n v="345"/>
    <n v="37"/>
    <n v="206"/>
    <n v="510"/>
    <n v="63"/>
    <n v="4278"/>
  </r>
  <r>
    <x v="7"/>
    <x v="13"/>
    <s v="2007 Kansas City Royals"/>
    <n v="5534"/>
    <x v="141"/>
    <x v="17"/>
    <n v="46"/>
    <n v="102"/>
    <n v="428"/>
    <n v="89"/>
    <n v="3570"/>
    <n v="6253"/>
    <n v="969"/>
    <n v="380"/>
    <n v="30"/>
    <n v="168"/>
    <n v="520"/>
    <n v="41"/>
    <n v="4145"/>
  </r>
  <r>
    <x v="7"/>
    <x v="14"/>
    <s v="2007 Los Angeles Dodgers"/>
    <n v="5614"/>
    <x v="142"/>
    <x v="51"/>
    <n v="35"/>
    <n v="129"/>
    <n v="511"/>
    <n v="41"/>
    <n v="3518"/>
    <n v="6196"/>
    <n v="996"/>
    <n v="279"/>
    <n v="22"/>
    <n v="146"/>
    <n v="518"/>
    <n v="38"/>
    <n v="4197"/>
  </r>
  <r>
    <x v="7"/>
    <x v="15"/>
    <s v="2007 Milwaukee Brewers"/>
    <n v="5554"/>
    <x v="143"/>
    <x v="3"/>
    <n v="37"/>
    <n v="231"/>
    <n v="501"/>
    <n v="76"/>
    <n v="3522"/>
    <n v="6285"/>
    <n v="1005"/>
    <n v="321"/>
    <n v="26"/>
    <n v="161"/>
    <n v="507"/>
    <n v="52"/>
    <n v="4213"/>
  </r>
  <r>
    <x v="7"/>
    <x v="16"/>
    <s v="2007 Minnesota Twins"/>
    <n v="5522"/>
    <x v="109"/>
    <x v="32"/>
    <n v="36"/>
    <n v="118"/>
    <n v="512"/>
    <n v="48"/>
    <n v="3502"/>
    <n v="6133"/>
    <n v="996"/>
    <n v="297"/>
    <n v="27"/>
    <n v="185"/>
    <n v="420"/>
    <n v="51"/>
    <n v="4157"/>
  </r>
  <r>
    <x v="7"/>
    <x v="18"/>
    <s v="2007 New York Mets"/>
    <n v="5605"/>
    <x v="144"/>
    <x v="14"/>
    <n v="27"/>
    <n v="177"/>
    <n v="549"/>
    <n v="54"/>
    <n v="3459"/>
    <n v="6293"/>
    <n v="921"/>
    <n v="296"/>
    <n v="33"/>
    <n v="165"/>
    <n v="570"/>
    <n v="61"/>
    <n v="4247"/>
  </r>
  <r>
    <x v="7"/>
    <x v="19"/>
    <s v="2007 New York Yankees"/>
    <n v="5717"/>
    <x v="145"/>
    <x v="37"/>
    <n v="32"/>
    <n v="201"/>
    <n v="637"/>
    <n v="78"/>
    <n v="3346"/>
    <n v="6308"/>
    <n v="994"/>
    <n v="327"/>
    <n v="27"/>
    <n v="150"/>
    <n v="578"/>
    <n v="60"/>
    <n v="4172"/>
  </r>
  <r>
    <x v="7"/>
    <x v="20"/>
    <s v="2007 Oakland Athletics"/>
    <n v="5577"/>
    <x v="5"/>
    <x v="34"/>
    <n v="16"/>
    <n v="171"/>
    <n v="664"/>
    <n v="49"/>
    <n v="3434"/>
    <n v="6247"/>
    <n v="1003"/>
    <n v="282"/>
    <n v="45"/>
    <n v="138"/>
    <n v="530"/>
    <n v="43"/>
    <n v="4206"/>
  </r>
  <r>
    <x v="7"/>
    <x v="21"/>
    <s v="2007 Philadelphia Phillies"/>
    <n v="5688"/>
    <x v="11"/>
    <x v="37"/>
    <n v="41"/>
    <n v="213"/>
    <n v="641"/>
    <n v="90"/>
    <n v="3399"/>
    <n v="6385"/>
    <n v="986"/>
    <n v="345"/>
    <n v="26"/>
    <n v="198"/>
    <n v="558"/>
    <n v="72"/>
    <n v="4200"/>
  </r>
  <r>
    <x v="7"/>
    <x v="22"/>
    <s v="2007 Pittsburgh Pirates"/>
    <n v="5569"/>
    <x v="25"/>
    <x v="90"/>
    <n v="31"/>
    <n v="148"/>
    <n v="463"/>
    <n v="71"/>
    <n v="3572"/>
    <n v="6374"/>
    <n v="1095"/>
    <n v="337"/>
    <n v="21"/>
    <n v="174"/>
    <n v="518"/>
    <n v="76"/>
    <n v="4153"/>
  </r>
  <r>
    <x v="7"/>
    <x v="23"/>
    <s v="2007 San Diego Padres"/>
    <n v="5612"/>
    <x v="146"/>
    <x v="90"/>
    <n v="31"/>
    <n v="171"/>
    <n v="557"/>
    <n v="49"/>
    <n v="3598"/>
    <n v="6254"/>
    <n v="979"/>
    <n v="270"/>
    <n v="38"/>
    <n v="119"/>
    <n v="474"/>
    <n v="48"/>
    <n v="4326"/>
  </r>
  <r>
    <x v="7"/>
    <x v="24"/>
    <s v="2007 Seattle Mariners"/>
    <n v="5684"/>
    <x v="147"/>
    <x v="23"/>
    <n v="22"/>
    <n v="153"/>
    <n v="389"/>
    <n v="62"/>
    <n v="3604"/>
    <n v="6313"/>
    <n v="1066"/>
    <n v="331"/>
    <n v="34"/>
    <n v="147"/>
    <n v="546"/>
    <n v="62"/>
    <n v="4127"/>
  </r>
  <r>
    <x v="7"/>
    <x v="25"/>
    <s v="2007 San Francisco Giants"/>
    <n v="5538"/>
    <x v="148"/>
    <x v="77"/>
    <n v="37"/>
    <n v="131"/>
    <n v="532"/>
    <n v="39"/>
    <n v="3560"/>
    <n v="6299"/>
    <n v="948"/>
    <n v="320"/>
    <n v="41"/>
    <n v="133"/>
    <n v="593"/>
    <n v="47"/>
    <n v="4217"/>
  </r>
  <r>
    <x v="7"/>
    <x v="26"/>
    <s v="2007 St. Louis Cardinals"/>
    <n v="5529"/>
    <x v="149"/>
    <x v="16"/>
    <n v="13"/>
    <n v="141"/>
    <n v="506"/>
    <n v="54"/>
    <n v="3456"/>
    <n v="6283"/>
    <n v="989"/>
    <n v="319"/>
    <n v="38"/>
    <n v="168"/>
    <n v="509"/>
    <n v="73"/>
    <n v="4187"/>
  </r>
  <r>
    <x v="7"/>
    <x v="27"/>
    <s v="2007 Tampa Bay Devil Rays"/>
    <n v="5593"/>
    <x v="150"/>
    <x v="28"/>
    <n v="36"/>
    <n v="187"/>
    <n v="545"/>
    <n v="53"/>
    <n v="3495"/>
    <n v="6403"/>
    <n v="1078"/>
    <n v="334"/>
    <n v="38"/>
    <n v="199"/>
    <n v="568"/>
    <n v="63"/>
    <n v="4123"/>
  </r>
  <r>
    <x v="7"/>
    <x v="28"/>
    <s v="2007 Texas Rangers"/>
    <n v="5555"/>
    <x v="102"/>
    <x v="68"/>
    <n v="36"/>
    <n v="179"/>
    <n v="503"/>
    <n v="56"/>
    <n v="3536"/>
    <n v="6389"/>
    <n v="1031"/>
    <n v="314"/>
    <n v="25"/>
    <n v="155"/>
    <n v="668"/>
    <n v="70"/>
    <n v="4126"/>
  </r>
  <r>
    <x v="7"/>
    <x v="29"/>
    <s v="2007 Toronto Blue Jays"/>
    <n v="5536"/>
    <x v="151"/>
    <x v="95"/>
    <n v="24"/>
    <n v="165"/>
    <n v="533"/>
    <n v="47"/>
    <n v="3522"/>
    <n v="6108"/>
    <n v="950"/>
    <n v="252"/>
    <n v="24"/>
    <n v="157"/>
    <n v="479"/>
    <n v="55"/>
    <n v="4191"/>
  </r>
  <r>
    <x v="7"/>
    <x v="30"/>
    <s v="2007 Washington Nationals"/>
    <n v="5520"/>
    <x v="17"/>
    <x v="0"/>
    <n v="31"/>
    <n v="123"/>
    <n v="524"/>
    <n v="53"/>
    <n v="3528"/>
    <n v="6333"/>
    <n v="988"/>
    <n v="300"/>
    <n v="27"/>
    <n v="187"/>
    <n v="580"/>
    <n v="42"/>
    <n v="4209"/>
  </r>
  <r>
    <x v="8"/>
    <x v="0"/>
    <s v="2008 Anaheim Angels"/>
    <n v="5540"/>
    <x v="10"/>
    <x v="2"/>
    <n v="25"/>
    <n v="159"/>
    <n v="481"/>
    <n v="52"/>
    <n v="3521"/>
    <n v="6161"/>
    <n v="995"/>
    <n v="272"/>
    <n v="28"/>
    <n v="160"/>
    <n v="457"/>
    <n v="63"/>
    <n v="4186"/>
  </r>
  <r>
    <x v="8"/>
    <x v="1"/>
    <s v="2008 Arizona Diamondbacks"/>
    <n v="5409"/>
    <x v="152"/>
    <x v="63"/>
    <n v="47"/>
    <n v="159"/>
    <n v="587"/>
    <n v="49"/>
    <n v="3418"/>
    <n v="6119"/>
    <n v="950"/>
    <n v="276"/>
    <n v="30"/>
    <n v="147"/>
    <n v="451"/>
    <n v="68"/>
    <n v="4197"/>
  </r>
  <r>
    <x v="8"/>
    <x v="2"/>
    <s v="2008 Atlanta Braves"/>
    <n v="5604"/>
    <x v="153"/>
    <x v="4"/>
    <n v="33"/>
    <n v="130"/>
    <n v="618"/>
    <n v="42"/>
    <n v="3430"/>
    <n v="6244"/>
    <n v="916"/>
    <n v="325"/>
    <n v="42"/>
    <n v="156"/>
    <n v="586"/>
    <n v="42"/>
    <n v="4177"/>
  </r>
  <r>
    <x v="8"/>
    <x v="3"/>
    <s v="2008 Baltimore Orioles"/>
    <n v="5559"/>
    <x v="25"/>
    <x v="90"/>
    <n v="30"/>
    <n v="172"/>
    <n v="533"/>
    <n v="42"/>
    <n v="3498"/>
    <n v="6414"/>
    <n v="1052"/>
    <n v="279"/>
    <n v="23"/>
    <n v="184"/>
    <n v="687"/>
    <n v="80"/>
    <n v="4109"/>
  </r>
  <r>
    <x v="8"/>
    <x v="4"/>
    <s v="2008 Boston Red Sox"/>
    <n v="5596"/>
    <x v="113"/>
    <x v="96"/>
    <n v="33"/>
    <n v="173"/>
    <n v="646"/>
    <n v="70"/>
    <n v="3315"/>
    <n v="6180"/>
    <n v="914"/>
    <n v="289"/>
    <n v="19"/>
    <n v="147"/>
    <n v="548"/>
    <n v="68"/>
    <n v="4195"/>
  </r>
  <r>
    <x v="8"/>
    <x v="5"/>
    <s v="2008 Chicago Cubs"/>
    <n v="5588"/>
    <x v="76"/>
    <x v="97"/>
    <n v="21"/>
    <n v="184"/>
    <n v="636"/>
    <n v="50"/>
    <n v="3350"/>
    <n v="6194"/>
    <n v="847"/>
    <n v="283"/>
    <n v="39"/>
    <n v="160"/>
    <n v="548"/>
    <n v="65"/>
    <n v="4252"/>
  </r>
  <r>
    <x v="8"/>
    <x v="6"/>
    <s v="2008 Chicago White Sox"/>
    <n v="5553"/>
    <x v="45"/>
    <x v="56"/>
    <n v="13"/>
    <n v="235"/>
    <n v="540"/>
    <n v="63"/>
    <n v="3492"/>
    <n v="6218"/>
    <n v="970"/>
    <n v="314"/>
    <n v="31"/>
    <n v="156"/>
    <n v="460"/>
    <n v="48"/>
    <n v="4239"/>
  </r>
  <r>
    <x v="8"/>
    <x v="7"/>
    <s v="2008 Cincinnati Reds"/>
    <n v="5465"/>
    <x v="96"/>
    <x v="46"/>
    <n v="24"/>
    <n v="187"/>
    <n v="560"/>
    <n v="50"/>
    <n v="3504"/>
    <n v="6352"/>
    <n v="990"/>
    <n v="322"/>
    <n v="29"/>
    <n v="201"/>
    <n v="557"/>
    <n v="67"/>
    <n v="4186"/>
  </r>
  <r>
    <x v="8"/>
    <x v="8"/>
    <s v="2008 Cleveland Indians"/>
    <n v="5543"/>
    <x v="43"/>
    <x v="80"/>
    <n v="22"/>
    <n v="171"/>
    <n v="560"/>
    <n v="103"/>
    <n v="3425"/>
    <n v="6164"/>
    <n v="1049"/>
    <n v="290"/>
    <n v="21"/>
    <n v="170"/>
    <n v="444"/>
    <n v="51"/>
    <n v="4139"/>
  </r>
  <r>
    <x v="8"/>
    <x v="9"/>
    <s v="2008 Colorado Rockies"/>
    <n v="5557"/>
    <x v="50"/>
    <x v="3"/>
    <n v="28"/>
    <n v="160"/>
    <n v="570"/>
    <n v="57"/>
    <n v="3468"/>
    <n v="6338"/>
    <n v="1018"/>
    <n v="335"/>
    <n v="46"/>
    <n v="148"/>
    <n v="562"/>
    <n v="53"/>
    <n v="4176"/>
  </r>
  <r>
    <x v="8"/>
    <x v="10"/>
    <s v="2008 Detroit Tigers"/>
    <n v="5641"/>
    <x v="0"/>
    <x v="94"/>
    <n v="41"/>
    <n v="200"/>
    <n v="572"/>
    <n v="44"/>
    <n v="3496"/>
    <n v="6411"/>
    <n v="1002"/>
    <n v="334"/>
    <n v="33"/>
    <n v="172"/>
    <n v="644"/>
    <n v="68"/>
    <n v="4158"/>
  </r>
  <r>
    <x v="8"/>
    <x v="11"/>
    <s v="2008 Florida Marlins"/>
    <n v="5499"/>
    <x v="154"/>
    <x v="7"/>
    <n v="28"/>
    <n v="208"/>
    <n v="543"/>
    <n v="69"/>
    <n v="3490"/>
    <n v="6271"/>
    <n v="947"/>
    <n v="291"/>
    <n v="22"/>
    <n v="161"/>
    <n v="586"/>
    <n v="58"/>
    <n v="4206"/>
  </r>
  <r>
    <x v="8"/>
    <x v="12"/>
    <s v="2008 Houston Astros"/>
    <n v="5451"/>
    <x v="53"/>
    <x v="23"/>
    <n v="22"/>
    <n v="167"/>
    <n v="449"/>
    <n v="52"/>
    <n v="3518"/>
    <n v="6125"/>
    <n v="914"/>
    <n v="309"/>
    <n v="33"/>
    <n v="197"/>
    <n v="492"/>
    <n v="50"/>
    <n v="4130"/>
  </r>
  <r>
    <x v="8"/>
    <x v="13"/>
    <s v="2008 Kansas City Royals"/>
    <n v="5608"/>
    <x v="155"/>
    <x v="52"/>
    <n v="28"/>
    <n v="120"/>
    <n v="392"/>
    <n v="50"/>
    <n v="3659"/>
    <n v="6214"/>
    <n v="991"/>
    <n v="282"/>
    <n v="41"/>
    <n v="159"/>
    <n v="515"/>
    <n v="41"/>
    <n v="4185"/>
  </r>
  <r>
    <x v="8"/>
    <x v="14"/>
    <s v="2008 Los Angeles Dodgers"/>
    <n v="5506"/>
    <x v="76"/>
    <x v="87"/>
    <n v="29"/>
    <n v="137"/>
    <n v="543"/>
    <n v="43"/>
    <n v="3465"/>
    <n v="6127"/>
    <n v="971"/>
    <n v="259"/>
    <n v="28"/>
    <n v="123"/>
    <n v="480"/>
    <n v="48"/>
    <n v="4218"/>
  </r>
  <r>
    <x v="8"/>
    <x v="15"/>
    <s v="2008 Milwaukee Brewers"/>
    <n v="5535"/>
    <x v="156"/>
    <x v="27"/>
    <n v="35"/>
    <n v="198"/>
    <n v="550"/>
    <n v="69"/>
    <n v="3518"/>
    <n v="6209"/>
    <n v="957"/>
    <n v="261"/>
    <n v="22"/>
    <n v="175"/>
    <n v="528"/>
    <n v="42"/>
    <n v="4224"/>
  </r>
  <r>
    <x v="8"/>
    <x v="16"/>
    <s v="2008 Minnesota Twins"/>
    <n v="5641"/>
    <x v="157"/>
    <x v="68"/>
    <n v="49"/>
    <n v="111"/>
    <n v="529"/>
    <n v="36"/>
    <n v="3504"/>
    <n v="6221"/>
    <n v="1063"/>
    <n v="295"/>
    <n v="27"/>
    <n v="183"/>
    <n v="406"/>
    <n v="31"/>
    <n v="4216"/>
  </r>
  <r>
    <x v="8"/>
    <x v="18"/>
    <s v="2008 New York Mets"/>
    <n v="5606"/>
    <x v="7"/>
    <x v="2"/>
    <n v="38"/>
    <n v="172"/>
    <n v="619"/>
    <n v="39"/>
    <n v="3457"/>
    <n v="6338"/>
    <n v="966"/>
    <n v="264"/>
    <n v="22"/>
    <n v="163"/>
    <n v="590"/>
    <n v="70"/>
    <n v="4263"/>
  </r>
  <r>
    <x v="8"/>
    <x v="19"/>
    <s v="2008 New York Yankees"/>
    <n v="5572"/>
    <x v="158"/>
    <x v="10"/>
    <n v="20"/>
    <n v="180"/>
    <n v="535"/>
    <n v="80"/>
    <n v="3445"/>
    <n v="6175"/>
    <n v="1022"/>
    <n v="288"/>
    <n v="25"/>
    <n v="143"/>
    <n v="489"/>
    <n v="51"/>
    <n v="4157"/>
  </r>
  <r>
    <x v="8"/>
    <x v="20"/>
    <s v="2008 Oakland Athletics"/>
    <n v="5451"/>
    <x v="159"/>
    <x v="98"/>
    <n v="23"/>
    <n v="125"/>
    <n v="574"/>
    <n v="48"/>
    <n v="3511"/>
    <n v="6112"/>
    <n v="914"/>
    <n v="284"/>
    <n v="31"/>
    <n v="135"/>
    <n v="576"/>
    <n v="54"/>
    <n v="4118"/>
  </r>
  <r>
    <x v="8"/>
    <x v="21"/>
    <s v="2008 Philadelphia Phillies"/>
    <n v="5509"/>
    <x v="40"/>
    <x v="28"/>
    <n v="36"/>
    <n v="214"/>
    <n v="586"/>
    <n v="67"/>
    <n v="3449"/>
    <n v="6229"/>
    <n v="953"/>
    <n v="306"/>
    <n v="25"/>
    <n v="160"/>
    <n v="533"/>
    <n v="57"/>
    <n v="4195"/>
  </r>
  <r>
    <x v="8"/>
    <x v="22"/>
    <s v="2008 Pittsburgh Pirates"/>
    <n v="5628"/>
    <x v="81"/>
    <x v="48"/>
    <n v="21"/>
    <n v="153"/>
    <n v="474"/>
    <n v="59"/>
    <n v="3641"/>
    <n v="6528"/>
    <n v="1061"/>
    <n v="361"/>
    <n v="33"/>
    <n v="176"/>
    <n v="657"/>
    <n v="49"/>
    <n v="4191"/>
  </r>
  <r>
    <x v="8"/>
    <x v="23"/>
    <s v="2008 San Diego Padres"/>
    <n v="5568"/>
    <x v="160"/>
    <x v="31"/>
    <n v="27"/>
    <n v="154"/>
    <n v="518"/>
    <n v="53"/>
    <n v="3607"/>
    <n v="6286"/>
    <n v="1011"/>
    <n v="261"/>
    <n v="29"/>
    <n v="165"/>
    <n v="561"/>
    <n v="38"/>
    <n v="4221"/>
  </r>
  <r>
    <x v="8"/>
    <x v="24"/>
    <s v="2008 Seattle Mariners"/>
    <n v="5643"/>
    <x v="161"/>
    <x v="44"/>
    <n v="20"/>
    <n v="124"/>
    <n v="417"/>
    <n v="38"/>
    <n v="3690"/>
    <n v="6368"/>
    <n v="1012"/>
    <n v="351"/>
    <n v="20"/>
    <n v="161"/>
    <n v="626"/>
    <n v="53"/>
    <n v="4145"/>
  </r>
  <r>
    <x v="8"/>
    <x v="25"/>
    <s v="2008 San Francisco Giants"/>
    <n v="5543"/>
    <x v="90"/>
    <x v="36"/>
    <n v="37"/>
    <n v="94"/>
    <n v="452"/>
    <n v="48"/>
    <n v="3591"/>
    <n v="6341"/>
    <n v="936"/>
    <n v="301"/>
    <n v="32"/>
    <n v="147"/>
    <n v="652"/>
    <n v="70"/>
    <n v="4203"/>
  </r>
  <r>
    <x v="8"/>
    <x v="26"/>
    <s v="2008 St. Louis Cardinals"/>
    <n v="5636"/>
    <x v="162"/>
    <x v="40"/>
    <n v="26"/>
    <n v="174"/>
    <n v="577"/>
    <n v="42"/>
    <n v="3432"/>
    <n v="6264"/>
    <n v="968"/>
    <n v="352"/>
    <n v="34"/>
    <n v="163"/>
    <n v="496"/>
    <n v="51"/>
    <n v="4200"/>
  </r>
  <r>
    <x v="8"/>
    <x v="27"/>
    <s v="2008 Tampa Bay Devil Rays"/>
    <n v="5541"/>
    <x v="163"/>
    <x v="23"/>
    <n v="37"/>
    <n v="180"/>
    <n v="626"/>
    <n v="68"/>
    <n v="3404"/>
    <n v="6145"/>
    <n v="862"/>
    <n v="289"/>
    <n v="32"/>
    <n v="166"/>
    <n v="526"/>
    <n v="46"/>
    <n v="4224"/>
  </r>
  <r>
    <x v="8"/>
    <x v="28"/>
    <s v="2008 Texas Rangers"/>
    <n v="5728"/>
    <x v="73"/>
    <x v="99"/>
    <n v="35"/>
    <n v="194"/>
    <n v="595"/>
    <n v="63"/>
    <n v="3451"/>
    <n v="6506"/>
    <n v="1080"/>
    <n v="355"/>
    <n v="36"/>
    <n v="176"/>
    <n v="625"/>
    <n v="72"/>
    <n v="4162"/>
  </r>
  <r>
    <x v="8"/>
    <x v="29"/>
    <s v="2008 Toronto Blue Jays"/>
    <n v="5503"/>
    <x v="3"/>
    <x v="52"/>
    <n v="32"/>
    <n v="126"/>
    <n v="521"/>
    <n v="59"/>
    <n v="3470"/>
    <n v="6067"/>
    <n v="884"/>
    <n v="281"/>
    <n v="31"/>
    <n v="134"/>
    <n v="467"/>
    <n v="67"/>
    <n v="4203"/>
  </r>
  <r>
    <x v="8"/>
    <x v="30"/>
    <s v="2008 Washington Nationals"/>
    <n v="5491"/>
    <x v="50"/>
    <x v="46"/>
    <n v="26"/>
    <n v="117"/>
    <n v="534"/>
    <n v="67"/>
    <n v="3514"/>
    <n v="6310"/>
    <n v="979"/>
    <n v="305"/>
    <n v="22"/>
    <n v="190"/>
    <n v="588"/>
    <n v="51"/>
    <n v="4175"/>
  </r>
  <r>
    <x v="9"/>
    <x v="0"/>
    <s v="2009 Anaheim Angels"/>
    <n v="5622"/>
    <x v="164"/>
    <x v="94"/>
    <n v="33"/>
    <n v="173"/>
    <n v="547"/>
    <n v="41"/>
    <n v="3430"/>
    <n v="6252"/>
    <n v="1010"/>
    <n v="298"/>
    <n v="25"/>
    <n v="180"/>
    <n v="523"/>
    <n v="58"/>
    <n v="4158"/>
  </r>
  <r>
    <x v="9"/>
    <x v="1"/>
    <s v="2009 Arizona Diamondbacks"/>
    <n v="5565"/>
    <x v="165"/>
    <x v="9"/>
    <n v="45"/>
    <n v="173"/>
    <n v="571"/>
    <n v="37"/>
    <n v="3549"/>
    <n v="6267"/>
    <n v="975"/>
    <n v="285"/>
    <n v="42"/>
    <n v="168"/>
    <n v="525"/>
    <n v="53"/>
    <n v="4219"/>
  </r>
  <r>
    <x v="9"/>
    <x v="2"/>
    <s v="2009 Atlanta Braves"/>
    <n v="5539"/>
    <x v="166"/>
    <x v="17"/>
    <n v="20"/>
    <n v="149"/>
    <n v="602"/>
    <n v="52"/>
    <n v="3426"/>
    <n v="6208"/>
    <n v="936"/>
    <n v="295"/>
    <n v="49"/>
    <n v="119"/>
    <n v="530"/>
    <n v="49"/>
    <n v="4230"/>
  </r>
  <r>
    <x v="9"/>
    <x v="3"/>
    <s v="2009 Baltimore Orioles"/>
    <n v="5618"/>
    <x v="167"/>
    <x v="9"/>
    <n v="19"/>
    <n v="160"/>
    <n v="517"/>
    <n v="39"/>
    <n v="3554"/>
    <n v="6359"/>
    <n v="1031"/>
    <n v="356"/>
    <n v="28"/>
    <n v="218"/>
    <n v="546"/>
    <n v="51"/>
    <n v="4129"/>
  </r>
  <r>
    <x v="9"/>
    <x v="4"/>
    <s v="2009 Boston Red Sox"/>
    <n v="5543"/>
    <x v="43"/>
    <x v="81"/>
    <n v="25"/>
    <n v="212"/>
    <n v="659"/>
    <n v="70"/>
    <n v="3319"/>
    <n v="6283"/>
    <n v="988"/>
    <n v="312"/>
    <n v="27"/>
    <n v="167"/>
    <n v="530"/>
    <n v="68"/>
    <n v="4191"/>
  </r>
  <r>
    <x v="9"/>
    <x v="5"/>
    <s v="2009 Chicago Cubs"/>
    <n v="5486"/>
    <x v="33"/>
    <x v="94"/>
    <n v="29"/>
    <n v="161"/>
    <n v="592"/>
    <n v="59"/>
    <n v="3437"/>
    <n v="6177"/>
    <n v="902"/>
    <n v="233"/>
    <n v="34"/>
    <n v="160"/>
    <n v="586"/>
    <n v="59"/>
    <n v="4203"/>
  </r>
  <r>
    <x v="9"/>
    <x v="6"/>
    <s v="2009 Chicago White Sox"/>
    <n v="5463"/>
    <x v="168"/>
    <x v="100"/>
    <n v="20"/>
    <n v="184"/>
    <n v="534"/>
    <n v="62"/>
    <n v="3457"/>
    <n v="6155"/>
    <n v="955"/>
    <n v="291"/>
    <n v="23"/>
    <n v="169"/>
    <n v="507"/>
    <n v="41"/>
    <n v="4169"/>
  </r>
  <r>
    <x v="9"/>
    <x v="7"/>
    <s v="2009 Cincinnati Reds"/>
    <n v="5462"/>
    <x v="169"/>
    <x v="41"/>
    <n v="25"/>
    <n v="158"/>
    <n v="531"/>
    <n v="53"/>
    <n v="3529"/>
    <n v="6253"/>
    <n v="936"/>
    <n v="273"/>
    <n v="23"/>
    <n v="188"/>
    <n v="577"/>
    <n v="65"/>
    <n v="4191"/>
  </r>
  <r>
    <x v="9"/>
    <x v="8"/>
    <s v="2009 Cleveland Indians"/>
    <n v="5568"/>
    <x v="74"/>
    <x v="48"/>
    <n v="28"/>
    <n v="161"/>
    <n v="582"/>
    <n v="81"/>
    <n v="3437"/>
    <n v="6354"/>
    <n v="1049"/>
    <n v="311"/>
    <n v="27"/>
    <n v="183"/>
    <n v="598"/>
    <n v="45"/>
    <n v="4141"/>
  </r>
  <r>
    <x v="9"/>
    <x v="9"/>
    <s v="2009 Colorado Rockies"/>
    <n v="5398"/>
    <x v="170"/>
    <x v="17"/>
    <n v="50"/>
    <n v="190"/>
    <n v="660"/>
    <n v="47"/>
    <n v="3283"/>
    <n v="6171"/>
    <n v="968"/>
    <n v="271"/>
    <n v="47"/>
    <n v="141"/>
    <n v="528"/>
    <n v="46"/>
    <n v="4170"/>
  </r>
  <r>
    <x v="9"/>
    <x v="10"/>
    <s v="2009 Detroit Tigers"/>
    <n v="5540"/>
    <x v="99"/>
    <x v="101"/>
    <n v="35"/>
    <n v="183"/>
    <n v="540"/>
    <n v="61"/>
    <n v="3496"/>
    <n v="6240"/>
    <n v="965"/>
    <n v="271"/>
    <n v="31"/>
    <n v="182"/>
    <n v="594"/>
    <n v="41"/>
    <n v="4156"/>
  </r>
  <r>
    <x v="9"/>
    <x v="11"/>
    <s v="2009 Florida Marlins"/>
    <n v="5572"/>
    <x v="108"/>
    <x v="56"/>
    <n v="25"/>
    <n v="159"/>
    <n v="568"/>
    <n v="63"/>
    <n v="3448"/>
    <n v="6299"/>
    <n v="957"/>
    <n v="261"/>
    <n v="47"/>
    <n v="160"/>
    <n v="601"/>
    <n v="45"/>
    <n v="4228"/>
  </r>
  <r>
    <x v="9"/>
    <x v="12"/>
    <s v="2009 Houston Astros"/>
    <n v="5436"/>
    <x v="30"/>
    <x v="98"/>
    <n v="32"/>
    <n v="142"/>
    <n v="448"/>
    <n v="43"/>
    <n v="3530"/>
    <n v="6237"/>
    <n v="1002"/>
    <n v="305"/>
    <n v="38"/>
    <n v="176"/>
    <n v="546"/>
    <n v="50"/>
    <n v="4120"/>
  </r>
  <r>
    <x v="9"/>
    <x v="13"/>
    <s v="2009 Kansas City Royals"/>
    <n v="5532"/>
    <x v="1"/>
    <x v="51"/>
    <n v="51"/>
    <n v="144"/>
    <n v="457"/>
    <n v="42"/>
    <n v="3601"/>
    <n v="6265"/>
    <n v="1009"/>
    <n v="273"/>
    <n v="38"/>
    <n v="166"/>
    <n v="600"/>
    <n v="51"/>
    <n v="4128"/>
  </r>
  <r>
    <x v="9"/>
    <x v="14"/>
    <s v="2009 Los Angeles Dodgers"/>
    <n v="5592"/>
    <x v="82"/>
    <x v="78"/>
    <n v="39"/>
    <n v="145"/>
    <n v="607"/>
    <n v="63"/>
    <n v="3411"/>
    <n v="6182"/>
    <n v="853"/>
    <n v="255"/>
    <n v="30"/>
    <n v="127"/>
    <n v="584"/>
    <n v="57"/>
    <n v="4276"/>
  </r>
  <r>
    <x v="9"/>
    <x v="15"/>
    <s v="2009 Milwaukee Brewers"/>
    <n v="5510"/>
    <x v="102"/>
    <x v="11"/>
    <n v="37"/>
    <n v="182"/>
    <n v="610"/>
    <n v="71"/>
    <n v="3382"/>
    <n v="6352"/>
    <n v="927"/>
    <n v="332"/>
    <n v="32"/>
    <n v="207"/>
    <n v="607"/>
    <n v="65"/>
    <n v="4182"/>
  </r>
  <r>
    <x v="9"/>
    <x v="16"/>
    <s v="2009 Minnesota Twins"/>
    <n v="5608"/>
    <x v="155"/>
    <x v="87"/>
    <n v="40"/>
    <n v="172"/>
    <n v="585"/>
    <n v="45"/>
    <n v="3439"/>
    <n v="6274"/>
    <n v="1040"/>
    <n v="290"/>
    <n v="27"/>
    <n v="185"/>
    <n v="466"/>
    <n v="58"/>
    <n v="4208"/>
  </r>
  <r>
    <x v="9"/>
    <x v="18"/>
    <s v="2009 New York Mets"/>
    <n v="5453"/>
    <x v="109"/>
    <x v="34"/>
    <n v="49"/>
    <n v="95"/>
    <n v="526"/>
    <n v="36"/>
    <n v="3419"/>
    <n v="6284"/>
    <n v="955"/>
    <n v="311"/>
    <n v="28"/>
    <n v="158"/>
    <n v="616"/>
    <n v="55"/>
    <n v="4161"/>
  </r>
  <r>
    <x v="9"/>
    <x v="19"/>
    <s v="2009 New York Yankees"/>
    <n v="5660"/>
    <x v="73"/>
    <x v="6"/>
    <n v="21"/>
    <n v="244"/>
    <n v="663"/>
    <n v="54"/>
    <n v="3339"/>
    <n v="6247"/>
    <n v="907"/>
    <n v="274"/>
    <n v="24"/>
    <n v="181"/>
    <n v="574"/>
    <n v="71"/>
    <n v="4216"/>
  </r>
  <r>
    <x v="9"/>
    <x v="20"/>
    <s v="2009 Oakland Athletics"/>
    <n v="5584"/>
    <x v="171"/>
    <x v="9"/>
    <n v="21"/>
    <n v="135"/>
    <n v="527"/>
    <n v="50"/>
    <n v="3543"/>
    <n v="6243"/>
    <n v="997"/>
    <n v="305"/>
    <n v="28"/>
    <n v="156"/>
    <n v="523"/>
    <n v="36"/>
    <n v="4198"/>
  </r>
  <r>
    <x v="9"/>
    <x v="21"/>
    <s v="2009 Philadelphia Phillies"/>
    <n v="5578"/>
    <x v="170"/>
    <x v="86"/>
    <n v="35"/>
    <n v="224"/>
    <n v="589"/>
    <n v="71"/>
    <n v="3479"/>
    <n v="6263"/>
    <n v="970"/>
    <n v="296"/>
    <n v="24"/>
    <n v="189"/>
    <n v="489"/>
    <n v="75"/>
    <n v="4220"/>
  </r>
  <r>
    <x v="9"/>
    <x v="22"/>
    <s v="2009 Pittsburgh Pirates"/>
    <n v="5417"/>
    <x v="172"/>
    <x v="10"/>
    <n v="34"/>
    <n v="125"/>
    <n v="499"/>
    <n v="46"/>
    <n v="3508"/>
    <n v="6144"/>
    <n v="943"/>
    <n v="349"/>
    <n v="47"/>
    <n v="152"/>
    <n v="563"/>
    <n v="47"/>
    <n v="4043"/>
  </r>
  <r>
    <x v="9"/>
    <x v="23"/>
    <s v="2009 San Diego Padres"/>
    <n v="5425"/>
    <x v="173"/>
    <x v="12"/>
    <n v="31"/>
    <n v="141"/>
    <n v="586"/>
    <n v="57"/>
    <n v="3467"/>
    <n v="6273"/>
    <n v="972"/>
    <n v="250"/>
    <n v="33"/>
    <n v="167"/>
    <n v="603"/>
    <n v="45"/>
    <n v="4203"/>
  </r>
  <r>
    <x v="9"/>
    <x v="24"/>
    <s v="2009 Seattle Mariners"/>
    <n v="5543"/>
    <x v="30"/>
    <x v="41"/>
    <n v="19"/>
    <n v="160"/>
    <n v="421"/>
    <n v="49"/>
    <n v="3643"/>
    <n v="6159"/>
    <n v="912"/>
    <n v="259"/>
    <n v="16"/>
    <n v="172"/>
    <n v="534"/>
    <n v="43"/>
    <n v="4223"/>
  </r>
  <r>
    <x v="9"/>
    <x v="25"/>
    <s v="2009 San Francisco Giants"/>
    <n v="5493"/>
    <x v="30"/>
    <x v="22"/>
    <n v="43"/>
    <n v="122"/>
    <n v="392"/>
    <n v="50"/>
    <n v="3640"/>
    <n v="6103"/>
    <n v="852"/>
    <n v="243"/>
    <n v="33"/>
    <n v="140"/>
    <n v="584"/>
    <n v="41"/>
    <n v="4210"/>
  </r>
  <r>
    <x v="9"/>
    <x v="26"/>
    <s v="2009 St. Louis Cardinals"/>
    <n v="5465"/>
    <x v="71"/>
    <x v="14"/>
    <n v="29"/>
    <n v="160"/>
    <n v="528"/>
    <n v="61"/>
    <n v="3440"/>
    <n v="6087"/>
    <n v="980"/>
    <n v="274"/>
    <n v="30"/>
    <n v="123"/>
    <n v="460"/>
    <n v="53"/>
    <n v="4167"/>
  </r>
  <r>
    <x v="9"/>
    <x v="27"/>
    <s v="2009 Tampa Bay Devil Rays"/>
    <n v="5462"/>
    <x v="39"/>
    <x v="13"/>
    <n v="36"/>
    <n v="199"/>
    <n v="642"/>
    <n v="49"/>
    <n v="3337"/>
    <n v="6146"/>
    <n v="927"/>
    <n v="287"/>
    <n v="24"/>
    <n v="183"/>
    <n v="515"/>
    <n v="46"/>
    <n v="4164"/>
  </r>
  <r>
    <x v="9"/>
    <x v="28"/>
    <s v="2009 Texas Rangers"/>
    <n v="5526"/>
    <x v="174"/>
    <x v="56"/>
    <n v="27"/>
    <n v="224"/>
    <n v="472"/>
    <n v="37"/>
    <n v="3581"/>
    <n v="6172"/>
    <n v="941"/>
    <n v="293"/>
    <n v="27"/>
    <n v="171"/>
    <n v="531"/>
    <n v="70"/>
    <n v="4139"/>
  </r>
  <r>
    <x v="9"/>
    <x v="29"/>
    <s v="2009 Toronto Blue Jays"/>
    <n v="5696"/>
    <x v="116"/>
    <x v="80"/>
    <n v="13"/>
    <n v="209"/>
    <n v="548"/>
    <n v="45"/>
    <n v="3587"/>
    <n v="6281"/>
    <n v="979"/>
    <n v="323"/>
    <n v="26"/>
    <n v="181"/>
    <n v="551"/>
    <n v="58"/>
    <n v="4163"/>
  </r>
  <r>
    <x v="9"/>
    <x v="30"/>
    <s v="2009 Washington Nationals"/>
    <n v="5493"/>
    <x v="61"/>
    <x v="87"/>
    <n v="38"/>
    <n v="156"/>
    <n v="617"/>
    <n v="56"/>
    <n v="3404"/>
    <n v="6349"/>
    <n v="958"/>
    <n v="361"/>
    <n v="41"/>
    <n v="173"/>
    <n v="629"/>
    <n v="48"/>
    <n v="4139"/>
  </r>
  <r>
    <x v="10"/>
    <x v="0"/>
    <s v="2010 Anaheim Angels"/>
    <n v="5488"/>
    <x v="80"/>
    <x v="51"/>
    <n v="19"/>
    <n v="155"/>
    <n v="466"/>
    <n v="52"/>
    <n v="3607"/>
    <n v="6252"/>
    <n v="930"/>
    <n v="313"/>
    <n v="31"/>
    <n v="148"/>
    <n v="565"/>
    <n v="46"/>
    <n v="4219"/>
  </r>
  <r>
    <x v="10"/>
    <x v="1"/>
    <s v="2010 Arizona Diamondbacks"/>
    <n v="5473"/>
    <x v="175"/>
    <x v="89"/>
    <n v="34"/>
    <n v="180"/>
    <n v="589"/>
    <n v="39"/>
    <n v="3479"/>
    <n v="6260"/>
    <n v="977"/>
    <n v="284"/>
    <n v="32"/>
    <n v="210"/>
    <n v="548"/>
    <n v="58"/>
    <n v="4151"/>
  </r>
  <r>
    <x v="10"/>
    <x v="2"/>
    <s v="2010 Atlanta Braves"/>
    <n v="5463"/>
    <x v="114"/>
    <x v="86"/>
    <n v="25"/>
    <n v="139"/>
    <n v="634"/>
    <n v="51"/>
    <n v="3367"/>
    <n v="6052"/>
    <n v="906"/>
    <n v="262"/>
    <n v="32"/>
    <n v="126"/>
    <n v="505"/>
    <n v="49"/>
    <n v="4172"/>
  </r>
  <r>
    <x v="10"/>
    <x v="3"/>
    <s v="2010 Baltimore Orioles"/>
    <n v="5554"/>
    <x v="167"/>
    <x v="31"/>
    <n v="21"/>
    <n v="133"/>
    <n v="424"/>
    <n v="54"/>
    <n v="3636"/>
    <n v="6262"/>
    <n v="992"/>
    <n v="298"/>
    <n v="32"/>
    <n v="186"/>
    <n v="520"/>
    <n v="59"/>
    <n v="4175"/>
  </r>
  <r>
    <x v="10"/>
    <x v="4"/>
    <s v="2010 Boston Red Sox"/>
    <n v="5646"/>
    <x v="34"/>
    <x v="102"/>
    <n v="22"/>
    <n v="211"/>
    <n v="587"/>
    <n v="47"/>
    <n v="3501"/>
    <n v="6267"/>
    <n v="917"/>
    <n v="308"/>
    <n v="25"/>
    <n v="152"/>
    <n v="580"/>
    <n v="53"/>
    <n v="4232"/>
  </r>
  <r>
    <x v="10"/>
    <x v="5"/>
    <s v="2010 Chicago Cubs"/>
    <n v="5512"/>
    <x v="23"/>
    <x v="68"/>
    <n v="27"/>
    <n v="149"/>
    <n v="479"/>
    <n v="50"/>
    <n v="3569"/>
    <n v="6298"/>
    <n v="960"/>
    <n v="263"/>
    <n v="32"/>
    <n v="154"/>
    <n v="605"/>
    <n v="65"/>
    <n v="4219"/>
  </r>
  <r>
    <x v="10"/>
    <x v="6"/>
    <s v="2010 Chicago White Sox"/>
    <n v="5484"/>
    <x v="113"/>
    <x v="24"/>
    <n v="21"/>
    <n v="177"/>
    <n v="467"/>
    <n v="79"/>
    <n v="3471"/>
    <n v="6180"/>
    <n v="1030"/>
    <n v="285"/>
    <n v="20"/>
    <n v="136"/>
    <n v="490"/>
    <n v="34"/>
    <n v="4185"/>
  </r>
  <r>
    <x v="10"/>
    <x v="7"/>
    <s v="2010 Cincinnati Reds"/>
    <n v="5579"/>
    <x v="176"/>
    <x v="94"/>
    <n v="30"/>
    <n v="188"/>
    <n v="522"/>
    <n v="68"/>
    <n v="3474"/>
    <n v="6182"/>
    <n v="952"/>
    <n v="276"/>
    <n v="18"/>
    <n v="158"/>
    <n v="524"/>
    <n v="50"/>
    <n v="4204"/>
  </r>
  <r>
    <x v="10"/>
    <x v="8"/>
    <s v="2010 Cleveland Indians"/>
    <n v="5487"/>
    <x v="105"/>
    <x v="66"/>
    <n v="20"/>
    <n v="128"/>
    <n v="545"/>
    <n v="64"/>
    <n v="3516"/>
    <n v="6224"/>
    <n v="994"/>
    <n v="307"/>
    <n v="29"/>
    <n v="147"/>
    <n v="572"/>
    <n v="66"/>
    <n v="4109"/>
  </r>
  <r>
    <x v="10"/>
    <x v="9"/>
    <s v="2010 Colorado Rockies"/>
    <n v="5530"/>
    <x v="116"/>
    <x v="98"/>
    <n v="54"/>
    <n v="173"/>
    <n v="585"/>
    <n v="47"/>
    <n v="3446"/>
    <n v="6143"/>
    <n v="948"/>
    <n v="289"/>
    <n v="29"/>
    <n v="139"/>
    <n v="525"/>
    <n v="56"/>
    <n v="4157"/>
  </r>
  <r>
    <x v="10"/>
    <x v="10"/>
    <s v="2010 Detroit Tigers"/>
    <n v="5643"/>
    <x v="158"/>
    <x v="59"/>
    <n v="32"/>
    <n v="152"/>
    <n v="546"/>
    <n v="41"/>
    <n v="3541"/>
    <n v="6198"/>
    <n v="1017"/>
    <n v="243"/>
    <n v="43"/>
    <n v="142"/>
    <n v="537"/>
    <n v="65"/>
    <n v="4151"/>
  </r>
  <r>
    <x v="10"/>
    <x v="11"/>
    <s v="2010 Florida Marlins"/>
    <n v="5531"/>
    <x v="34"/>
    <x v="14"/>
    <n v="37"/>
    <n v="152"/>
    <n v="514"/>
    <n v="55"/>
    <n v="3559"/>
    <n v="6217"/>
    <n v="982"/>
    <n v="282"/>
    <n v="35"/>
    <n v="134"/>
    <n v="549"/>
    <n v="51"/>
    <n v="4184"/>
  </r>
  <r>
    <x v="10"/>
    <x v="12"/>
    <s v="2010 Houston Astros"/>
    <n v="5452"/>
    <x v="177"/>
    <x v="103"/>
    <n v="25"/>
    <n v="108"/>
    <n v="415"/>
    <n v="33"/>
    <n v="3656"/>
    <n v="6221"/>
    <n v="980"/>
    <n v="289"/>
    <n v="37"/>
    <n v="140"/>
    <n v="548"/>
    <n v="40"/>
    <n v="4187"/>
  </r>
  <r>
    <x v="10"/>
    <x v="13"/>
    <s v="2010 Kansas City Royals"/>
    <n v="5604"/>
    <x v="178"/>
    <x v="16"/>
    <n v="31"/>
    <n v="121"/>
    <n v="471"/>
    <n v="35"/>
    <n v="3564"/>
    <n v="6333"/>
    <n v="1033"/>
    <n v="321"/>
    <n v="23"/>
    <n v="176"/>
    <n v="551"/>
    <n v="47"/>
    <n v="4182"/>
  </r>
  <r>
    <x v="10"/>
    <x v="14"/>
    <s v="2010 Los Angeles Dodgers"/>
    <n v="5426"/>
    <x v="37"/>
    <x v="98"/>
    <n v="29"/>
    <n v="120"/>
    <n v="533"/>
    <n v="46"/>
    <n v="3479"/>
    <n v="6141"/>
    <n v="907"/>
    <n v="242"/>
    <n v="40"/>
    <n v="134"/>
    <n v="539"/>
    <n v="58"/>
    <n v="4221"/>
  </r>
  <r>
    <x v="10"/>
    <x v="15"/>
    <s v="2010 Milwaukee Brewers"/>
    <n v="5606"/>
    <x v="177"/>
    <x v="94"/>
    <n v="33"/>
    <n v="182"/>
    <n v="546"/>
    <n v="81"/>
    <n v="3508"/>
    <n v="6324"/>
    <n v="962"/>
    <n v="329"/>
    <n v="23"/>
    <n v="173"/>
    <n v="582"/>
    <n v="48"/>
    <n v="4207"/>
  </r>
  <r>
    <x v="10"/>
    <x v="16"/>
    <s v="2010 Minnesota Twins"/>
    <n v="5568"/>
    <x v="106"/>
    <x v="63"/>
    <n v="41"/>
    <n v="142"/>
    <n v="559"/>
    <n v="39"/>
    <n v="3449"/>
    <n v="6106"/>
    <n v="996"/>
    <n v="307"/>
    <n v="35"/>
    <n v="155"/>
    <n v="383"/>
    <n v="47"/>
    <n v="4183"/>
  </r>
  <r>
    <x v="10"/>
    <x v="18"/>
    <s v="2010 New York Mets"/>
    <n v="5465"/>
    <x v="72"/>
    <x v="62"/>
    <n v="40"/>
    <n v="128"/>
    <n v="502"/>
    <n v="46"/>
    <n v="3556"/>
    <n v="6245"/>
    <n v="994"/>
    <n v="282"/>
    <n v="27"/>
    <n v="135"/>
    <n v="545"/>
    <n v="52"/>
    <n v="4210"/>
  </r>
  <r>
    <x v="10"/>
    <x v="19"/>
    <s v="2010 New York Yankees"/>
    <n v="5567"/>
    <x v="26"/>
    <x v="22"/>
    <n v="32"/>
    <n v="201"/>
    <n v="662"/>
    <n v="73"/>
    <n v="3347"/>
    <n v="6102"/>
    <n v="910"/>
    <n v="246"/>
    <n v="14"/>
    <n v="179"/>
    <n v="540"/>
    <n v="62"/>
    <n v="4151"/>
  </r>
  <r>
    <x v="10"/>
    <x v="20"/>
    <s v="2010 Oakland Athletics"/>
    <n v="5448"/>
    <x v="132"/>
    <x v="51"/>
    <n v="30"/>
    <n v="109"/>
    <n v="527"/>
    <n v="47"/>
    <n v="3478"/>
    <n v="6011"/>
    <n v="913"/>
    <n v="232"/>
    <n v="17"/>
    <n v="153"/>
    <n v="512"/>
    <n v="38"/>
    <n v="4146"/>
  </r>
  <r>
    <x v="10"/>
    <x v="21"/>
    <s v="2010 Philadelphia Phillies"/>
    <n v="5581"/>
    <x v="1"/>
    <x v="66"/>
    <n v="34"/>
    <n v="166"/>
    <n v="560"/>
    <n v="63"/>
    <n v="3507"/>
    <n v="6095"/>
    <n v="927"/>
    <n v="283"/>
    <n v="24"/>
    <n v="168"/>
    <n v="416"/>
    <n v="57"/>
    <n v="4220"/>
  </r>
  <r>
    <x v="10"/>
    <x v="22"/>
    <s v="2010 Pittsburgh Pirates"/>
    <n v="5386"/>
    <x v="179"/>
    <x v="51"/>
    <n v="27"/>
    <n v="126"/>
    <n v="463"/>
    <n v="33"/>
    <n v="3587"/>
    <n v="6300"/>
    <n v="1005"/>
    <n v="360"/>
    <n v="35"/>
    <n v="167"/>
    <n v="538"/>
    <n v="66"/>
    <n v="4129"/>
  </r>
  <r>
    <x v="10"/>
    <x v="23"/>
    <s v="2010 San Diego Padres"/>
    <n v="5434"/>
    <x v="18"/>
    <x v="104"/>
    <n v="24"/>
    <n v="132"/>
    <n v="538"/>
    <n v="50"/>
    <n v="3508"/>
    <n v="6058"/>
    <n v="904"/>
    <n v="240"/>
    <n v="22"/>
    <n v="139"/>
    <n v="517"/>
    <n v="28"/>
    <n v="4208"/>
  </r>
  <r>
    <x v="10"/>
    <x v="24"/>
    <s v="2010 Seattle Mariners"/>
    <n v="5409"/>
    <x v="86"/>
    <x v="105"/>
    <n v="16"/>
    <n v="101"/>
    <n v="459"/>
    <n v="39"/>
    <n v="3637"/>
    <n v="6091"/>
    <n v="930"/>
    <n v="293"/>
    <n v="22"/>
    <n v="157"/>
    <n v="452"/>
    <n v="40"/>
    <n v="4197"/>
  </r>
  <r>
    <x v="10"/>
    <x v="25"/>
    <s v="2010 San Francisco Giants"/>
    <n v="5488"/>
    <x v="114"/>
    <x v="23"/>
    <n v="30"/>
    <n v="162"/>
    <n v="487"/>
    <n v="50"/>
    <n v="3540"/>
    <n v="6159"/>
    <n v="859"/>
    <n v="246"/>
    <n v="40"/>
    <n v="134"/>
    <n v="578"/>
    <n v="51"/>
    <n v="4251"/>
  </r>
  <r>
    <x v="10"/>
    <x v="26"/>
    <s v="2010 St. Louis Cardinals"/>
    <n v="5542"/>
    <x v="180"/>
    <x v="44"/>
    <n v="18"/>
    <n v="150"/>
    <n v="541"/>
    <n v="50"/>
    <n v="3495"/>
    <n v="6137"/>
    <n v="985"/>
    <n v="266"/>
    <n v="28"/>
    <n v="133"/>
    <n v="477"/>
    <n v="48"/>
    <n v="4200"/>
  </r>
  <r>
    <x v="10"/>
    <x v="27"/>
    <s v="2010 Tampa Bay Devil Rays"/>
    <n v="5439"/>
    <x v="175"/>
    <x v="34"/>
    <n v="37"/>
    <n v="160"/>
    <n v="672"/>
    <n v="57"/>
    <n v="3367"/>
    <n v="6103"/>
    <n v="852"/>
    <n v="286"/>
    <n v="34"/>
    <n v="175"/>
    <n v="478"/>
    <n v="46"/>
    <n v="4232"/>
  </r>
  <r>
    <x v="10"/>
    <x v="28"/>
    <s v="2010 Texas Rangers"/>
    <n v="5635"/>
    <x v="181"/>
    <x v="26"/>
    <n v="25"/>
    <n v="162"/>
    <n v="511"/>
    <n v="45"/>
    <n v="3523"/>
    <n v="6213"/>
    <n v="903"/>
    <n v="269"/>
    <n v="21"/>
    <n v="162"/>
    <n v="551"/>
    <n v="63"/>
    <n v="4244"/>
  </r>
  <r>
    <x v="10"/>
    <x v="29"/>
    <s v="2010 Toronto Blue Jays"/>
    <n v="5495"/>
    <x v="182"/>
    <x v="70"/>
    <n v="21"/>
    <n v="257"/>
    <n v="471"/>
    <n v="55"/>
    <n v="3605"/>
    <n v="6165"/>
    <n v="916"/>
    <n v="310"/>
    <n v="31"/>
    <n v="150"/>
    <n v="539"/>
    <n v="60"/>
    <n v="4159"/>
  </r>
  <r>
    <x v="10"/>
    <x v="30"/>
    <s v="2010 Washington Nationals"/>
    <n v="5418"/>
    <x v="140"/>
    <x v="106"/>
    <n v="31"/>
    <n v="149"/>
    <n v="503"/>
    <n v="60"/>
    <n v="3500"/>
    <n v="6214"/>
    <n v="1008"/>
    <n v="275"/>
    <n v="35"/>
    <n v="151"/>
    <n v="512"/>
    <n v="46"/>
    <n v="4187"/>
  </r>
  <r>
    <x v="11"/>
    <x v="0"/>
    <s v="2011 Anaheim Angels"/>
    <n v="5513"/>
    <x v="172"/>
    <x v="10"/>
    <n v="34"/>
    <n v="155"/>
    <n v="442"/>
    <n v="51"/>
    <n v="3626"/>
    <n v="6124"/>
    <n v="939"/>
    <n v="287"/>
    <n v="20"/>
    <n v="142"/>
    <n v="476"/>
    <n v="36"/>
    <n v="4224"/>
  </r>
  <r>
    <x v="11"/>
    <x v="1"/>
    <s v="2011 Arizona Diamondbacks"/>
    <n v="5421"/>
    <x v="183"/>
    <x v="94"/>
    <n v="37"/>
    <n v="172"/>
    <n v="531"/>
    <n v="61"/>
    <n v="3472"/>
    <n v="6102"/>
    <n v="931"/>
    <n v="292"/>
    <n v="32"/>
    <n v="159"/>
    <n v="442"/>
    <n v="53"/>
    <n v="4193"/>
  </r>
  <r>
    <x v="11"/>
    <x v="2"/>
    <s v="2011 Atlanta Braves"/>
    <n v="5528"/>
    <x v="184"/>
    <x v="107"/>
    <n v="16"/>
    <n v="173"/>
    <n v="504"/>
    <n v="28"/>
    <n v="3651"/>
    <n v="6220"/>
    <n v="946"/>
    <n v="228"/>
    <n v="33"/>
    <n v="125"/>
    <n v="521"/>
    <n v="53"/>
    <n v="4314"/>
  </r>
  <r>
    <x v="11"/>
    <x v="3"/>
    <s v="2011 Baltimore Orioles"/>
    <n v="5585"/>
    <x v="24"/>
    <x v="32"/>
    <n v="13"/>
    <n v="191"/>
    <n v="452"/>
    <n v="52"/>
    <n v="3647"/>
    <n v="6332"/>
    <n v="977"/>
    <n v="354"/>
    <n v="27"/>
    <n v="210"/>
    <n v="535"/>
    <n v="45"/>
    <n v="4184"/>
  </r>
  <r>
    <x v="11"/>
    <x v="4"/>
    <s v="2011 Boston Red Sox"/>
    <n v="5710"/>
    <x v="90"/>
    <x v="91"/>
    <n v="35"/>
    <n v="203"/>
    <n v="578"/>
    <n v="50"/>
    <n v="3482"/>
    <n v="6242"/>
    <n v="901"/>
    <n v="286"/>
    <n v="23"/>
    <n v="156"/>
    <n v="540"/>
    <n v="90"/>
    <n v="4246"/>
  </r>
  <r>
    <x v="11"/>
    <x v="5"/>
    <s v="2011 Chicago Cubs"/>
    <n v="5549"/>
    <x v="185"/>
    <x v="44"/>
    <n v="36"/>
    <n v="148"/>
    <n v="425"/>
    <n v="59"/>
    <n v="3642"/>
    <n v="6262"/>
    <n v="959"/>
    <n v="289"/>
    <n v="29"/>
    <n v="162"/>
    <n v="580"/>
    <n v="53"/>
    <n v="4190"/>
  </r>
  <r>
    <x v="11"/>
    <x v="6"/>
    <s v="2011 Chicago White Sox"/>
    <n v="5502"/>
    <x v="74"/>
    <x v="103"/>
    <n v="16"/>
    <n v="154"/>
    <n v="475"/>
    <n v="84"/>
    <n v="3556"/>
    <n v="6188"/>
    <n v="1020"/>
    <n v="265"/>
    <n v="31"/>
    <n v="147"/>
    <n v="439"/>
    <n v="44"/>
    <n v="4242"/>
  </r>
  <r>
    <x v="11"/>
    <x v="7"/>
    <s v="2011 Cincinnati Reds"/>
    <n v="5612"/>
    <x v="148"/>
    <x v="31"/>
    <n v="19"/>
    <n v="183"/>
    <n v="535"/>
    <n v="63"/>
    <n v="3576"/>
    <n v="6259"/>
    <n v="923"/>
    <n v="279"/>
    <n v="27"/>
    <n v="185"/>
    <n v="539"/>
    <n v="59"/>
    <n v="4247"/>
  </r>
  <r>
    <x v="11"/>
    <x v="8"/>
    <s v="2011 Cleveland Indians"/>
    <n v="5509"/>
    <x v="104"/>
    <x v="66"/>
    <n v="26"/>
    <n v="154"/>
    <n v="494"/>
    <n v="65"/>
    <n v="3570"/>
    <n v="6235"/>
    <n v="975"/>
    <n v="323"/>
    <n v="31"/>
    <n v="153"/>
    <n v="463"/>
    <n v="60"/>
    <n v="4230"/>
  </r>
  <r>
    <x v="11"/>
    <x v="9"/>
    <s v="2011 Colorado Rockies"/>
    <n v="5544"/>
    <x v="17"/>
    <x v="2"/>
    <n v="40"/>
    <n v="163"/>
    <n v="555"/>
    <n v="57"/>
    <n v="3503"/>
    <n v="6215"/>
    <n v="951"/>
    <n v="292"/>
    <n v="52"/>
    <n v="176"/>
    <n v="522"/>
    <n v="48"/>
    <n v="4174"/>
  </r>
  <r>
    <x v="11"/>
    <x v="10"/>
    <s v="2011 Detroit Tigers"/>
    <n v="5563"/>
    <x v="186"/>
    <x v="13"/>
    <n v="34"/>
    <n v="169"/>
    <n v="521"/>
    <n v="39"/>
    <n v="3463"/>
    <n v="6108"/>
    <n v="969"/>
    <n v="259"/>
    <n v="29"/>
    <n v="149"/>
    <n v="492"/>
    <n v="52"/>
    <n v="4158"/>
  </r>
  <r>
    <x v="11"/>
    <x v="11"/>
    <s v="2011 Florida Marlins"/>
    <n v="5508"/>
    <x v="128"/>
    <x v="2"/>
    <n v="30"/>
    <n v="149"/>
    <n v="542"/>
    <n v="51"/>
    <n v="3557"/>
    <n v="6200"/>
    <n v="917"/>
    <n v="296"/>
    <n v="41"/>
    <n v="149"/>
    <n v="500"/>
    <n v="37"/>
    <n v="4260"/>
  </r>
  <r>
    <x v="11"/>
    <x v="12"/>
    <s v="2011 Houston Astros"/>
    <n v="5598"/>
    <x v="90"/>
    <x v="0"/>
    <n v="28"/>
    <n v="95"/>
    <n v="401"/>
    <n v="46"/>
    <n v="3709"/>
    <n v="6268"/>
    <n v="964"/>
    <n v="294"/>
    <n v="31"/>
    <n v="188"/>
    <n v="560"/>
    <n v="53"/>
    <n v="4178"/>
  </r>
  <r>
    <x v="11"/>
    <x v="13"/>
    <s v="2011 Kansas City Royals"/>
    <n v="5672"/>
    <x v="36"/>
    <x v="6"/>
    <n v="41"/>
    <n v="129"/>
    <n v="442"/>
    <n v="39"/>
    <n v="3631"/>
    <n v="6280"/>
    <n v="980"/>
    <n v="301"/>
    <n v="43"/>
    <n v="163"/>
    <n v="557"/>
    <n v="58"/>
    <n v="4178"/>
  </r>
  <r>
    <x v="11"/>
    <x v="14"/>
    <s v="2011 Los Angeles Dodgers"/>
    <n v="5436"/>
    <x v="108"/>
    <x v="108"/>
    <n v="28"/>
    <n v="117"/>
    <n v="498"/>
    <n v="45"/>
    <n v="3498"/>
    <n v="5997"/>
    <n v="873"/>
    <n v="263"/>
    <n v="19"/>
    <n v="132"/>
    <n v="507"/>
    <n v="43"/>
    <n v="4160"/>
  </r>
  <r>
    <x v="11"/>
    <x v="15"/>
    <s v="2011 Milwaukee Brewers"/>
    <n v="5447"/>
    <x v="86"/>
    <x v="51"/>
    <n v="31"/>
    <n v="185"/>
    <n v="481"/>
    <n v="56"/>
    <n v="3488"/>
    <n v="6048"/>
    <n v="910"/>
    <n v="263"/>
    <n v="28"/>
    <n v="147"/>
    <n v="440"/>
    <n v="33"/>
    <n v="4227"/>
  </r>
  <r>
    <x v="11"/>
    <x v="16"/>
    <s v="2011 Minnesota Twins"/>
    <n v="5487"/>
    <x v="84"/>
    <x v="18"/>
    <n v="25"/>
    <n v="103"/>
    <n v="440"/>
    <n v="37"/>
    <n v="3653"/>
    <n v="6210"/>
    <n v="1069"/>
    <n v="291"/>
    <n v="43"/>
    <n v="161"/>
    <n v="480"/>
    <n v="54"/>
    <n v="4112"/>
  </r>
  <r>
    <x v="11"/>
    <x v="18"/>
    <s v="2011 New York Mets"/>
    <n v="5600"/>
    <x v="75"/>
    <x v="0"/>
    <n v="39"/>
    <n v="108"/>
    <n v="571"/>
    <n v="51"/>
    <n v="3501"/>
    <n v="6316"/>
    <n v="997"/>
    <n v="302"/>
    <n v="36"/>
    <n v="147"/>
    <n v="514"/>
    <n v="70"/>
    <n v="4250"/>
  </r>
  <r>
    <x v="11"/>
    <x v="19"/>
    <s v="2011 New York Yankees"/>
    <n v="5518"/>
    <x v="86"/>
    <x v="77"/>
    <n v="33"/>
    <n v="222"/>
    <n v="627"/>
    <n v="74"/>
    <n v="3365"/>
    <n v="6216"/>
    <n v="955"/>
    <n v="292"/>
    <n v="24"/>
    <n v="152"/>
    <n v="507"/>
    <n v="58"/>
    <n v="4228"/>
  </r>
  <r>
    <x v="11"/>
    <x v="20"/>
    <s v="2011 Oakland Athletics"/>
    <n v="5452"/>
    <x v="79"/>
    <x v="41"/>
    <n v="29"/>
    <n v="114"/>
    <n v="509"/>
    <n v="50"/>
    <n v="3563"/>
    <n v="6159"/>
    <n v="973"/>
    <n v="245"/>
    <n v="26"/>
    <n v="136"/>
    <n v="519"/>
    <n v="41"/>
    <n v="4219"/>
  </r>
  <r>
    <x v="11"/>
    <x v="21"/>
    <s v="2011 Philadelphia Phillies"/>
    <n v="5579"/>
    <x v="168"/>
    <x v="109"/>
    <n v="38"/>
    <n v="153"/>
    <n v="539"/>
    <n v="56"/>
    <n v="3575"/>
    <n v="6069"/>
    <n v="921"/>
    <n v="252"/>
    <n v="27"/>
    <n v="120"/>
    <n v="404"/>
    <n v="47"/>
    <n v="4298"/>
  </r>
  <r>
    <x v="11"/>
    <x v="22"/>
    <s v="2011 Pittsburgh Pirates"/>
    <n v="5421"/>
    <x v="131"/>
    <x v="30"/>
    <n v="35"/>
    <n v="107"/>
    <n v="489"/>
    <n v="34"/>
    <n v="3573"/>
    <n v="6317"/>
    <n v="1064"/>
    <n v="275"/>
    <n v="22"/>
    <n v="152"/>
    <n v="535"/>
    <n v="62"/>
    <n v="4207"/>
  </r>
  <r>
    <x v="11"/>
    <x v="23"/>
    <s v="2011 San Diego Padres"/>
    <n v="5417"/>
    <x v="14"/>
    <x v="110"/>
    <n v="42"/>
    <n v="91"/>
    <n v="501"/>
    <n v="48"/>
    <n v="3584"/>
    <n v="6065"/>
    <n v="900"/>
    <n v="267"/>
    <n v="32"/>
    <n v="125"/>
    <n v="521"/>
    <n v="37"/>
    <n v="4183"/>
  </r>
  <r>
    <x v="11"/>
    <x v="24"/>
    <s v="2011 Seattle Mariners"/>
    <n v="5421"/>
    <x v="187"/>
    <x v="19"/>
    <n v="22"/>
    <n v="109"/>
    <n v="435"/>
    <n v="37"/>
    <n v="3686"/>
    <n v="6014"/>
    <n v="947"/>
    <n v="253"/>
    <n v="24"/>
    <n v="145"/>
    <n v="436"/>
    <n v="51"/>
    <n v="4158"/>
  </r>
  <r>
    <x v="11"/>
    <x v="25"/>
    <s v="2011 San Francisco Giants"/>
    <n v="5486"/>
    <x v="159"/>
    <x v="1"/>
    <n v="24"/>
    <n v="121"/>
    <n v="448"/>
    <n v="52"/>
    <n v="3659"/>
    <n v="6130"/>
    <n v="863"/>
    <n v="272"/>
    <n v="29"/>
    <n v="96"/>
    <n v="559"/>
    <n v="50"/>
    <n v="4261"/>
  </r>
  <r>
    <x v="11"/>
    <x v="26"/>
    <s v="2011 St. Louis Cardinals"/>
    <n v="5532"/>
    <x v="75"/>
    <x v="59"/>
    <n v="22"/>
    <n v="162"/>
    <n v="542"/>
    <n v="44"/>
    <n v="3433"/>
    <n v="6211"/>
    <n v="995"/>
    <n v="295"/>
    <n v="35"/>
    <n v="136"/>
    <n v="448"/>
    <n v="46"/>
    <n v="4256"/>
  </r>
  <r>
    <x v="11"/>
    <x v="27"/>
    <s v="2011 Tampa Bay Devil Rays"/>
    <n v="5436"/>
    <x v="188"/>
    <x v="32"/>
    <n v="37"/>
    <n v="172"/>
    <n v="571"/>
    <n v="73"/>
    <n v="3468"/>
    <n v="6010"/>
    <n v="812"/>
    <n v="260"/>
    <n v="30"/>
    <n v="161"/>
    <n v="504"/>
    <n v="46"/>
    <n v="4197"/>
  </r>
  <r>
    <x v="11"/>
    <x v="28"/>
    <s v="2011 Texas Rangers"/>
    <n v="5659"/>
    <x v="89"/>
    <x v="3"/>
    <n v="32"/>
    <n v="210"/>
    <n v="475"/>
    <n v="39"/>
    <n v="3546"/>
    <n v="6021"/>
    <n v="880"/>
    <n v="259"/>
    <n v="18"/>
    <n v="170"/>
    <n v="461"/>
    <n v="46"/>
    <n v="4187"/>
  </r>
  <r>
    <x v="11"/>
    <x v="29"/>
    <s v="2011 Toronto Blue Jays"/>
    <n v="5559"/>
    <x v="187"/>
    <x v="44"/>
    <n v="34"/>
    <n v="186"/>
    <n v="525"/>
    <n v="48"/>
    <n v="3602"/>
    <n v="6286"/>
    <n v="914"/>
    <n v="307"/>
    <n v="33"/>
    <n v="179"/>
    <n v="540"/>
    <n v="77"/>
    <n v="4236"/>
  </r>
  <r>
    <x v="11"/>
    <x v="30"/>
    <s v="2011 Washington Nationals"/>
    <n v="5441"/>
    <x v="169"/>
    <x v="65"/>
    <n v="22"/>
    <n v="154"/>
    <n v="470"/>
    <n v="65"/>
    <n v="3587"/>
    <n v="6141"/>
    <n v="993"/>
    <n v="258"/>
    <n v="23"/>
    <n v="129"/>
    <n v="477"/>
    <n v="52"/>
    <n v="4209"/>
  </r>
  <r>
    <x v="12"/>
    <x v="0"/>
    <s v="2012 Anaheim Angels"/>
    <n v="5536"/>
    <x v="189"/>
    <x v="32"/>
    <n v="22"/>
    <n v="187"/>
    <n v="449"/>
    <n v="47"/>
    <n v="3522"/>
    <n v="6034"/>
    <n v="881"/>
    <n v="250"/>
    <n v="22"/>
    <n v="186"/>
    <n v="483"/>
    <n v="40"/>
    <n v="4172"/>
  </r>
  <r>
    <x v="12"/>
    <x v="1"/>
    <s v="2012 Arizona Diamondbacks"/>
    <n v="5462"/>
    <x v="190"/>
    <x v="9"/>
    <n v="33"/>
    <n v="165"/>
    <n v="539"/>
    <n v="41"/>
    <n v="3466"/>
    <n v="6063"/>
    <n v="936"/>
    <n v="300"/>
    <n v="41"/>
    <n v="155"/>
    <n v="417"/>
    <n v="51"/>
    <n v="4163"/>
  </r>
  <r>
    <x v="12"/>
    <x v="2"/>
    <s v="2012 Atlanta Braves"/>
    <n v="5425"/>
    <x v="57"/>
    <x v="24"/>
    <n v="30"/>
    <n v="149"/>
    <n v="567"/>
    <n v="34"/>
    <n v="3483"/>
    <n v="5991"/>
    <n v="893"/>
    <n v="251"/>
    <n v="21"/>
    <n v="145"/>
    <n v="464"/>
    <n v="41"/>
    <n v="4176"/>
  </r>
  <r>
    <x v="12"/>
    <x v="3"/>
    <s v="2012 Baltimore Orioles"/>
    <n v="5560"/>
    <x v="69"/>
    <x v="98"/>
    <n v="16"/>
    <n v="214"/>
    <n v="480"/>
    <n v="50"/>
    <n v="3655"/>
    <n v="6278"/>
    <n v="962"/>
    <n v="271"/>
    <n v="16"/>
    <n v="184"/>
    <n v="481"/>
    <n v="53"/>
    <n v="4311"/>
  </r>
  <r>
    <x v="12"/>
    <x v="4"/>
    <s v="2012 Boston Red Sox"/>
    <n v="5604"/>
    <x v="191"/>
    <x v="80"/>
    <n v="16"/>
    <n v="165"/>
    <n v="428"/>
    <n v="45"/>
    <n v="3672"/>
    <n v="6209"/>
    <n v="940"/>
    <n v="292"/>
    <n v="27"/>
    <n v="190"/>
    <n v="529"/>
    <n v="66"/>
    <n v="4165"/>
  </r>
  <r>
    <x v="12"/>
    <x v="5"/>
    <s v="2012 Chicago Cubs"/>
    <n v="5411"/>
    <x v="154"/>
    <x v="12"/>
    <n v="36"/>
    <n v="137"/>
    <n v="447"/>
    <n v="43"/>
    <n v="3624"/>
    <n v="6140"/>
    <n v="904"/>
    <n v="273"/>
    <n v="47"/>
    <n v="175"/>
    <n v="573"/>
    <n v="65"/>
    <n v="4103"/>
  </r>
  <r>
    <x v="12"/>
    <x v="6"/>
    <s v="2012 Chicago White Sox"/>
    <n v="5518"/>
    <x v="83"/>
    <x v="111"/>
    <n v="29"/>
    <n v="211"/>
    <n v="461"/>
    <n v="65"/>
    <n v="3583"/>
    <n v="6098"/>
    <n v="907"/>
    <n v="252"/>
    <n v="20"/>
    <n v="186"/>
    <n v="503"/>
    <n v="68"/>
    <n v="4162"/>
  </r>
  <r>
    <x v="12"/>
    <x v="7"/>
    <s v="2012 Cincinnati Reds"/>
    <n v="5477"/>
    <x v="187"/>
    <x v="56"/>
    <n v="30"/>
    <n v="172"/>
    <n v="481"/>
    <n v="47"/>
    <n v="3572"/>
    <n v="6056"/>
    <n v="907"/>
    <n v="262"/>
    <n v="35"/>
    <n v="152"/>
    <n v="427"/>
    <n v="51"/>
    <n v="4222"/>
  </r>
  <r>
    <x v="12"/>
    <x v="8"/>
    <s v="2012 Cleveland Indians"/>
    <n v="5525"/>
    <x v="53"/>
    <x v="62"/>
    <n v="24"/>
    <n v="136"/>
    <n v="555"/>
    <n v="59"/>
    <n v="3526"/>
    <n v="6283"/>
    <n v="979"/>
    <n v="317"/>
    <n v="33"/>
    <n v="174"/>
    <n v="543"/>
    <n v="55"/>
    <n v="4182"/>
  </r>
  <r>
    <x v="12"/>
    <x v="9"/>
    <s v="2012 Colorado Rockies"/>
    <n v="5577"/>
    <x v="55"/>
    <x v="83"/>
    <n v="52"/>
    <n v="166"/>
    <n v="450"/>
    <n v="36"/>
    <n v="3565"/>
    <n v="6384"/>
    <n v="1069"/>
    <n v="321"/>
    <n v="49"/>
    <n v="198"/>
    <n v="566"/>
    <n v="47"/>
    <n v="4134"/>
  </r>
  <r>
    <x v="12"/>
    <x v="10"/>
    <s v="2012 Detroit Tigers"/>
    <n v="5476"/>
    <x v="150"/>
    <x v="16"/>
    <n v="39"/>
    <n v="163"/>
    <n v="511"/>
    <n v="57"/>
    <n v="3441"/>
    <n v="6045"/>
    <n v="950"/>
    <n v="271"/>
    <n v="37"/>
    <n v="151"/>
    <n v="438"/>
    <n v="42"/>
    <n v="4156"/>
  </r>
  <r>
    <x v="12"/>
    <x v="11"/>
    <s v="2012 Florida Marlins"/>
    <n v="5407"/>
    <x v="192"/>
    <x v="47"/>
    <n v="28"/>
    <n v="146"/>
    <n v="463"/>
    <n v="58"/>
    <n v="3610"/>
    <n v="6238"/>
    <n v="1005"/>
    <n v="276"/>
    <n v="39"/>
    <n v="173"/>
    <n v="540"/>
    <n v="48"/>
    <n v="4157"/>
  </r>
  <r>
    <x v="12"/>
    <x v="12"/>
    <s v="2012 Houston Astros"/>
    <n v="5636"/>
    <x v="193"/>
    <x v="34"/>
    <n v="37"/>
    <n v="131"/>
    <n v="404"/>
    <n v="42"/>
    <n v="3698"/>
    <n v="6251"/>
    <n v="1019"/>
    <n v="280"/>
    <n v="42"/>
    <n v="163"/>
    <n v="542"/>
    <n v="60"/>
    <n v="4145"/>
  </r>
  <r>
    <x v="12"/>
    <x v="13"/>
    <s v="2012 Kansas City Royals"/>
    <n v="5438"/>
    <x v="1"/>
    <x v="46"/>
    <n v="23"/>
    <n v="116"/>
    <n v="481"/>
    <n v="52"/>
    <n v="3536"/>
    <n v="6068"/>
    <n v="874"/>
    <n v="249"/>
    <n v="32"/>
    <n v="122"/>
    <n v="539"/>
    <n v="45"/>
    <n v="4207"/>
  </r>
  <r>
    <x v="12"/>
    <x v="14"/>
    <s v="2012 Los Angeles Dodgers"/>
    <n v="5437"/>
    <x v="194"/>
    <x v="74"/>
    <n v="39"/>
    <n v="137"/>
    <n v="484"/>
    <n v="35"/>
    <n v="3591"/>
    <n v="6186"/>
    <n v="1005"/>
    <n v="270"/>
    <n v="40"/>
    <n v="133"/>
    <n v="495"/>
    <n v="55"/>
    <n v="4188"/>
  </r>
  <r>
    <x v="12"/>
    <x v="15"/>
    <s v="2012 Milwaukee Brewers"/>
    <n v="5557"/>
    <x v="151"/>
    <x v="17"/>
    <n v="39"/>
    <n v="202"/>
    <n v="466"/>
    <n v="90"/>
    <n v="3559"/>
    <n v="6245"/>
    <n v="968"/>
    <n v="290"/>
    <n v="31"/>
    <n v="169"/>
    <n v="525"/>
    <n v="31"/>
    <n v="4231"/>
  </r>
  <r>
    <x v="12"/>
    <x v="16"/>
    <s v="2012 Minnesota Twins"/>
    <n v="5562"/>
    <x v="19"/>
    <x v="98"/>
    <n v="30"/>
    <n v="131"/>
    <n v="505"/>
    <n v="53"/>
    <n v="3556"/>
    <n v="6214"/>
    <n v="1022"/>
    <n v="285"/>
    <n v="31"/>
    <n v="198"/>
    <n v="465"/>
    <n v="57"/>
    <n v="4156"/>
  </r>
  <r>
    <x v="12"/>
    <x v="18"/>
    <s v="2012 New York Mets"/>
    <n v="5450"/>
    <x v="190"/>
    <x v="45"/>
    <n v="21"/>
    <n v="139"/>
    <n v="503"/>
    <n v="42"/>
    <n v="3548"/>
    <n v="6086"/>
    <n v="909"/>
    <n v="262"/>
    <n v="36"/>
    <n v="161"/>
    <n v="488"/>
    <n v="40"/>
    <n v="4190"/>
  </r>
  <r>
    <x v="12"/>
    <x v="19"/>
    <s v="2012 New York Yankees"/>
    <n v="5524"/>
    <x v="105"/>
    <x v="41"/>
    <n v="13"/>
    <n v="245"/>
    <n v="565"/>
    <n v="62"/>
    <n v="3435"/>
    <n v="6085"/>
    <n v="884"/>
    <n v="303"/>
    <n v="24"/>
    <n v="190"/>
    <n v="431"/>
    <n v="49"/>
    <n v="4204"/>
  </r>
  <r>
    <x v="12"/>
    <x v="20"/>
    <s v="2012 Oakland Athletics"/>
    <n v="5527"/>
    <x v="195"/>
    <x v="77"/>
    <n v="32"/>
    <n v="195"/>
    <n v="550"/>
    <n v="45"/>
    <n v="3617"/>
    <n v="6131"/>
    <n v="935"/>
    <n v="264"/>
    <n v="14"/>
    <n v="147"/>
    <n v="462"/>
    <n v="46"/>
    <n v="4263"/>
  </r>
  <r>
    <x v="12"/>
    <x v="21"/>
    <s v="2012 Philadelphia Phillies"/>
    <n v="5544"/>
    <x v="24"/>
    <x v="87"/>
    <n v="28"/>
    <n v="158"/>
    <n v="454"/>
    <n v="63"/>
    <n v="3613"/>
    <n v="6072"/>
    <n v="908"/>
    <n v="276"/>
    <n v="25"/>
    <n v="178"/>
    <n v="409"/>
    <n v="44"/>
    <n v="4232"/>
  </r>
  <r>
    <x v="12"/>
    <x v="22"/>
    <s v="2012 Pittsburgh Pirates"/>
    <n v="5412"/>
    <x v="196"/>
    <x v="112"/>
    <n v="37"/>
    <n v="170"/>
    <n v="444"/>
    <n v="51"/>
    <n v="3604"/>
    <n v="6097"/>
    <n v="924"/>
    <n v="250"/>
    <n v="30"/>
    <n v="153"/>
    <n v="490"/>
    <n v="45"/>
    <n v="4205"/>
  </r>
  <r>
    <x v="12"/>
    <x v="23"/>
    <s v="2012 San Diego Padres"/>
    <n v="5422"/>
    <x v="78"/>
    <x v="5"/>
    <n v="43"/>
    <n v="121"/>
    <n v="539"/>
    <n v="54"/>
    <n v="3490"/>
    <n v="6151"/>
    <n v="895"/>
    <n v="263"/>
    <n v="36"/>
    <n v="162"/>
    <n v="539"/>
    <n v="48"/>
    <n v="4208"/>
  </r>
  <r>
    <x v="12"/>
    <x v="24"/>
    <s v="2012 Seattle Mariners"/>
    <n v="5494"/>
    <x v="170"/>
    <x v="112"/>
    <n v="27"/>
    <n v="149"/>
    <n v="466"/>
    <n v="30"/>
    <n v="3713"/>
    <n v="6062"/>
    <n v="919"/>
    <n v="246"/>
    <n v="28"/>
    <n v="166"/>
    <n v="449"/>
    <n v="49"/>
    <n v="4205"/>
  </r>
  <r>
    <x v="12"/>
    <x v="25"/>
    <s v="2012 San Francisco Giants"/>
    <n v="5558"/>
    <x v="115"/>
    <x v="38"/>
    <n v="57"/>
    <n v="103"/>
    <n v="483"/>
    <n v="29"/>
    <n v="3551"/>
    <n v="6138"/>
    <n v="886"/>
    <n v="296"/>
    <n v="37"/>
    <n v="142"/>
    <n v="489"/>
    <n v="51"/>
    <n v="4237"/>
  </r>
  <r>
    <x v="12"/>
    <x v="26"/>
    <s v="2012 St. Louis Cardinals"/>
    <n v="5622"/>
    <x v="186"/>
    <x v="66"/>
    <n v="37"/>
    <n v="159"/>
    <n v="533"/>
    <n v="53"/>
    <n v="3510"/>
    <n v="6158"/>
    <n v="982"/>
    <n v="272"/>
    <n v="32"/>
    <n v="134"/>
    <n v="436"/>
    <n v="50"/>
    <n v="4252"/>
  </r>
  <r>
    <x v="12"/>
    <x v="27"/>
    <s v="2012 Tampa Bay Devil Rays"/>
    <n v="5398"/>
    <x v="197"/>
    <x v="106"/>
    <n v="30"/>
    <n v="175"/>
    <n v="571"/>
    <n v="58"/>
    <n v="3476"/>
    <n v="6000"/>
    <n v="857"/>
    <n v="219"/>
    <n v="18"/>
    <n v="139"/>
    <n v="469"/>
    <n v="54"/>
    <n v="4244"/>
  </r>
  <r>
    <x v="12"/>
    <x v="28"/>
    <s v="2012 Texas Rangers"/>
    <n v="5590"/>
    <x v="66"/>
    <x v="52"/>
    <n v="32"/>
    <n v="200"/>
    <n v="478"/>
    <n v="57"/>
    <n v="3529"/>
    <n v="6067"/>
    <n v="893"/>
    <n v="273"/>
    <n v="37"/>
    <n v="175"/>
    <n v="446"/>
    <n v="41"/>
    <n v="4202"/>
  </r>
  <r>
    <x v="12"/>
    <x v="29"/>
    <s v="2012 Toronto Blue Jays"/>
    <n v="5487"/>
    <x v="187"/>
    <x v="110"/>
    <n v="22"/>
    <n v="198"/>
    <n v="473"/>
    <n v="55"/>
    <n v="3613"/>
    <n v="6216"/>
    <n v="886"/>
    <n v="334"/>
    <n v="15"/>
    <n v="204"/>
    <n v="574"/>
    <n v="55"/>
    <n v="4148"/>
  </r>
  <r>
    <x v="12"/>
    <x v="30"/>
    <s v="2012 Washington Nationals"/>
    <n v="5615"/>
    <x v="5"/>
    <x v="89"/>
    <n v="25"/>
    <n v="194"/>
    <n v="479"/>
    <n v="41"/>
    <n v="3627"/>
    <n v="6133"/>
    <n v="842"/>
    <n v="293"/>
    <n v="32"/>
    <n v="129"/>
    <n v="497"/>
    <n v="47"/>
    <n v="4293"/>
  </r>
  <r>
    <x v="13"/>
    <x v="0"/>
    <s v="2013 Anaheim Angels"/>
    <n v="5588"/>
    <x v="180"/>
    <x v="98"/>
    <n v="39"/>
    <n v="164"/>
    <n v="523"/>
    <n v="48"/>
    <n v="3541"/>
    <n v="6298"/>
    <n v="1001"/>
    <n v="286"/>
    <n v="21"/>
    <n v="167"/>
    <n v="533"/>
    <n v="45"/>
    <n v="4245"/>
  </r>
  <r>
    <x v="13"/>
    <x v="1"/>
    <s v="2013 Arizona Diamondbacks"/>
    <n v="5676"/>
    <x v="98"/>
    <x v="7"/>
    <n v="31"/>
    <n v="130"/>
    <n v="519"/>
    <n v="43"/>
    <n v="3646"/>
    <n v="6338"/>
    <n v="959"/>
    <n v="299"/>
    <n v="26"/>
    <n v="176"/>
    <n v="485"/>
    <n v="60"/>
    <n v="4333"/>
  </r>
  <r>
    <x v="13"/>
    <x v="2"/>
    <s v="2013 Atlanta Braves"/>
    <n v="5441"/>
    <x v="128"/>
    <x v="110"/>
    <n v="21"/>
    <n v="181"/>
    <n v="542"/>
    <n v="55"/>
    <n v="3490"/>
    <n v="5989"/>
    <n v="916"/>
    <n v="259"/>
    <n v="24"/>
    <n v="127"/>
    <n v="409"/>
    <n v="51"/>
    <n v="4203"/>
  </r>
  <r>
    <x v="13"/>
    <x v="3"/>
    <s v="2013 Baltimore Orioles"/>
    <n v="5620"/>
    <x v="95"/>
    <x v="68"/>
    <n v="14"/>
    <n v="212"/>
    <n v="416"/>
    <n v="36"/>
    <n v="3708"/>
    <n v="6144"/>
    <n v="931"/>
    <n v="283"/>
    <n v="22"/>
    <n v="202"/>
    <n v="473"/>
    <n v="50"/>
    <n v="4183"/>
  </r>
  <r>
    <x v="13"/>
    <x v="4"/>
    <s v="2013 Boston Red Sox"/>
    <n v="5651"/>
    <x v="111"/>
    <x v="113"/>
    <n v="29"/>
    <n v="178"/>
    <n v="581"/>
    <n v="72"/>
    <n v="3432"/>
    <n v="6143"/>
    <n v="903"/>
    <n v="281"/>
    <n v="26"/>
    <n v="156"/>
    <n v="524"/>
    <n v="47"/>
    <n v="4206"/>
  </r>
  <r>
    <x v="13"/>
    <x v="5"/>
    <s v="2013 Chicago Cubs"/>
    <n v="5498"/>
    <x v="198"/>
    <x v="13"/>
    <n v="18"/>
    <n v="172"/>
    <n v="439"/>
    <n v="67"/>
    <n v="3685"/>
    <n v="6149"/>
    <n v="838"/>
    <n v="301"/>
    <n v="33"/>
    <n v="160"/>
    <n v="540"/>
    <n v="62"/>
    <n v="4215"/>
  </r>
  <r>
    <x v="13"/>
    <x v="6"/>
    <s v="2013 Chicago White Sox"/>
    <n v="5563"/>
    <x v="132"/>
    <x v="108"/>
    <n v="19"/>
    <n v="148"/>
    <n v="411"/>
    <n v="34"/>
    <n v="3733"/>
    <n v="6214"/>
    <n v="964"/>
    <n v="256"/>
    <n v="22"/>
    <n v="182"/>
    <n v="509"/>
    <n v="60"/>
    <n v="4221"/>
  </r>
  <r>
    <x v="13"/>
    <x v="7"/>
    <s v="2013 Cincinnati Reds"/>
    <n v="5499"/>
    <x v="123"/>
    <x v="2"/>
    <n v="20"/>
    <n v="155"/>
    <n v="585"/>
    <n v="76"/>
    <n v="3468"/>
    <n v="6077"/>
    <n v="847"/>
    <n v="252"/>
    <n v="25"/>
    <n v="170"/>
    <n v="435"/>
    <n v="66"/>
    <n v="4282"/>
  </r>
  <r>
    <x v="13"/>
    <x v="8"/>
    <s v="2013 Cleveland Indians"/>
    <n v="5465"/>
    <x v="79"/>
    <x v="66"/>
    <n v="23"/>
    <n v="171"/>
    <n v="562"/>
    <n v="51"/>
    <n v="3461"/>
    <n v="6154"/>
    <n v="924"/>
    <n v="267"/>
    <n v="21"/>
    <n v="147"/>
    <n v="554"/>
    <n v="58"/>
    <n v="4183"/>
  </r>
  <r>
    <x v="13"/>
    <x v="9"/>
    <s v="2013 Colorado Rockies"/>
    <n v="5599"/>
    <x v="109"/>
    <x v="40"/>
    <n v="36"/>
    <n v="159"/>
    <n v="427"/>
    <n v="26"/>
    <n v="3635"/>
    <n v="6248"/>
    <n v="1029"/>
    <n v="348"/>
    <n v="32"/>
    <n v="136"/>
    <n v="517"/>
    <n v="40"/>
    <n v="4146"/>
  </r>
  <r>
    <x v="13"/>
    <x v="10"/>
    <s v="2013 Detroit Tigers"/>
    <n v="5735"/>
    <x v="199"/>
    <x v="58"/>
    <n v="23"/>
    <n v="176"/>
    <n v="531"/>
    <n v="43"/>
    <n v="3536"/>
    <n v="6119"/>
    <n v="954"/>
    <n v="259"/>
    <n v="28"/>
    <n v="128"/>
    <n v="462"/>
    <n v="42"/>
    <n v="4246"/>
  </r>
  <r>
    <x v="13"/>
    <x v="11"/>
    <s v="2013 Florida Marlins"/>
    <n v="5457"/>
    <x v="143"/>
    <x v="62"/>
    <n v="16"/>
    <n v="148"/>
    <n v="426"/>
    <n v="52"/>
    <n v="3672"/>
    <n v="6370"/>
    <n v="984"/>
    <n v="314"/>
    <n v="41"/>
    <n v="191"/>
    <n v="616"/>
    <n v="56"/>
    <n v="4168"/>
  </r>
  <r>
    <x v="13"/>
    <x v="12"/>
    <s v="2013 Houston Astros"/>
    <n v="5549"/>
    <x v="200"/>
    <x v="114"/>
    <n v="34"/>
    <n v="112"/>
    <n v="422"/>
    <n v="42"/>
    <n v="3642"/>
    <n v="6049"/>
    <n v="949"/>
    <n v="238"/>
    <n v="24"/>
    <n v="155"/>
    <n v="469"/>
    <n v="41"/>
    <n v="4173"/>
  </r>
  <r>
    <x v="13"/>
    <x v="13"/>
    <s v="2013 Kansas City Royals"/>
    <n v="5491"/>
    <x v="2"/>
    <x v="11"/>
    <n v="17"/>
    <n v="138"/>
    <n v="476"/>
    <n v="57"/>
    <n v="3511"/>
    <n v="6032"/>
    <n v="933"/>
    <n v="243"/>
    <n v="18"/>
    <n v="127"/>
    <n v="460"/>
    <n v="43"/>
    <n v="4208"/>
  </r>
  <r>
    <x v="13"/>
    <x v="14"/>
    <s v="2013 Los Angeles Dodgers"/>
    <n v="5449"/>
    <x v="184"/>
    <x v="115"/>
    <n v="31"/>
    <n v="95"/>
    <n v="432"/>
    <n v="56"/>
    <n v="3704"/>
    <n v="6166"/>
    <n v="937"/>
    <n v="270"/>
    <n v="48"/>
    <n v="121"/>
    <n v="526"/>
    <n v="47"/>
    <n v="4217"/>
  </r>
  <r>
    <x v="13"/>
    <x v="15"/>
    <s v="2013 Milwaukee Brewers"/>
    <n v="5474"/>
    <x v="46"/>
    <x v="47"/>
    <n v="43"/>
    <n v="157"/>
    <n v="407"/>
    <n v="71"/>
    <n v="3615"/>
    <n v="6100"/>
    <n v="994"/>
    <n v="215"/>
    <n v="17"/>
    <n v="175"/>
    <n v="466"/>
    <n v="43"/>
    <n v="4190"/>
  </r>
  <r>
    <x v="13"/>
    <x v="16"/>
    <s v="2013 Minnesota Twins"/>
    <n v="5564"/>
    <x v="201"/>
    <x v="44"/>
    <n v="15"/>
    <n v="151"/>
    <n v="533"/>
    <n v="52"/>
    <n v="3633"/>
    <n v="6257"/>
    <n v="1083"/>
    <n v="310"/>
    <n v="30"/>
    <n v="168"/>
    <n v="458"/>
    <n v="44"/>
    <n v="4164"/>
  </r>
  <r>
    <x v="13"/>
    <x v="18"/>
    <s v="2013 New York Mets"/>
    <n v="5559"/>
    <x v="202"/>
    <x v="24"/>
    <n v="32"/>
    <n v="130"/>
    <n v="512"/>
    <n v="51"/>
    <n v="3678"/>
    <n v="6249"/>
    <n v="999"/>
    <n v="272"/>
    <n v="19"/>
    <n v="152"/>
    <n v="458"/>
    <n v="54"/>
    <n v="4295"/>
  </r>
  <r>
    <x v="13"/>
    <x v="19"/>
    <s v="2013 New York Yankees"/>
    <n v="5449"/>
    <x v="131"/>
    <x v="110"/>
    <n v="24"/>
    <n v="144"/>
    <n v="466"/>
    <n v="57"/>
    <n v="3605"/>
    <n v="6128"/>
    <n v="964"/>
    <n v="303"/>
    <n v="14"/>
    <n v="171"/>
    <n v="437"/>
    <n v="51"/>
    <n v="4188"/>
  </r>
  <r>
    <x v="13"/>
    <x v="20"/>
    <s v="2013 Oakland Athletics"/>
    <n v="5521"/>
    <x v="47"/>
    <x v="89"/>
    <n v="25"/>
    <n v="186"/>
    <n v="573"/>
    <n v="45"/>
    <n v="3500"/>
    <n v="6069"/>
    <n v="928"/>
    <n v="229"/>
    <n v="19"/>
    <n v="163"/>
    <n v="428"/>
    <n v="35"/>
    <n v="4267"/>
  </r>
  <r>
    <x v="13"/>
    <x v="21"/>
    <s v="2013 Philadelphia Phillies"/>
    <n v="5456"/>
    <x v="117"/>
    <x v="43"/>
    <n v="32"/>
    <n v="140"/>
    <n v="417"/>
    <n v="53"/>
    <n v="3631"/>
    <n v="6213"/>
    <n v="969"/>
    <n v="308"/>
    <n v="36"/>
    <n v="152"/>
    <n v="506"/>
    <n v="62"/>
    <n v="4180"/>
  </r>
  <r>
    <x v="13"/>
    <x v="22"/>
    <s v="2013 Pittsburgh Pirates"/>
    <n v="5486"/>
    <x v="143"/>
    <x v="32"/>
    <n v="35"/>
    <n v="161"/>
    <n v="469"/>
    <n v="88"/>
    <n v="3583"/>
    <n v="6147"/>
    <n v="956"/>
    <n v="223"/>
    <n v="19"/>
    <n v="101"/>
    <n v="515"/>
    <n v="70"/>
    <n v="4263"/>
  </r>
  <r>
    <x v="13"/>
    <x v="23"/>
    <s v="2013 San Diego Padres"/>
    <n v="5517"/>
    <x v="124"/>
    <x v="100"/>
    <n v="26"/>
    <n v="146"/>
    <n v="467"/>
    <n v="52"/>
    <n v="3649"/>
    <n v="6179"/>
    <n v="943"/>
    <n v="270"/>
    <n v="38"/>
    <n v="156"/>
    <n v="525"/>
    <n v="40"/>
    <n v="4207"/>
  </r>
  <r>
    <x v="13"/>
    <x v="24"/>
    <s v="2013 Seattle Mariners"/>
    <n v="5558"/>
    <x v="192"/>
    <x v="93"/>
    <n v="17"/>
    <n v="188"/>
    <n v="529"/>
    <n v="31"/>
    <n v="3680"/>
    <n v="6257"/>
    <n v="951"/>
    <n v="315"/>
    <n v="27"/>
    <n v="174"/>
    <n v="478"/>
    <n v="42"/>
    <n v="4270"/>
  </r>
  <r>
    <x v="13"/>
    <x v="25"/>
    <s v="2013 San Francisco Giants"/>
    <n v="5552"/>
    <x v="203"/>
    <x v="41"/>
    <n v="35"/>
    <n v="107"/>
    <n v="469"/>
    <n v="39"/>
    <n v="3598"/>
    <n v="6163"/>
    <n v="933"/>
    <n v="277"/>
    <n v="25"/>
    <n v="145"/>
    <n v="521"/>
    <n v="50"/>
    <n v="4212"/>
  </r>
  <r>
    <x v="13"/>
    <x v="26"/>
    <s v="2013 St. Louis Cardinals"/>
    <n v="5557"/>
    <x v="204"/>
    <x v="90"/>
    <n v="20"/>
    <n v="125"/>
    <n v="481"/>
    <n v="64"/>
    <n v="3518"/>
    <n v="6104"/>
    <n v="962"/>
    <n v="263"/>
    <n v="29"/>
    <n v="112"/>
    <n v="451"/>
    <n v="64"/>
    <n v="4223"/>
  </r>
  <r>
    <x v="13"/>
    <x v="27"/>
    <s v="2013 Tampa Bay Devil Rays"/>
    <n v="5538"/>
    <x v="31"/>
    <x v="56"/>
    <n v="23"/>
    <n v="165"/>
    <n v="589"/>
    <n v="36"/>
    <n v="3492"/>
    <n v="6083"/>
    <n v="878"/>
    <n v="254"/>
    <n v="30"/>
    <n v="153"/>
    <n v="482"/>
    <n v="52"/>
    <n v="4234"/>
  </r>
  <r>
    <x v="13"/>
    <x v="28"/>
    <s v="2013 Texas Rangers"/>
    <n v="5585"/>
    <x v="176"/>
    <x v="25"/>
    <n v="23"/>
    <n v="176"/>
    <n v="462"/>
    <n v="61"/>
    <n v="3597"/>
    <n v="6146"/>
    <n v="933"/>
    <n v="261"/>
    <n v="19"/>
    <n v="157"/>
    <n v="498"/>
    <n v="48"/>
    <n v="4230"/>
  </r>
  <r>
    <x v="13"/>
    <x v="29"/>
    <s v="2013 Toronto Blue Jays"/>
    <n v="5537"/>
    <x v="172"/>
    <x v="32"/>
    <n v="24"/>
    <n v="185"/>
    <n v="510"/>
    <n v="38"/>
    <n v="3591"/>
    <n v="6250"/>
    <n v="927"/>
    <n v="304"/>
    <n v="25"/>
    <n v="195"/>
    <n v="500"/>
    <n v="65"/>
    <n v="4234"/>
  </r>
  <r>
    <x v="13"/>
    <x v="30"/>
    <s v="2013 Washington Nationals"/>
    <n v="5436"/>
    <x v="205"/>
    <x v="18"/>
    <n v="27"/>
    <n v="161"/>
    <n v="464"/>
    <n v="40"/>
    <n v="3567"/>
    <n v="6038"/>
    <n v="949"/>
    <n v="262"/>
    <n v="14"/>
    <n v="142"/>
    <n v="405"/>
    <n v="48"/>
    <n v="4218"/>
  </r>
  <r>
    <x v="14"/>
    <x v="0"/>
    <s v="2014 Anaheim Angels"/>
    <n v="5652"/>
    <x v="107"/>
    <x v="15"/>
    <n v="31"/>
    <n v="155"/>
    <n v="492"/>
    <n v="60"/>
    <n v="3636"/>
    <n v="6179"/>
    <n v="939"/>
    <n v="228"/>
    <n v="14"/>
    <n v="126"/>
    <n v="504"/>
    <n v="63"/>
    <n v="4305"/>
  </r>
  <r>
    <x v="14"/>
    <x v="1"/>
    <s v="2014 Arizona Diamondbacks"/>
    <n v="5552"/>
    <x v="116"/>
    <x v="18"/>
    <n v="47"/>
    <n v="118"/>
    <n v="398"/>
    <n v="43"/>
    <n v="3732"/>
    <n v="6162"/>
    <n v="983"/>
    <n v="296"/>
    <n v="34"/>
    <n v="154"/>
    <n v="469"/>
    <n v="51"/>
    <n v="4175"/>
  </r>
  <r>
    <x v="14"/>
    <x v="2"/>
    <s v="2014 Atlanta Braves"/>
    <n v="5468"/>
    <x v="124"/>
    <x v="116"/>
    <n v="22"/>
    <n v="123"/>
    <n v="472"/>
    <n v="43"/>
    <n v="3637"/>
    <n v="6087"/>
    <n v="982"/>
    <n v="244"/>
    <n v="22"/>
    <n v="121"/>
    <n v="472"/>
    <n v="37"/>
    <n v="4209"/>
  </r>
  <r>
    <x v="14"/>
    <x v="3"/>
    <s v="2014 Baltimore Orioles"/>
    <n v="5596"/>
    <x v="46"/>
    <x v="31"/>
    <n v="16"/>
    <n v="211"/>
    <n v="401"/>
    <n v="62"/>
    <n v="3699"/>
    <n v="6104"/>
    <n v="903"/>
    <n v="268"/>
    <n v="20"/>
    <n v="151"/>
    <n v="472"/>
    <n v="59"/>
    <n v="4231"/>
  </r>
  <r>
    <x v="14"/>
    <x v="4"/>
    <s v="2014 Boston Red Sox"/>
    <n v="5551"/>
    <x v="86"/>
    <x v="1"/>
    <n v="20"/>
    <n v="123"/>
    <n v="535"/>
    <n v="68"/>
    <n v="3593"/>
    <n v="6231"/>
    <n v="956"/>
    <n v="316"/>
    <n v="32"/>
    <n v="154"/>
    <n v="482"/>
    <n v="47"/>
    <n v="4244"/>
  </r>
  <r>
    <x v="14"/>
    <x v="5"/>
    <s v="2014 Chicago Cubs"/>
    <n v="5508"/>
    <x v="206"/>
    <x v="98"/>
    <n v="31"/>
    <n v="157"/>
    <n v="442"/>
    <n v="54"/>
    <n v="3697"/>
    <n v="6208"/>
    <n v="963"/>
    <n v="296"/>
    <n v="24"/>
    <n v="115"/>
    <n v="504"/>
    <n v="55"/>
    <n v="4251"/>
  </r>
  <r>
    <x v="14"/>
    <x v="6"/>
    <s v="2014 Chicago White Sox"/>
    <n v="5543"/>
    <x v="64"/>
    <x v="16"/>
    <n v="32"/>
    <n v="155"/>
    <n v="417"/>
    <n v="60"/>
    <n v="3666"/>
    <n v="6255"/>
    <n v="1025"/>
    <n v="272"/>
    <n v="31"/>
    <n v="140"/>
    <n v="557"/>
    <n v="69"/>
    <n v="4161"/>
  </r>
  <r>
    <x v="14"/>
    <x v="7"/>
    <s v="2014 Cincinnati Reds"/>
    <n v="5395"/>
    <x v="143"/>
    <x v="114"/>
    <n v="20"/>
    <n v="131"/>
    <n v="415"/>
    <n v="52"/>
    <n v="3646"/>
    <n v="6067"/>
    <n v="841"/>
    <n v="260"/>
    <n v="18"/>
    <n v="163"/>
    <n v="507"/>
    <n v="69"/>
    <n v="4209"/>
  </r>
  <r>
    <x v="14"/>
    <x v="8"/>
    <s v="2014 Cleveland Indians"/>
    <n v="5575"/>
    <x v="25"/>
    <x v="23"/>
    <n v="23"/>
    <n v="142"/>
    <n v="504"/>
    <n v="42"/>
    <n v="3618"/>
    <n v="6193"/>
    <n v="941"/>
    <n v="290"/>
    <n v="32"/>
    <n v="135"/>
    <n v="464"/>
    <n v="58"/>
    <n v="4273"/>
  </r>
  <r>
    <x v="14"/>
    <x v="9"/>
    <s v="2014 Colorado Rockies"/>
    <n v="5612"/>
    <x v="19"/>
    <x v="9"/>
    <n v="41"/>
    <n v="186"/>
    <n v="397"/>
    <n v="48"/>
    <n v="3616"/>
    <n v="6248"/>
    <n v="992"/>
    <n v="320"/>
    <n v="43"/>
    <n v="173"/>
    <n v="531"/>
    <n v="54"/>
    <n v="4135"/>
  </r>
  <r>
    <x v="14"/>
    <x v="10"/>
    <s v="2014 Detroit Tigers"/>
    <n v="5630"/>
    <x v="137"/>
    <x v="6"/>
    <n v="26"/>
    <n v="155"/>
    <n v="443"/>
    <n v="44"/>
    <n v="3586"/>
    <n v="6191"/>
    <n v="990"/>
    <n v="316"/>
    <n v="42"/>
    <n v="127"/>
    <n v="462"/>
    <n v="42"/>
    <n v="4212"/>
  </r>
  <r>
    <x v="14"/>
    <x v="11"/>
    <s v="2014 Florida Marlins"/>
    <n v="5447"/>
    <x v="201"/>
    <x v="116"/>
    <n v="19"/>
    <n v="163"/>
    <n v="495"/>
    <n v="55"/>
    <n v="3580"/>
    <n v="6154"/>
    <n v="994"/>
    <n v="274"/>
    <n v="30"/>
    <n v="139"/>
    <n v="484"/>
    <n v="52"/>
    <n v="4181"/>
  </r>
  <r>
    <x v="14"/>
    <x v="12"/>
    <s v="2014 Houston Astros"/>
    <n v="5545"/>
    <x v="100"/>
    <x v="45"/>
    <n v="29"/>
    <n v="95"/>
    <n v="380"/>
    <n v="53"/>
    <n v="3656"/>
    <n v="6101"/>
    <n v="973"/>
    <n v="254"/>
    <n v="31"/>
    <n v="128"/>
    <n v="440"/>
    <n v="56"/>
    <n v="4219"/>
  </r>
  <r>
    <x v="14"/>
    <x v="13"/>
    <s v="2014 Kansas City Royals"/>
    <n v="5560"/>
    <x v="55"/>
    <x v="7"/>
    <n v="38"/>
    <n v="134"/>
    <n v="519"/>
    <n v="61"/>
    <n v="3504"/>
    <n v="6075"/>
    <n v="910"/>
    <n v="262"/>
    <n v="24"/>
    <n v="142"/>
    <n v="429"/>
    <n v="41"/>
    <n v="4267"/>
  </r>
  <r>
    <x v="14"/>
    <x v="14"/>
    <s v="2014 Los Angeles Dodgers"/>
    <n v="5538"/>
    <x v="22"/>
    <x v="114"/>
    <n v="36"/>
    <n v="122"/>
    <n v="501"/>
    <n v="35"/>
    <n v="3603"/>
    <n v="6217"/>
    <n v="1044"/>
    <n v="283"/>
    <n v="40"/>
    <n v="114"/>
    <n v="458"/>
    <n v="49"/>
    <n v="4229"/>
  </r>
  <r>
    <x v="14"/>
    <x v="15"/>
    <s v="2014 Milwaukee Brewers"/>
    <n v="5462"/>
    <x v="47"/>
    <x v="13"/>
    <n v="28"/>
    <n v="150"/>
    <n v="423"/>
    <n v="73"/>
    <n v="3600"/>
    <n v="6106"/>
    <n v="948"/>
    <n v="249"/>
    <n v="22"/>
    <n v="167"/>
    <n v="431"/>
    <n v="42"/>
    <n v="4247"/>
  </r>
  <r>
    <x v="14"/>
    <x v="16"/>
    <s v="2014 Minnesota Twins"/>
    <n v="5567"/>
    <x v="83"/>
    <x v="4"/>
    <n v="27"/>
    <n v="128"/>
    <n v="544"/>
    <n v="53"/>
    <n v="3558"/>
    <n v="6212"/>
    <n v="1084"/>
    <n v="319"/>
    <n v="38"/>
    <n v="147"/>
    <n v="408"/>
    <n v="45"/>
    <n v="4171"/>
  </r>
  <r>
    <x v="14"/>
    <x v="18"/>
    <s v="2014 New York Mets"/>
    <n v="5472"/>
    <x v="207"/>
    <x v="22"/>
    <n v="19"/>
    <n v="125"/>
    <n v="516"/>
    <n v="54"/>
    <n v="3596"/>
    <n v="6170"/>
    <n v="937"/>
    <n v="261"/>
    <n v="31"/>
    <n v="141"/>
    <n v="509"/>
    <n v="50"/>
    <n v="4241"/>
  </r>
  <r>
    <x v="14"/>
    <x v="19"/>
    <s v="2014 New York Yankees"/>
    <n v="5497"/>
    <x v="134"/>
    <x v="110"/>
    <n v="26"/>
    <n v="147"/>
    <n v="452"/>
    <n v="56"/>
    <n v="3640"/>
    <n v="6114"/>
    <n v="941"/>
    <n v="258"/>
    <n v="29"/>
    <n v="164"/>
    <n v="398"/>
    <n v="65"/>
    <n v="4259"/>
  </r>
  <r>
    <x v="14"/>
    <x v="20"/>
    <s v="2014 Oakland Athletics"/>
    <n v="5545"/>
    <x v="208"/>
    <x v="19"/>
    <n v="33"/>
    <n v="146"/>
    <n v="586"/>
    <n v="49"/>
    <n v="3556"/>
    <n v="5972"/>
    <n v="901"/>
    <n v="210"/>
    <n v="11"/>
    <n v="147"/>
    <n v="406"/>
    <n v="48"/>
    <n v="4249"/>
  </r>
  <r>
    <x v="14"/>
    <x v="21"/>
    <s v="2014 Philadelphia Phillies"/>
    <n v="5603"/>
    <x v="71"/>
    <x v="117"/>
    <n v="27"/>
    <n v="125"/>
    <n v="443"/>
    <n v="55"/>
    <n v="3749"/>
    <n v="6261"/>
    <n v="946"/>
    <n v="284"/>
    <n v="32"/>
    <n v="134"/>
    <n v="521"/>
    <n v="69"/>
    <n v="4275"/>
  </r>
  <r>
    <x v="14"/>
    <x v="22"/>
    <s v="2014 Pittsburgh Pirates"/>
    <n v="5536"/>
    <x v="60"/>
    <x v="22"/>
    <n v="30"/>
    <n v="156"/>
    <n v="520"/>
    <n v="78"/>
    <n v="3502"/>
    <n v="6130"/>
    <n v="952"/>
    <n v="235"/>
    <n v="26"/>
    <n v="128"/>
    <n v="499"/>
    <n v="88"/>
    <n v="4202"/>
  </r>
  <r>
    <x v="14"/>
    <x v="23"/>
    <s v="2014 San Diego Padres"/>
    <n v="5294"/>
    <x v="209"/>
    <x v="118"/>
    <n v="30"/>
    <n v="109"/>
    <n v="468"/>
    <n v="41"/>
    <n v="3586"/>
    <n v="6006"/>
    <n v="904"/>
    <n v="258"/>
    <n v="21"/>
    <n v="117"/>
    <n v="462"/>
    <n v="46"/>
    <n v="4198"/>
  </r>
  <r>
    <x v="14"/>
    <x v="24"/>
    <s v="2014 Seattle Mariners"/>
    <n v="5450"/>
    <x v="80"/>
    <x v="110"/>
    <n v="32"/>
    <n v="136"/>
    <n v="396"/>
    <n v="60"/>
    <n v="3666"/>
    <n v="5974"/>
    <n v="855"/>
    <n v="227"/>
    <n v="21"/>
    <n v="137"/>
    <n v="463"/>
    <n v="52"/>
    <n v="4219"/>
  </r>
  <r>
    <x v="14"/>
    <x v="25"/>
    <s v="2014 San Francisco Giants"/>
    <n v="5523"/>
    <x v="44"/>
    <x v="65"/>
    <n v="42"/>
    <n v="132"/>
    <n v="427"/>
    <n v="43"/>
    <n v="3646"/>
    <n v="5947"/>
    <n v="858"/>
    <n v="266"/>
    <n v="48"/>
    <n v="133"/>
    <n v="389"/>
    <n v="57"/>
    <n v="4196"/>
  </r>
  <r>
    <x v="14"/>
    <x v="26"/>
    <s v="2014 St. Louis Cardinals"/>
    <n v="5426"/>
    <x v="84"/>
    <x v="22"/>
    <n v="21"/>
    <n v="105"/>
    <n v="471"/>
    <n v="86"/>
    <n v="3498"/>
    <n v="6069"/>
    <n v="919"/>
    <n v="253"/>
    <n v="26"/>
    <n v="123"/>
    <n v="470"/>
    <n v="61"/>
    <n v="4217"/>
  </r>
  <r>
    <x v="14"/>
    <x v="27"/>
    <s v="2014 Tampa Bay Devil Rays"/>
    <n v="5516"/>
    <x v="24"/>
    <x v="24"/>
    <n v="24"/>
    <n v="117"/>
    <n v="527"/>
    <n v="66"/>
    <n v="3562"/>
    <n v="6131"/>
    <n v="893"/>
    <n v="236"/>
    <n v="18"/>
    <n v="145"/>
    <n v="482"/>
    <n v="58"/>
    <n v="4299"/>
  </r>
  <r>
    <x v="14"/>
    <x v="28"/>
    <s v="2014 Texas Rangers"/>
    <n v="5460"/>
    <x v="171"/>
    <x v="61"/>
    <n v="28"/>
    <n v="111"/>
    <n v="417"/>
    <n v="61"/>
    <n v="3582"/>
    <n v="6195"/>
    <n v="992"/>
    <n v="329"/>
    <n v="29"/>
    <n v="160"/>
    <n v="505"/>
    <n v="61"/>
    <n v="4119"/>
  </r>
  <r>
    <x v="14"/>
    <x v="29"/>
    <s v="2014 Toronto Blue Jays"/>
    <n v="5549"/>
    <x v="17"/>
    <x v="1"/>
    <n v="24"/>
    <n v="177"/>
    <n v="502"/>
    <n v="41"/>
    <n v="3571"/>
    <n v="6150"/>
    <n v="886"/>
    <n v="331"/>
    <n v="32"/>
    <n v="151"/>
    <n v="490"/>
    <n v="57"/>
    <n v="4203"/>
  </r>
  <r>
    <x v="14"/>
    <x v="30"/>
    <s v="2014 Washington Nationals"/>
    <n v="5542"/>
    <x v="53"/>
    <x v="12"/>
    <n v="27"/>
    <n v="152"/>
    <n v="517"/>
    <n v="56"/>
    <n v="3566"/>
    <n v="6020"/>
    <n v="971"/>
    <n v="242"/>
    <n v="28"/>
    <n v="110"/>
    <n v="352"/>
    <n v="51"/>
    <n v="4266"/>
  </r>
  <r>
    <x v="15"/>
    <x v="0"/>
    <s v="2015 Anaheim Angels"/>
    <n v="5417"/>
    <x v="47"/>
    <x v="49"/>
    <n v="21"/>
    <n v="176"/>
    <n v="435"/>
    <n v="58"/>
    <n v="3593"/>
    <n v="6096"/>
    <n v="897"/>
    <n v="273"/>
    <n v="19"/>
    <n v="166"/>
    <n v="466"/>
    <n v="71"/>
    <n v="4204"/>
  </r>
  <r>
    <x v="15"/>
    <x v="1"/>
    <s v="2015 Arizona Diamondbacks"/>
    <n v="5649"/>
    <x v="180"/>
    <x v="10"/>
    <n v="48"/>
    <n v="154"/>
    <n v="490"/>
    <n v="33"/>
    <n v="3632"/>
    <n v="6257"/>
    <n v="920"/>
    <n v="318"/>
    <n v="30"/>
    <n v="182"/>
    <n v="500"/>
    <n v="48"/>
    <n v="4259"/>
  </r>
  <r>
    <x v="15"/>
    <x v="2"/>
    <s v="2015 Atlanta Braves"/>
    <n v="5420"/>
    <x v="3"/>
    <x v="117"/>
    <n v="18"/>
    <n v="100"/>
    <n v="471"/>
    <n v="44"/>
    <n v="3544"/>
    <n v="6156"/>
    <n v="974"/>
    <n v="285"/>
    <n v="33"/>
    <n v="170"/>
    <n v="550"/>
    <n v="53"/>
    <n v="4091"/>
  </r>
  <r>
    <x v="15"/>
    <x v="3"/>
    <s v="2015 Baltimore Orioles"/>
    <n v="5485"/>
    <x v="207"/>
    <x v="100"/>
    <n v="20"/>
    <n v="217"/>
    <n v="418"/>
    <n v="51"/>
    <n v="3646"/>
    <n v="6085"/>
    <n v="892"/>
    <n v="317"/>
    <n v="23"/>
    <n v="174"/>
    <n v="483"/>
    <n v="54"/>
    <n v="4142"/>
  </r>
  <r>
    <x v="15"/>
    <x v="4"/>
    <s v="2015 Boston Red Sox"/>
    <n v="5640"/>
    <x v="7"/>
    <x v="14"/>
    <n v="33"/>
    <n v="161"/>
    <n v="478"/>
    <n v="46"/>
    <n v="3621"/>
    <n v="6225"/>
    <n v="977"/>
    <n v="299"/>
    <n v="32"/>
    <n v="178"/>
    <n v="478"/>
    <n v="62"/>
    <n v="4199"/>
  </r>
  <r>
    <x v="15"/>
    <x v="5"/>
    <s v="2015 Chicago Cubs"/>
    <n v="5491"/>
    <x v="170"/>
    <x v="5"/>
    <n v="30"/>
    <n v="171"/>
    <n v="567"/>
    <n v="74"/>
    <n v="3509"/>
    <n v="5997"/>
    <n v="819"/>
    <n v="286"/>
    <n v="37"/>
    <n v="134"/>
    <n v="407"/>
    <n v="46"/>
    <n v="4268"/>
  </r>
  <r>
    <x v="15"/>
    <x v="6"/>
    <s v="2015 Chicago White Sox"/>
    <n v="5533"/>
    <x v="20"/>
    <x v="61"/>
    <n v="27"/>
    <n v="136"/>
    <n v="404"/>
    <n v="65"/>
    <n v="3683"/>
    <n v="6181"/>
    <n v="970"/>
    <n v="272"/>
    <n v="39"/>
    <n v="162"/>
    <n v="474"/>
    <n v="62"/>
    <n v="4202"/>
  </r>
  <r>
    <x v="15"/>
    <x v="7"/>
    <s v="2015 Cincinnati Reds"/>
    <n v="5571"/>
    <x v="124"/>
    <x v="65"/>
    <n v="27"/>
    <n v="167"/>
    <n v="496"/>
    <n v="42"/>
    <n v="3651"/>
    <n v="6271"/>
    <n v="917"/>
    <n v="317"/>
    <n v="25"/>
    <n v="177"/>
    <n v="544"/>
    <n v="58"/>
    <n v="4233"/>
  </r>
  <r>
    <x v="15"/>
    <x v="8"/>
    <s v="2015 Cleveland Indians"/>
    <n v="5439"/>
    <x v="208"/>
    <x v="52"/>
    <n v="29"/>
    <n v="141"/>
    <n v="533"/>
    <n v="39"/>
    <n v="3472"/>
    <n v="5904"/>
    <n v="828"/>
    <n v="254"/>
    <n v="31"/>
    <n v="161"/>
    <n v="425"/>
    <n v="48"/>
    <n v="4157"/>
  </r>
  <r>
    <x v="15"/>
    <x v="9"/>
    <s v="2015 Colorado Rockies"/>
    <n v="5572"/>
    <x v="84"/>
    <x v="2"/>
    <n v="49"/>
    <n v="186"/>
    <n v="388"/>
    <n v="33"/>
    <n v="3672"/>
    <n v="6308"/>
    <n v="992"/>
    <n v="363"/>
    <n v="41"/>
    <n v="183"/>
    <n v="579"/>
    <n v="48"/>
    <n v="4102"/>
  </r>
  <r>
    <x v="15"/>
    <x v="10"/>
    <s v="2015 Detroit Tigers"/>
    <n v="5605"/>
    <x v="16"/>
    <x v="10"/>
    <n v="49"/>
    <n v="151"/>
    <n v="455"/>
    <n v="41"/>
    <n v="3594"/>
    <n v="6188"/>
    <n v="958"/>
    <n v="280"/>
    <n v="60"/>
    <n v="193"/>
    <n v="489"/>
    <n v="46"/>
    <n v="4162"/>
  </r>
  <r>
    <x v="15"/>
    <x v="11"/>
    <s v="2015 Florida Marlins"/>
    <n v="5459"/>
    <x v="210"/>
    <x v="78"/>
    <n v="26"/>
    <n v="230"/>
    <n v="486"/>
    <n v="56"/>
    <n v="3554"/>
    <n v="5965"/>
    <n v="871"/>
    <n v="252"/>
    <n v="37"/>
    <n v="148"/>
    <n v="423"/>
    <n v="43"/>
    <n v="4191"/>
  </r>
  <r>
    <x v="15"/>
    <x v="12"/>
    <s v="2015 Houston Astros"/>
    <n v="5575"/>
    <x v="35"/>
    <x v="17"/>
    <n v="42"/>
    <n v="139"/>
    <n v="383"/>
    <n v="77"/>
    <n v="3618"/>
    <n v="6112"/>
    <n v="916"/>
    <n v="262"/>
    <n v="39"/>
    <n v="155"/>
    <n v="489"/>
    <n v="52"/>
    <n v="4199"/>
  </r>
  <r>
    <x v="15"/>
    <x v="13"/>
    <s v="2015 Kansas City Royals"/>
    <n v="5385"/>
    <x v="211"/>
    <x v="24"/>
    <n v="26"/>
    <n v="187"/>
    <n v="563"/>
    <n v="60"/>
    <n v="3416"/>
    <n v="5932"/>
    <n v="923"/>
    <n v="229"/>
    <n v="20"/>
    <n v="145"/>
    <n v="395"/>
    <n v="38"/>
    <n v="4182"/>
  </r>
  <r>
    <x v="15"/>
    <x v="14"/>
    <s v="2015 Los Angeles Dodgers"/>
    <n v="5463"/>
    <x v="203"/>
    <x v="104"/>
    <n v="40"/>
    <n v="120"/>
    <n v="375"/>
    <n v="39"/>
    <n v="3629"/>
    <n v="6050"/>
    <n v="926"/>
    <n v="278"/>
    <n v="29"/>
    <n v="141"/>
    <n v="508"/>
    <n v="52"/>
    <n v="4116"/>
  </r>
  <r>
    <x v="15"/>
    <x v="15"/>
    <s v="2015 Milwaukee Brewers"/>
    <n v="5480"/>
    <x v="140"/>
    <x v="2"/>
    <n v="34"/>
    <n v="145"/>
    <n v="412"/>
    <n v="41"/>
    <n v="3649"/>
    <n v="6148"/>
    <n v="936"/>
    <n v="287"/>
    <n v="33"/>
    <n v="176"/>
    <n v="517"/>
    <n v="55"/>
    <n v="4144"/>
  </r>
  <r>
    <x v="15"/>
    <x v="16"/>
    <s v="2015 Minnesota Twins"/>
    <n v="5467"/>
    <x v="212"/>
    <x v="30"/>
    <n v="44"/>
    <n v="156"/>
    <n v="439"/>
    <n v="40"/>
    <n v="3639"/>
    <n v="6139"/>
    <n v="1023"/>
    <n v="295"/>
    <n v="25"/>
    <n v="163"/>
    <n v="413"/>
    <n v="41"/>
    <n v="4179"/>
  </r>
  <r>
    <x v="15"/>
    <x v="18"/>
    <s v="2015 New York Mets"/>
    <n v="5527"/>
    <x v="213"/>
    <x v="34"/>
    <n v="17"/>
    <n v="177"/>
    <n v="488"/>
    <n v="68"/>
    <n v="3620"/>
    <n v="6046"/>
    <n v="931"/>
    <n v="235"/>
    <n v="23"/>
    <n v="152"/>
    <n v="383"/>
    <n v="44"/>
    <n v="4278"/>
  </r>
  <r>
    <x v="15"/>
    <x v="19"/>
    <s v="2015 New York Yankees"/>
    <n v="5567"/>
    <x v="214"/>
    <x v="5"/>
    <n v="19"/>
    <n v="212"/>
    <n v="554"/>
    <n v="63"/>
    <n v="3553"/>
    <n v="6191"/>
    <n v="949"/>
    <n v="260"/>
    <n v="25"/>
    <n v="182"/>
    <n v="474"/>
    <n v="56"/>
    <n v="4245"/>
  </r>
  <r>
    <x v="15"/>
    <x v="20"/>
    <s v="2015 Oakland Athletics"/>
    <n v="5600"/>
    <x v="95"/>
    <x v="30"/>
    <n v="46"/>
    <n v="146"/>
    <n v="475"/>
    <n v="40"/>
    <n v="3680"/>
    <n v="6128"/>
    <n v="951"/>
    <n v="266"/>
    <n v="13"/>
    <n v="172"/>
    <n v="474"/>
    <n v="47"/>
    <n v="4205"/>
  </r>
  <r>
    <x v="15"/>
    <x v="21"/>
    <s v="2015 Philadelphia Phillies"/>
    <n v="5529"/>
    <x v="114"/>
    <x v="5"/>
    <n v="37"/>
    <n v="130"/>
    <n v="387"/>
    <n v="54"/>
    <n v="3714"/>
    <n v="6332"/>
    <n v="1068"/>
    <n v="300"/>
    <n v="33"/>
    <n v="191"/>
    <n v="488"/>
    <n v="61"/>
    <n v="4191"/>
  </r>
  <r>
    <x v="15"/>
    <x v="22"/>
    <s v="2015 Pittsburgh Pirates"/>
    <n v="5631"/>
    <x v="180"/>
    <x v="58"/>
    <n v="27"/>
    <n v="140"/>
    <n v="461"/>
    <n v="89"/>
    <n v="3619"/>
    <n v="6215"/>
    <n v="1001"/>
    <n v="257"/>
    <n v="24"/>
    <n v="110"/>
    <n v="453"/>
    <n v="75"/>
    <n v="4295"/>
  </r>
  <r>
    <x v="15"/>
    <x v="23"/>
    <s v="2015 San Diego Padres"/>
    <n v="5457"/>
    <x v="215"/>
    <x v="61"/>
    <n v="36"/>
    <n v="148"/>
    <n v="426"/>
    <n v="40"/>
    <n v="3667"/>
    <n v="6093"/>
    <n v="882"/>
    <n v="268"/>
    <n v="50"/>
    <n v="171"/>
    <n v="516"/>
    <n v="54"/>
    <n v="4152"/>
  </r>
  <r>
    <x v="15"/>
    <x v="24"/>
    <s v="2015 Seattle Mariners"/>
    <n v="5544"/>
    <x v="68"/>
    <x v="25"/>
    <n v="22"/>
    <n v="198"/>
    <n v="478"/>
    <n v="36"/>
    <n v="3651"/>
    <n v="6223"/>
    <n v="941"/>
    <n v="285"/>
    <n v="23"/>
    <n v="181"/>
    <n v="491"/>
    <n v="70"/>
    <n v="4232"/>
  </r>
  <r>
    <x v="15"/>
    <x v="25"/>
    <s v="2015 San Francisco Giants"/>
    <n v="5565"/>
    <x v="158"/>
    <x v="60"/>
    <n v="39"/>
    <n v="136"/>
    <n v="457"/>
    <n v="49"/>
    <n v="3573"/>
    <n v="6009"/>
    <n v="892"/>
    <n v="246"/>
    <n v="51"/>
    <n v="155"/>
    <n v="431"/>
    <n v="50"/>
    <n v="4184"/>
  </r>
  <r>
    <x v="15"/>
    <x v="26"/>
    <s v="2015 St. Louis Cardinals"/>
    <n v="5484"/>
    <x v="208"/>
    <x v="60"/>
    <n v="39"/>
    <n v="137"/>
    <n v="506"/>
    <n v="66"/>
    <n v="3526"/>
    <n v="6134"/>
    <n v="970"/>
    <n v="240"/>
    <n v="26"/>
    <n v="123"/>
    <n v="477"/>
    <n v="45"/>
    <n v="4253"/>
  </r>
  <r>
    <x v="15"/>
    <x v="27"/>
    <s v="2015 Tampa Bay Devil Rays"/>
    <n v="5485"/>
    <x v="131"/>
    <x v="78"/>
    <n v="32"/>
    <n v="167"/>
    <n v="436"/>
    <n v="84"/>
    <n v="3582"/>
    <n v="6069"/>
    <n v="888"/>
    <n v="232"/>
    <n v="19"/>
    <n v="175"/>
    <n v="477"/>
    <n v="46"/>
    <n v="4232"/>
  </r>
  <r>
    <x v="15"/>
    <x v="28"/>
    <s v="2015 Texas Rangers"/>
    <n v="5511"/>
    <x v="95"/>
    <x v="16"/>
    <n v="32"/>
    <n v="172"/>
    <n v="503"/>
    <n v="76"/>
    <n v="3513"/>
    <n v="6215"/>
    <n v="968"/>
    <n v="280"/>
    <n v="40"/>
    <n v="171"/>
    <n v="508"/>
    <n v="63"/>
    <n v="4185"/>
  </r>
  <r>
    <x v="15"/>
    <x v="29"/>
    <s v="2015 Toronto Blue Jays"/>
    <n v="5509"/>
    <x v="43"/>
    <x v="59"/>
    <n v="17"/>
    <n v="232"/>
    <n v="570"/>
    <n v="54"/>
    <n v="3405"/>
    <n v="5984"/>
    <n v="883"/>
    <n v="267"/>
    <n v="30"/>
    <n v="173"/>
    <n v="397"/>
    <n v="59"/>
    <n v="4175"/>
  </r>
  <r>
    <x v="15"/>
    <x v="30"/>
    <s v="2015 Washington Nationals"/>
    <n v="5428"/>
    <x v="103"/>
    <x v="12"/>
    <n v="13"/>
    <n v="177"/>
    <n v="539"/>
    <n v="44"/>
    <n v="3482"/>
    <n v="5975"/>
    <n v="953"/>
    <n v="239"/>
    <n v="29"/>
    <n v="145"/>
    <n v="364"/>
    <n v="55"/>
    <n v="4190"/>
  </r>
  <r>
    <x v="16"/>
    <x v="0"/>
    <s v="2016 Anaheim Angels"/>
    <n v="5431"/>
    <x v="116"/>
    <x v="16"/>
    <n v="20"/>
    <n v="156"/>
    <n v="471"/>
    <n v="51"/>
    <n v="3499"/>
    <n v="6120"/>
    <n v="977"/>
    <n v="275"/>
    <n v="20"/>
    <n v="208"/>
    <n v="498"/>
    <n v="56"/>
    <n v="4086"/>
  </r>
  <r>
    <x v="16"/>
    <x v="1"/>
    <s v="2016 Arizona Diamondbacks"/>
    <n v="5665"/>
    <x v="5"/>
    <x v="44"/>
    <n v="56"/>
    <n v="190"/>
    <n v="463"/>
    <n v="50"/>
    <n v="3673"/>
    <n v="6437"/>
    <n v="986"/>
    <n v="337"/>
    <n v="38"/>
    <n v="202"/>
    <n v="603"/>
    <n v="57"/>
    <n v="4214"/>
  </r>
  <r>
    <x v="16"/>
    <x v="2"/>
    <s v="2016 Atlanta Braves"/>
    <n v="5514"/>
    <x v="168"/>
    <x v="34"/>
    <n v="27"/>
    <n v="122"/>
    <n v="502"/>
    <n v="59"/>
    <n v="3549"/>
    <n v="6250"/>
    <n v="927"/>
    <n v="263"/>
    <n v="47"/>
    <n v="177"/>
    <n v="547"/>
    <n v="70"/>
    <n v="4219"/>
  </r>
  <r>
    <x v="16"/>
    <x v="3"/>
    <s v="2016 Baltimore Orioles"/>
    <n v="5524"/>
    <x v="174"/>
    <x v="12"/>
    <n v="6"/>
    <n v="253"/>
    <n v="468"/>
    <n v="44"/>
    <n v="3599"/>
    <n v="6122"/>
    <n v="898"/>
    <n v="309"/>
    <n v="18"/>
    <n v="183"/>
    <n v="545"/>
    <n v="51"/>
    <n v="4118"/>
  </r>
  <r>
    <x v="16"/>
    <x v="4"/>
    <s v="2016 Boston Red Sox"/>
    <n v="5670"/>
    <x v="167"/>
    <x v="119"/>
    <n v="25"/>
    <n v="208"/>
    <n v="558"/>
    <n v="43"/>
    <n v="3471"/>
    <n v="6073"/>
    <n v="892"/>
    <n v="251"/>
    <n v="23"/>
    <n v="176"/>
    <n v="490"/>
    <n v="65"/>
    <n v="4176"/>
  </r>
  <r>
    <x v="16"/>
    <x v="5"/>
    <s v="2016 Chicago Cubs"/>
    <n v="5503"/>
    <x v="207"/>
    <x v="94"/>
    <n v="30"/>
    <n v="199"/>
    <n v="656"/>
    <n v="96"/>
    <n v="3342"/>
    <n v="5933"/>
    <n v="742"/>
    <n v="205"/>
    <n v="15"/>
    <n v="163"/>
    <n v="495"/>
    <n v="63"/>
    <n v="4250"/>
  </r>
  <r>
    <x v="16"/>
    <x v="6"/>
    <s v="2016 Chicago White Sox"/>
    <n v="5550"/>
    <x v="32"/>
    <x v="30"/>
    <n v="33"/>
    <n v="168"/>
    <n v="455"/>
    <n v="53"/>
    <n v="3614"/>
    <n v="6196"/>
    <n v="922"/>
    <n v="290"/>
    <n v="25"/>
    <n v="185"/>
    <n v="521"/>
    <n v="68"/>
    <n v="4185"/>
  </r>
  <r>
    <x v="16"/>
    <x v="7"/>
    <s v="2016 Cincinnati Reds"/>
    <n v="5487"/>
    <x v="134"/>
    <x v="30"/>
    <n v="33"/>
    <n v="164"/>
    <n v="452"/>
    <n v="52"/>
    <n v="3580"/>
    <n v="6348"/>
    <n v="920"/>
    <n v="261"/>
    <n v="18"/>
    <n v="258"/>
    <n v="636"/>
    <n v="78"/>
    <n v="4177"/>
  </r>
  <r>
    <x v="16"/>
    <x v="8"/>
    <s v="2016 Cleveland Indians"/>
    <n v="5484"/>
    <x v="80"/>
    <x v="59"/>
    <n v="29"/>
    <n v="185"/>
    <n v="531"/>
    <n v="49"/>
    <n v="3469"/>
    <n v="6033"/>
    <n v="830"/>
    <n v="287"/>
    <n v="27"/>
    <n v="186"/>
    <n v="461"/>
    <n v="34"/>
    <n v="4208"/>
  </r>
  <r>
    <x v="16"/>
    <x v="9"/>
    <s v="2016 Colorado Rockies"/>
    <n v="5614"/>
    <x v="60"/>
    <x v="63"/>
    <n v="47"/>
    <n v="204"/>
    <n v="494"/>
    <n v="40"/>
    <n v="3536"/>
    <n v="6289"/>
    <n v="988"/>
    <n v="312"/>
    <n v="51"/>
    <n v="181"/>
    <n v="547"/>
    <n v="70"/>
    <n v="4140"/>
  </r>
  <r>
    <x v="16"/>
    <x v="10"/>
    <s v="2016 Detroit Tigers"/>
    <n v="5526"/>
    <x v="216"/>
    <x v="103"/>
    <n v="30"/>
    <n v="211"/>
    <n v="493"/>
    <n v="53"/>
    <n v="3504"/>
    <n v="6048"/>
    <n v="943"/>
    <n v="250"/>
    <n v="42"/>
    <n v="182"/>
    <n v="462"/>
    <n v="51"/>
    <n v="4118"/>
  </r>
  <r>
    <x v="16"/>
    <x v="11"/>
    <s v="2016 Florida Marlins"/>
    <n v="5545"/>
    <x v="217"/>
    <x v="28"/>
    <n v="29"/>
    <n v="198"/>
    <n v="554"/>
    <n v="47"/>
    <n v="3577"/>
    <n v="6180"/>
    <n v="898"/>
    <n v="320"/>
    <n v="42"/>
    <n v="181"/>
    <n v="453"/>
    <n v="39"/>
    <n v="4247"/>
  </r>
  <r>
    <x v="16"/>
    <x v="12"/>
    <s v="2016 Houston Astros"/>
    <n v="5552"/>
    <x v="113"/>
    <x v="31"/>
    <n v="33"/>
    <n v="147"/>
    <n v="382"/>
    <n v="45"/>
    <n v="3675"/>
    <n v="6182"/>
    <n v="958"/>
    <n v="248"/>
    <n v="21"/>
    <n v="206"/>
    <n v="517"/>
    <n v="60"/>
    <n v="4172"/>
  </r>
  <r>
    <x v="16"/>
    <x v="13"/>
    <s v="2016 Kansas City Royals"/>
    <n v="5518"/>
    <x v="214"/>
    <x v="5"/>
    <n v="21"/>
    <n v="189"/>
    <n v="525"/>
    <n v="58"/>
    <n v="3559"/>
    <n v="6014"/>
    <n v="850"/>
    <n v="225"/>
    <n v="26"/>
    <n v="165"/>
    <n v="464"/>
    <n v="53"/>
    <n v="4231"/>
  </r>
  <r>
    <x v="16"/>
    <x v="14"/>
    <s v="2016 Los Angeles Dodgers"/>
    <n v="5547"/>
    <x v="136"/>
    <x v="18"/>
    <n v="42"/>
    <n v="128"/>
    <n v="447"/>
    <n v="54"/>
    <n v="3586"/>
    <n v="6164"/>
    <n v="919"/>
    <n v="256"/>
    <n v="31"/>
    <n v="152"/>
    <n v="595"/>
    <n v="61"/>
    <n v="4150"/>
  </r>
  <r>
    <x v="16"/>
    <x v="15"/>
    <s v="2016 Milwaukee Brewers"/>
    <n v="5330"/>
    <x v="218"/>
    <x v="93"/>
    <n v="19"/>
    <n v="194"/>
    <n v="599"/>
    <n v="37"/>
    <n v="3395"/>
    <n v="6188"/>
    <n v="943"/>
    <n v="293"/>
    <n v="36"/>
    <n v="178"/>
    <n v="532"/>
    <n v="66"/>
    <n v="4140"/>
  </r>
  <r>
    <x v="16"/>
    <x v="16"/>
    <s v="2016 Minnesota Twins"/>
    <n v="5618"/>
    <x v="169"/>
    <x v="60"/>
    <n v="35"/>
    <n v="200"/>
    <n v="513"/>
    <n v="44"/>
    <n v="3652"/>
    <n v="6314"/>
    <n v="1040"/>
    <n v="326"/>
    <n v="30"/>
    <n v="221"/>
    <n v="479"/>
    <n v="41"/>
    <n v="4177"/>
  </r>
  <r>
    <x v="16"/>
    <x v="18"/>
    <s v="2016 New York Mets"/>
    <n v="5459"/>
    <x v="196"/>
    <x v="116"/>
    <n v="19"/>
    <n v="218"/>
    <n v="517"/>
    <n v="62"/>
    <n v="3538"/>
    <n v="6067"/>
    <n v="958"/>
    <n v="258"/>
    <n v="29"/>
    <n v="152"/>
    <n v="439"/>
    <n v="35"/>
    <n v="4196"/>
  </r>
  <r>
    <x v="16"/>
    <x v="19"/>
    <s v="2016 New York Yankees"/>
    <n v="5458"/>
    <x v="86"/>
    <x v="101"/>
    <n v="20"/>
    <n v="183"/>
    <n v="475"/>
    <n v="42"/>
    <n v="3563"/>
    <n v="6023"/>
    <n v="843"/>
    <n v="279"/>
    <n v="22"/>
    <n v="214"/>
    <n v="444"/>
    <n v="57"/>
    <n v="4164"/>
  </r>
  <r>
    <x v="16"/>
    <x v="20"/>
    <s v="2016 Oakland Athletics"/>
    <n v="5500"/>
    <x v="112"/>
    <x v="98"/>
    <n v="21"/>
    <n v="169"/>
    <n v="442"/>
    <n v="33"/>
    <n v="3673"/>
    <n v="6144"/>
    <n v="971"/>
    <n v="277"/>
    <n v="26"/>
    <n v="185"/>
    <n v="464"/>
    <n v="50"/>
    <n v="4171"/>
  </r>
  <r>
    <x v="16"/>
    <x v="21"/>
    <s v="2016 Philadelphia Phillies"/>
    <n v="5434"/>
    <x v="173"/>
    <x v="120"/>
    <n v="35"/>
    <n v="161"/>
    <n v="424"/>
    <n v="58"/>
    <n v="3647"/>
    <n v="6164"/>
    <n v="914"/>
    <n v="308"/>
    <n v="33"/>
    <n v="213"/>
    <n v="466"/>
    <n v="51"/>
    <n v="4179"/>
  </r>
  <r>
    <x v="16"/>
    <x v="22"/>
    <s v="2016 Pittsburgh Pirates"/>
    <n v="5542"/>
    <x v="50"/>
    <x v="30"/>
    <n v="32"/>
    <n v="153"/>
    <n v="561"/>
    <n v="81"/>
    <n v="3474"/>
    <n v="6292"/>
    <n v="948"/>
    <n v="322"/>
    <n v="40"/>
    <n v="180"/>
    <n v="533"/>
    <n v="68"/>
    <n v="4201"/>
  </r>
  <r>
    <x v="16"/>
    <x v="23"/>
    <s v="2016 San Diego Padres"/>
    <n v="5419"/>
    <x v="219"/>
    <x v="65"/>
    <n v="26"/>
    <n v="177"/>
    <n v="449"/>
    <n v="58"/>
    <n v="3637"/>
    <n v="6228"/>
    <n v="923"/>
    <n v="275"/>
    <n v="44"/>
    <n v="183"/>
    <n v="569"/>
    <n v="53"/>
    <n v="4181"/>
  </r>
  <r>
    <x v="16"/>
    <x v="24"/>
    <s v="2016 Seattle Mariners"/>
    <n v="5583"/>
    <x v="116"/>
    <x v="117"/>
    <n v="17"/>
    <n v="223"/>
    <n v="506"/>
    <n v="72"/>
    <n v="3559"/>
    <n v="6147"/>
    <n v="901"/>
    <n v="273"/>
    <n v="23"/>
    <n v="213"/>
    <n v="460"/>
    <n v="55"/>
    <n v="4222"/>
  </r>
  <r>
    <x v="16"/>
    <x v="25"/>
    <s v="2016 San Francisco Giants"/>
    <n v="5565"/>
    <x v="12"/>
    <x v="41"/>
    <n v="54"/>
    <n v="130"/>
    <n v="572"/>
    <n v="42"/>
    <n v="3514"/>
    <n v="6049"/>
    <n v="872"/>
    <n v="262"/>
    <n v="42"/>
    <n v="158"/>
    <n v="439"/>
    <n v="46"/>
    <n v="4230"/>
  </r>
  <r>
    <x v="16"/>
    <x v="26"/>
    <s v="2016 St. Louis Cardinals"/>
    <n v="5548"/>
    <x v="154"/>
    <x v="85"/>
    <n v="32"/>
    <n v="225"/>
    <n v="526"/>
    <n v="70"/>
    <n v="3537"/>
    <n v="6164"/>
    <n v="973"/>
    <n v="278"/>
    <n v="22"/>
    <n v="159"/>
    <n v="475"/>
    <n v="52"/>
    <n v="4205"/>
  </r>
  <r>
    <x v="16"/>
    <x v="27"/>
    <s v="2016 Tampa Bay Devil Rays"/>
    <n v="5481"/>
    <x v="220"/>
    <x v="60"/>
    <n v="32"/>
    <n v="216"/>
    <n v="449"/>
    <n v="69"/>
    <n v="3630"/>
    <n v="6076"/>
    <n v="943"/>
    <n v="233"/>
    <n v="9"/>
    <n v="210"/>
    <n v="491"/>
    <n v="32"/>
    <n v="4158"/>
  </r>
  <r>
    <x v="16"/>
    <x v="28"/>
    <s v="2016 Texas Rangers"/>
    <n v="5525"/>
    <x v="61"/>
    <x v="65"/>
    <n v="23"/>
    <n v="215"/>
    <n v="436"/>
    <n v="70"/>
    <n v="3573"/>
    <n v="6186"/>
    <n v="958"/>
    <n v="260"/>
    <n v="22"/>
    <n v="201"/>
    <n v="534"/>
    <n v="53"/>
    <n v="4158"/>
  </r>
  <r>
    <x v="16"/>
    <x v="29"/>
    <s v="2016 Toronto Blue Jays"/>
    <n v="5479"/>
    <x v="221"/>
    <x v="51"/>
    <n v="18"/>
    <n v="221"/>
    <n v="632"/>
    <n v="55"/>
    <n v="3434"/>
    <n v="6113"/>
    <n v="864"/>
    <n v="269"/>
    <n v="24"/>
    <n v="183"/>
    <n v="461"/>
    <n v="59"/>
    <n v="4253"/>
  </r>
  <r>
    <x v="16"/>
    <x v="30"/>
    <s v="2016 Washington Nationals"/>
    <n v="5490"/>
    <x v="78"/>
    <x v="26"/>
    <n v="29"/>
    <n v="203"/>
    <n v="536"/>
    <n v="64"/>
    <n v="3487"/>
    <n v="6036"/>
    <n v="838"/>
    <n v="252"/>
    <n v="27"/>
    <n v="155"/>
    <n v="468"/>
    <n v="57"/>
    <n v="4239"/>
  </r>
  <r>
    <x v="17"/>
    <x v="0"/>
    <s v="2017 Anaheim Angels"/>
    <n v="5415"/>
    <x v="56"/>
    <x v="117"/>
    <n v="14"/>
    <n v="186"/>
    <n v="523"/>
    <n v="70"/>
    <n v="3508"/>
    <n v="6030"/>
    <n v="867"/>
    <n v="265"/>
    <n v="17"/>
    <n v="224"/>
    <n v="470"/>
    <n v="44"/>
    <n v="4143"/>
  </r>
  <r>
    <x v="17"/>
    <x v="1"/>
    <s v="2017 Arizona Diamondbacks"/>
    <n v="5525"/>
    <x v="222"/>
    <x v="48"/>
    <n v="39"/>
    <n v="220"/>
    <n v="578"/>
    <n v="54"/>
    <n v="3488"/>
    <n v="6072"/>
    <n v="828"/>
    <n v="276"/>
    <n v="34"/>
    <n v="171"/>
    <n v="516"/>
    <n v="38"/>
    <n v="4209"/>
  </r>
  <r>
    <x v="17"/>
    <x v="2"/>
    <s v="2017 Atlanta Braves"/>
    <n v="5584"/>
    <x v="22"/>
    <x v="10"/>
    <n v="26"/>
    <n v="165"/>
    <n v="474"/>
    <n v="66"/>
    <n v="3577"/>
    <n v="6306"/>
    <n v="909"/>
    <n v="326"/>
    <n v="36"/>
    <n v="192"/>
    <n v="584"/>
    <n v="70"/>
    <n v="4189"/>
  </r>
  <r>
    <x v="17"/>
    <x v="3"/>
    <s v="2017 Baltimore Orioles"/>
    <n v="5650"/>
    <x v="223"/>
    <x v="46"/>
    <n v="12"/>
    <n v="232"/>
    <n v="392"/>
    <n v="50"/>
    <n v="3739"/>
    <n v="6293"/>
    <n v="953"/>
    <n v="293"/>
    <n v="17"/>
    <n v="242"/>
    <n v="579"/>
    <n v="60"/>
    <n v="4149"/>
  </r>
  <r>
    <x v="17"/>
    <x v="4"/>
    <s v="2017 Boston Red Sox"/>
    <n v="5669"/>
    <x v="148"/>
    <x v="7"/>
    <n v="19"/>
    <n v="168"/>
    <n v="571"/>
    <n v="53"/>
    <n v="3584"/>
    <n v="6217"/>
    <n v="888"/>
    <n v="278"/>
    <n v="23"/>
    <n v="195"/>
    <n v="465"/>
    <n v="49"/>
    <n v="4319"/>
  </r>
  <r>
    <x v="17"/>
    <x v="5"/>
    <s v="2017 Chicago Cubs"/>
    <n v="5496"/>
    <x v="58"/>
    <x v="2"/>
    <n v="29"/>
    <n v="223"/>
    <n v="622"/>
    <n v="82"/>
    <n v="3390"/>
    <n v="6108"/>
    <n v="833"/>
    <n v="250"/>
    <n v="17"/>
    <n v="194"/>
    <n v="554"/>
    <n v="66"/>
    <n v="4194"/>
  </r>
  <r>
    <x v="17"/>
    <x v="6"/>
    <s v="2017 Chicago White Sox"/>
    <n v="5513"/>
    <x v="77"/>
    <x v="35"/>
    <n v="37"/>
    <n v="186"/>
    <n v="401"/>
    <n v="76"/>
    <n v="3624"/>
    <n v="6200"/>
    <n v="835"/>
    <n v="275"/>
    <n v="32"/>
    <n v="242"/>
    <n v="632"/>
    <n v="68"/>
    <n v="4116"/>
  </r>
  <r>
    <x v="17"/>
    <x v="7"/>
    <s v="2017 Cincinnati Reds"/>
    <n v="5484"/>
    <x v="146"/>
    <x v="93"/>
    <n v="38"/>
    <n v="219"/>
    <n v="565"/>
    <n v="72"/>
    <n v="3457"/>
    <n v="6286"/>
    <n v="857"/>
    <n v="315"/>
    <n v="22"/>
    <n v="248"/>
    <n v="631"/>
    <n v="77"/>
    <n v="4136"/>
  </r>
  <r>
    <x v="17"/>
    <x v="8"/>
    <s v="2017 Cleveland Indians"/>
    <n v="5511"/>
    <x v="69"/>
    <x v="39"/>
    <n v="29"/>
    <n v="212"/>
    <n v="604"/>
    <n v="50"/>
    <n v="3408"/>
    <n v="5866"/>
    <n v="830"/>
    <n v="262"/>
    <n v="12"/>
    <n v="163"/>
    <n v="406"/>
    <n v="45"/>
    <n v="4148"/>
  </r>
  <r>
    <x v="17"/>
    <x v="9"/>
    <s v="2017 Colorado Rockies"/>
    <n v="5534"/>
    <x v="22"/>
    <x v="94"/>
    <n v="38"/>
    <n v="192"/>
    <n v="519"/>
    <n v="44"/>
    <n v="3461"/>
    <n v="6177"/>
    <n v="923"/>
    <n v="290"/>
    <n v="50"/>
    <n v="190"/>
    <n v="532"/>
    <n v="50"/>
    <n v="4142"/>
  </r>
  <r>
    <x v="17"/>
    <x v="10"/>
    <s v="2017 Detroit Tigers"/>
    <n v="5556"/>
    <x v="105"/>
    <x v="10"/>
    <n v="35"/>
    <n v="187"/>
    <n v="503"/>
    <n v="52"/>
    <n v="3566"/>
    <n v="6298"/>
    <n v="1044"/>
    <n v="290"/>
    <n v="35"/>
    <n v="218"/>
    <n v="538"/>
    <n v="61"/>
    <n v="4112"/>
  </r>
  <r>
    <x v="17"/>
    <x v="11"/>
    <s v="2017 Florida Marlins"/>
    <n v="5611"/>
    <x v="26"/>
    <x v="121"/>
    <n v="20"/>
    <n v="238"/>
    <n v="509"/>
    <n v="70"/>
    <n v="3451"/>
    <n v="6111"/>
    <n v="806"/>
    <n v="293"/>
    <n v="23"/>
    <n v="192"/>
    <n v="522"/>
    <n v="70"/>
    <n v="4205"/>
  </r>
  <r>
    <x v="17"/>
    <x v="12"/>
    <s v="2017 Houston Astros"/>
    <n v="5536"/>
    <x v="53"/>
    <x v="61"/>
    <n v="24"/>
    <n v="193"/>
    <n v="390"/>
    <n v="45"/>
    <n v="3665"/>
    <n v="6218"/>
    <n v="970"/>
    <n v="274"/>
    <n v="40"/>
    <n v="196"/>
    <n v="519"/>
    <n v="52"/>
    <n v="4167"/>
  </r>
  <r>
    <x v="17"/>
    <x v="13"/>
    <s v="2017 Kansas City Royals"/>
    <n v="5408"/>
    <x v="224"/>
    <x v="86"/>
    <n v="20"/>
    <n v="221"/>
    <n v="649"/>
    <n v="64"/>
    <n v="3348"/>
    <n v="5925"/>
    <n v="793"/>
    <n v="229"/>
    <n v="20"/>
    <n v="184"/>
    <n v="442"/>
    <n v="40"/>
    <n v="4217"/>
  </r>
  <r>
    <x v="17"/>
    <x v="14"/>
    <s v="2017 Los Angeles Dodgers"/>
    <n v="5602"/>
    <x v="171"/>
    <x v="87"/>
    <n v="31"/>
    <n v="194"/>
    <n v="486"/>
    <n v="67"/>
    <n v="3552"/>
    <n v="6318"/>
    <n v="940"/>
    <n v="280"/>
    <n v="37"/>
    <n v="193"/>
    <n v="627"/>
    <n v="75"/>
    <n v="4166"/>
  </r>
  <r>
    <x v="17"/>
    <x v="15"/>
    <s v="2017 Milwaukee Brewers"/>
    <n v="5467"/>
    <x v="54"/>
    <x v="77"/>
    <n v="22"/>
    <n v="224"/>
    <n v="547"/>
    <n v="53"/>
    <n v="3504"/>
    <n v="6164"/>
    <n v="891"/>
    <n v="276"/>
    <n v="29"/>
    <n v="185"/>
    <n v="553"/>
    <n v="64"/>
    <n v="4166"/>
  </r>
  <r>
    <x v="17"/>
    <x v="16"/>
    <s v="2017 Minnesota Twins"/>
    <n v="5557"/>
    <x v="123"/>
    <x v="45"/>
    <n v="31"/>
    <n v="206"/>
    <n v="593"/>
    <n v="46"/>
    <n v="3474"/>
    <n v="6205"/>
    <n v="955"/>
    <n v="282"/>
    <n v="26"/>
    <n v="224"/>
    <n v="483"/>
    <n v="69"/>
    <n v="4166"/>
  </r>
  <r>
    <x v="17"/>
    <x v="18"/>
    <s v="2017 New York Mets"/>
    <n v="5510"/>
    <x v="156"/>
    <x v="45"/>
    <n v="28"/>
    <n v="224"/>
    <n v="529"/>
    <n v="57"/>
    <n v="3545"/>
    <n v="6378"/>
    <n v="1017"/>
    <n v="278"/>
    <n v="23"/>
    <n v="220"/>
    <n v="593"/>
    <n v="55"/>
    <n v="4192"/>
  </r>
  <r>
    <x v="17"/>
    <x v="19"/>
    <s v="2017 New York Yankees"/>
    <n v="5594"/>
    <x v="77"/>
    <x v="62"/>
    <n v="23"/>
    <n v="241"/>
    <n v="616"/>
    <n v="64"/>
    <n v="3451"/>
    <n v="6078"/>
    <n v="801"/>
    <n v="243"/>
    <n v="12"/>
    <n v="192"/>
    <n v="504"/>
    <n v="53"/>
    <n v="4273"/>
  </r>
  <r>
    <x v="17"/>
    <x v="20"/>
    <s v="2017 Oakland Athletics"/>
    <n v="5464"/>
    <x v="225"/>
    <x v="50"/>
    <n v="15"/>
    <n v="234"/>
    <n v="565"/>
    <n v="43"/>
    <n v="3512"/>
    <n v="6167"/>
    <n v="906"/>
    <n v="300"/>
    <n v="28"/>
    <n v="210"/>
    <n v="502"/>
    <n v="61"/>
    <n v="4160"/>
  </r>
  <r>
    <x v="17"/>
    <x v="21"/>
    <s v="2017 Philadelphia Phillies"/>
    <n v="5535"/>
    <x v="226"/>
    <x v="38"/>
    <n v="36"/>
    <n v="174"/>
    <n v="494"/>
    <n v="47"/>
    <n v="3612"/>
    <n v="6235"/>
    <n v="926"/>
    <n v="296"/>
    <n v="28"/>
    <n v="221"/>
    <n v="527"/>
    <n v="63"/>
    <n v="4174"/>
  </r>
  <r>
    <x v="17"/>
    <x v="22"/>
    <s v="2017 Pittsburgh Pirates"/>
    <n v="5458"/>
    <x v="201"/>
    <x v="93"/>
    <n v="36"/>
    <n v="151"/>
    <n v="519"/>
    <n v="88"/>
    <n v="3520"/>
    <n v="6208"/>
    <n v="931"/>
    <n v="320"/>
    <n v="31"/>
    <n v="182"/>
    <n v="511"/>
    <n v="58"/>
    <n v="4175"/>
  </r>
  <r>
    <x v="17"/>
    <x v="23"/>
    <s v="2017 San Diego Padres"/>
    <n v="5356"/>
    <x v="227"/>
    <x v="105"/>
    <n v="31"/>
    <n v="189"/>
    <n v="460"/>
    <n v="53"/>
    <n v="3592"/>
    <n v="6169"/>
    <n v="893"/>
    <n v="275"/>
    <n v="23"/>
    <n v="226"/>
    <n v="554"/>
    <n v="75"/>
    <n v="4123"/>
  </r>
  <r>
    <x v="17"/>
    <x v="24"/>
    <s v="2017 Seattle Mariners"/>
    <n v="5551"/>
    <x v="67"/>
    <x v="11"/>
    <n v="17"/>
    <n v="200"/>
    <n v="487"/>
    <n v="78"/>
    <n v="3550"/>
    <n v="6132"/>
    <n v="888"/>
    <n v="262"/>
    <n v="12"/>
    <n v="237"/>
    <n v="490"/>
    <n v="53"/>
    <n v="4190"/>
  </r>
  <r>
    <x v="17"/>
    <x v="25"/>
    <s v="2017 San Francisco Giants"/>
    <n v="5551"/>
    <x v="95"/>
    <x v="66"/>
    <n v="28"/>
    <n v="128"/>
    <n v="467"/>
    <n v="36"/>
    <n v="3666"/>
    <n v="6287"/>
    <n v="978"/>
    <n v="297"/>
    <n v="58"/>
    <n v="182"/>
    <n v="496"/>
    <n v="50"/>
    <n v="4226"/>
  </r>
  <r>
    <x v="17"/>
    <x v="26"/>
    <s v="2017 St. Louis Cardinals"/>
    <n v="5470"/>
    <x v="214"/>
    <x v="23"/>
    <n v="28"/>
    <n v="196"/>
    <n v="593"/>
    <n v="65"/>
    <n v="3410"/>
    <n v="6153"/>
    <n v="917"/>
    <n v="262"/>
    <n v="31"/>
    <n v="183"/>
    <n v="493"/>
    <n v="67"/>
    <n v="4200"/>
  </r>
  <r>
    <x v="17"/>
    <x v="27"/>
    <s v="2017 Tampa Bay Devil Rays"/>
    <n v="5478"/>
    <x v="228"/>
    <x v="75"/>
    <n v="32"/>
    <n v="228"/>
    <n v="545"/>
    <n v="55"/>
    <n v="3538"/>
    <n v="6099"/>
    <n v="844"/>
    <n v="270"/>
    <n v="17"/>
    <n v="193"/>
    <n v="503"/>
    <n v="48"/>
    <n v="4224"/>
  </r>
  <r>
    <x v="17"/>
    <x v="28"/>
    <s v="2017 Texas Rangers"/>
    <n v="5430"/>
    <x v="229"/>
    <x v="43"/>
    <n v="21"/>
    <n v="237"/>
    <n v="544"/>
    <n v="81"/>
    <n v="3479"/>
    <n v="6211"/>
    <n v="929"/>
    <n v="287"/>
    <n v="13"/>
    <n v="214"/>
    <n v="559"/>
    <n v="74"/>
    <n v="4135"/>
  </r>
  <r>
    <x v="17"/>
    <x v="29"/>
    <s v="2017 Toronto Blue Jays"/>
    <n v="5499"/>
    <x v="230"/>
    <x v="46"/>
    <n v="5"/>
    <n v="222"/>
    <n v="542"/>
    <n v="51"/>
    <n v="3586"/>
    <n v="6316"/>
    <n v="921"/>
    <n v="310"/>
    <n v="26"/>
    <n v="203"/>
    <n v="549"/>
    <n v="48"/>
    <n v="4259"/>
  </r>
  <r>
    <x v="17"/>
    <x v="30"/>
    <s v="2017 Washington Nationals"/>
    <n v="5553"/>
    <x v="34"/>
    <x v="36"/>
    <n v="31"/>
    <n v="215"/>
    <n v="542"/>
    <n v="31"/>
    <n v="3503"/>
    <n v="6068"/>
    <n v="845"/>
    <n v="243"/>
    <n v="23"/>
    <n v="189"/>
    <n v="495"/>
    <n v="60"/>
    <n v="4213"/>
  </r>
  <r>
    <x v="18"/>
    <x v="0"/>
    <s v="2018 Anaheim Angels"/>
    <n v="5472"/>
    <x v="218"/>
    <x v="93"/>
    <n v="23"/>
    <n v="214"/>
    <n v="514"/>
    <n v="73"/>
    <n v="3562"/>
    <n v="6108"/>
    <n v="873"/>
    <n v="256"/>
    <n v="19"/>
    <n v="205"/>
    <n v="546"/>
    <n v="65"/>
    <n v="4144"/>
  </r>
  <r>
    <x v="18"/>
    <x v="1"/>
    <s v="2018 Arizona Diamondbacks"/>
    <n v="5460"/>
    <x v="231"/>
    <x v="18"/>
    <n v="50"/>
    <n v="176"/>
    <n v="560"/>
    <n v="52"/>
    <n v="3565"/>
    <n v="6139"/>
    <n v="861"/>
    <n v="259"/>
    <n v="19"/>
    <n v="174"/>
    <n v="522"/>
    <n v="57"/>
    <n v="4247"/>
  </r>
  <r>
    <x v="18"/>
    <x v="2"/>
    <s v="2018 Atlanta Braves"/>
    <n v="5582"/>
    <x v="33"/>
    <x v="48"/>
    <n v="29"/>
    <n v="175"/>
    <n v="511"/>
    <n v="66"/>
    <n v="3572"/>
    <n v="6155"/>
    <n v="809"/>
    <n v="248"/>
    <n v="26"/>
    <n v="153"/>
    <n v="635"/>
    <n v="52"/>
    <n v="4232"/>
  </r>
  <r>
    <x v="18"/>
    <x v="3"/>
    <s v="2018 Baltimore Orioles"/>
    <n v="5507"/>
    <x v="212"/>
    <x v="122"/>
    <n v="15"/>
    <n v="188"/>
    <n v="422"/>
    <n v="57"/>
    <n v="3711"/>
    <n v="6340"/>
    <n v="959"/>
    <n v="325"/>
    <n v="34"/>
    <n v="234"/>
    <n v="589"/>
    <n v="67"/>
    <n v="4132"/>
  </r>
  <r>
    <x v="18"/>
    <x v="4"/>
    <s v="2018 Boston Red Sox"/>
    <n v="5623"/>
    <x v="33"/>
    <x v="123"/>
    <n v="31"/>
    <n v="208"/>
    <n v="569"/>
    <n v="55"/>
    <n v="3490"/>
    <n v="6166"/>
    <n v="848"/>
    <n v="246"/>
    <n v="35"/>
    <n v="176"/>
    <n v="512"/>
    <n v="84"/>
    <n v="4265"/>
  </r>
  <r>
    <x v="18"/>
    <x v="5"/>
    <s v="2018 Chicago Cubs"/>
    <n v="5624"/>
    <x v="81"/>
    <x v="45"/>
    <n v="34"/>
    <n v="167"/>
    <n v="576"/>
    <n v="78"/>
    <n v="3517"/>
    <n v="6264"/>
    <n v="913"/>
    <n v="221"/>
    <n v="28"/>
    <n v="157"/>
    <n v="622"/>
    <n v="66"/>
    <n v="4257"/>
  </r>
  <r>
    <x v="18"/>
    <x v="6"/>
    <s v="2018 Chicago White Sox"/>
    <n v="5523"/>
    <x v="175"/>
    <x v="18"/>
    <n v="40"/>
    <n v="182"/>
    <n v="425"/>
    <n v="66"/>
    <n v="3700"/>
    <n v="6339"/>
    <n v="893"/>
    <n v="292"/>
    <n v="24"/>
    <n v="196"/>
    <n v="653"/>
    <n v="89"/>
    <n v="4192"/>
  </r>
  <r>
    <x v="18"/>
    <x v="7"/>
    <s v="2018 Cincinnati Reds"/>
    <n v="5532"/>
    <x v="223"/>
    <x v="117"/>
    <n v="25"/>
    <n v="172"/>
    <n v="559"/>
    <n v="65"/>
    <n v="3504"/>
    <n v="6279"/>
    <n v="945"/>
    <n v="291"/>
    <n v="27"/>
    <n v="228"/>
    <n v="532"/>
    <n v="50"/>
    <n v="4206"/>
  </r>
  <r>
    <x v="18"/>
    <x v="8"/>
    <s v="2018 Cleveland Indians"/>
    <n v="5595"/>
    <x v="33"/>
    <x v="13"/>
    <n v="19"/>
    <n v="216"/>
    <n v="554"/>
    <n v="80"/>
    <n v="3514"/>
    <n v="6071"/>
    <n v="815"/>
    <n v="311"/>
    <n v="23"/>
    <n v="200"/>
    <n v="407"/>
    <n v="59"/>
    <n v="4256"/>
  </r>
  <r>
    <x v="18"/>
    <x v="9"/>
    <s v="2018 Colorado Rockies"/>
    <n v="5541"/>
    <x v="169"/>
    <x v="41"/>
    <n v="42"/>
    <n v="210"/>
    <n v="507"/>
    <n v="51"/>
    <n v="3565"/>
    <n v="6154"/>
    <n v="878"/>
    <n v="268"/>
    <n v="48"/>
    <n v="184"/>
    <n v="525"/>
    <n v="52"/>
    <n v="4199"/>
  </r>
  <r>
    <x v="18"/>
    <x v="10"/>
    <s v="2018 Detroit Tigers"/>
    <n v="5494"/>
    <x v="212"/>
    <x v="23"/>
    <n v="35"/>
    <n v="135"/>
    <n v="428"/>
    <n v="52"/>
    <n v="3688"/>
    <n v="6130"/>
    <n v="895"/>
    <n v="278"/>
    <n v="34"/>
    <n v="216"/>
    <n v="491"/>
    <n v="60"/>
    <n v="4156"/>
  </r>
  <r>
    <x v="18"/>
    <x v="11"/>
    <s v="2018 Florida Marlins"/>
    <n v="5453"/>
    <x v="174"/>
    <x v="78"/>
    <n v="18"/>
    <n v="205"/>
    <n v="565"/>
    <n v="61"/>
    <n v="3437"/>
    <n v="5913"/>
    <n v="734"/>
    <n v="257"/>
    <n v="21"/>
    <n v="152"/>
    <n v="435"/>
    <n v="66"/>
    <n v="4248"/>
  </r>
  <r>
    <x v="18"/>
    <x v="12"/>
    <s v="2018 Houston Astros"/>
    <n v="5505"/>
    <x v="165"/>
    <x v="40"/>
    <n v="29"/>
    <n v="155"/>
    <n v="427"/>
    <n v="67"/>
    <n v="3661"/>
    <n v="6284"/>
    <n v="1030"/>
    <n v="271"/>
    <n v="36"/>
    <n v="205"/>
    <n v="549"/>
    <n v="51"/>
    <n v="4142"/>
  </r>
  <r>
    <x v="18"/>
    <x v="13"/>
    <s v="2018 Kansas City Royals"/>
    <n v="5572"/>
    <x v="232"/>
    <x v="56"/>
    <n v="33"/>
    <n v="235"/>
    <n v="647"/>
    <n v="61"/>
    <n v="3470"/>
    <n v="6096"/>
    <n v="833"/>
    <n v="242"/>
    <n v="25"/>
    <n v="179"/>
    <n v="422"/>
    <n v="61"/>
    <n v="4334"/>
  </r>
  <r>
    <x v="18"/>
    <x v="14"/>
    <s v="2018 Los Angeles Dodgers"/>
    <n v="5488"/>
    <x v="134"/>
    <x v="124"/>
    <n v="24"/>
    <n v="128"/>
    <n v="455"/>
    <n v="73"/>
    <n v="3657"/>
    <n v="6236"/>
    <n v="864"/>
    <n v="309"/>
    <n v="23"/>
    <n v="192"/>
    <n v="605"/>
    <n v="71"/>
    <n v="4172"/>
  </r>
  <r>
    <x v="18"/>
    <x v="15"/>
    <s v="2018 Milwaukee Brewers"/>
    <n v="5542"/>
    <x v="14"/>
    <x v="103"/>
    <n v="24"/>
    <n v="218"/>
    <n v="537"/>
    <n v="58"/>
    <n v="3549"/>
    <n v="6114"/>
    <n v="807"/>
    <n v="239"/>
    <n v="40"/>
    <n v="173"/>
    <n v="553"/>
    <n v="61"/>
    <n v="4241"/>
  </r>
  <r>
    <x v="18"/>
    <x v="16"/>
    <s v="2018 Minnesota Twins"/>
    <n v="5526"/>
    <x v="179"/>
    <x v="63"/>
    <n v="22"/>
    <n v="166"/>
    <n v="534"/>
    <n v="37"/>
    <n v="3575"/>
    <n v="6287"/>
    <n v="921"/>
    <n v="280"/>
    <n v="26"/>
    <n v="198"/>
    <n v="573"/>
    <n v="80"/>
    <n v="4209"/>
  </r>
  <r>
    <x v="18"/>
    <x v="18"/>
    <s v="2018 New York Mets"/>
    <n v="5468"/>
    <x v="229"/>
    <x v="12"/>
    <n v="34"/>
    <n v="170"/>
    <n v="566"/>
    <n v="73"/>
    <n v="3547"/>
    <n v="6178"/>
    <n v="914"/>
    <n v="241"/>
    <n v="24"/>
    <n v="185"/>
    <n v="484"/>
    <n v="71"/>
    <n v="4259"/>
  </r>
  <r>
    <x v="18"/>
    <x v="19"/>
    <s v="2018 New York Yankees"/>
    <n v="5515"/>
    <x v="219"/>
    <x v="46"/>
    <n v="23"/>
    <n v="267"/>
    <n v="625"/>
    <n v="62"/>
    <n v="3454"/>
    <n v="6141"/>
    <n v="828"/>
    <n v="293"/>
    <n v="13"/>
    <n v="177"/>
    <n v="494"/>
    <n v="58"/>
    <n v="4278"/>
  </r>
  <r>
    <x v="18"/>
    <x v="20"/>
    <s v="2018 Oakland Athletics"/>
    <n v="5579"/>
    <x v="197"/>
    <x v="90"/>
    <n v="20"/>
    <n v="227"/>
    <n v="550"/>
    <n v="76"/>
    <n v="3546"/>
    <n v="6099"/>
    <n v="832"/>
    <n v="268"/>
    <n v="19"/>
    <n v="184"/>
    <n v="474"/>
    <n v="53"/>
    <n v="4269"/>
  </r>
  <r>
    <x v="18"/>
    <x v="21"/>
    <s v="2018 Philadelphia Phillies"/>
    <n v="5424"/>
    <x v="233"/>
    <x v="112"/>
    <n v="30"/>
    <n v="186"/>
    <n v="582"/>
    <n v="64"/>
    <n v="3507"/>
    <n v="6138"/>
    <n v="871"/>
    <n v="292"/>
    <n v="32"/>
    <n v="171"/>
    <n v="500"/>
    <n v="60"/>
    <n v="4212"/>
  </r>
  <r>
    <x v="18"/>
    <x v="22"/>
    <s v="2018 Pittsburgh Pirates"/>
    <n v="5447"/>
    <x v="97"/>
    <x v="66"/>
    <n v="38"/>
    <n v="157"/>
    <n v="474"/>
    <n v="59"/>
    <n v="3533"/>
    <n v="6144"/>
    <n v="893"/>
    <n v="287"/>
    <n v="26"/>
    <n v="174"/>
    <n v="497"/>
    <n v="69"/>
    <n v="4198"/>
  </r>
  <r>
    <x v="18"/>
    <x v="23"/>
    <s v="2018 San Diego Padres"/>
    <n v="5486"/>
    <x v="234"/>
    <x v="106"/>
    <n v="30"/>
    <n v="162"/>
    <n v="471"/>
    <n v="31"/>
    <n v="3695"/>
    <n v="6254"/>
    <n v="930"/>
    <n v="283"/>
    <n v="32"/>
    <n v="185"/>
    <n v="519"/>
    <n v="68"/>
    <n v="4237"/>
  </r>
  <r>
    <x v="18"/>
    <x v="24"/>
    <s v="2018 Seattle Mariners"/>
    <n v="5513"/>
    <x v="67"/>
    <x v="35"/>
    <n v="32"/>
    <n v="176"/>
    <n v="430"/>
    <n v="70"/>
    <n v="3611"/>
    <n v="6073"/>
    <n v="889"/>
    <n v="289"/>
    <n v="23"/>
    <n v="195"/>
    <n v="400"/>
    <n v="72"/>
    <n v="4205"/>
  </r>
  <r>
    <x v="18"/>
    <x v="25"/>
    <s v="2018 San Francisco Giants"/>
    <n v="5541"/>
    <x v="131"/>
    <x v="43"/>
    <n v="30"/>
    <n v="133"/>
    <n v="448"/>
    <n v="49"/>
    <n v="3720"/>
    <n v="6191"/>
    <n v="898"/>
    <n v="291"/>
    <n v="42"/>
    <n v="156"/>
    <n v="524"/>
    <n v="45"/>
    <n v="4235"/>
  </r>
  <r>
    <x v="18"/>
    <x v="26"/>
    <s v="2018 St. Louis Cardinals"/>
    <n v="5498"/>
    <x v="79"/>
    <x v="125"/>
    <n v="9"/>
    <n v="205"/>
    <n v="525"/>
    <n v="80"/>
    <n v="3524"/>
    <n v="6271"/>
    <n v="942"/>
    <n v="242"/>
    <n v="26"/>
    <n v="144"/>
    <n v="593"/>
    <n v="67"/>
    <n v="4257"/>
  </r>
  <r>
    <x v="18"/>
    <x v="27"/>
    <s v="2018 Tampa Bay Devil Rays"/>
    <n v="5475"/>
    <x v="5"/>
    <x v="2"/>
    <n v="43"/>
    <n v="150"/>
    <n v="540"/>
    <n v="101"/>
    <n v="3419"/>
    <n v="5992"/>
    <n v="790"/>
    <n v="262"/>
    <n v="20"/>
    <n v="164"/>
    <n v="501"/>
    <n v="53"/>
    <n v="4202"/>
  </r>
  <r>
    <x v="18"/>
    <x v="28"/>
    <s v="2018 Texas Rangers"/>
    <n v="5453"/>
    <x v="230"/>
    <x v="62"/>
    <n v="24"/>
    <n v="194"/>
    <n v="555"/>
    <n v="88"/>
    <n v="3502"/>
    <n v="6231"/>
    <n v="925"/>
    <n v="325"/>
    <n v="44"/>
    <n v="222"/>
    <n v="491"/>
    <n v="72"/>
    <n v="4152"/>
  </r>
  <r>
    <x v="18"/>
    <x v="29"/>
    <s v="2018 Toronto Blue Jays"/>
    <n v="5477"/>
    <x v="235"/>
    <x v="8"/>
    <n v="16"/>
    <n v="217"/>
    <n v="499"/>
    <n v="58"/>
    <n v="3584"/>
    <n v="6265"/>
    <n v="911"/>
    <n v="325"/>
    <n v="32"/>
    <n v="208"/>
    <n v="551"/>
    <n v="67"/>
    <n v="4171"/>
  </r>
  <r>
    <x v="18"/>
    <x v="30"/>
    <s v="2018 Washington Nationals"/>
    <n v="5517"/>
    <x v="39"/>
    <x v="23"/>
    <n v="25"/>
    <n v="191"/>
    <n v="631"/>
    <n v="59"/>
    <n v="3425"/>
    <n v="6087"/>
    <n v="823"/>
    <n v="273"/>
    <n v="26"/>
    <n v="198"/>
    <n v="487"/>
    <n v="76"/>
    <n v="42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95E36-A704-8C47-A8FC-EB07D8A4CB5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Team Name">
  <location ref="A3:F38" firstHeaderRow="0" firstDataRow="1" firstDataCol="1"/>
  <pivotFields count="36">
    <pivotField showAll="0"/>
    <pivotField axis="axisRow" showAll="0" sortType="descending">
      <items count="35"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x="12"/>
        <item x="13"/>
        <item x="30"/>
        <item x="14"/>
        <item x="33"/>
        <item x="15"/>
        <item x="16"/>
        <item x="17"/>
        <item x="19"/>
        <item x="18"/>
        <item x="20"/>
        <item x="21"/>
        <item x="22"/>
        <item x="23"/>
        <item x="25"/>
        <item x="24"/>
        <item x="26"/>
        <item x="27"/>
        <item x="32"/>
        <item x="28"/>
        <item x="29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5">
    <i>
      <x v="4"/>
    </i>
    <i>
      <x v="31"/>
    </i>
    <i>
      <x v="10"/>
    </i>
    <i>
      <x v="3"/>
    </i>
    <i>
      <x v="13"/>
    </i>
    <i>
      <x v="18"/>
    </i>
    <i>
      <x v="9"/>
    </i>
    <i>
      <x v="21"/>
    </i>
    <i>
      <x v="32"/>
    </i>
    <i>
      <x v="27"/>
    </i>
    <i>
      <x v="8"/>
    </i>
    <i>
      <x v="23"/>
    </i>
    <i>
      <x v="22"/>
    </i>
    <i>
      <x v="1"/>
    </i>
    <i>
      <x v="5"/>
    </i>
    <i>
      <x v="2"/>
    </i>
    <i>
      <x v="28"/>
    </i>
    <i>
      <x v="6"/>
    </i>
    <i>
      <x v="26"/>
    </i>
    <i>
      <x v="7"/>
    </i>
    <i>
      <x v="12"/>
    </i>
    <i>
      <x v="20"/>
    </i>
    <i>
      <x v="15"/>
    </i>
    <i>
      <x v="24"/>
    </i>
    <i>
      <x v="17"/>
    </i>
    <i>
      <x v="25"/>
    </i>
    <i>
      <x v="14"/>
    </i>
    <i>
      <x v="33"/>
    </i>
    <i>
      <x v="11"/>
    </i>
    <i>
      <x v="30"/>
    </i>
    <i>
      <x v="29"/>
    </i>
    <i>
      <x v="16"/>
    </i>
    <i>
      <x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AB" fld="11" baseField="0" baseItem="0"/>
    <dataField name="Sum of H" fld="12" baseField="0" baseItem="0"/>
    <dataField name="Sum of 2B" fld="13" baseField="0" baseItem="0"/>
    <dataField name="Sum of 3B" fld="14" baseField="0" baseItem="0"/>
    <dataField name="Sum of HR" fld="15" baseField="0" baseItem="0"/>
  </dataFields>
  <formats count="3">
    <format dxfId="10">
      <pivotArea collapsedLevelsAreSubtotals="1" fieldPosition="0">
        <references count="2">
          <reference field="4294967294" count="1" selected="0">
            <x v="0"/>
          </reference>
          <reference field="1" count="0"/>
        </references>
      </pivotArea>
    </format>
    <format dxfId="9">
      <pivotArea collapsedLevelsAreSubtotals="1" fieldPosition="0">
        <references count="2">
          <reference field="4294967294" count="2" selected="0">
            <x v="1"/>
            <x v="2"/>
          </reference>
          <reference field="1" count="0"/>
        </references>
      </pivotArea>
    </format>
    <format dxfId="8">
      <pivotArea collapsedLevelsAreSubtotals="1" fieldPosition="0">
        <references count="2">
          <reference field="4294967294" count="1" selected="0">
            <x v="4"/>
          </reference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73F6FD-5F59-4D6C-97B8-F3527CBA22E8}" name="PivotTable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Franchise">
  <location ref="A3:E35" firstHeaderRow="0" firstDataRow="1" firstDataCol="1"/>
  <pivotFields count="19">
    <pivotField axis="axisRow" subtotalTop="0" showAl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Row" subtotalTop="0" showAll="0">
      <items count="3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5"/>
        <item sd="0" x="24"/>
        <item sd="0" x="26"/>
        <item sd="0" x="27"/>
        <item sd="0" x="28"/>
        <item sd="0" x="29"/>
        <item sd="0" x="30"/>
        <item t="default"/>
      </items>
    </pivotField>
    <pivotField subtotalTop="0" showAll="0"/>
    <pivotField subtotalTop="0" showAll="0"/>
    <pivotField dataField="1" subtotalTop="0" showAll="0">
      <items count="237">
        <item x="182"/>
        <item x="235"/>
        <item x="225"/>
        <item x="224"/>
        <item x="220"/>
        <item x="231"/>
        <item x="227"/>
        <item x="229"/>
        <item x="233"/>
        <item x="219"/>
        <item x="198"/>
        <item x="195"/>
        <item x="230"/>
        <item x="210"/>
        <item x="232"/>
        <item x="152"/>
        <item x="222"/>
        <item x="209"/>
        <item x="218"/>
        <item x="197"/>
        <item x="156"/>
        <item x="188"/>
        <item x="221"/>
        <item x="234"/>
        <item x="217"/>
        <item x="54"/>
        <item x="175"/>
        <item x="135"/>
        <item x="228"/>
        <item x="183"/>
        <item x="206"/>
        <item x="154"/>
        <item x="213"/>
        <item x="56"/>
        <item x="192"/>
        <item x="196"/>
        <item x="40"/>
        <item x="15"/>
        <item x="170"/>
        <item x="211"/>
        <item x="96"/>
        <item x="212"/>
        <item x="179"/>
        <item x="69"/>
        <item x="58"/>
        <item x="143"/>
        <item x="173"/>
        <item x="187"/>
        <item x="215"/>
        <item x="85"/>
        <item x="42"/>
        <item x="165"/>
        <item x="146"/>
        <item x="226"/>
        <item x="169"/>
        <item x="207"/>
        <item x="174"/>
        <item x="194"/>
        <item x="47"/>
        <item x="112"/>
        <item x="202"/>
        <item x="214"/>
        <item x="201"/>
        <item x="97"/>
        <item x="68"/>
        <item x="21"/>
        <item x="57"/>
        <item x="159"/>
        <item x="151"/>
        <item x="39"/>
        <item x="78"/>
        <item x="14"/>
        <item x="128"/>
        <item x="131"/>
        <item x="79"/>
        <item x="103"/>
        <item x="104"/>
        <item x="190"/>
        <item x="184"/>
        <item x="80"/>
        <item x="45"/>
        <item x="33"/>
        <item x="172"/>
        <item x="205"/>
        <item x="48"/>
        <item x="34"/>
        <item x="123"/>
        <item x="208"/>
        <item x="43"/>
        <item x="105"/>
        <item x="140"/>
        <item x="110"/>
        <item x="72"/>
        <item x="117"/>
        <item x="134"/>
        <item x="86"/>
        <item x="124"/>
        <item x="63"/>
        <item x="77"/>
        <item x="64"/>
        <item x="114"/>
        <item x="95"/>
        <item x="31"/>
        <item x="67"/>
        <item x="191"/>
        <item x="23"/>
        <item x="83"/>
        <item x="163"/>
        <item x="46"/>
        <item x="160"/>
        <item x="18"/>
        <item x="102"/>
        <item x="5"/>
        <item x="37"/>
        <item x="32"/>
        <item x="61"/>
        <item x="17"/>
        <item x="71"/>
        <item x="185"/>
        <item x="116"/>
        <item x="223"/>
        <item x="24"/>
        <item x="20"/>
        <item x="53"/>
        <item x="168"/>
        <item x="1"/>
        <item x="25"/>
        <item x="177"/>
        <item x="50"/>
        <item x="74"/>
        <item x="81"/>
        <item x="29"/>
        <item x="122"/>
        <item x="28"/>
        <item x="84"/>
        <item x="30"/>
        <item x="148"/>
        <item x="12"/>
        <item x="107"/>
        <item x="60"/>
        <item x="44"/>
        <item x="26"/>
        <item x="11"/>
        <item x="99"/>
        <item x="132"/>
        <item x="52"/>
        <item x="216"/>
        <item x="41"/>
        <item x="70"/>
        <item x="150"/>
        <item x="22"/>
        <item x="4"/>
        <item x="65"/>
        <item x="166"/>
        <item x="66"/>
        <item x="3"/>
        <item x="94"/>
        <item x="62"/>
        <item x="0"/>
        <item x="111"/>
        <item x="118"/>
        <item x="141"/>
        <item x="91"/>
        <item x="171"/>
        <item x="55"/>
        <item x="180"/>
        <item x="176"/>
        <item x="98"/>
        <item x="113"/>
        <item x="7"/>
        <item x="133"/>
        <item x="87"/>
        <item x="90"/>
        <item x="2"/>
        <item x="108"/>
        <item x="73"/>
        <item x="35"/>
        <item x="19"/>
        <item x="76"/>
        <item x="125"/>
        <item x="106"/>
        <item x="75"/>
        <item x="167"/>
        <item x="158"/>
        <item x="203"/>
        <item x="88"/>
        <item x="16"/>
        <item x="204"/>
        <item x="10"/>
        <item x="193"/>
        <item x="136"/>
        <item x="59"/>
        <item x="109"/>
        <item x="126"/>
        <item x="153"/>
        <item x="189"/>
        <item x="38"/>
        <item x="121"/>
        <item x="186"/>
        <item x="6"/>
        <item x="119"/>
        <item x="200"/>
        <item x="144"/>
        <item x="100"/>
        <item x="89"/>
        <item x="115"/>
        <item x="82"/>
        <item x="129"/>
        <item x="137"/>
        <item x="155"/>
        <item x="130"/>
        <item x="27"/>
        <item x="36"/>
        <item x="161"/>
        <item x="138"/>
        <item x="139"/>
        <item x="8"/>
        <item x="149"/>
        <item x="120"/>
        <item x="51"/>
        <item x="145"/>
        <item x="181"/>
        <item x="162"/>
        <item x="178"/>
        <item x="142"/>
        <item x="164"/>
        <item x="93"/>
        <item x="101"/>
        <item x="157"/>
        <item x="49"/>
        <item x="9"/>
        <item x="92"/>
        <item x="199"/>
        <item x="127"/>
        <item x="147"/>
        <item x="13"/>
        <item t="default"/>
      </items>
    </pivotField>
    <pivotField dataField="1" subtotalTop="0" showAll="0">
      <items count="127">
        <item x="57"/>
        <item x="115"/>
        <item x="124"/>
        <item x="118"/>
        <item x="75"/>
        <item x="105"/>
        <item x="111"/>
        <item x="120"/>
        <item x="104"/>
        <item x="108"/>
        <item x="47"/>
        <item x="55"/>
        <item x="116"/>
        <item x="112"/>
        <item x="122"/>
        <item x="49"/>
        <item x="107"/>
        <item x="101"/>
        <item x="100"/>
        <item x="110"/>
        <item x="125"/>
        <item x="93"/>
        <item x="106"/>
        <item x="117"/>
        <item x="103"/>
        <item x="19"/>
        <item x="114"/>
        <item x="43"/>
        <item x="35"/>
        <item x="65"/>
        <item x="109"/>
        <item x="18"/>
        <item x="61"/>
        <item x="74"/>
        <item x="25"/>
        <item x="24"/>
        <item x="31"/>
        <item x="12"/>
        <item x="62"/>
        <item x="77"/>
        <item x="26"/>
        <item x="46"/>
        <item x="98"/>
        <item x="87"/>
        <item x="5"/>
        <item x="32"/>
        <item x="2"/>
        <item x="22"/>
        <item x="51"/>
        <item x="30"/>
        <item x="78"/>
        <item x="16"/>
        <item x="41"/>
        <item x="11"/>
        <item x="1"/>
        <item x="40"/>
        <item x="23"/>
        <item x="44"/>
        <item x="45"/>
        <item x="38"/>
        <item x="60"/>
        <item x="10"/>
        <item x="66"/>
        <item x="28"/>
        <item x="58"/>
        <item x="94"/>
        <item x="14"/>
        <item x="34"/>
        <item x="56"/>
        <item x="13"/>
        <item x="68"/>
        <item x="85"/>
        <item x="17"/>
        <item x="89"/>
        <item x="7"/>
        <item x="52"/>
        <item x="15"/>
        <item x="50"/>
        <item x="83"/>
        <item x="9"/>
        <item x="59"/>
        <item x="0"/>
        <item x="3"/>
        <item x="36"/>
        <item x="86"/>
        <item x="29"/>
        <item x="48"/>
        <item x="4"/>
        <item x="64"/>
        <item x="63"/>
        <item x="70"/>
        <item x="8"/>
        <item x="53"/>
        <item x="90"/>
        <item x="79"/>
        <item x="27"/>
        <item x="6"/>
        <item x="37"/>
        <item x="84"/>
        <item x="21"/>
        <item x="97"/>
        <item x="20"/>
        <item x="73"/>
        <item x="39"/>
        <item x="33"/>
        <item x="81"/>
        <item x="76"/>
        <item x="82"/>
        <item x="80"/>
        <item x="92"/>
        <item x="67"/>
        <item x="119"/>
        <item x="95"/>
        <item x="72"/>
        <item x="121"/>
        <item x="42"/>
        <item x="88"/>
        <item x="91"/>
        <item x="96"/>
        <item x="123"/>
        <item x="69"/>
        <item x="102"/>
        <item x="113"/>
        <item x="54"/>
        <item x="71"/>
        <item x="99"/>
        <item t="default"/>
      </items>
    </pivotField>
    <pivotField dataField="1" subtotalTop="0" showAll="0"/>
    <pivotField dataField="1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1"/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1B" fld="4" baseField="0" baseItem="0"/>
    <dataField name="Sum of 2B" fld="5" baseField="0" baseItem="0"/>
    <dataField name="Sum of 3B" fld="6" baseField="0" baseItem="0"/>
    <dataField name="Sum of HR" fld="7" baseField="0" baseItem="0"/>
  </dataFields>
  <formats count="8"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grandRow="1" outline="0" collapsedLevelsAreSubtotals="1" fieldPosition="0"/>
    </format>
    <format dxfId="4">
      <pivotArea dataOnly="0" labelOnly="1" grandRow="1" outline="0" fieldPosition="0"/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Dark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FinalProject" connectionId="1" xr16:uid="{B3732316-50EB-DE4F-B3E2-92981A28B0C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1D5EF-4CE0-ED4A-8CB6-0A4B06A73B2F}">
  <sheetPr codeName="Sheet1"/>
  <dimension ref="A1:BG571"/>
  <sheetViews>
    <sheetView zoomScale="59" workbookViewId="0">
      <pane xSplit="3" ySplit="1" topLeftCell="AL2" activePane="bottomRight" state="frozen"/>
      <selection pane="topRight" activeCell="D1" sqref="D1"/>
      <selection pane="bottomLeft" activeCell="A2" sqref="A2"/>
      <selection pane="bottomRight" activeCell="BD46" sqref="BD46"/>
    </sheetView>
  </sheetViews>
  <sheetFormatPr defaultColWidth="11" defaultRowHeight="15.75" x14ac:dyDescent="0.5"/>
  <cols>
    <col min="1" max="1" width="2.125" customWidth="1"/>
    <col min="2" max="2" width="15" customWidth="1"/>
    <col min="3" max="3" width="27.375" bestFit="1" customWidth="1"/>
    <col min="4" max="5" width="8.375" bestFit="1" customWidth="1"/>
    <col min="6" max="9" width="8.5" bestFit="1" customWidth="1"/>
    <col min="10" max="11" width="4.25" bestFit="1" customWidth="1"/>
    <col min="12" max="12" width="5.25" bestFit="1" customWidth="1"/>
    <col min="13" max="14" width="5.25" style="20" bestFit="1" customWidth="1"/>
    <col min="15" max="15" width="5.25" style="20" customWidth="1"/>
    <col min="16" max="17" width="4.25" style="20" bestFit="1" customWidth="1"/>
    <col min="18" max="18" width="4.25" style="20" customWidth="1"/>
    <col min="19" max="20" width="5.25" style="20" customWidth="1"/>
    <col min="21" max="21" width="5.375" style="20" bestFit="1" customWidth="1"/>
    <col min="22" max="22" width="5.25" customWidth="1"/>
    <col min="23" max="23" width="4.25" customWidth="1"/>
    <col min="24" max="24" width="4.5" customWidth="1"/>
    <col min="25" max="26" width="4.25" bestFit="1" customWidth="1"/>
    <col min="27" max="28" width="5.25" bestFit="1" customWidth="1"/>
    <col min="29" max="29" width="4.75" bestFit="1" customWidth="1"/>
    <col min="30" max="30" width="5.375" bestFit="1" customWidth="1"/>
    <col min="31" max="31" width="6.25" bestFit="1" customWidth="1"/>
    <col min="32" max="39" width="6.25" customWidth="1"/>
    <col min="40" max="40" width="6.625" bestFit="1" customWidth="1"/>
    <col min="41" max="41" width="7.5" bestFit="1" customWidth="1"/>
    <col min="42" max="42" width="5.25" bestFit="1" customWidth="1"/>
    <col min="43" max="43" width="5.375" bestFit="1" customWidth="1"/>
    <col min="44" max="45" width="5.25" bestFit="1" customWidth="1"/>
    <col min="46" max="46" width="4.25" bestFit="1" customWidth="1"/>
    <col min="47" max="47" width="6.25" bestFit="1" customWidth="1"/>
    <col min="50" max="50" width="5.75" customWidth="1"/>
    <col min="51" max="51" width="6.75" bestFit="1" customWidth="1"/>
    <col min="52" max="52" width="6.75" customWidth="1"/>
    <col min="53" max="53" width="15.25" bestFit="1" customWidth="1"/>
    <col min="54" max="54" width="15.25" customWidth="1"/>
    <col min="56" max="56" width="27.375" bestFit="1" customWidth="1"/>
  </cols>
  <sheetData>
    <row r="1" spans="1:59" s="26" customFormat="1" ht="18.399999999999999" thickBot="1" x14ac:dyDescent="0.6">
      <c r="A1" s="21"/>
      <c r="B1" s="22" t="s">
        <v>0</v>
      </c>
      <c r="C1" s="23" t="s">
        <v>1</v>
      </c>
      <c r="D1" s="23" t="s">
        <v>2</v>
      </c>
      <c r="E1" s="23" t="s">
        <v>3</v>
      </c>
      <c r="F1" s="23" t="s">
        <v>4</v>
      </c>
      <c r="G1" s="23" t="s">
        <v>5</v>
      </c>
      <c r="H1" s="23" t="s">
        <v>6</v>
      </c>
      <c r="I1" s="23" t="s">
        <v>7</v>
      </c>
      <c r="J1" s="23" t="s">
        <v>8</v>
      </c>
      <c r="K1" s="23" t="s">
        <v>9</v>
      </c>
      <c r="L1" s="23" t="s">
        <v>10</v>
      </c>
      <c r="M1" s="24" t="s">
        <v>11</v>
      </c>
      <c r="N1" s="24" t="s">
        <v>12</v>
      </c>
      <c r="O1" s="24" t="s">
        <v>122</v>
      </c>
      <c r="P1" s="24" t="s">
        <v>13</v>
      </c>
      <c r="Q1" s="24" t="s">
        <v>14</v>
      </c>
      <c r="R1" s="24" t="s">
        <v>15</v>
      </c>
      <c r="S1" s="24" t="s">
        <v>16</v>
      </c>
      <c r="T1" s="24" t="s">
        <v>20</v>
      </c>
      <c r="U1" s="24" t="s">
        <v>131</v>
      </c>
      <c r="V1" s="23" t="s">
        <v>17</v>
      </c>
      <c r="W1" s="23" t="s">
        <v>18</v>
      </c>
      <c r="X1" s="23" t="s">
        <v>19</v>
      </c>
      <c r="Y1" s="23" t="s">
        <v>21</v>
      </c>
      <c r="Z1" s="23" t="s">
        <v>22</v>
      </c>
      <c r="AA1" s="23" t="s">
        <v>23</v>
      </c>
      <c r="AB1" s="23" t="s">
        <v>24</v>
      </c>
      <c r="AC1" s="23" t="s">
        <v>25</v>
      </c>
      <c r="AD1" s="23" t="s">
        <v>26</v>
      </c>
      <c r="AE1" s="23" t="s">
        <v>27</v>
      </c>
      <c r="AF1" s="25" t="s">
        <v>123</v>
      </c>
      <c r="AG1" s="25" t="s">
        <v>128</v>
      </c>
      <c r="AH1" s="25" t="s">
        <v>127</v>
      </c>
      <c r="AI1" s="25" t="s">
        <v>124</v>
      </c>
      <c r="AJ1" s="25" t="s">
        <v>125</v>
      </c>
      <c r="AK1" s="25" t="s">
        <v>126</v>
      </c>
      <c r="AL1" s="25" t="s">
        <v>129</v>
      </c>
      <c r="AM1" s="25" t="s">
        <v>130</v>
      </c>
      <c r="AN1" s="25" t="s">
        <v>132</v>
      </c>
      <c r="AO1" s="23" t="s">
        <v>28</v>
      </c>
      <c r="AP1" s="23" t="s">
        <v>29</v>
      </c>
      <c r="AQ1" s="23" t="s">
        <v>30</v>
      </c>
      <c r="AR1" s="23" t="s">
        <v>31</v>
      </c>
      <c r="AS1" s="23" t="s">
        <v>32</v>
      </c>
      <c r="AT1" s="23" t="s">
        <v>33</v>
      </c>
      <c r="AU1" s="23" t="s">
        <v>34</v>
      </c>
      <c r="AV1" s="23" t="s">
        <v>35</v>
      </c>
      <c r="AW1" s="153" t="s">
        <v>133</v>
      </c>
      <c r="AX1" s="153"/>
      <c r="AY1" s="153"/>
      <c r="AZ1" s="153"/>
      <c r="BA1" s="153"/>
      <c r="BB1" s="28"/>
      <c r="BD1" s="23" t="s">
        <v>108</v>
      </c>
      <c r="BE1" s="23" t="s">
        <v>106</v>
      </c>
    </row>
    <row r="2" spans="1:59" x14ac:dyDescent="0.5">
      <c r="A2">
        <f>COUNT(B2:B31)</f>
        <v>30</v>
      </c>
      <c r="B2" s="4">
        <v>2000</v>
      </c>
      <c r="C2" t="s">
        <v>36</v>
      </c>
      <c r="D2" t="s">
        <v>37</v>
      </c>
      <c r="E2">
        <v>3</v>
      </c>
      <c r="F2" t="s">
        <v>38</v>
      </c>
      <c r="G2" t="s">
        <v>38</v>
      </c>
      <c r="H2" t="s">
        <v>38</v>
      </c>
      <c r="I2" t="s">
        <v>38</v>
      </c>
      <c r="J2">
        <v>82</v>
      </c>
      <c r="K2">
        <v>80</v>
      </c>
      <c r="L2">
        <v>864</v>
      </c>
      <c r="M2" s="20">
        <v>5628</v>
      </c>
      <c r="N2" s="20">
        <v>1574</v>
      </c>
      <c r="O2" s="20">
        <f>N2-(P2+Q2+R2)</f>
        <v>995</v>
      </c>
      <c r="P2" s="20">
        <v>309</v>
      </c>
      <c r="Q2" s="20">
        <v>34</v>
      </c>
      <c r="R2" s="20">
        <v>236</v>
      </c>
      <c r="S2" s="20">
        <v>608</v>
      </c>
      <c r="T2" s="20">
        <v>47</v>
      </c>
      <c r="U2" s="20">
        <f>M2-(N2+S2+T2)</f>
        <v>3399</v>
      </c>
      <c r="V2">
        <v>1024</v>
      </c>
      <c r="W2">
        <v>93</v>
      </c>
      <c r="X2">
        <v>52</v>
      </c>
      <c r="Y2">
        <v>43</v>
      </c>
      <c r="Z2">
        <v>869</v>
      </c>
      <c r="AA2">
        <v>805</v>
      </c>
      <c r="AB2">
        <v>5</v>
      </c>
      <c r="AC2">
        <v>5</v>
      </c>
      <c r="AD2">
        <v>3</v>
      </c>
      <c r="AE2">
        <v>46</v>
      </c>
      <c r="AF2" s="27">
        <v>6401</v>
      </c>
      <c r="AG2" s="27">
        <f ca="1">RANDBETWEEN(1300,1700)</f>
        <v>1556</v>
      </c>
      <c r="AH2" s="27">
        <f ca="1">AG2-(AI2+AJ2+AK2)</f>
        <v>955</v>
      </c>
      <c r="AI2" s="27">
        <f ca="1">RANDBETWEEN(219,400)</f>
        <v>351</v>
      </c>
      <c r="AJ2" s="27">
        <f ca="1">RANDBETWEEN(20,50)</f>
        <v>35</v>
      </c>
      <c r="AK2" s="27">
        <f ca="1">RANDBETWEEN(130,240)</f>
        <v>215</v>
      </c>
      <c r="AL2" s="27">
        <f ca="1">RANDBETWEEN(400,700)</f>
        <v>426</v>
      </c>
      <c r="AM2" s="27">
        <f ca="1">RANDBETWEEN(30,90)</f>
        <v>71</v>
      </c>
      <c r="AN2" s="27">
        <f ca="1">AF2-(AG2+AL2+AM2)</f>
        <v>4348</v>
      </c>
      <c r="AO2">
        <v>4344</v>
      </c>
      <c r="AP2">
        <v>1534</v>
      </c>
      <c r="AQ2">
        <v>228</v>
      </c>
      <c r="AR2">
        <v>662</v>
      </c>
      <c r="AS2">
        <v>846</v>
      </c>
      <c r="AT2">
        <v>134</v>
      </c>
      <c r="AU2">
        <v>182</v>
      </c>
      <c r="AV2">
        <v>0.97799999999999998</v>
      </c>
      <c r="AW2" s="29">
        <v>2000</v>
      </c>
      <c r="AX2" s="29" t="s">
        <v>134</v>
      </c>
      <c r="AY2" s="29">
        <f>SUM(O$2:O$31)</f>
        <v>29700</v>
      </c>
      <c r="AZ2" s="31">
        <f>SUMIF($B$2:$B$571,$B2,$M$2:$M$571)</f>
        <v>167290</v>
      </c>
      <c r="BA2" s="31">
        <f>SUMIF($B$2:$B$571,$B2,$O$2:$O$571)</f>
        <v>29700</v>
      </c>
      <c r="BB2" s="30">
        <f>BA2/AZ2</f>
        <v>0.17753601530276764</v>
      </c>
      <c r="BC2">
        <v>1</v>
      </c>
      <c r="BD2" s="1" t="s">
        <v>36</v>
      </c>
      <c r="BE2">
        <v>2000</v>
      </c>
      <c r="BG2" s="1" t="s">
        <v>36</v>
      </c>
    </row>
    <row r="3" spans="1:59" x14ac:dyDescent="0.5">
      <c r="B3" s="4">
        <v>2000</v>
      </c>
      <c r="C3" t="s">
        <v>39</v>
      </c>
      <c r="D3" t="s">
        <v>40</v>
      </c>
      <c r="E3">
        <v>3</v>
      </c>
      <c r="F3" t="s">
        <v>38</v>
      </c>
      <c r="G3" t="s">
        <v>38</v>
      </c>
      <c r="H3" t="s">
        <v>38</v>
      </c>
      <c r="I3" t="s">
        <v>38</v>
      </c>
      <c r="J3">
        <v>85</v>
      </c>
      <c r="K3">
        <v>77</v>
      </c>
      <c r="L3">
        <v>792</v>
      </c>
      <c r="M3" s="20">
        <v>5527</v>
      </c>
      <c r="N3" s="20">
        <v>1466</v>
      </c>
      <c r="O3" s="20">
        <f t="shared" ref="O3:O66" si="0">N3-(P3+Q3+R3)</f>
        <v>961</v>
      </c>
      <c r="P3" s="20">
        <v>282</v>
      </c>
      <c r="Q3" s="20">
        <v>44</v>
      </c>
      <c r="R3" s="20">
        <v>179</v>
      </c>
      <c r="S3" s="20">
        <v>535</v>
      </c>
      <c r="T3" s="20">
        <v>59</v>
      </c>
      <c r="U3" s="20">
        <f t="shared" ref="U3:U66" si="1">M3-(N3+S3+T3)</f>
        <v>3467</v>
      </c>
      <c r="V3">
        <v>975</v>
      </c>
      <c r="W3">
        <v>97</v>
      </c>
      <c r="X3">
        <v>44</v>
      </c>
      <c r="Y3">
        <v>58</v>
      </c>
      <c r="Z3">
        <v>754</v>
      </c>
      <c r="AA3">
        <v>698</v>
      </c>
      <c r="AB3">
        <v>4.3499999999999996</v>
      </c>
      <c r="AC3">
        <v>16</v>
      </c>
      <c r="AD3">
        <v>8</v>
      </c>
      <c r="AE3">
        <v>38</v>
      </c>
      <c r="AF3" s="27">
        <v>6158</v>
      </c>
      <c r="AG3" s="27">
        <f t="shared" ref="AG3:AG66" ca="1" si="2">RANDBETWEEN(1300,1700)</f>
        <v>1311</v>
      </c>
      <c r="AH3" s="27">
        <f t="shared" ref="AH3:AH66" ca="1" si="3">AG3-(AI3+AJ3+AK3)</f>
        <v>889</v>
      </c>
      <c r="AI3" s="27">
        <f t="shared" ref="AI3:AI66" ca="1" si="4">RANDBETWEEN(219,400)</f>
        <v>224</v>
      </c>
      <c r="AJ3" s="27">
        <f t="shared" ref="AJ3:AJ66" ca="1" si="5">RANDBETWEEN(20,50)</f>
        <v>43</v>
      </c>
      <c r="AK3" s="27">
        <f t="shared" ref="AK3:AK66" ca="1" si="6">RANDBETWEEN(130,240)</f>
        <v>155</v>
      </c>
      <c r="AL3" s="27">
        <f t="shared" ref="AL3:AL66" ca="1" si="7">RANDBETWEEN(400,700)</f>
        <v>627</v>
      </c>
      <c r="AM3" s="27">
        <f t="shared" ref="AM3:AM66" ca="1" si="8">RANDBETWEEN(30,90)</f>
        <v>89</v>
      </c>
      <c r="AN3" s="27">
        <f t="shared" ref="AN3:AN66" ca="1" si="9">AF3-(AG3+AL3+AM3)</f>
        <v>4131</v>
      </c>
      <c r="AO3">
        <v>4331</v>
      </c>
      <c r="AP3">
        <v>1441</v>
      </c>
      <c r="AQ3">
        <v>190</v>
      </c>
      <c r="AR3">
        <v>500</v>
      </c>
      <c r="AS3">
        <v>1220</v>
      </c>
      <c r="AT3">
        <v>107</v>
      </c>
      <c r="AU3">
        <v>138</v>
      </c>
      <c r="AV3">
        <v>0.98199999999999998</v>
      </c>
      <c r="AW3" s="29"/>
      <c r="AX3" s="29" t="s">
        <v>135</v>
      </c>
      <c r="AY3" s="29">
        <f t="shared" ref="AY3:AY66" si="10">SUM(O$2:O$31)</f>
        <v>29700</v>
      </c>
      <c r="AZ3" s="31">
        <f t="shared" ref="AZ3:AZ66" si="11">SUMIF($B$2:$B$571,$B3,$M$2:$M$571)</f>
        <v>167290</v>
      </c>
      <c r="BA3" s="31">
        <f>SUMIF($B$2:$B$571,$B3,$P$2:$P$571)</f>
        <v>8901</v>
      </c>
      <c r="BB3" s="30">
        <f t="shared" ref="BB3:BB66" si="12">BA3/AZ3</f>
        <v>5.3207005798314305E-2</v>
      </c>
      <c r="BC3">
        <v>2</v>
      </c>
      <c r="BD3" t="s">
        <v>39</v>
      </c>
      <c r="BE3">
        <v>2001</v>
      </c>
      <c r="BG3" t="s">
        <v>39</v>
      </c>
    </row>
    <row r="4" spans="1:59" x14ac:dyDescent="0.5">
      <c r="B4" s="4">
        <v>2000</v>
      </c>
      <c r="C4" t="s">
        <v>41</v>
      </c>
      <c r="D4" t="s">
        <v>42</v>
      </c>
      <c r="E4">
        <v>1</v>
      </c>
      <c r="F4" t="s">
        <v>43</v>
      </c>
      <c r="G4" t="s">
        <v>38</v>
      </c>
      <c r="H4" t="s">
        <v>38</v>
      </c>
      <c r="I4" t="s">
        <v>38</v>
      </c>
      <c r="J4">
        <v>95</v>
      </c>
      <c r="K4">
        <v>67</v>
      </c>
      <c r="L4">
        <v>810</v>
      </c>
      <c r="M4" s="20">
        <v>5489</v>
      </c>
      <c r="N4" s="20">
        <v>1490</v>
      </c>
      <c r="O4" s="20">
        <f t="shared" si="0"/>
        <v>1011</v>
      </c>
      <c r="P4" s="20">
        <v>274</v>
      </c>
      <c r="Q4" s="20">
        <v>26</v>
      </c>
      <c r="R4" s="20">
        <v>179</v>
      </c>
      <c r="S4" s="20">
        <v>595</v>
      </c>
      <c r="T4" s="20">
        <v>59</v>
      </c>
      <c r="U4" s="20">
        <f t="shared" si="1"/>
        <v>3345</v>
      </c>
      <c r="V4">
        <v>1010</v>
      </c>
      <c r="W4">
        <v>148</v>
      </c>
      <c r="X4">
        <v>56</v>
      </c>
      <c r="Y4">
        <v>45</v>
      </c>
      <c r="Z4">
        <v>714</v>
      </c>
      <c r="AA4">
        <v>648</v>
      </c>
      <c r="AB4">
        <v>4.05</v>
      </c>
      <c r="AC4">
        <v>13</v>
      </c>
      <c r="AD4">
        <v>9</v>
      </c>
      <c r="AE4">
        <v>53</v>
      </c>
      <c r="AF4" s="27">
        <v>6165</v>
      </c>
      <c r="AG4" s="27">
        <f t="shared" ca="1" si="2"/>
        <v>1688</v>
      </c>
      <c r="AH4" s="27">
        <f t="shared" ca="1" si="3"/>
        <v>1087</v>
      </c>
      <c r="AI4" s="27">
        <f t="shared" ca="1" si="4"/>
        <v>354</v>
      </c>
      <c r="AJ4" s="27">
        <f t="shared" ca="1" si="5"/>
        <v>37</v>
      </c>
      <c r="AK4" s="27">
        <f t="shared" ca="1" si="6"/>
        <v>210</v>
      </c>
      <c r="AL4" s="27">
        <f t="shared" ca="1" si="7"/>
        <v>466</v>
      </c>
      <c r="AM4" s="27">
        <f t="shared" ca="1" si="8"/>
        <v>53</v>
      </c>
      <c r="AN4" s="27">
        <f t="shared" ca="1" si="9"/>
        <v>3958</v>
      </c>
      <c r="AO4">
        <v>4321</v>
      </c>
      <c r="AP4">
        <v>1428</v>
      </c>
      <c r="AQ4">
        <v>165</v>
      </c>
      <c r="AR4">
        <v>484</v>
      </c>
      <c r="AS4">
        <v>1093</v>
      </c>
      <c r="AT4">
        <v>129</v>
      </c>
      <c r="AU4">
        <v>138</v>
      </c>
      <c r="AV4">
        <v>0.97899999999999998</v>
      </c>
      <c r="AW4" s="29"/>
      <c r="AX4" s="29" t="s">
        <v>136</v>
      </c>
      <c r="AY4" s="29">
        <f t="shared" si="10"/>
        <v>29700</v>
      </c>
      <c r="AZ4" s="31">
        <f t="shared" si="11"/>
        <v>167290</v>
      </c>
      <c r="BA4" s="31">
        <f>SUMIF($B$2:$B$571,$B4,$Q$2:$Q$571)</f>
        <v>952</v>
      </c>
      <c r="BB4" s="30">
        <f t="shared" si="12"/>
        <v>5.6907167194691849E-3</v>
      </c>
      <c r="BC4">
        <v>3</v>
      </c>
      <c r="BD4" t="s">
        <v>41</v>
      </c>
      <c r="BE4">
        <v>2002</v>
      </c>
      <c r="BG4" t="s">
        <v>41</v>
      </c>
    </row>
    <row r="5" spans="1:59" x14ac:dyDescent="0.5">
      <c r="B5" s="4">
        <v>2000</v>
      </c>
      <c r="C5" t="s">
        <v>44</v>
      </c>
      <c r="D5" t="s">
        <v>45</v>
      </c>
      <c r="E5">
        <v>4</v>
      </c>
      <c r="F5" t="s">
        <v>38</v>
      </c>
      <c r="G5" t="s">
        <v>38</v>
      </c>
      <c r="H5" t="s">
        <v>38</v>
      </c>
      <c r="I5" t="s">
        <v>38</v>
      </c>
      <c r="J5">
        <v>74</v>
      </c>
      <c r="K5">
        <v>88</v>
      </c>
      <c r="L5">
        <v>794</v>
      </c>
      <c r="M5" s="20">
        <v>5549</v>
      </c>
      <c r="N5" s="20">
        <v>1508</v>
      </c>
      <c r="O5" s="20">
        <f t="shared" si="0"/>
        <v>992</v>
      </c>
      <c r="P5" s="20">
        <v>310</v>
      </c>
      <c r="Q5" s="20">
        <v>22</v>
      </c>
      <c r="R5" s="20">
        <v>184</v>
      </c>
      <c r="S5" s="20">
        <v>558</v>
      </c>
      <c r="T5" s="20">
        <v>49</v>
      </c>
      <c r="U5" s="20">
        <f t="shared" si="1"/>
        <v>3434</v>
      </c>
      <c r="V5">
        <v>900</v>
      </c>
      <c r="W5">
        <v>126</v>
      </c>
      <c r="X5">
        <v>65</v>
      </c>
      <c r="Y5">
        <v>54</v>
      </c>
      <c r="Z5">
        <v>913</v>
      </c>
      <c r="AA5">
        <v>855</v>
      </c>
      <c r="AB5">
        <v>5.37</v>
      </c>
      <c r="AC5">
        <v>14</v>
      </c>
      <c r="AD5">
        <v>6</v>
      </c>
      <c r="AE5">
        <v>33</v>
      </c>
      <c r="AF5" s="27">
        <v>6433</v>
      </c>
      <c r="AG5" s="27">
        <f t="shared" ca="1" si="2"/>
        <v>1470</v>
      </c>
      <c r="AH5" s="27">
        <f t="shared" ca="1" si="3"/>
        <v>936</v>
      </c>
      <c r="AI5" s="27">
        <f t="shared" ca="1" si="4"/>
        <v>288</v>
      </c>
      <c r="AJ5" s="27">
        <f t="shared" ca="1" si="5"/>
        <v>22</v>
      </c>
      <c r="AK5" s="27">
        <f t="shared" ca="1" si="6"/>
        <v>224</v>
      </c>
      <c r="AL5" s="27">
        <f t="shared" ca="1" si="7"/>
        <v>578</v>
      </c>
      <c r="AM5" s="27">
        <f t="shared" ca="1" si="8"/>
        <v>39</v>
      </c>
      <c r="AN5" s="27">
        <f t="shared" ca="1" si="9"/>
        <v>4346</v>
      </c>
      <c r="AO5">
        <v>4300</v>
      </c>
      <c r="AP5">
        <v>1547</v>
      </c>
      <c r="AQ5">
        <v>202</v>
      </c>
      <c r="AR5">
        <v>665</v>
      </c>
      <c r="AS5">
        <v>1017</v>
      </c>
      <c r="AT5">
        <v>116</v>
      </c>
      <c r="AU5">
        <v>151</v>
      </c>
      <c r="AV5">
        <v>0.98099999999999998</v>
      </c>
      <c r="AW5" s="29"/>
      <c r="AX5" s="29" t="s">
        <v>137</v>
      </c>
      <c r="AY5" s="29">
        <f t="shared" si="10"/>
        <v>29700</v>
      </c>
      <c r="AZ5" s="31">
        <f t="shared" si="11"/>
        <v>167290</v>
      </c>
      <c r="BA5" s="31">
        <f>SUMIF($B$2:$B$571,$B5,$R$2:$R$571)</f>
        <v>5693</v>
      </c>
      <c r="BB5" s="30">
        <f t="shared" si="12"/>
        <v>3.4030725088170247E-2</v>
      </c>
      <c r="BC5">
        <v>4</v>
      </c>
      <c r="BD5" t="s">
        <v>44</v>
      </c>
      <c r="BE5">
        <v>2003</v>
      </c>
      <c r="BG5" t="s">
        <v>44</v>
      </c>
    </row>
    <row r="6" spans="1:59" x14ac:dyDescent="0.5">
      <c r="B6" s="4">
        <v>2000</v>
      </c>
      <c r="C6" t="s">
        <v>46</v>
      </c>
      <c r="D6" t="s">
        <v>47</v>
      </c>
      <c r="E6">
        <v>2</v>
      </c>
      <c r="F6" t="s">
        <v>38</v>
      </c>
      <c r="G6" t="s">
        <v>38</v>
      </c>
      <c r="H6" t="s">
        <v>38</v>
      </c>
      <c r="I6" t="s">
        <v>38</v>
      </c>
      <c r="J6">
        <v>85</v>
      </c>
      <c r="K6">
        <v>77</v>
      </c>
      <c r="L6">
        <v>792</v>
      </c>
      <c r="M6" s="20">
        <v>5630</v>
      </c>
      <c r="N6" s="20">
        <v>1503</v>
      </c>
      <c r="O6" s="20">
        <f t="shared" si="0"/>
        <v>988</v>
      </c>
      <c r="P6" s="20">
        <v>316</v>
      </c>
      <c r="Q6" s="20">
        <v>32</v>
      </c>
      <c r="R6" s="20">
        <v>167</v>
      </c>
      <c r="S6" s="20">
        <v>611</v>
      </c>
      <c r="T6" s="20">
        <v>42</v>
      </c>
      <c r="U6" s="20">
        <f t="shared" si="1"/>
        <v>3474</v>
      </c>
      <c r="V6">
        <v>1019</v>
      </c>
      <c r="W6">
        <v>43</v>
      </c>
      <c r="X6">
        <v>30</v>
      </c>
      <c r="Y6">
        <v>48</v>
      </c>
      <c r="Z6">
        <v>745</v>
      </c>
      <c r="AA6">
        <v>683</v>
      </c>
      <c r="AB6">
        <v>4.2300000000000004</v>
      </c>
      <c r="AC6">
        <v>7</v>
      </c>
      <c r="AD6">
        <v>12</v>
      </c>
      <c r="AE6">
        <v>46</v>
      </c>
      <c r="AF6" s="27">
        <v>6225</v>
      </c>
      <c r="AG6" s="27">
        <f t="shared" ca="1" si="2"/>
        <v>1679</v>
      </c>
      <c r="AH6" s="27">
        <f t="shared" ca="1" si="3"/>
        <v>1105</v>
      </c>
      <c r="AI6" s="27">
        <f t="shared" ca="1" si="4"/>
        <v>361</v>
      </c>
      <c r="AJ6" s="27">
        <f t="shared" ca="1" si="5"/>
        <v>38</v>
      </c>
      <c r="AK6" s="27">
        <f t="shared" ca="1" si="6"/>
        <v>175</v>
      </c>
      <c r="AL6" s="27">
        <f t="shared" ca="1" si="7"/>
        <v>473</v>
      </c>
      <c r="AM6" s="27">
        <f t="shared" ca="1" si="8"/>
        <v>87</v>
      </c>
      <c r="AN6" s="27">
        <f t="shared" ca="1" si="9"/>
        <v>3986</v>
      </c>
      <c r="AO6">
        <v>4358</v>
      </c>
      <c r="AP6">
        <v>1433</v>
      </c>
      <c r="AQ6">
        <v>173</v>
      </c>
      <c r="AR6">
        <v>498</v>
      </c>
      <c r="AS6">
        <v>1121</v>
      </c>
      <c r="AT6">
        <v>109</v>
      </c>
      <c r="AU6">
        <v>120</v>
      </c>
      <c r="AV6">
        <v>0.98199999999999998</v>
      </c>
      <c r="AW6" s="29"/>
      <c r="AX6" s="29" t="s">
        <v>138</v>
      </c>
      <c r="AY6" s="29">
        <f t="shared" si="10"/>
        <v>29700</v>
      </c>
      <c r="AZ6" s="31">
        <f t="shared" si="11"/>
        <v>167290</v>
      </c>
      <c r="BA6" s="31">
        <f>SUMIF($B$2:$B$571,$B6,$S$2:$S$571)</f>
        <v>18237</v>
      </c>
      <c r="BB6" s="30">
        <f t="shared" si="12"/>
        <v>0.10901428656823481</v>
      </c>
      <c r="BC6">
        <v>5</v>
      </c>
      <c r="BD6" t="s">
        <v>46</v>
      </c>
      <c r="BE6">
        <v>2004</v>
      </c>
      <c r="BG6" t="s">
        <v>46</v>
      </c>
    </row>
    <row r="7" spans="1:59" x14ac:dyDescent="0.5">
      <c r="B7" s="4">
        <v>2000</v>
      </c>
      <c r="C7" t="s">
        <v>48</v>
      </c>
      <c r="D7" t="s">
        <v>49</v>
      </c>
      <c r="E7">
        <v>1</v>
      </c>
      <c r="F7" t="s">
        <v>43</v>
      </c>
      <c r="G7" t="s">
        <v>38</v>
      </c>
      <c r="H7" t="s">
        <v>38</v>
      </c>
      <c r="I7" t="s">
        <v>38</v>
      </c>
      <c r="J7">
        <v>95</v>
      </c>
      <c r="K7">
        <v>67</v>
      </c>
      <c r="L7">
        <v>978</v>
      </c>
      <c r="M7" s="20">
        <v>5646</v>
      </c>
      <c r="N7" s="20">
        <v>1615</v>
      </c>
      <c r="O7" s="20">
        <f t="shared" si="0"/>
        <v>1041</v>
      </c>
      <c r="P7" s="20">
        <v>325</v>
      </c>
      <c r="Q7" s="20">
        <v>33</v>
      </c>
      <c r="R7" s="20">
        <v>216</v>
      </c>
      <c r="S7" s="20">
        <v>591</v>
      </c>
      <c r="T7" s="20">
        <v>53</v>
      </c>
      <c r="U7" s="20">
        <f t="shared" si="1"/>
        <v>3387</v>
      </c>
      <c r="V7">
        <v>960</v>
      </c>
      <c r="W7">
        <v>119</v>
      </c>
      <c r="X7">
        <v>42</v>
      </c>
      <c r="Y7">
        <v>61</v>
      </c>
      <c r="Z7">
        <v>839</v>
      </c>
      <c r="AA7">
        <v>751</v>
      </c>
      <c r="AB7">
        <v>4.66</v>
      </c>
      <c r="AC7">
        <v>5</v>
      </c>
      <c r="AD7">
        <v>7</v>
      </c>
      <c r="AE7">
        <v>43</v>
      </c>
      <c r="AF7" s="27">
        <v>6337</v>
      </c>
      <c r="AG7" s="27">
        <f t="shared" ca="1" si="2"/>
        <v>1659</v>
      </c>
      <c r="AH7" s="27">
        <f t="shared" ca="1" si="3"/>
        <v>1041</v>
      </c>
      <c r="AI7" s="27">
        <f t="shared" ca="1" si="4"/>
        <v>397</v>
      </c>
      <c r="AJ7" s="27">
        <f t="shared" ca="1" si="5"/>
        <v>41</v>
      </c>
      <c r="AK7" s="27">
        <f t="shared" ca="1" si="6"/>
        <v>180</v>
      </c>
      <c r="AL7" s="27">
        <f t="shared" ca="1" si="7"/>
        <v>552</v>
      </c>
      <c r="AM7" s="27">
        <f t="shared" ca="1" si="8"/>
        <v>69</v>
      </c>
      <c r="AN7" s="27">
        <f t="shared" ca="1" si="9"/>
        <v>4057</v>
      </c>
      <c r="AO7">
        <v>4351</v>
      </c>
      <c r="AP7">
        <v>1509</v>
      </c>
      <c r="AQ7">
        <v>195</v>
      </c>
      <c r="AR7">
        <v>614</v>
      </c>
      <c r="AS7">
        <v>1037</v>
      </c>
      <c r="AT7">
        <v>133</v>
      </c>
      <c r="AU7">
        <v>190</v>
      </c>
      <c r="AV7">
        <v>0.97799999999999998</v>
      </c>
      <c r="AW7" s="29"/>
      <c r="AX7" s="29" t="s">
        <v>139</v>
      </c>
      <c r="AY7" s="29">
        <f t="shared" si="10"/>
        <v>29700</v>
      </c>
      <c r="AZ7" s="31">
        <f t="shared" si="11"/>
        <v>167290</v>
      </c>
      <c r="BA7" s="31">
        <f>SUMIF($B$2:$B$571,$B7,$T$2:$T$571)</f>
        <v>1573</v>
      </c>
      <c r="BB7" s="30">
        <f t="shared" si="12"/>
        <v>9.4028334030725087E-3</v>
      </c>
      <c r="BC7">
        <v>6</v>
      </c>
      <c r="BD7" t="s">
        <v>48</v>
      </c>
      <c r="BE7">
        <v>2005</v>
      </c>
      <c r="BG7" t="s">
        <v>48</v>
      </c>
    </row>
    <row r="8" spans="1:59" x14ac:dyDescent="0.5">
      <c r="B8" s="4">
        <v>2000</v>
      </c>
      <c r="C8" t="s">
        <v>50</v>
      </c>
      <c r="D8" t="s">
        <v>51</v>
      </c>
      <c r="E8">
        <v>6</v>
      </c>
      <c r="F8" t="s">
        <v>38</v>
      </c>
      <c r="G8" t="s">
        <v>38</v>
      </c>
      <c r="H8" t="s">
        <v>38</v>
      </c>
      <c r="I8" t="s">
        <v>38</v>
      </c>
      <c r="J8">
        <v>65</v>
      </c>
      <c r="K8">
        <v>97</v>
      </c>
      <c r="L8">
        <v>764</v>
      </c>
      <c r="M8" s="20">
        <v>5577</v>
      </c>
      <c r="N8" s="20">
        <v>1426</v>
      </c>
      <c r="O8" s="20">
        <f t="shared" si="0"/>
        <v>948</v>
      </c>
      <c r="P8" s="20">
        <v>272</v>
      </c>
      <c r="Q8" s="20">
        <v>23</v>
      </c>
      <c r="R8" s="20">
        <v>183</v>
      </c>
      <c r="S8" s="20">
        <v>632</v>
      </c>
      <c r="T8" s="20">
        <v>54</v>
      </c>
      <c r="U8" s="20">
        <f t="shared" si="1"/>
        <v>3465</v>
      </c>
      <c r="V8">
        <v>1120</v>
      </c>
      <c r="W8">
        <v>93</v>
      </c>
      <c r="X8">
        <v>37</v>
      </c>
      <c r="Y8">
        <v>45</v>
      </c>
      <c r="Z8">
        <v>904</v>
      </c>
      <c r="AA8">
        <v>849</v>
      </c>
      <c r="AB8">
        <v>5.25</v>
      </c>
      <c r="AC8">
        <v>10</v>
      </c>
      <c r="AD8">
        <v>5</v>
      </c>
      <c r="AE8">
        <v>39</v>
      </c>
      <c r="AF8" s="27">
        <v>6451</v>
      </c>
      <c r="AG8" s="27">
        <f t="shared" ca="1" si="2"/>
        <v>1522</v>
      </c>
      <c r="AH8" s="27">
        <f t="shared" ca="1" si="3"/>
        <v>932</v>
      </c>
      <c r="AI8" s="27">
        <f t="shared" ca="1" si="4"/>
        <v>327</v>
      </c>
      <c r="AJ8" s="27">
        <f t="shared" ca="1" si="5"/>
        <v>25</v>
      </c>
      <c r="AK8" s="27">
        <f t="shared" ca="1" si="6"/>
        <v>238</v>
      </c>
      <c r="AL8" s="27">
        <f t="shared" ca="1" si="7"/>
        <v>589</v>
      </c>
      <c r="AM8" s="27">
        <f t="shared" ca="1" si="8"/>
        <v>80</v>
      </c>
      <c r="AN8" s="27">
        <f t="shared" ca="1" si="9"/>
        <v>4260</v>
      </c>
      <c r="AO8">
        <v>4364</v>
      </c>
      <c r="AP8">
        <v>1505</v>
      </c>
      <c r="AQ8">
        <v>231</v>
      </c>
      <c r="AR8">
        <v>658</v>
      </c>
      <c r="AS8">
        <v>1143</v>
      </c>
      <c r="AT8">
        <v>100</v>
      </c>
      <c r="AU8">
        <v>139</v>
      </c>
      <c r="AV8">
        <v>0.98299999999999998</v>
      </c>
      <c r="AW8" s="29"/>
      <c r="AX8" s="29" t="s">
        <v>140</v>
      </c>
      <c r="AY8" s="29">
        <f t="shared" si="10"/>
        <v>29700</v>
      </c>
      <c r="AZ8" s="31">
        <f t="shared" si="11"/>
        <v>167290</v>
      </c>
      <c r="BA8" s="31">
        <f>SUMIF($B$2:$B$571,$B8,$U$2:$U$571)</f>
        <v>102234</v>
      </c>
      <c r="BB8" s="30">
        <f t="shared" si="12"/>
        <v>0.61111841711997128</v>
      </c>
      <c r="BC8">
        <v>7</v>
      </c>
      <c r="BD8" t="s">
        <v>50</v>
      </c>
      <c r="BE8">
        <v>2006</v>
      </c>
      <c r="BG8" t="s">
        <v>50</v>
      </c>
    </row>
    <row r="9" spans="1:59" x14ac:dyDescent="0.5">
      <c r="B9" s="4">
        <v>2000</v>
      </c>
      <c r="C9" t="s">
        <v>52</v>
      </c>
      <c r="D9" t="s">
        <v>53</v>
      </c>
      <c r="E9">
        <v>2</v>
      </c>
      <c r="F9" t="s">
        <v>38</v>
      </c>
      <c r="G9" t="s">
        <v>38</v>
      </c>
      <c r="H9" t="s">
        <v>38</v>
      </c>
      <c r="I9" t="s">
        <v>38</v>
      </c>
      <c r="J9">
        <v>85</v>
      </c>
      <c r="K9">
        <v>77</v>
      </c>
      <c r="L9">
        <v>825</v>
      </c>
      <c r="M9" s="20">
        <v>5635</v>
      </c>
      <c r="N9" s="20">
        <v>1545</v>
      </c>
      <c r="O9" s="20">
        <f t="shared" si="0"/>
        <v>1007</v>
      </c>
      <c r="P9" s="20">
        <v>302</v>
      </c>
      <c r="Q9" s="20">
        <v>36</v>
      </c>
      <c r="R9" s="20">
        <v>200</v>
      </c>
      <c r="S9" s="20">
        <v>559</v>
      </c>
      <c r="T9" s="20">
        <v>64</v>
      </c>
      <c r="U9" s="20">
        <f t="shared" si="1"/>
        <v>3467</v>
      </c>
      <c r="V9">
        <v>995</v>
      </c>
      <c r="W9">
        <v>100</v>
      </c>
      <c r="X9">
        <v>38</v>
      </c>
      <c r="Y9">
        <v>58</v>
      </c>
      <c r="Z9">
        <v>765</v>
      </c>
      <c r="AA9">
        <v>700</v>
      </c>
      <c r="AB9">
        <v>4.33</v>
      </c>
      <c r="AC9">
        <v>8</v>
      </c>
      <c r="AD9">
        <v>7</v>
      </c>
      <c r="AE9">
        <v>42</v>
      </c>
      <c r="AF9" s="27">
        <v>6362</v>
      </c>
      <c r="AG9" s="27">
        <f t="shared" ca="1" si="2"/>
        <v>1569</v>
      </c>
      <c r="AH9" s="27">
        <f t="shared" ca="1" si="3"/>
        <v>954</v>
      </c>
      <c r="AI9" s="27">
        <f t="shared" ca="1" si="4"/>
        <v>360</v>
      </c>
      <c r="AJ9" s="27">
        <f t="shared" ca="1" si="5"/>
        <v>22</v>
      </c>
      <c r="AK9" s="27">
        <f t="shared" ca="1" si="6"/>
        <v>233</v>
      </c>
      <c r="AL9" s="27">
        <f t="shared" ca="1" si="7"/>
        <v>565</v>
      </c>
      <c r="AM9" s="27">
        <f t="shared" ca="1" si="8"/>
        <v>41</v>
      </c>
      <c r="AN9" s="27">
        <f t="shared" ca="1" si="9"/>
        <v>4187</v>
      </c>
      <c r="AO9">
        <v>4369</v>
      </c>
      <c r="AP9">
        <v>1446</v>
      </c>
      <c r="AQ9">
        <v>190</v>
      </c>
      <c r="AR9">
        <v>659</v>
      </c>
      <c r="AS9">
        <v>1015</v>
      </c>
      <c r="AT9">
        <v>111</v>
      </c>
      <c r="AU9">
        <v>156</v>
      </c>
      <c r="AV9">
        <v>0.98199999999999998</v>
      </c>
      <c r="AW9" s="29"/>
      <c r="AX9" s="29"/>
      <c r="AY9" s="29"/>
      <c r="AZ9" s="31"/>
      <c r="BA9" s="31"/>
      <c r="BB9" s="30"/>
      <c r="BC9">
        <v>8</v>
      </c>
      <c r="BD9" t="s">
        <v>52</v>
      </c>
      <c r="BE9">
        <v>2007</v>
      </c>
      <c r="BG9" t="s">
        <v>52</v>
      </c>
    </row>
    <row r="10" spans="1:59" x14ac:dyDescent="0.5">
      <c r="B10" s="4">
        <v>2000</v>
      </c>
      <c r="C10" t="s">
        <v>54</v>
      </c>
      <c r="D10" t="s">
        <v>55</v>
      </c>
      <c r="E10">
        <v>2</v>
      </c>
      <c r="F10" t="s">
        <v>38</v>
      </c>
      <c r="G10" t="s">
        <v>38</v>
      </c>
      <c r="H10" t="s">
        <v>38</v>
      </c>
      <c r="I10" t="s">
        <v>38</v>
      </c>
      <c r="J10">
        <v>90</v>
      </c>
      <c r="K10">
        <v>72</v>
      </c>
      <c r="L10">
        <v>950</v>
      </c>
      <c r="M10" s="20">
        <v>5683</v>
      </c>
      <c r="N10" s="20">
        <v>1639</v>
      </c>
      <c r="O10" s="20">
        <f t="shared" si="0"/>
        <v>1078</v>
      </c>
      <c r="P10" s="20">
        <v>310</v>
      </c>
      <c r="Q10" s="20">
        <v>30</v>
      </c>
      <c r="R10" s="20">
        <v>221</v>
      </c>
      <c r="S10" s="20">
        <v>685</v>
      </c>
      <c r="T10" s="20">
        <v>51</v>
      </c>
      <c r="U10" s="20">
        <f t="shared" si="1"/>
        <v>3308</v>
      </c>
      <c r="V10">
        <v>1057</v>
      </c>
      <c r="W10">
        <v>113</v>
      </c>
      <c r="X10">
        <v>34</v>
      </c>
      <c r="Y10">
        <v>52</v>
      </c>
      <c r="Z10">
        <v>816</v>
      </c>
      <c r="AA10">
        <v>775</v>
      </c>
      <c r="AB10">
        <v>4.84</v>
      </c>
      <c r="AC10">
        <v>6</v>
      </c>
      <c r="AD10">
        <v>5</v>
      </c>
      <c r="AE10">
        <v>34</v>
      </c>
      <c r="AF10" s="27">
        <v>6380</v>
      </c>
      <c r="AG10" s="27">
        <f t="shared" ca="1" si="2"/>
        <v>1605</v>
      </c>
      <c r="AH10" s="27">
        <f t="shared" ca="1" si="3"/>
        <v>1155</v>
      </c>
      <c r="AI10" s="27">
        <f t="shared" ca="1" si="4"/>
        <v>272</v>
      </c>
      <c r="AJ10" s="27">
        <f t="shared" ca="1" si="5"/>
        <v>41</v>
      </c>
      <c r="AK10" s="27">
        <f t="shared" ca="1" si="6"/>
        <v>137</v>
      </c>
      <c r="AL10" s="27">
        <f t="shared" ca="1" si="7"/>
        <v>626</v>
      </c>
      <c r="AM10" s="27">
        <f t="shared" ca="1" si="8"/>
        <v>79</v>
      </c>
      <c r="AN10" s="27">
        <f t="shared" ca="1" si="9"/>
        <v>4070</v>
      </c>
      <c r="AO10">
        <v>4327</v>
      </c>
      <c r="AP10">
        <v>1511</v>
      </c>
      <c r="AQ10">
        <v>173</v>
      </c>
      <c r="AR10">
        <v>666</v>
      </c>
      <c r="AS10">
        <v>1213</v>
      </c>
      <c r="AT10">
        <v>72</v>
      </c>
      <c r="AU10">
        <v>147</v>
      </c>
      <c r="AV10">
        <v>0.98799999999999999</v>
      </c>
      <c r="AW10" s="29">
        <v>2001</v>
      </c>
      <c r="AX10" s="29" t="s">
        <v>134</v>
      </c>
      <c r="AY10" s="29">
        <f t="shared" si="10"/>
        <v>29700</v>
      </c>
      <c r="AZ10" s="31">
        <f t="shared" si="11"/>
        <v>167290</v>
      </c>
      <c r="BA10" s="31">
        <f t="shared" ref="BA10" si="13">SUMIF($B$2:$B$571,$B10,$O$2:$O$571)</f>
        <v>29700</v>
      </c>
      <c r="BB10" s="30">
        <f t="shared" si="12"/>
        <v>0.17753601530276764</v>
      </c>
      <c r="BC10">
        <v>9</v>
      </c>
      <c r="BD10" t="s">
        <v>54</v>
      </c>
      <c r="BE10">
        <v>2008</v>
      </c>
      <c r="BG10" t="s">
        <v>54</v>
      </c>
    </row>
    <row r="11" spans="1:59" x14ac:dyDescent="0.5">
      <c r="B11" s="4">
        <v>2000</v>
      </c>
      <c r="C11" t="s">
        <v>56</v>
      </c>
      <c r="D11" t="s">
        <v>57</v>
      </c>
      <c r="E11">
        <v>4</v>
      </c>
      <c r="F11" t="s">
        <v>38</v>
      </c>
      <c r="G11" t="s">
        <v>38</v>
      </c>
      <c r="H11" t="s">
        <v>38</v>
      </c>
      <c r="I11" t="s">
        <v>38</v>
      </c>
      <c r="J11">
        <v>82</v>
      </c>
      <c r="K11">
        <v>80</v>
      </c>
      <c r="L11">
        <v>968</v>
      </c>
      <c r="M11" s="20">
        <v>5660</v>
      </c>
      <c r="N11" s="20">
        <v>1664</v>
      </c>
      <c r="O11" s="20">
        <f t="shared" si="0"/>
        <v>1130</v>
      </c>
      <c r="P11" s="20">
        <v>320</v>
      </c>
      <c r="Q11" s="20">
        <v>53</v>
      </c>
      <c r="R11" s="20">
        <v>161</v>
      </c>
      <c r="S11" s="20">
        <v>601</v>
      </c>
      <c r="T11" s="20">
        <v>42</v>
      </c>
      <c r="U11" s="20">
        <f t="shared" si="1"/>
        <v>3353</v>
      </c>
      <c r="V11">
        <v>907</v>
      </c>
      <c r="W11">
        <v>131</v>
      </c>
      <c r="X11">
        <v>61</v>
      </c>
      <c r="Y11">
        <v>75</v>
      </c>
      <c r="Z11">
        <v>897</v>
      </c>
      <c r="AA11">
        <v>835</v>
      </c>
      <c r="AB11">
        <v>5.26</v>
      </c>
      <c r="AC11">
        <v>7</v>
      </c>
      <c r="AD11">
        <v>2</v>
      </c>
      <c r="AE11">
        <v>33</v>
      </c>
      <c r="AF11" s="27">
        <v>6340</v>
      </c>
      <c r="AG11" s="27">
        <f t="shared" ca="1" si="2"/>
        <v>1494</v>
      </c>
      <c r="AH11" s="27">
        <f t="shared" ca="1" si="3"/>
        <v>999</v>
      </c>
      <c r="AI11" s="27">
        <f t="shared" ca="1" si="4"/>
        <v>242</v>
      </c>
      <c r="AJ11" s="27">
        <f t="shared" ca="1" si="5"/>
        <v>32</v>
      </c>
      <c r="AK11" s="27">
        <f t="shared" ca="1" si="6"/>
        <v>221</v>
      </c>
      <c r="AL11" s="27">
        <f t="shared" ca="1" si="7"/>
        <v>648</v>
      </c>
      <c r="AM11" s="27">
        <f t="shared" ca="1" si="8"/>
        <v>74</v>
      </c>
      <c r="AN11" s="27">
        <f t="shared" ca="1" si="9"/>
        <v>4124</v>
      </c>
      <c r="AO11">
        <v>4290</v>
      </c>
      <c r="AP11">
        <v>1568</v>
      </c>
      <c r="AQ11">
        <v>221</v>
      </c>
      <c r="AR11">
        <v>588</v>
      </c>
      <c r="AS11">
        <v>1001</v>
      </c>
      <c r="AT11">
        <v>94</v>
      </c>
      <c r="AU11">
        <v>176</v>
      </c>
      <c r="AV11">
        <v>0.98499999999999999</v>
      </c>
      <c r="AW11" s="29"/>
      <c r="AX11" s="29" t="s">
        <v>135</v>
      </c>
      <c r="AY11" s="29">
        <f t="shared" si="10"/>
        <v>29700</v>
      </c>
      <c r="AZ11" s="31">
        <f t="shared" si="11"/>
        <v>167290</v>
      </c>
      <c r="BA11" s="31">
        <f t="shared" ref="BA11" si="14">SUMIF($B$2:$B$571,$B11,$P$2:$P$571)</f>
        <v>8901</v>
      </c>
      <c r="BB11" s="30">
        <f t="shared" si="12"/>
        <v>5.3207005798314305E-2</v>
      </c>
      <c r="BC11">
        <v>10</v>
      </c>
      <c r="BD11" t="s">
        <v>56</v>
      </c>
      <c r="BE11">
        <v>2009</v>
      </c>
      <c r="BG11" t="s">
        <v>56</v>
      </c>
    </row>
    <row r="12" spans="1:59" x14ac:dyDescent="0.5">
      <c r="B12" s="4">
        <v>2000</v>
      </c>
      <c r="C12" t="s">
        <v>58</v>
      </c>
      <c r="D12" t="s">
        <v>59</v>
      </c>
      <c r="E12">
        <v>3</v>
      </c>
      <c r="F12" t="s">
        <v>38</v>
      </c>
      <c r="G12" t="s">
        <v>38</v>
      </c>
      <c r="H12" t="s">
        <v>38</v>
      </c>
      <c r="I12" t="s">
        <v>38</v>
      </c>
      <c r="J12">
        <v>79</v>
      </c>
      <c r="K12">
        <v>83</v>
      </c>
      <c r="L12">
        <v>823</v>
      </c>
      <c r="M12" s="20">
        <v>5644</v>
      </c>
      <c r="N12" s="20">
        <v>1553</v>
      </c>
      <c r="O12" s="20">
        <f t="shared" si="0"/>
        <v>1028</v>
      </c>
      <c r="P12" s="20">
        <v>307</v>
      </c>
      <c r="Q12" s="20">
        <v>41</v>
      </c>
      <c r="R12" s="20">
        <v>177</v>
      </c>
      <c r="S12" s="20">
        <v>562</v>
      </c>
      <c r="T12" s="20">
        <v>43</v>
      </c>
      <c r="U12" s="20">
        <f t="shared" si="1"/>
        <v>3486</v>
      </c>
      <c r="V12">
        <v>982</v>
      </c>
      <c r="W12">
        <v>83</v>
      </c>
      <c r="X12">
        <v>38</v>
      </c>
      <c r="Y12">
        <v>49</v>
      </c>
      <c r="Z12">
        <v>827</v>
      </c>
      <c r="AA12">
        <v>755</v>
      </c>
      <c r="AB12">
        <v>4.71</v>
      </c>
      <c r="AC12">
        <v>6</v>
      </c>
      <c r="AD12">
        <v>6</v>
      </c>
      <c r="AE12">
        <v>44</v>
      </c>
      <c r="AF12" s="27">
        <v>6295</v>
      </c>
      <c r="AG12" s="27">
        <f t="shared" ca="1" si="2"/>
        <v>1685</v>
      </c>
      <c r="AH12" s="27">
        <f t="shared" ca="1" si="3"/>
        <v>1286</v>
      </c>
      <c r="AI12" s="27">
        <f t="shared" ca="1" si="4"/>
        <v>239</v>
      </c>
      <c r="AJ12" s="27">
        <f t="shared" ca="1" si="5"/>
        <v>24</v>
      </c>
      <c r="AK12" s="27">
        <f t="shared" ca="1" si="6"/>
        <v>136</v>
      </c>
      <c r="AL12" s="27">
        <f t="shared" ca="1" si="7"/>
        <v>426</v>
      </c>
      <c r="AM12" s="27">
        <f t="shared" ca="1" si="8"/>
        <v>50</v>
      </c>
      <c r="AN12" s="27">
        <f t="shared" ca="1" si="9"/>
        <v>4134</v>
      </c>
      <c r="AO12">
        <v>4330</v>
      </c>
      <c r="AP12">
        <v>1583</v>
      </c>
      <c r="AQ12">
        <v>177</v>
      </c>
      <c r="AR12">
        <v>496</v>
      </c>
      <c r="AS12">
        <v>978</v>
      </c>
      <c r="AT12">
        <v>105</v>
      </c>
      <c r="AU12">
        <v>171</v>
      </c>
      <c r="AV12">
        <v>0.98299999999999998</v>
      </c>
      <c r="AW12" s="29"/>
      <c r="AX12" s="29" t="s">
        <v>136</v>
      </c>
      <c r="AY12" s="29">
        <f t="shared" si="10"/>
        <v>29700</v>
      </c>
      <c r="AZ12" s="31">
        <f t="shared" si="11"/>
        <v>167290</v>
      </c>
      <c r="BA12" s="31">
        <f t="shared" ref="BA12" si="15">SUMIF($B$2:$B$571,$B12,$Q$2:$Q$571)</f>
        <v>952</v>
      </c>
      <c r="BB12" s="30">
        <f t="shared" si="12"/>
        <v>5.6907167194691849E-3</v>
      </c>
      <c r="BC12">
        <v>11</v>
      </c>
      <c r="BD12" t="s">
        <v>58</v>
      </c>
      <c r="BE12">
        <v>2010</v>
      </c>
      <c r="BG12" t="s">
        <v>58</v>
      </c>
    </row>
    <row r="13" spans="1:59" x14ac:dyDescent="0.5">
      <c r="B13" s="4">
        <v>2000</v>
      </c>
      <c r="C13" t="s">
        <v>60</v>
      </c>
      <c r="D13" t="s">
        <v>61</v>
      </c>
      <c r="E13">
        <v>3</v>
      </c>
      <c r="F13" t="s">
        <v>38</v>
      </c>
      <c r="G13" t="s">
        <v>38</v>
      </c>
      <c r="H13" t="s">
        <v>38</v>
      </c>
      <c r="I13" t="s">
        <v>38</v>
      </c>
      <c r="J13">
        <v>79</v>
      </c>
      <c r="K13">
        <v>82</v>
      </c>
      <c r="L13">
        <v>731</v>
      </c>
      <c r="M13" s="20">
        <v>5509</v>
      </c>
      <c r="N13" s="20">
        <v>1441</v>
      </c>
      <c r="O13" s="20">
        <f t="shared" si="0"/>
        <v>978</v>
      </c>
      <c r="P13" s="20">
        <v>274</v>
      </c>
      <c r="Q13" s="20">
        <v>29</v>
      </c>
      <c r="R13" s="20">
        <v>160</v>
      </c>
      <c r="S13" s="20">
        <v>540</v>
      </c>
      <c r="T13" s="20">
        <v>60</v>
      </c>
      <c r="U13" s="20">
        <f t="shared" si="1"/>
        <v>3468</v>
      </c>
      <c r="V13">
        <v>1184</v>
      </c>
      <c r="W13">
        <v>168</v>
      </c>
      <c r="X13">
        <v>55</v>
      </c>
      <c r="Y13">
        <v>51</v>
      </c>
      <c r="Z13">
        <v>797</v>
      </c>
      <c r="AA13">
        <v>729</v>
      </c>
      <c r="AB13">
        <v>4.59</v>
      </c>
      <c r="AC13">
        <v>5</v>
      </c>
      <c r="AD13">
        <v>4</v>
      </c>
      <c r="AE13">
        <v>48</v>
      </c>
      <c r="AF13" s="27">
        <v>6307</v>
      </c>
      <c r="AG13" s="27">
        <f t="shared" ca="1" si="2"/>
        <v>1604</v>
      </c>
      <c r="AH13" s="27">
        <f t="shared" ca="1" si="3"/>
        <v>1164</v>
      </c>
      <c r="AI13" s="27">
        <f t="shared" ca="1" si="4"/>
        <v>264</v>
      </c>
      <c r="AJ13" s="27">
        <f t="shared" ca="1" si="5"/>
        <v>37</v>
      </c>
      <c r="AK13" s="27">
        <f t="shared" ca="1" si="6"/>
        <v>139</v>
      </c>
      <c r="AL13" s="27">
        <f t="shared" ca="1" si="7"/>
        <v>610</v>
      </c>
      <c r="AM13" s="27">
        <f t="shared" ca="1" si="8"/>
        <v>42</v>
      </c>
      <c r="AN13" s="27">
        <f t="shared" ca="1" si="9"/>
        <v>4051</v>
      </c>
      <c r="AO13">
        <v>4289</v>
      </c>
      <c r="AP13">
        <v>1477</v>
      </c>
      <c r="AQ13">
        <v>169</v>
      </c>
      <c r="AR13">
        <v>650</v>
      </c>
      <c r="AS13">
        <v>1051</v>
      </c>
      <c r="AT13">
        <v>125</v>
      </c>
      <c r="AU13">
        <v>144</v>
      </c>
      <c r="AV13">
        <v>0.98</v>
      </c>
      <c r="AW13" s="29"/>
      <c r="AX13" s="29" t="s">
        <v>137</v>
      </c>
      <c r="AY13" s="29">
        <f t="shared" si="10"/>
        <v>29700</v>
      </c>
      <c r="AZ13" s="31">
        <f t="shared" si="11"/>
        <v>167290</v>
      </c>
      <c r="BA13" s="31">
        <f t="shared" ref="BA13" si="16">SUMIF($B$2:$B$571,$B13,$R$2:$R$571)</f>
        <v>5693</v>
      </c>
      <c r="BB13" s="30">
        <f t="shared" si="12"/>
        <v>3.4030725088170247E-2</v>
      </c>
      <c r="BC13">
        <v>12</v>
      </c>
      <c r="BD13" t="s">
        <v>60</v>
      </c>
      <c r="BE13">
        <v>2011</v>
      </c>
      <c r="BG13" t="s">
        <v>60</v>
      </c>
    </row>
    <row r="14" spans="1:59" x14ac:dyDescent="0.5">
      <c r="B14" s="4">
        <v>2000</v>
      </c>
      <c r="C14" t="s">
        <v>62</v>
      </c>
      <c r="D14" t="s">
        <v>63</v>
      </c>
      <c r="E14">
        <v>4</v>
      </c>
      <c r="F14" t="s">
        <v>38</v>
      </c>
      <c r="G14" t="s">
        <v>38</v>
      </c>
      <c r="H14" t="s">
        <v>38</v>
      </c>
      <c r="I14" t="s">
        <v>38</v>
      </c>
      <c r="J14">
        <v>72</v>
      </c>
      <c r="K14">
        <v>90</v>
      </c>
      <c r="L14">
        <v>938</v>
      </c>
      <c r="M14" s="20">
        <v>5570</v>
      </c>
      <c r="N14" s="20">
        <v>1547</v>
      </c>
      <c r="O14" s="20">
        <f t="shared" si="0"/>
        <v>973</v>
      </c>
      <c r="P14" s="20">
        <v>289</v>
      </c>
      <c r="Q14" s="20">
        <v>36</v>
      </c>
      <c r="R14" s="20">
        <v>249</v>
      </c>
      <c r="S14" s="20">
        <v>673</v>
      </c>
      <c r="T14" s="20">
        <v>83</v>
      </c>
      <c r="U14" s="20">
        <f t="shared" si="1"/>
        <v>3267</v>
      </c>
      <c r="V14">
        <v>1129</v>
      </c>
      <c r="W14">
        <v>114</v>
      </c>
      <c r="X14">
        <v>52</v>
      </c>
      <c r="Y14">
        <v>61</v>
      </c>
      <c r="Z14">
        <v>944</v>
      </c>
      <c r="AA14">
        <v>865</v>
      </c>
      <c r="AB14">
        <v>5.42</v>
      </c>
      <c r="AC14">
        <v>8</v>
      </c>
      <c r="AD14">
        <v>2</v>
      </c>
      <c r="AE14">
        <v>30</v>
      </c>
      <c r="AF14" s="27">
        <v>6455</v>
      </c>
      <c r="AG14" s="27">
        <f t="shared" ca="1" si="2"/>
        <v>1520</v>
      </c>
      <c r="AH14" s="27">
        <f t="shared" ca="1" si="3"/>
        <v>914</v>
      </c>
      <c r="AI14" s="27">
        <f t="shared" ca="1" si="4"/>
        <v>352</v>
      </c>
      <c r="AJ14" s="27">
        <f t="shared" ca="1" si="5"/>
        <v>45</v>
      </c>
      <c r="AK14" s="27">
        <f t="shared" ca="1" si="6"/>
        <v>209</v>
      </c>
      <c r="AL14" s="27">
        <f t="shared" ca="1" si="7"/>
        <v>590</v>
      </c>
      <c r="AM14" s="27">
        <f t="shared" ca="1" si="8"/>
        <v>56</v>
      </c>
      <c r="AN14" s="27">
        <f t="shared" ca="1" si="9"/>
        <v>4289</v>
      </c>
      <c r="AO14">
        <v>4313</v>
      </c>
      <c r="AP14">
        <v>1596</v>
      </c>
      <c r="AQ14">
        <v>234</v>
      </c>
      <c r="AR14">
        <v>598</v>
      </c>
      <c r="AS14">
        <v>1064</v>
      </c>
      <c r="AT14">
        <v>133</v>
      </c>
      <c r="AU14">
        <v>149</v>
      </c>
      <c r="AV14">
        <v>0.97799999999999998</v>
      </c>
      <c r="AW14" s="29"/>
      <c r="AX14" s="29" t="s">
        <v>138</v>
      </c>
      <c r="AY14" s="29">
        <f t="shared" si="10"/>
        <v>29700</v>
      </c>
      <c r="AZ14" s="31">
        <f t="shared" si="11"/>
        <v>167290</v>
      </c>
      <c r="BA14" s="31">
        <f t="shared" ref="BA14" si="17">SUMIF($B$2:$B$571,$B14,$S$2:$S$571)</f>
        <v>18237</v>
      </c>
      <c r="BB14" s="30">
        <f t="shared" si="12"/>
        <v>0.10901428656823481</v>
      </c>
      <c r="BC14">
        <v>13</v>
      </c>
      <c r="BD14" t="s">
        <v>62</v>
      </c>
      <c r="BE14">
        <v>2012</v>
      </c>
      <c r="BG14" t="s">
        <v>62</v>
      </c>
    </row>
    <row r="15" spans="1:59" x14ac:dyDescent="0.5">
      <c r="B15" s="4">
        <v>2000</v>
      </c>
      <c r="C15" t="s">
        <v>64</v>
      </c>
      <c r="D15" t="s">
        <v>65</v>
      </c>
      <c r="E15">
        <v>4</v>
      </c>
      <c r="F15" t="s">
        <v>38</v>
      </c>
      <c r="G15" t="s">
        <v>38</v>
      </c>
      <c r="H15" t="s">
        <v>38</v>
      </c>
      <c r="I15" t="s">
        <v>38</v>
      </c>
      <c r="J15">
        <v>77</v>
      </c>
      <c r="K15">
        <v>85</v>
      </c>
      <c r="L15">
        <v>879</v>
      </c>
      <c r="M15" s="20">
        <v>5709</v>
      </c>
      <c r="N15" s="20">
        <v>1644</v>
      </c>
      <c r="O15" s="20">
        <f t="shared" si="0"/>
        <v>1186</v>
      </c>
      <c r="P15" s="20">
        <v>281</v>
      </c>
      <c r="Q15" s="20">
        <v>27</v>
      </c>
      <c r="R15" s="20">
        <v>150</v>
      </c>
      <c r="S15" s="20">
        <v>511</v>
      </c>
      <c r="T15" s="20">
        <v>48</v>
      </c>
      <c r="U15" s="20">
        <f t="shared" si="1"/>
        <v>3506</v>
      </c>
      <c r="V15">
        <v>840</v>
      </c>
      <c r="W15">
        <v>121</v>
      </c>
      <c r="X15">
        <v>35</v>
      </c>
      <c r="Y15">
        <v>70</v>
      </c>
      <c r="Z15">
        <v>930</v>
      </c>
      <c r="AA15">
        <v>876</v>
      </c>
      <c r="AB15">
        <v>5.48</v>
      </c>
      <c r="AC15">
        <v>10</v>
      </c>
      <c r="AD15">
        <v>6</v>
      </c>
      <c r="AE15">
        <v>29</v>
      </c>
      <c r="AF15" s="27">
        <v>6443</v>
      </c>
      <c r="AG15" s="27">
        <f t="shared" ca="1" si="2"/>
        <v>1441</v>
      </c>
      <c r="AH15" s="27">
        <f t="shared" ca="1" si="3"/>
        <v>965</v>
      </c>
      <c r="AI15" s="27">
        <f t="shared" ca="1" si="4"/>
        <v>264</v>
      </c>
      <c r="AJ15" s="27">
        <f t="shared" ca="1" si="5"/>
        <v>45</v>
      </c>
      <c r="AK15" s="27">
        <f t="shared" ca="1" si="6"/>
        <v>167</v>
      </c>
      <c r="AL15" s="27">
        <f t="shared" ca="1" si="7"/>
        <v>520</v>
      </c>
      <c r="AM15" s="27">
        <f t="shared" ca="1" si="8"/>
        <v>76</v>
      </c>
      <c r="AN15" s="27">
        <f t="shared" ca="1" si="9"/>
        <v>4406</v>
      </c>
      <c r="AO15">
        <v>4318</v>
      </c>
      <c r="AP15">
        <v>1585</v>
      </c>
      <c r="AQ15">
        <v>239</v>
      </c>
      <c r="AR15">
        <v>693</v>
      </c>
      <c r="AS15">
        <v>927</v>
      </c>
      <c r="AT15">
        <v>102</v>
      </c>
      <c r="AU15">
        <v>185</v>
      </c>
      <c r="AV15">
        <v>0.98299999999999998</v>
      </c>
      <c r="AW15" s="29"/>
      <c r="AX15" s="29" t="s">
        <v>139</v>
      </c>
      <c r="AY15" s="29">
        <f t="shared" si="10"/>
        <v>29700</v>
      </c>
      <c r="AZ15" s="31">
        <f t="shared" si="11"/>
        <v>167290</v>
      </c>
      <c r="BA15" s="31">
        <f t="shared" ref="BA15" si="18">SUMIF($B$2:$B$571,$B15,$T$2:$T$571)</f>
        <v>1573</v>
      </c>
      <c r="BB15" s="30">
        <f t="shared" si="12"/>
        <v>9.4028334030725087E-3</v>
      </c>
      <c r="BC15">
        <v>14</v>
      </c>
      <c r="BD15" t="s">
        <v>64</v>
      </c>
      <c r="BE15">
        <v>2013</v>
      </c>
      <c r="BG15" t="s">
        <v>64</v>
      </c>
    </row>
    <row r="16" spans="1:59" x14ac:dyDescent="0.5">
      <c r="B16" s="4">
        <v>2000</v>
      </c>
      <c r="C16" t="s">
        <v>66</v>
      </c>
      <c r="D16" t="s">
        <v>67</v>
      </c>
      <c r="E16">
        <v>2</v>
      </c>
      <c r="F16" t="s">
        <v>38</v>
      </c>
      <c r="G16" t="s">
        <v>38</v>
      </c>
      <c r="H16" t="s">
        <v>38</v>
      </c>
      <c r="I16" t="s">
        <v>38</v>
      </c>
      <c r="J16">
        <v>86</v>
      </c>
      <c r="K16">
        <v>76</v>
      </c>
      <c r="L16">
        <v>798</v>
      </c>
      <c r="M16" s="20">
        <v>5481</v>
      </c>
      <c r="N16" s="20">
        <v>1408</v>
      </c>
      <c r="O16" s="20">
        <f t="shared" si="0"/>
        <v>904</v>
      </c>
      <c r="P16" s="20">
        <v>265</v>
      </c>
      <c r="Q16" s="20">
        <v>28</v>
      </c>
      <c r="R16" s="20">
        <v>211</v>
      </c>
      <c r="S16" s="20">
        <v>668</v>
      </c>
      <c r="T16" s="20">
        <v>51</v>
      </c>
      <c r="U16" s="20">
        <f t="shared" si="1"/>
        <v>3354</v>
      </c>
      <c r="V16">
        <v>1083</v>
      </c>
      <c r="W16">
        <v>95</v>
      </c>
      <c r="X16">
        <v>42</v>
      </c>
      <c r="Y16">
        <v>46</v>
      </c>
      <c r="Z16">
        <v>729</v>
      </c>
      <c r="AA16">
        <v>659</v>
      </c>
      <c r="AB16">
        <v>4.0999999999999996</v>
      </c>
      <c r="AC16">
        <v>9</v>
      </c>
      <c r="AD16">
        <v>11</v>
      </c>
      <c r="AE16">
        <v>36</v>
      </c>
      <c r="AF16" s="27">
        <v>6249</v>
      </c>
      <c r="AG16" s="27">
        <f t="shared" ca="1" si="2"/>
        <v>1346</v>
      </c>
      <c r="AH16" s="27">
        <f t="shared" ca="1" si="3"/>
        <v>782</v>
      </c>
      <c r="AI16" s="27">
        <f t="shared" ca="1" si="4"/>
        <v>390</v>
      </c>
      <c r="AJ16" s="27">
        <f t="shared" ca="1" si="5"/>
        <v>28</v>
      </c>
      <c r="AK16" s="27">
        <f t="shared" ca="1" si="6"/>
        <v>146</v>
      </c>
      <c r="AL16" s="27">
        <f t="shared" ca="1" si="7"/>
        <v>480</v>
      </c>
      <c r="AM16" s="27">
        <f t="shared" ca="1" si="8"/>
        <v>48</v>
      </c>
      <c r="AN16" s="27">
        <f t="shared" ca="1" si="9"/>
        <v>4375</v>
      </c>
      <c r="AO16">
        <v>4335</v>
      </c>
      <c r="AP16">
        <v>1379</v>
      </c>
      <c r="AQ16">
        <v>176</v>
      </c>
      <c r="AR16">
        <v>600</v>
      </c>
      <c r="AS16">
        <v>1154</v>
      </c>
      <c r="AT16">
        <v>135</v>
      </c>
      <c r="AU16">
        <v>151</v>
      </c>
      <c r="AV16">
        <v>0.97799999999999998</v>
      </c>
      <c r="AW16" s="29"/>
      <c r="AX16" s="29" t="s">
        <v>140</v>
      </c>
      <c r="AY16" s="29">
        <f t="shared" si="10"/>
        <v>29700</v>
      </c>
      <c r="AZ16" s="31">
        <f t="shared" si="11"/>
        <v>167290</v>
      </c>
      <c r="BA16" s="31">
        <f t="shared" ref="BA16" si="19">SUMIF($B$2:$B$571,$B16,$U$2:$U$571)</f>
        <v>102234</v>
      </c>
      <c r="BB16" s="30">
        <f t="shared" si="12"/>
        <v>0.61111841711997128</v>
      </c>
      <c r="BC16">
        <v>15</v>
      </c>
      <c r="BD16" t="s">
        <v>66</v>
      </c>
      <c r="BE16">
        <v>2014</v>
      </c>
      <c r="BG16" s="1" t="s">
        <v>98</v>
      </c>
    </row>
    <row r="17" spans="2:59" x14ac:dyDescent="0.5">
      <c r="B17" s="4">
        <v>2000</v>
      </c>
      <c r="C17" t="s">
        <v>68</v>
      </c>
      <c r="D17" t="s">
        <v>69</v>
      </c>
      <c r="E17">
        <v>3</v>
      </c>
      <c r="F17" t="s">
        <v>38</v>
      </c>
      <c r="G17" t="s">
        <v>38</v>
      </c>
      <c r="H17" t="s">
        <v>38</v>
      </c>
      <c r="I17" t="s">
        <v>38</v>
      </c>
      <c r="J17">
        <v>73</v>
      </c>
      <c r="K17">
        <v>89</v>
      </c>
      <c r="L17">
        <v>740</v>
      </c>
      <c r="M17" s="20">
        <v>5563</v>
      </c>
      <c r="N17" s="20">
        <v>1366</v>
      </c>
      <c r="O17" s="20">
        <f t="shared" si="0"/>
        <v>867</v>
      </c>
      <c r="P17" s="20">
        <v>297</v>
      </c>
      <c r="Q17" s="20">
        <v>25</v>
      </c>
      <c r="R17" s="20">
        <v>177</v>
      </c>
      <c r="S17" s="20">
        <v>620</v>
      </c>
      <c r="T17" s="20">
        <v>61</v>
      </c>
      <c r="U17" s="20">
        <f t="shared" si="1"/>
        <v>3516</v>
      </c>
      <c r="V17">
        <v>1245</v>
      </c>
      <c r="W17">
        <v>72</v>
      </c>
      <c r="X17">
        <v>44</v>
      </c>
      <c r="Y17">
        <v>49</v>
      </c>
      <c r="Z17">
        <v>826</v>
      </c>
      <c r="AA17">
        <v>755</v>
      </c>
      <c r="AB17">
        <v>4.63</v>
      </c>
      <c r="AC17">
        <v>2</v>
      </c>
      <c r="AD17">
        <v>7</v>
      </c>
      <c r="AE17">
        <v>29</v>
      </c>
      <c r="AF17" s="27">
        <v>6497</v>
      </c>
      <c r="AG17" s="27">
        <f t="shared" ca="1" si="2"/>
        <v>1633</v>
      </c>
      <c r="AH17" s="27">
        <f t="shared" ca="1" si="3"/>
        <v>1198</v>
      </c>
      <c r="AI17" s="27">
        <f t="shared" ca="1" si="4"/>
        <v>242</v>
      </c>
      <c r="AJ17" s="27">
        <f t="shared" ca="1" si="5"/>
        <v>49</v>
      </c>
      <c r="AK17" s="27">
        <f t="shared" ca="1" si="6"/>
        <v>144</v>
      </c>
      <c r="AL17" s="27">
        <f t="shared" ca="1" si="7"/>
        <v>662</v>
      </c>
      <c r="AM17" s="27">
        <f t="shared" ca="1" si="8"/>
        <v>36</v>
      </c>
      <c r="AN17" s="27">
        <f t="shared" ca="1" si="9"/>
        <v>4166</v>
      </c>
      <c r="AO17">
        <v>4399</v>
      </c>
      <c r="AP17">
        <v>1501</v>
      </c>
      <c r="AQ17">
        <v>174</v>
      </c>
      <c r="AR17">
        <v>728</v>
      </c>
      <c r="AS17">
        <v>967</v>
      </c>
      <c r="AT17">
        <v>118</v>
      </c>
      <c r="AU17">
        <v>187</v>
      </c>
      <c r="AV17">
        <v>0.98099999999999998</v>
      </c>
      <c r="AW17" s="29"/>
      <c r="AX17" s="29"/>
      <c r="AY17" s="29"/>
      <c r="AZ17" s="31"/>
      <c r="BA17" s="31"/>
      <c r="BB17" s="30"/>
      <c r="BC17">
        <v>16</v>
      </c>
      <c r="BD17" t="s">
        <v>103</v>
      </c>
      <c r="BE17">
        <v>2015</v>
      </c>
      <c r="BG17" t="s">
        <v>66</v>
      </c>
    </row>
    <row r="18" spans="2:59" x14ac:dyDescent="0.5">
      <c r="B18" s="4">
        <v>2000</v>
      </c>
      <c r="C18" t="s">
        <v>70</v>
      </c>
      <c r="D18" t="s">
        <v>71</v>
      </c>
      <c r="E18">
        <v>5</v>
      </c>
      <c r="F18" t="s">
        <v>38</v>
      </c>
      <c r="G18" t="s">
        <v>38</v>
      </c>
      <c r="H18" t="s">
        <v>38</v>
      </c>
      <c r="I18" t="s">
        <v>38</v>
      </c>
      <c r="J18">
        <v>69</v>
      </c>
      <c r="K18">
        <v>93</v>
      </c>
      <c r="L18">
        <v>748</v>
      </c>
      <c r="M18" s="20">
        <v>5615</v>
      </c>
      <c r="N18" s="20">
        <v>1516</v>
      </c>
      <c r="O18" s="20">
        <f t="shared" si="0"/>
        <v>1026</v>
      </c>
      <c r="P18" s="20">
        <v>325</v>
      </c>
      <c r="Q18" s="20">
        <v>49</v>
      </c>
      <c r="R18" s="20">
        <v>116</v>
      </c>
      <c r="S18" s="20">
        <v>556</v>
      </c>
      <c r="T18" s="20">
        <v>35</v>
      </c>
      <c r="U18" s="20">
        <f t="shared" si="1"/>
        <v>3508</v>
      </c>
      <c r="V18">
        <v>1021</v>
      </c>
      <c r="W18">
        <v>90</v>
      </c>
      <c r="X18">
        <v>45</v>
      </c>
      <c r="Y18">
        <v>51</v>
      </c>
      <c r="Z18">
        <v>880</v>
      </c>
      <c r="AA18">
        <v>819</v>
      </c>
      <c r="AB18">
        <v>5.14</v>
      </c>
      <c r="AC18">
        <v>6</v>
      </c>
      <c r="AD18">
        <v>4</v>
      </c>
      <c r="AE18">
        <v>35</v>
      </c>
      <c r="AF18" s="27">
        <v>6336</v>
      </c>
      <c r="AG18" s="27">
        <f t="shared" ca="1" si="2"/>
        <v>1435</v>
      </c>
      <c r="AH18" s="27">
        <f t="shared" ca="1" si="3"/>
        <v>922</v>
      </c>
      <c r="AI18" s="27">
        <f t="shared" ca="1" si="4"/>
        <v>350</v>
      </c>
      <c r="AJ18" s="27">
        <f t="shared" ca="1" si="5"/>
        <v>30</v>
      </c>
      <c r="AK18" s="27">
        <f t="shared" ca="1" si="6"/>
        <v>133</v>
      </c>
      <c r="AL18" s="27">
        <f t="shared" ca="1" si="7"/>
        <v>495</v>
      </c>
      <c r="AM18" s="27">
        <f t="shared" ca="1" si="8"/>
        <v>76</v>
      </c>
      <c r="AN18" s="27">
        <f t="shared" ca="1" si="9"/>
        <v>4330</v>
      </c>
      <c r="AO18">
        <v>4298</v>
      </c>
      <c r="AP18">
        <v>1634</v>
      </c>
      <c r="AQ18">
        <v>212</v>
      </c>
      <c r="AR18">
        <v>516</v>
      </c>
      <c r="AS18">
        <v>1042</v>
      </c>
      <c r="AT18">
        <v>102</v>
      </c>
      <c r="AU18">
        <v>155</v>
      </c>
      <c r="AV18">
        <v>0.98299999999999998</v>
      </c>
      <c r="AW18" s="29">
        <v>2002</v>
      </c>
      <c r="AX18" s="29" t="s">
        <v>134</v>
      </c>
      <c r="AY18" s="29">
        <f t="shared" si="10"/>
        <v>29700</v>
      </c>
      <c r="AZ18" s="31">
        <f t="shared" si="11"/>
        <v>167290</v>
      </c>
      <c r="BA18" s="31">
        <f t="shared" ref="BA18" si="20">SUMIF($B$2:$B$571,$B18,$O$2:$O$571)</f>
        <v>29700</v>
      </c>
      <c r="BB18" s="30">
        <f t="shared" si="12"/>
        <v>0.17753601530276764</v>
      </c>
      <c r="BC18">
        <v>17</v>
      </c>
      <c r="BD18" t="s">
        <v>68</v>
      </c>
      <c r="BE18">
        <v>2016</v>
      </c>
      <c r="BG18" t="s">
        <v>103</v>
      </c>
    </row>
    <row r="19" spans="2:59" x14ac:dyDescent="0.5">
      <c r="B19" s="4">
        <v>2000</v>
      </c>
      <c r="C19" t="s">
        <v>72</v>
      </c>
      <c r="D19" t="s">
        <v>73</v>
      </c>
      <c r="E19">
        <v>4</v>
      </c>
      <c r="F19" t="s">
        <v>38</v>
      </c>
      <c r="G19" t="s">
        <v>38</v>
      </c>
      <c r="H19" t="s">
        <v>38</v>
      </c>
      <c r="I19" t="s">
        <v>38</v>
      </c>
      <c r="J19">
        <v>67</v>
      </c>
      <c r="K19">
        <v>95</v>
      </c>
      <c r="L19">
        <v>738</v>
      </c>
      <c r="M19" s="20">
        <v>5535</v>
      </c>
      <c r="N19" s="20">
        <v>1475</v>
      </c>
      <c r="O19" s="20">
        <f t="shared" si="0"/>
        <v>952</v>
      </c>
      <c r="P19" s="20">
        <v>310</v>
      </c>
      <c r="Q19" s="20">
        <v>35</v>
      </c>
      <c r="R19" s="20">
        <v>178</v>
      </c>
      <c r="S19" s="20">
        <v>476</v>
      </c>
      <c r="T19" s="20">
        <v>29</v>
      </c>
      <c r="U19" s="20">
        <f t="shared" si="1"/>
        <v>3555</v>
      </c>
      <c r="V19">
        <v>1048</v>
      </c>
      <c r="W19">
        <v>58</v>
      </c>
      <c r="X19">
        <v>48</v>
      </c>
      <c r="Y19">
        <v>34</v>
      </c>
      <c r="Z19">
        <v>902</v>
      </c>
      <c r="AA19">
        <v>812</v>
      </c>
      <c r="AB19">
        <v>5.13</v>
      </c>
      <c r="AC19">
        <v>4</v>
      </c>
      <c r="AD19">
        <v>7</v>
      </c>
      <c r="AE19">
        <v>39</v>
      </c>
      <c r="AF19" s="27">
        <v>6340</v>
      </c>
      <c r="AG19" s="27">
        <f t="shared" ca="1" si="2"/>
        <v>1482</v>
      </c>
      <c r="AH19" s="27">
        <f t="shared" ca="1" si="3"/>
        <v>809</v>
      </c>
      <c r="AI19" s="27">
        <f t="shared" ca="1" si="4"/>
        <v>386</v>
      </c>
      <c r="AJ19" s="27">
        <f t="shared" ca="1" si="5"/>
        <v>49</v>
      </c>
      <c r="AK19" s="27">
        <f t="shared" ca="1" si="6"/>
        <v>238</v>
      </c>
      <c r="AL19" s="27">
        <f t="shared" ca="1" si="7"/>
        <v>502</v>
      </c>
      <c r="AM19" s="27">
        <f t="shared" ca="1" si="8"/>
        <v>76</v>
      </c>
      <c r="AN19" s="27">
        <f t="shared" ca="1" si="9"/>
        <v>4280</v>
      </c>
      <c r="AO19">
        <v>4274</v>
      </c>
      <c r="AP19">
        <v>1575</v>
      </c>
      <c r="AQ19">
        <v>181</v>
      </c>
      <c r="AR19">
        <v>579</v>
      </c>
      <c r="AS19">
        <v>1011</v>
      </c>
      <c r="AT19">
        <v>132</v>
      </c>
      <c r="AU19">
        <v>151</v>
      </c>
      <c r="AV19">
        <v>0.97799999999999998</v>
      </c>
      <c r="AW19" s="29"/>
      <c r="AX19" s="29" t="s">
        <v>135</v>
      </c>
      <c r="AY19" s="29">
        <f t="shared" si="10"/>
        <v>29700</v>
      </c>
      <c r="AZ19" s="31">
        <f t="shared" si="11"/>
        <v>167290</v>
      </c>
      <c r="BA19" s="31">
        <f t="shared" ref="BA19" si="21">SUMIF($B$2:$B$571,$B19,$P$2:$P$571)</f>
        <v>8901</v>
      </c>
      <c r="BB19" s="30">
        <f t="shared" si="12"/>
        <v>5.3207005798314305E-2</v>
      </c>
      <c r="BC19">
        <v>18</v>
      </c>
      <c r="BD19" t="s">
        <v>70</v>
      </c>
      <c r="BE19">
        <v>2017</v>
      </c>
      <c r="BG19" t="s">
        <v>68</v>
      </c>
    </row>
    <row r="20" spans="2:59" x14ac:dyDescent="0.5">
      <c r="B20" s="4">
        <v>2000</v>
      </c>
      <c r="C20" t="s">
        <v>74</v>
      </c>
      <c r="D20" t="s">
        <v>75</v>
      </c>
      <c r="E20">
        <v>1</v>
      </c>
      <c r="F20" t="s">
        <v>43</v>
      </c>
      <c r="G20" t="s">
        <v>38</v>
      </c>
      <c r="H20" t="s">
        <v>43</v>
      </c>
      <c r="I20" t="s">
        <v>43</v>
      </c>
      <c r="J20">
        <v>87</v>
      </c>
      <c r="K20">
        <v>74</v>
      </c>
      <c r="L20">
        <v>871</v>
      </c>
      <c r="M20" s="20">
        <v>5556</v>
      </c>
      <c r="N20" s="20">
        <v>1541</v>
      </c>
      <c r="O20" s="20">
        <f t="shared" si="0"/>
        <v>1017</v>
      </c>
      <c r="P20" s="20">
        <v>294</v>
      </c>
      <c r="Q20" s="20">
        <v>25</v>
      </c>
      <c r="R20" s="20">
        <v>205</v>
      </c>
      <c r="S20" s="20">
        <v>631</v>
      </c>
      <c r="T20" s="20">
        <v>57</v>
      </c>
      <c r="U20" s="20">
        <f t="shared" si="1"/>
        <v>3327</v>
      </c>
      <c r="V20">
        <v>1007</v>
      </c>
      <c r="W20">
        <v>99</v>
      </c>
      <c r="X20">
        <v>48</v>
      </c>
      <c r="Y20">
        <v>50</v>
      </c>
      <c r="Z20">
        <v>814</v>
      </c>
      <c r="AA20">
        <v>753</v>
      </c>
      <c r="AB20">
        <v>4.76</v>
      </c>
      <c r="AC20">
        <v>9</v>
      </c>
      <c r="AD20">
        <v>6</v>
      </c>
      <c r="AE20">
        <v>40</v>
      </c>
      <c r="AF20" s="27">
        <v>6256</v>
      </c>
      <c r="AG20" s="27">
        <f t="shared" ca="1" si="2"/>
        <v>1475</v>
      </c>
      <c r="AH20" s="27">
        <f t="shared" ca="1" si="3"/>
        <v>950</v>
      </c>
      <c r="AI20" s="27">
        <f t="shared" ca="1" si="4"/>
        <v>327</v>
      </c>
      <c r="AJ20" s="27">
        <f t="shared" ca="1" si="5"/>
        <v>44</v>
      </c>
      <c r="AK20" s="27">
        <f t="shared" ca="1" si="6"/>
        <v>154</v>
      </c>
      <c r="AL20" s="27">
        <f t="shared" ca="1" si="7"/>
        <v>457</v>
      </c>
      <c r="AM20" s="27">
        <f t="shared" ca="1" si="8"/>
        <v>32</v>
      </c>
      <c r="AN20" s="27">
        <f t="shared" ca="1" si="9"/>
        <v>4292</v>
      </c>
      <c r="AO20">
        <v>4273</v>
      </c>
      <c r="AP20">
        <v>1458</v>
      </c>
      <c r="AQ20">
        <v>177</v>
      </c>
      <c r="AR20">
        <v>577</v>
      </c>
      <c r="AS20">
        <v>1040</v>
      </c>
      <c r="AT20">
        <v>109</v>
      </c>
      <c r="AU20">
        <v>132</v>
      </c>
      <c r="AV20">
        <v>0.98099999999999998</v>
      </c>
      <c r="AW20" s="29"/>
      <c r="AX20" s="29" t="s">
        <v>136</v>
      </c>
      <c r="AY20" s="29">
        <f t="shared" si="10"/>
        <v>29700</v>
      </c>
      <c r="AZ20" s="31">
        <f t="shared" si="11"/>
        <v>167290</v>
      </c>
      <c r="BA20" s="31">
        <f t="shared" ref="BA20" si="22">SUMIF($B$2:$B$571,$B20,$Q$2:$Q$571)</f>
        <v>952</v>
      </c>
      <c r="BB20" s="30">
        <f t="shared" si="12"/>
        <v>5.6907167194691849E-3</v>
      </c>
      <c r="BC20">
        <v>19</v>
      </c>
      <c r="BD20" s="20" t="s">
        <v>72</v>
      </c>
      <c r="BE20">
        <v>2018</v>
      </c>
      <c r="BG20" t="s">
        <v>70</v>
      </c>
    </row>
    <row r="21" spans="2:59" x14ac:dyDescent="0.5">
      <c r="B21" s="4">
        <v>2000</v>
      </c>
      <c r="C21" t="s">
        <v>76</v>
      </c>
      <c r="D21" t="s">
        <v>77</v>
      </c>
      <c r="E21">
        <v>2</v>
      </c>
      <c r="F21" t="s">
        <v>38</v>
      </c>
      <c r="G21" t="s">
        <v>43</v>
      </c>
      <c r="H21" t="s">
        <v>43</v>
      </c>
      <c r="I21" t="s">
        <v>38</v>
      </c>
      <c r="J21">
        <v>94</v>
      </c>
      <c r="K21">
        <v>68</v>
      </c>
      <c r="L21">
        <v>807</v>
      </c>
      <c r="M21" s="20">
        <v>5486</v>
      </c>
      <c r="N21" s="20">
        <v>1445</v>
      </c>
      <c r="O21" s="20">
        <f t="shared" si="0"/>
        <v>946</v>
      </c>
      <c r="P21" s="20">
        <v>281</v>
      </c>
      <c r="Q21" s="20">
        <v>20</v>
      </c>
      <c r="R21" s="20">
        <v>198</v>
      </c>
      <c r="S21" s="20">
        <v>675</v>
      </c>
      <c r="T21" s="20">
        <v>45</v>
      </c>
      <c r="U21" s="20">
        <f t="shared" si="1"/>
        <v>3321</v>
      </c>
      <c r="V21">
        <v>1037</v>
      </c>
      <c r="W21">
        <v>66</v>
      </c>
      <c r="X21">
        <v>46</v>
      </c>
      <c r="Y21">
        <v>51</v>
      </c>
      <c r="Z21">
        <v>738</v>
      </c>
      <c r="AA21">
        <v>670</v>
      </c>
      <c r="AB21">
        <v>4.16</v>
      </c>
      <c r="AC21">
        <v>8</v>
      </c>
      <c r="AD21">
        <v>10</v>
      </c>
      <c r="AE21">
        <v>49</v>
      </c>
      <c r="AF21" s="27">
        <v>6276</v>
      </c>
      <c r="AG21" s="27">
        <f t="shared" ca="1" si="2"/>
        <v>1446</v>
      </c>
      <c r="AH21" s="27">
        <f t="shared" ca="1" si="3"/>
        <v>928</v>
      </c>
      <c r="AI21" s="27">
        <f t="shared" ca="1" si="4"/>
        <v>315</v>
      </c>
      <c r="AJ21" s="27">
        <f t="shared" ca="1" si="5"/>
        <v>30</v>
      </c>
      <c r="AK21" s="27">
        <f t="shared" ca="1" si="6"/>
        <v>173</v>
      </c>
      <c r="AL21" s="27">
        <f t="shared" ca="1" si="7"/>
        <v>511</v>
      </c>
      <c r="AM21" s="27">
        <f t="shared" ca="1" si="8"/>
        <v>31</v>
      </c>
      <c r="AN21" s="27">
        <f t="shared" ca="1" si="9"/>
        <v>4288</v>
      </c>
      <c r="AO21">
        <v>4350</v>
      </c>
      <c r="AP21">
        <v>1398</v>
      </c>
      <c r="AQ21">
        <v>164</v>
      </c>
      <c r="AR21">
        <v>574</v>
      </c>
      <c r="AS21">
        <v>1164</v>
      </c>
      <c r="AT21">
        <v>118</v>
      </c>
      <c r="AU21">
        <v>121</v>
      </c>
      <c r="AV21">
        <v>0.98</v>
      </c>
      <c r="AW21" s="1"/>
      <c r="AX21" s="29" t="s">
        <v>137</v>
      </c>
      <c r="AY21" s="29">
        <f t="shared" si="10"/>
        <v>29700</v>
      </c>
      <c r="AZ21" s="31">
        <f t="shared" si="11"/>
        <v>167290</v>
      </c>
      <c r="BA21" s="31">
        <f t="shared" ref="BA21" si="23">SUMIF($B$2:$B$571,$B21,$R$2:$R$571)</f>
        <v>5693</v>
      </c>
      <c r="BB21" s="30">
        <f t="shared" si="12"/>
        <v>3.4030725088170247E-2</v>
      </c>
      <c r="BC21">
        <v>20</v>
      </c>
      <c r="BD21" t="s">
        <v>74</v>
      </c>
      <c r="BG21" s="20" t="s">
        <v>72</v>
      </c>
    </row>
    <row r="22" spans="2:59" x14ac:dyDescent="0.5">
      <c r="B22" s="4">
        <v>2000</v>
      </c>
      <c r="C22" t="s">
        <v>78</v>
      </c>
      <c r="D22" t="s">
        <v>79</v>
      </c>
      <c r="E22">
        <v>1</v>
      </c>
      <c r="F22" t="s">
        <v>43</v>
      </c>
      <c r="G22" t="s">
        <v>38</v>
      </c>
      <c r="H22" t="s">
        <v>38</v>
      </c>
      <c r="I22" t="s">
        <v>38</v>
      </c>
      <c r="J22">
        <v>91</v>
      </c>
      <c r="K22">
        <v>70</v>
      </c>
      <c r="L22">
        <v>947</v>
      </c>
      <c r="M22" s="20">
        <v>5560</v>
      </c>
      <c r="N22" s="20">
        <v>1501</v>
      </c>
      <c r="O22" s="20">
        <f>N22-(P22+Q22+R22)</f>
        <v>958</v>
      </c>
      <c r="P22" s="20">
        <v>281</v>
      </c>
      <c r="Q22" s="20">
        <v>23</v>
      </c>
      <c r="R22" s="20">
        <v>239</v>
      </c>
      <c r="S22" s="20">
        <v>750</v>
      </c>
      <c r="T22" s="20">
        <v>52</v>
      </c>
      <c r="U22" s="20">
        <f>M22-(N22+S22+T22)</f>
        <v>3257</v>
      </c>
      <c r="V22">
        <v>1159</v>
      </c>
      <c r="W22">
        <v>40</v>
      </c>
      <c r="X22">
        <v>15</v>
      </c>
      <c r="Y22">
        <v>44</v>
      </c>
      <c r="Z22">
        <v>813</v>
      </c>
      <c r="AA22">
        <v>730</v>
      </c>
      <c r="AB22">
        <v>4.58</v>
      </c>
      <c r="AC22">
        <v>7</v>
      </c>
      <c r="AD22">
        <v>11</v>
      </c>
      <c r="AE22">
        <v>43</v>
      </c>
      <c r="AF22" s="27">
        <v>6355</v>
      </c>
      <c r="AG22" s="27">
        <f t="shared" ca="1" si="2"/>
        <v>1385</v>
      </c>
      <c r="AH22" s="27">
        <f t="shared" ca="1" si="3"/>
        <v>838</v>
      </c>
      <c r="AI22" s="27">
        <f t="shared" ca="1" si="4"/>
        <v>307</v>
      </c>
      <c r="AJ22" s="27">
        <f t="shared" ca="1" si="5"/>
        <v>49</v>
      </c>
      <c r="AK22" s="27">
        <f t="shared" ca="1" si="6"/>
        <v>191</v>
      </c>
      <c r="AL22" s="27">
        <f t="shared" ca="1" si="7"/>
        <v>532</v>
      </c>
      <c r="AM22" s="27">
        <f t="shared" ca="1" si="8"/>
        <v>67</v>
      </c>
      <c r="AN22" s="27">
        <f t="shared" ca="1" si="9"/>
        <v>4371</v>
      </c>
      <c r="AO22">
        <v>4306</v>
      </c>
      <c r="AP22">
        <v>1535</v>
      </c>
      <c r="AQ22">
        <v>158</v>
      </c>
      <c r="AR22">
        <v>615</v>
      </c>
      <c r="AS22">
        <v>963</v>
      </c>
      <c r="AT22">
        <v>134</v>
      </c>
      <c r="AU22">
        <v>164</v>
      </c>
      <c r="AV22">
        <v>0.97799999999999998</v>
      </c>
      <c r="AW22" s="1"/>
      <c r="AX22" s="29" t="s">
        <v>138</v>
      </c>
      <c r="AY22" s="29">
        <f t="shared" si="10"/>
        <v>29700</v>
      </c>
      <c r="AZ22" s="31">
        <f t="shared" si="11"/>
        <v>167290</v>
      </c>
      <c r="BA22" s="31">
        <f t="shared" ref="BA22" si="24">SUMIF($B$2:$B$571,$B22,$S$2:$S$571)</f>
        <v>18237</v>
      </c>
      <c r="BB22" s="30">
        <f t="shared" si="12"/>
        <v>0.10901428656823481</v>
      </c>
      <c r="BC22">
        <v>21</v>
      </c>
      <c r="BD22" t="s">
        <v>76</v>
      </c>
      <c r="BG22" t="s">
        <v>74</v>
      </c>
    </row>
    <row r="23" spans="2:59" x14ac:dyDescent="0.5">
      <c r="B23" s="4">
        <v>2000</v>
      </c>
      <c r="C23" t="s">
        <v>80</v>
      </c>
      <c r="D23" t="s">
        <v>81</v>
      </c>
      <c r="E23">
        <v>5</v>
      </c>
      <c r="F23" t="s">
        <v>38</v>
      </c>
      <c r="G23" t="s">
        <v>38</v>
      </c>
      <c r="H23" t="s">
        <v>38</v>
      </c>
      <c r="I23" t="s">
        <v>38</v>
      </c>
      <c r="J23">
        <v>65</v>
      </c>
      <c r="K23">
        <v>97</v>
      </c>
      <c r="L23">
        <v>708</v>
      </c>
      <c r="M23" s="20">
        <v>5511</v>
      </c>
      <c r="N23" s="20">
        <v>1386</v>
      </c>
      <c r="O23" s="20">
        <f t="shared" si="0"/>
        <v>898</v>
      </c>
      <c r="P23" s="20">
        <v>304</v>
      </c>
      <c r="Q23" s="20">
        <v>40</v>
      </c>
      <c r="R23" s="20">
        <v>144</v>
      </c>
      <c r="S23" s="20">
        <v>611</v>
      </c>
      <c r="T23" s="20">
        <v>44</v>
      </c>
      <c r="U23" s="20">
        <f t="shared" si="1"/>
        <v>3470</v>
      </c>
      <c r="V23">
        <v>1117</v>
      </c>
      <c r="W23">
        <v>102</v>
      </c>
      <c r="X23">
        <v>30</v>
      </c>
      <c r="Y23">
        <v>37</v>
      </c>
      <c r="Z23">
        <v>830</v>
      </c>
      <c r="AA23">
        <v>763</v>
      </c>
      <c r="AB23">
        <v>4.7699999999999996</v>
      </c>
      <c r="AC23">
        <v>8</v>
      </c>
      <c r="AD23">
        <v>6</v>
      </c>
      <c r="AE23">
        <v>34</v>
      </c>
      <c r="AF23" s="27">
        <v>6314</v>
      </c>
      <c r="AG23" s="27">
        <f t="shared" ca="1" si="2"/>
        <v>1447</v>
      </c>
      <c r="AH23" s="27">
        <f t="shared" ca="1" si="3"/>
        <v>795</v>
      </c>
      <c r="AI23" s="27">
        <f t="shared" ca="1" si="4"/>
        <v>390</v>
      </c>
      <c r="AJ23" s="27">
        <f t="shared" ca="1" si="5"/>
        <v>43</v>
      </c>
      <c r="AK23" s="27">
        <f t="shared" ca="1" si="6"/>
        <v>219</v>
      </c>
      <c r="AL23" s="27">
        <f t="shared" ca="1" si="7"/>
        <v>642</v>
      </c>
      <c r="AM23" s="27">
        <f t="shared" ca="1" si="8"/>
        <v>58</v>
      </c>
      <c r="AN23" s="27">
        <f t="shared" ca="1" si="9"/>
        <v>4167</v>
      </c>
      <c r="AO23">
        <v>4316</v>
      </c>
      <c r="AP23">
        <v>1458</v>
      </c>
      <c r="AQ23">
        <v>201</v>
      </c>
      <c r="AR23">
        <v>640</v>
      </c>
      <c r="AS23">
        <v>1123</v>
      </c>
      <c r="AT23">
        <v>100</v>
      </c>
      <c r="AU23">
        <v>136</v>
      </c>
      <c r="AV23">
        <v>0.98299999999999998</v>
      </c>
      <c r="AW23" s="1"/>
      <c r="AX23" s="29" t="s">
        <v>139</v>
      </c>
      <c r="AY23" s="29">
        <f t="shared" si="10"/>
        <v>29700</v>
      </c>
      <c r="AZ23" s="31">
        <f t="shared" si="11"/>
        <v>167290</v>
      </c>
      <c r="BA23" s="31">
        <f t="shared" ref="BA23" si="25">SUMIF($B$2:$B$571,$B23,$T$2:$T$571)</f>
        <v>1573</v>
      </c>
      <c r="BB23" s="30">
        <f t="shared" si="12"/>
        <v>9.4028334030725087E-3</v>
      </c>
      <c r="BC23">
        <v>22</v>
      </c>
      <c r="BD23" t="s">
        <v>78</v>
      </c>
      <c r="BG23" t="s">
        <v>76</v>
      </c>
    </row>
    <row r="24" spans="2:59" x14ac:dyDescent="0.5">
      <c r="B24" s="4">
        <v>2000</v>
      </c>
      <c r="C24" t="s">
        <v>82</v>
      </c>
      <c r="D24" t="s">
        <v>83</v>
      </c>
      <c r="E24">
        <v>5</v>
      </c>
      <c r="F24" t="s">
        <v>38</v>
      </c>
      <c r="G24" t="s">
        <v>38</v>
      </c>
      <c r="H24" t="s">
        <v>38</v>
      </c>
      <c r="I24" t="s">
        <v>38</v>
      </c>
      <c r="J24">
        <v>69</v>
      </c>
      <c r="K24">
        <v>93</v>
      </c>
      <c r="L24">
        <v>793</v>
      </c>
      <c r="M24" s="20">
        <v>5643</v>
      </c>
      <c r="N24" s="20">
        <v>1506</v>
      </c>
      <c r="O24" s="20">
        <f t="shared" si="0"/>
        <v>987</v>
      </c>
      <c r="P24" s="20">
        <v>320</v>
      </c>
      <c r="Q24" s="20">
        <v>31</v>
      </c>
      <c r="R24" s="20">
        <v>168</v>
      </c>
      <c r="S24" s="20">
        <v>564</v>
      </c>
      <c r="T24" s="20">
        <v>66</v>
      </c>
      <c r="U24" s="20">
        <f t="shared" si="1"/>
        <v>3507</v>
      </c>
      <c r="V24">
        <v>1032</v>
      </c>
      <c r="W24">
        <v>86</v>
      </c>
      <c r="X24">
        <v>40</v>
      </c>
      <c r="Y24">
        <v>37</v>
      </c>
      <c r="Z24">
        <v>888</v>
      </c>
      <c r="AA24">
        <v>795</v>
      </c>
      <c r="AB24">
        <v>4.9400000000000004</v>
      </c>
      <c r="AC24">
        <v>5</v>
      </c>
      <c r="AD24">
        <v>7</v>
      </c>
      <c r="AE24">
        <v>27</v>
      </c>
      <c r="AF24" s="27">
        <v>6514</v>
      </c>
      <c r="AG24" s="27">
        <f t="shared" ca="1" si="2"/>
        <v>1539</v>
      </c>
      <c r="AH24" s="27">
        <f t="shared" ca="1" si="3"/>
        <v>905</v>
      </c>
      <c r="AI24" s="27">
        <f t="shared" ca="1" si="4"/>
        <v>384</v>
      </c>
      <c r="AJ24" s="27">
        <f t="shared" ca="1" si="5"/>
        <v>25</v>
      </c>
      <c r="AK24" s="27">
        <f t="shared" ca="1" si="6"/>
        <v>225</v>
      </c>
      <c r="AL24" s="27">
        <f t="shared" ca="1" si="7"/>
        <v>522</v>
      </c>
      <c r="AM24" s="27">
        <f t="shared" ca="1" si="8"/>
        <v>52</v>
      </c>
      <c r="AN24" s="27">
        <f t="shared" ca="1" si="9"/>
        <v>4401</v>
      </c>
      <c r="AO24">
        <v>4347</v>
      </c>
      <c r="AP24">
        <v>1554</v>
      </c>
      <c r="AQ24">
        <v>163</v>
      </c>
      <c r="AR24">
        <v>711</v>
      </c>
      <c r="AS24">
        <v>1070</v>
      </c>
      <c r="AT24">
        <v>132</v>
      </c>
      <c r="AU24">
        <v>169</v>
      </c>
      <c r="AV24">
        <v>0.97899999999999998</v>
      </c>
      <c r="AW24" s="1"/>
      <c r="AX24" s="29" t="s">
        <v>140</v>
      </c>
      <c r="AY24" s="29">
        <f t="shared" si="10"/>
        <v>29700</v>
      </c>
      <c r="AZ24" s="31">
        <f t="shared" si="11"/>
        <v>167290</v>
      </c>
      <c r="BA24" s="31">
        <f t="shared" ref="BA24" si="26">SUMIF($B$2:$B$571,$B24,$U$2:$U$571)</f>
        <v>102234</v>
      </c>
      <c r="BB24" s="30">
        <f t="shared" si="12"/>
        <v>0.61111841711997128</v>
      </c>
      <c r="BC24">
        <v>23</v>
      </c>
      <c r="BD24" t="s">
        <v>80</v>
      </c>
      <c r="BG24" t="s">
        <v>78</v>
      </c>
    </row>
    <row r="25" spans="2:59" x14ac:dyDescent="0.5">
      <c r="B25" s="4">
        <v>2000</v>
      </c>
      <c r="C25" t="s">
        <v>84</v>
      </c>
      <c r="D25" t="s">
        <v>85</v>
      </c>
      <c r="E25">
        <v>5</v>
      </c>
      <c r="F25" t="s">
        <v>38</v>
      </c>
      <c r="G25" t="s">
        <v>38</v>
      </c>
      <c r="H25" t="s">
        <v>38</v>
      </c>
      <c r="I25" t="s">
        <v>38</v>
      </c>
      <c r="J25">
        <v>76</v>
      </c>
      <c r="K25">
        <v>86</v>
      </c>
      <c r="L25">
        <v>752</v>
      </c>
      <c r="M25" s="20">
        <v>5560</v>
      </c>
      <c r="N25" s="20">
        <v>1413</v>
      </c>
      <c r="O25" s="20">
        <f t="shared" si="0"/>
        <v>940</v>
      </c>
      <c r="P25" s="20">
        <v>279</v>
      </c>
      <c r="Q25" s="20">
        <v>37</v>
      </c>
      <c r="R25" s="20">
        <v>157</v>
      </c>
      <c r="S25" s="20">
        <v>602</v>
      </c>
      <c r="T25" s="20">
        <v>46</v>
      </c>
      <c r="U25" s="20">
        <f t="shared" si="1"/>
        <v>3499</v>
      </c>
      <c r="V25">
        <v>1177</v>
      </c>
      <c r="W25">
        <v>131</v>
      </c>
      <c r="X25">
        <v>53</v>
      </c>
      <c r="Y25">
        <v>43</v>
      </c>
      <c r="Z25">
        <v>815</v>
      </c>
      <c r="AA25">
        <v>733</v>
      </c>
      <c r="AB25">
        <v>4.5199999999999996</v>
      </c>
      <c r="AC25">
        <v>5</v>
      </c>
      <c r="AD25">
        <v>5</v>
      </c>
      <c r="AE25">
        <v>46</v>
      </c>
      <c r="AF25" s="27">
        <v>6414</v>
      </c>
      <c r="AG25" s="27">
        <f t="shared" ca="1" si="2"/>
        <v>1679</v>
      </c>
      <c r="AH25" s="27">
        <f t="shared" ca="1" si="3"/>
        <v>1239</v>
      </c>
      <c r="AI25" s="27">
        <f t="shared" ca="1" si="4"/>
        <v>246</v>
      </c>
      <c r="AJ25" s="27">
        <f t="shared" ca="1" si="5"/>
        <v>38</v>
      </c>
      <c r="AK25" s="27">
        <f t="shared" ca="1" si="6"/>
        <v>156</v>
      </c>
      <c r="AL25" s="27">
        <f t="shared" ca="1" si="7"/>
        <v>664</v>
      </c>
      <c r="AM25" s="27">
        <f t="shared" ca="1" si="8"/>
        <v>37</v>
      </c>
      <c r="AN25" s="27">
        <f t="shared" ca="1" si="9"/>
        <v>4034</v>
      </c>
      <c r="AO25">
        <v>4378</v>
      </c>
      <c r="AP25">
        <v>1443</v>
      </c>
      <c r="AQ25">
        <v>191</v>
      </c>
      <c r="AR25">
        <v>649</v>
      </c>
      <c r="AS25">
        <v>1071</v>
      </c>
      <c r="AT25">
        <v>141</v>
      </c>
      <c r="AU25">
        <v>155</v>
      </c>
      <c r="AV25">
        <v>0.97699999999999998</v>
      </c>
      <c r="AW25" s="1"/>
      <c r="AX25" s="29"/>
      <c r="AY25" s="29"/>
      <c r="AZ25" s="31"/>
      <c r="BA25" s="31"/>
      <c r="BB25" s="30"/>
      <c r="BC25">
        <v>24</v>
      </c>
      <c r="BD25" t="s">
        <v>82</v>
      </c>
      <c r="BG25" t="s">
        <v>80</v>
      </c>
    </row>
    <row r="26" spans="2:59" x14ac:dyDescent="0.5">
      <c r="B26" s="4">
        <v>2000</v>
      </c>
      <c r="C26" t="s">
        <v>86</v>
      </c>
      <c r="D26" t="s">
        <v>87</v>
      </c>
      <c r="E26">
        <v>2</v>
      </c>
      <c r="F26" t="s">
        <v>38</v>
      </c>
      <c r="G26" t="s">
        <v>43</v>
      </c>
      <c r="H26" t="s">
        <v>38</v>
      </c>
      <c r="I26" t="s">
        <v>38</v>
      </c>
      <c r="J26">
        <v>91</v>
      </c>
      <c r="K26">
        <v>71</v>
      </c>
      <c r="L26">
        <v>907</v>
      </c>
      <c r="M26" s="20">
        <v>5497</v>
      </c>
      <c r="N26" s="20">
        <v>1481</v>
      </c>
      <c r="O26" s="20">
        <f t="shared" si="0"/>
        <v>957</v>
      </c>
      <c r="P26" s="20">
        <v>300</v>
      </c>
      <c r="Q26" s="20">
        <v>26</v>
      </c>
      <c r="R26" s="20">
        <v>198</v>
      </c>
      <c r="S26" s="20">
        <v>775</v>
      </c>
      <c r="T26" s="20">
        <v>48</v>
      </c>
      <c r="U26" s="20">
        <f t="shared" si="1"/>
        <v>3193</v>
      </c>
      <c r="V26">
        <v>1073</v>
      </c>
      <c r="W26">
        <v>122</v>
      </c>
      <c r="X26">
        <v>56</v>
      </c>
      <c r="Y26">
        <v>61</v>
      </c>
      <c r="Z26">
        <v>780</v>
      </c>
      <c r="AA26">
        <v>720</v>
      </c>
      <c r="AB26">
        <v>4.49</v>
      </c>
      <c r="AC26">
        <v>4</v>
      </c>
      <c r="AD26">
        <v>10</v>
      </c>
      <c r="AE26">
        <v>44</v>
      </c>
      <c r="AF26" s="27">
        <v>6269</v>
      </c>
      <c r="AG26" s="27">
        <f t="shared" ca="1" si="2"/>
        <v>1495</v>
      </c>
      <c r="AH26" s="27">
        <f t="shared" ca="1" si="3"/>
        <v>913</v>
      </c>
      <c r="AI26" s="27">
        <f t="shared" ca="1" si="4"/>
        <v>387</v>
      </c>
      <c r="AJ26" s="27">
        <f t="shared" ca="1" si="5"/>
        <v>44</v>
      </c>
      <c r="AK26" s="27">
        <f t="shared" ca="1" si="6"/>
        <v>151</v>
      </c>
      <c r="AL26" s="27">
        <f t="shared" ca="1" si="7"/>
        <v>433</v>
      </c>
      <c r="AM26" s="27">
        <f t="shared" ca="1" si="8"/>
        <v>75</v>
      </c>
      <c r="AN26" s="27">
        <f t="shared" ca="1" si="9"/>
        <v>4266</v>
      </c>
      <c r="AO26">
        <v>4325</v>
      </c>
      <c r="AP26">
        <v>1442</v>
      </c>
      <c r="AQ26">
        <v>167</v>
      </c>
      <c r="AR26">
        <v>634</v>
      </c>
      <c r="AS26">
        <v>998</v>
      </c>
      <c r="AT26">
        <v>99</v>
      </c>
      <c r="AU26">
        <v>176</v>
      </c>
      <c r="AV26">
        <v>0.98399999999999999</v>
      </c>
      <c r="AW26" s="1">
        <v>2003</v>
      </c>
      <c r="AX26" s="29" t="s">
        <v>134</v>
      </c>
      <c r="AY26" s="29">
        <f t="shared" si="10"/>
        <v>29700</v>
      </c>
      <c r="AZ26" s="31">
        <f t="shared" si="11"/>
        <v>167290</v>
      </c>
      <c r="BA26" s="31">
        <f t="shared" ref="BA26" si="27">SUMIF($B$2:$B$571,$B26,$O$2:$O$571)</f>
        <v>29700</v>
      </c>
      <c r="BB26" s="30">
        <f t="shared" si="12"/>
        <v>0.17753601530276764</v>
      </c>
      <c r="BC26">
        <v>25</v>
      </c>
      <c r="BD26" t="s">
        <v>84</v>
      </c>
      <c r="BG26" t="s">
        <v>82</v>
      </c>
    </row>
    <row r="27" spans="2:59" x14ac:dyDescent="0.5">
      <c r="B27" s="4">
        <v>2000</v>
      </c>
      <c r="C27" t="s">
        <v>88</v>
      </c>
      <c r="D27" t="s">
        <v>89</v>
      </c>
      <c r="E27">
        <v>1</v>
      </c>
      <c r="F27" t="s">
        <v>43</v>
      </c>
      <c r="G27" t="s">
        <v>38</v>
      </c>
      <c r="H27" t="s">
        <v>38</v>
      </c>
      <c r="I27" t="s">
        <v>38</v>
      </c>
      <c r="J27">
        <v>97</v>
      </c>
      <c r="K27">
        <v>65</v>
      </c>
      <c r="L27">
        <v>925</v>
      </c>
      <c r="M27" s="20">
        <v>5519</v>
      </c>
      <c r="N27" s="20">
        <v>1535</v>
      </c>
      <c r="O27" s="20">
        <f t="shared" si="0"/>
        <v>961</v>
      </c>
      <c r="P27" s="20">
        <v>304</v>
      </c>
      <c r="Q27" s="20">
        <v>44</v>
      </c>
      <c r="R27" s="20">
        <v>226</v>
      </c>
      <c r="S27" s="20">
        <v>709</v>
      </c>
      <c r="T27" s="20">
        <v>51</v>
      </c>
      <c r="U27" s="20">
        <f t="shared" si="1"/>
        <v>3224</v>
      </c>
      <c r="V27">
        <v>1032</v>
      </c>
      <c r="W27">
        <v>79</v>
      </c>
      <c r="X27">
        <v>39</v>
      </c>
      <c r="Y27">
        <v>66</v>
      </c>
      <c r="Z27">
        <v>747</v>
      </c>
      <c r="AA27">
        <v>675</v>
      </c>
      <c r="AB27">
        <v>4.21</v>
      </c>
      <c r="AC27">
        <v>9</v>
      </c>
      <c r="AD27">
        <v>15</v>
      </c>
      <c r="AE27">
        <v>47</v>
      </c>
      <c r="AF27" s="27">
        <v>6270</v>
      </c>
      <c r="AG27" s="27">
        <f t="shared" ca="1" si="2"/>
        <v>1409</v>
      </c>
      <c r="AH27" s="27">
        <f t="shared" ca="1" si="3"/>
        <v>1008</v>
      </c>
      <c r="AI27" s="27">
        <f t="shared" ca="1" si="4"/>
        <v>231</v>
      </c>
      <c r="AJ27" s="27">
        <f t="shared" ca="1" si="5"/>
        <v>30</v>
      </c>
      <c r="AK27" s="27">
        <f t="shared" ca="1" si="6"/>
        <v>140</v>
      </c>
      <c r="AL27" s="27">
        <f t="shared" ca="1" si="7"/>
        <v>680</v>
      </c>
      <c r="AM27" s="27">
        <f t="shared" ca="1" si="8"/>
        <v>69</v>
      </c>
      <c r="AN27" s="27">
        <f t="shared" ca="1" si="9"/>
        <v>4112</v>
      </c>
      <c r="AO27">
        <v>4333</v>
      </c>
      <c r="AP27">
        <v>1452</v>
      </c>
      <c r="AQ27">
        <v>151</v>
      </c>
      <c r="AR27">
        <v>623</v>
      </c>
      <c r="AS27">
        <v>1076</v>
      </c>
      <c r="AT27">
        <v>93</v>
      </c>
      <c r="AU27">
        <v>173</v>
      </c>
      <c r="AV27">
        <v>0.98499999999999999</v>
      </c>
      <c r="AW27" s="1"/>
      <c r="AX27" s="29" t="s">
        <v>135</v>
      </c>
      <c r="AY27" s="29">
        <f t="shared" si="10"/>
        <v>29700</v>
      </c>
      <c r="AZ27" s="31">
        <f t="shared" si="11"/>
        <v>167290</v>
      </c>
      <c r="BA27" s="31">
        <f t="shared" ref="BA27" si="28">SUMIF($B$2:$B$571,$B27,$P$2:$P$571)</f>
        <v>8901</v>
      </c>
      <c r="BB27" s="30">
        <f t="shared" si="12"/>
        <v>5.3207005798314305E-2</v>
      </c>
      <c r="BC27">
        <v>26</v>
      </c>
      <c r="BD27" t="s">
        <v>86</v>
      </c>
      <c r="BG27" t="s">
        <v>84</v>
      </c>
    </row>
    <row r="28" spans="2:59" x14ac:dyDescent="0.5">
      <c r="B28" s="4">
        <v>2000</v>
      </c>
      <c r="C28" t="s">
        <v>90</v>
      </c>
      <c r="D28" t="s">
        <v>91</v>
      </c>
      <c r="E28">
        <v>1</v>
      </c>
      <c r="F28" t="s">
        <v>43</v>
      </c>
      <c r="G28" t="s">
        <v>38</v>
      </c>
      <c r="H28" t="s">
        <v>38</v>
      </c>
      <c r="I28" t="s">
        <v>38</v>
      </c>
      <c r="J28">
        <v>95</v>
      </c>
      <c r="K28">
        <v>67</v>
      </c>
      <c r="L28">
        <v>887</v>
      </c>
      <c r="M28" s="20">
        <v>5478</v>
      </c>
      <c r="N28" s="20">
        <v>1481</v>
      </c>
      <c r="O28" s="20">
        <f t="shared" si="0"/>
        <v>962</v>
      </c>
      <c r="P28" s="20">
        <v>259</v>
      </c>
      <c r="Q28" s="20">
        <v>25</v>
      </c>
      <c r="R28" s="20">
        <v>235</v>
      </c>
      <c r="S28" s="20">
        <v>675</v>
      </c>
      <c r="T28" s="20">
        <v>84</v>
      </c>
      <c r="U28" s="20">
        <f t="shared" si="1"/>
        <v>3238</v>
      </c>
      <c r="V28">
        <v>1253</v>
      </c>
      <c r="W28">
        <v>87</v>
      </c>
      <c r="X28">
        <v>51</v>
      </c>
      <c r="Y28">
        <v>53</v>
      </c>
      <c r="Z28">
        <v>771</v>
      </c>
      <c r="AA28">
        <v>698</v>
      </c>
      <c r="AB28">
        <v>4.38</v>
      </c>
      <c r="AC28">
        <v>10</v>
      </c>
      <c r="AD28">
        <v>7</v>
      </c>
      <c r="AE28">
        <v>37</v>
      </c>
      <c r="AF28" s="27">
        <v>6200</v>
      </c>
      <c r="AG28" s="27">
        <f t="shared" ca="1" si="2"/>
        <v>1675</v>
      </c>
      <c r="AH28" s="27">
        <f t="shared" ca="1" si="3"/>
        <v>1228</v>
      </c>
      <c r="AI28" s="27">
        <f t="shared" ca="1" si="4"/>
        <v>241</v>
      </c>
      <c r="AJ28" s="27">
        <f t="shared" ca="1" si="5"/>
        <v>28</v>
      </c>
      <c r="AK28" s="27">
        <f t="shared" ca="1" si="6"/>
        <v>178</v>
      </c>
      <c r="AL28" s="27">
        <f t="shared" ca="1" si="7"/>
        <v>463</v>
      </c>
      <c r="AM28" s="27">
        <f t="shared" ca="1" si="8"/>
        <v>58</v>
      </c>
      <c r="AN28" s="27">
        <f t="shared" ca="1" si="9"/>
        <v>4004</v>
      </c>
      <c r="AO28">
        <v>4301</v>
      </c>
      <c r="AP28">
        <v>1403</v>
      </c>
      <c r="AQ28">
        <v>196</v>
      </c>
      <c r="AR28">
        <v>606</v>
      </c>
      <c r="AS28">
        <v>1100</v>
      </c>
      <c r="AT28">
        <v>111</v>
      </c>
      <c r="AU28">
        <v>148</v>
      </c>
      <c r="AV28">
        <v>0.98099999999999998</v>
      </c>
      <c r="AW28" s="1"/>
      <c r="AX28" s="29" t="s">
        <v>136</v>
      </c>
      <c r="AY28" s="29">
        <f t="shared" si="10"/>
        <v>29700</v>
      </c>
      <c r="AZ28" s="31">
        <f t="shared" si="11"/>
        <v>167290</v>
      </c>
      <c r="BA28" s="31">
        <f t="shared" ref="BA28" si="29">SUMIF($B$2:$B$571,$B28,$Q$2:$Q$571)</f>
        <v>952</v>
      </c>
      <c r="BB28" s="30">
        <f t="shared" si="12"/>
        <v>5.6907167194691849E-3</v>
      </c>
      <c r="BC28">
        <v>27</v>
      </c>
      <c r="BD28" t="s">
        <v>88</v>
      </c>
      <c r="BG28" t="s">
        <v>86</v>
      </c>
    </row>
    <row r="29" spans="2:59" x14ac:dyDescent="0.5">
      <c r="B29" s="4">
        <v>2000</v>
      </c>
      <c r="C29" t="s">
        <v>92</v>
      </c>
      <c r="D29" t="s">
        <v>93</v>
      </c>
      <c r="E29">
        <v>5</v>
      </c>
      <c r="F29" t="s">
        <v>38</v>
      </c>
      <c r="G29" t="s">
        <v>38</v>
      </c>
      <c r="H29" t="s">
        <v>38</v>
      </c>
      <c r="I29" t="s">
        <v>38</v>
      </c>
      <c r="J29">
        <v>69</v>
      </c>
      <c r="K29">
        <v>92</v>
      </c>
      <c r="L29">
        <v>733</v>
      </c>
      <c r="M29" s="20">
        <v>5505</v>
      </c>
      <c r="N29" s="20">
        <v>1414</v>
      </c>
      <c r="O29" s="20">
        <f t="shared" si="0"/>
        <v>977</v>
      </c>
      <c r="P29" s="20">
        <v>253</v>
      </c>
      <c r="Q29" s="20">
        <v>22</v>
      </c>
      <c r="R29" s="20">
        <v>162</v>
      </c>
      <c r="S29" s="20">
        <v>558</v>
      </c>
      <c r="T29" s="20">
        <v>51</v>
      </c>
      <c r="U29" s="20">
        <f t="shared" si="1"/>
        <v>3482</v>
      </c>
      <c r="V29">
        <v>1022</v>
      </c>
      <c r="W29">
        <v>90</v>
      </c>
      <c r="X29">
        <v>46</v>
      </c>
      <c r="Y29">
        <v>40</v>
      </c>
      <c r="Z29">
        <v>842</v>
      </c>
      <c r="AA29">
        <v>773</v>
      </c>
      <c r="AB29">
        <v>4.8600000000000003</v>
      </c>
      <c r="AC29">
        <v>10</v>
      </c>
      <c r="AD29">
        <v>8</v>
      </c>
      <c r="AE29">
        <v>38</v>
      </c>
      <c r="AF29" s="27">
        <v>6283</v>
      </c>
      <c r="AG29" s="27">
        <f t="shared" ca="1" si="2"/>
        <v>1591</v>
      </c>
      <c r="AH29" s="27">
        <f t="shared" ca="1" si="3"/>
        <v>1136</v>
      </c>
      <c r="AI29" s="27">
        <f t="shared" ca="1" si="4"/>
        <v>274</v>
      </c>
      <c r="AJ29" s="27">
        <f t="shared" ca="1" si="5"/>
        <v>20</v>
      </c>
      <c r="AK29" s="27">
        <f t="shared" ca="1" si="6"/>
        <v>161</v>
      </c>
      <c r="AL29" s="27">
        <f t="shared" ca="1" si="7"/>
        <v>660</v>
      </c>
      <c r="AM29" s="27">
        <f t="shared" ca="1" si="8"/>
        <v>89</v>
      </c>
      <c r="AN29" s="27">
        <f t="shared" ca="1" si="9"/>
        <v>3943</v>
      </c>
      <c r="AO29">
        <v>4294</v>
      </c>
      <c r="AP29">
        <v>1553</v>
      </c>
      <c r="AQ29">
        <v>198</v>
      </c>
      <c r="AR29">
        <v>533</v>
      </c>
      <c r="AS29">
        <v>955</v>
      </c>
      <c r="AT29">
        <v>118</v>
      </c>
      <c r="AU29">
        <v>169</v>
      </c>
      <c r="AV29">
        <v>0.98099999999999998</v>
      </c>
      <c r="AW29" s="1"/>
      <c r="AX29" s="29" t="s">
        <v>137</v>
      </c>
      <c r="AY29" s="29">
        <f t="shared" si="10"/>
        <v>29700</v>
      </c>
      <c r="AZ29" s="31">
        <f t="shared" si="11"/>
        <v>167290</v>
      </c>
      <c r="BA29" s="31">
        <f t="shared" ref="BA29" si="30">SUMIF($B$2:$B$571,$B29,$R$2:$R$571)</f>
        <v>5693</v>
      </c>
      <c r="BB29" s="30">
        <f t="shared" si="12"/>
        <v>3.4030725088170247E-2</v>
      </c>
      <c r="BC29">
        <v>28</v>
      </c>
      <c r="BD29" t="s">
        <v>90</v>
      </c>
      <c r="BG29" t="s">
        <v>88</v>
      </c>
    </row>
    <row r="30" spans="2:59" x14ac:dyDescent="0.5">
      <c r="B30" s="4">
        <v>2000</v>
      </c>
      <c r="C30" t="s">
        <v>94</v>
      </c>
      <c r="D30" t="s">
        <v>95</v>
      </c>
      <c r="E30">
        <v>4</v>
      </c>
      <c r="F30" t="s">
        <v>38</v>
      </c>
      <c r="G30" t="s">
        <v>38</v>
      </c>
      <c r="H30" t="s">
        <v>38</v>
      </c>
      <c r="I30" t="s">
        <v>38</v>
      </c>
      <c r="J30">
        <v>71</v>
      </c>
      <c r="K30">
        <v>91</v>
      </c>
      <c r="L30">
        <v>848</v>
      </c>
      <c r="M30" s="20">
        <v>5648</v>
      </c>
      <c r="N30" s="20">
        <v>1601</v>
      </c>
      <c r="O30" s="20">
        <f t="shared" si="0"/>
        <v>1063</v>
      </c>
      <c r="P30" s="20">
        <v>330</v>
      </c>
      <c r="Q30" s="20">
        <v>35</v>
      </c>
      <c r="R30" s="20">
        <v>173</v>
      </c>
      <c r="S30" s="20">
        <v>580</v>
      </c>
      <c r="T30" s="20">
        <v>39</v>
      </c>
      <c r="U30" s="20">
        <f t="shared" si="1"/>
        <v>3428</v>
      </c>
      <c r="V30">
        <v>922</v>
      </c>
      <c r="W30">
        <v>69</v>
      </c>
      <c r="X30">
        <v>47</v>
      </c>
      <c r="Y30">
        <v>48</v>
      </c>
      <c r="Z30">
        <v>974</v>
      </c>
      <c r="AA30">
        <v>876</v>
      </c>
      <c r="AB30">
        <v>5.52</v>
      </c>
      <c r="AC30">
        <v>3</v>
      </c>
      <c r="AD30">
        <v>4</v>
      </c>
      <c r="AE30">
        <v>39</v>
      </c>
      <c r="AF30" s="27">
        <v>6559</v>
      </c>
      <c r="AG30" s="27">
        <f t="shared" ca="1" si="2"/>
        <v>1482</v>
      </c>
      <c r="AH30" s="27">
        <f t="shared" ca="1" si="3"/>
        <v>923</v>
      </c>
      <c r="AI30" s="27">
        <f t="shared" ca="1" si="4"/>
        <v>353</v>
      </c>
      <c r="AJ30" s="27">
        <f t="shared" ca="1" si="5"/>
        <v>37</v>
      </c>
      <c r="AK30" s="27">
        <f t="shared" ca="1" si="6"/>
        <v>169</v>
      </c>
      <c r="AL30" s="27">
        <f t="shared" ca="1" si="7"/>
        <v>658</v>
      </c>
      <c r="AM30" s="27">
        <f t="shared" ca="1" si="8"/>
        <v>64</v>
      </c>
      <c r="AN30" s="27">
        <f t="shared" ca="1" si="9"/>
        <v>4355</v>
      </c>
      <c r="AO30">
        <v>4287</v>
      </c>
      <c r="AP30">
        <v>1683</v>
      </c>
      <c r="AQ30">
        <v>202</v>
      </c>
      <c r="AR30">
        <v>661</v>
      </c>
      <c r="AS30">
        <v>918</v>
      </c>
      <c r="AT30">
        <v>135</v>
      </c>
      <c r="AU30">
        <v>162</v>
      </c>
      <c r="AV30">
        <v>0.97799999999999998</v>
      </c>
      <c r="AW30" s="1"/>
      <c r="AX30" s="29" t="s">
        <v>138</v>
      </c>
      <c r="AY30" s="29">
        <f t="shared" si="10"/>
        <v>29700</v>
      </c>
      <c r="AZ30" s="31">
        <f t="shared" si="11"/>
        <v>167290</v>
      </c>
      <c r="BA30" s="31">
        <f t="shared" ref="BA30" si="31">SUMIF($B$2:$B$571,$B30,$S$2:$S$571)</f>
        <v>18237</v>
      </c>
      <c r="BB30" s="30">
        <f t="shared" si="12"/>
        <v>0.10901428656823481</v>
      </c>
      <c r="BC30">
        <v>29</v>
      </c>
      <c r="BD30" t="s">
        <v>92</v>
      </c>
      <c r="BG30" t="s">
        <v>90</v>
      </c>
    </row>
    <row r="31" spans="2:59" x14ac:dyDescent="0.5">
      <c r="B31" s="4">
        <v>2000</v>
      </c>
      <c r="C31" t="s">
        <v>96</v>
      </c>
      <c r="D31" t="s">
        <v>97</v>
      </c>
      <c r="E31">
        <v>3</v>
      </c>
      <c r="F31" t="s">
        <v>38</v>
      </c>
      <c r="G31" t="s">
        <v>38</v>
      </c>
      <c r="H31" t="s">
        <v>38</v>
      </c>
      <c r="I31" t="s">
        <v>38</v>
      </c>
      <c r="J31">
        <v>83</v>
      </c>
      <c r="K31">
        <v>79</v>
      </c>
      <c r="L31">
        <v>861</v>
      </c>
      <c r="M31" s="20">
        <v>5677</v>
      </c>
      <c r="N31" s="20">
        <v>1562</v>
      </c>
      <c r="O31" s="20">
        <f t="shared" si="0"/>
        <v>969</v>
      </c>
      <c r="P31" s="20">
        <v>328</v>
      </c>
      <c r="Q31" s="20">
        <v>21</v>
      </c>
      <c r="R31" s="20">
        <v>244</v>
      </c>
      <c r="S31" s="20">
        <v>526</v>
      </c>
      <c r="T31" s="20">
        <v>60</v>
      </c>
      <c r="U31" s="20">
        <f t="shared" si="1"/>
        <v>3529</v>
      </c>
      <c r="V31">
        <v>1026</v>
      </c>
      <c r="W31">
        <v>89</v>
      </c>
      <c r="X31">
        <v>34</v>
      </c>
      <c r="Y31">
        <v>34</v>
      </c>
      <c r="Z31">
        <v>908</v>
      </c>
      <c r="AA31">
        <v>821</v>
      </c>
      <c r="AB31">
        <v>5.14</v>
      </c>
      <c r="AC31">
        <v>15</v>
      </c>
      <c r="AD31">
        <v>4</v>
      </c>
      <c r="AE31">
        <v>37</v>
      </c>
      <c r="AF31" s="27">
        <v>6377</v>
      </c>
      <c r="AG31" s="27">
        <f t="shared" ca="1" si="2"/>
        <v>1411</v>
      </c>
      <c r="AH31" s="27">
        <f t="shared" ca="1" si="3"/>
        <v>796</v>
      </c>
      <c r="AI31" s="27">
        <f t="shared" ca="1" si="4"/>
        <v>369</v>
      </c>
      <c r="AJ31" s="27">
        <f t="shared" ca="1" si="5"/>
        <v>20</v>
      </c>
      <c r="AK31" s="27">
        <f t="shared" ca="1" si="6"/>
        <v>226</v>
      </c>
      <c r="AL31" s="27">
        <f t="shared" ca="1" si="7"/>
        <v>601</v>
      </c>
      <c r="AM31" s="27">
        <f t="shared" ca="1" si="8"/>
        <v>59</v>
      </c>
      <c r="AN31" s="27">
        <f t="shared" ca="1" si="9"/>
        <v>4306</v>
      </c>
      <c r="AO31">
        <v>4312</v>
      </c>
      <c r="AP31">
        <v>1615</v>
      </c>
      <c r="AQ31">
        <v>195</v>
      </c>
      <c r="AR31">
        <v>560</v>
      </c>
      <c r="AS31">
        <v>978</v>
      </c>
      <c r="AT31">
        <v>100</v>
      </c>
      <c r="AU31">
        <v>176</v>
      </c>
      <c r="AV31">
        <v>0.98399999999999999</v>
      </c>
      <c r="AW31" s="1"/>
      <c r="AX31" s="29" t="s">
        <v>139</v>
      </c>
      <c r="AY31" s="29">
        <f t="shared" si="10"/>
        <v>29700</v>
      </c>
      <c r="AZ31" s="31">
        <f t="shared" si="11"/>
        <v>167290</v>
      </c>
      <c r="BA31" s="31">
        <f t="shared" ref="BA31" si="32">SUMIF($B$2:$B$571,$B31,$T$2:$T$571)</f>
        <v>1573</v>
      </c>
      <c r="BB31" s="30">
        <f t="shared" si="12"/>
        <v>9.4028334030725087E-3</v>
      </c>
      <c r="BC31">
        <v>30</v>
      </c>
      <c r="BD31" t="s">
        <v>94</v>
      </c>
      <c r="BG31" t="s">
        <v>92</v>
      </c>
    </row>
    <row r="32" spans="2:59" x14ac:dyDescent="0.5">
      <c r="B32" s="4">
        <v>2001</v>
      </c>
      <c r="C32" t="s">
        <v>36</v>
      </c>
      <c r="D32" t="s">
        <v>37</v>
      </c>
      <c r="E32">
        <v>3</v>
      </c>
      <c r="F32" t="s">
        <v>38</v>
      </c>
      <c r="G32" t="s">
        <v>38</v>
      </c>
      <c r="H32" t="s">
        <v>38</v>
      </c>
      <c r="I32" t="s">
        <v>38</v>
      </c>
      <c r="J32">
        <v>75</v>
      </c>
      <c r="K32">
        <v>87</v>
      </c>
      <c r="L32">
        <v>691</v>
      </c>
      <c r="M32" s="20">
        <v>5551</v>
      </c>
      <c r="N32" s="20">
        <v>1447</v>
      </c>
      <c r="O32" s="20">
        <f t="shared" si="0"/>
        <v>988</v>
      </c>
      <c r="P32" s="20">
        <v>275</v>
      </c>
      <c r="Q32" s="20">
        <v>26</v>
      </c>
      <c r="R32" s="20">
        <v>158</v>
      </c>
      <c r="S32" s="20">
        <v>494</v>
      </c>
      <c r="T32" s="20">
        <v>77</v>
      </c>
      <c r="U32" s="20">
        <f t="shared" si="1"/>
        <v>3533</v>
      </c>
      <c r="V32">
        <v>1001</v>
      </c>
      <c r="W32">
        <v>116</v>
      </c>
      <c r="X32">
        <v>52</v>
      </c>
      <c r="Y32">
        <v>53</v>
      </c>
      <c r="Z32">
        <v>730</v>
      </c>
      <c r="AA32">
        <v>671</v>
      </c>
      <c r="AB32">
        <v>4.2</v>
      </c>
      <c r="AC32">
        <v>6</v>
      </c>
      <c r="AD32">
        <v>1</v>
      </c>
      <c r="AE32">
        <v>43</v>
      </c>
      <c r="AF32" s="27">
        <v>6195</v>
      </c>
      <c r="AG32" s="27">
        <f t="shared" ca="1" si="2"/>
        <v>1320</v>
      </c>
      <c r="AH32" s="27">
        <f t="shared" ca="1" si="3"/>
        <v>707</v>
      </c>
      <c r="AI32" s="27">
        <f t="shared" ca="1" si="4"/>
        <v>398</v>
      </c>
      <c r="AJ32" s="27">
        <f t="shared" ca="1" si="5"/>
        <v>31</v>
      </c>
      <c r="AK32" s="27">
        <f t="shared" ca="1" si="6"/>
        <v>184</v>
      </c>
      <c r="AL32" s="27">
        <f t="shared" ca="1" si="7"/>
        <v>530</v>
      </c>
      <c r="AM32" s="27">
        <f t="shared" ca="1" si="8"/>
        <v>59</v>
      </c>
      <c r="AN32" s="27">
        <f t="shared" ca="1" si="9"/>
        <v>4286</v>
      </c>
      <c r="AO32">
        <v>4313</v>
      </c>
      <c r="AP32">
        <v>1452</v>
      </c>
      <c r="AQ32">
        <v>168</v>
      </c>
      <c r="AR32">
        <v>525</v>
      </c>
      <c r="AS32">
        <v>947</v>
      </c>
      <c r="AT32">
        <v>103</v>
      </c>
      <c r="AU32">
        <v>142</v>
      </c>
      <c r="AV32">
        <v>0.98299999999999998</v>
      </c>
      <c r="AW32" s="1"/>
      <c r="AX32" s="29" t="s">
        <v>140</v>
      </c>
      <c r="AY32" s="29">
        <f t="shared" si="10"/>
        <v>29700</v>
      </c>
      <c r="AZ32" s="31">
        <f t="shared" si="11"/>
        <v>166234</v>
      </c>
      <c r="BA32" s="31">
        <f t="shared" ref="BA32" si="33">SUMIF($B$2:$B$571,$B32,$U$2:$U$571)</f>
        <v>104659</v>
      </c>
      <c r="BB32" s="30">
        <f t="shared" si="12"/>
        <v>0.6295884115162963</v>
      </c>
      <c r="BC32">
        <v>31</v>
      </c>
      <c r="BD32" t="s">
        <v>96</v>
      </c>
      <c r="BG32" t="s">
        <v>94</v>
      </c>
    </row>
    <row r="33" spans="2:59" x14ac:dyDescent="0.5">
      <c r="B33" s="4">
        <v>2001</v>
      </c>
      <c r="C33" t="s">
        <v>39</v>
      </c>
      <c r="D33" t="s">
        <v>40</v>
      </c>
      <c r="E33">
        <v>1</v>
      </c>
      <c r="F33" t="s">
        <v>43</v>
      </c>
      <c r="G33" t="s">
        <v>38</v>
      </c>
      <c r="H33" t="s">
        <v>43</v>
      </c>
      <c r="I33" t="s">
        <v>43</v>
      </c>
      <c r="J33">
        <v>92</v>
      </c>
      <c r="K33">
        <v>70</v>
      </c>
      <c r="L33">
        <v>818</v>
      </c>
      <c r="M33" s="20">
        <v>5595</v>
      </c>
      <c r="N33" s="20">
        <v>1494</v>
      </c>
      <c r="O33" s="20">
        <f t="shared" si="0"/>
        <v>967</v>
      </c>
      <c r="P33" s="20">
        <v>284</v>
      </c>
      <c r="Q33" s="20">
        <v>35</v>
      </c>
      <c r="R33" s="20">
        <v>208</v>
      </c>
      <c r="S33" s="20">
        <v>587</v>
      </c>
      <c r="T33" s="20">
        <v>57</v>
      </c>
      <c r="U33" s="20">
        <f t="shared" si="1"/>
        <v>3457</v>
      </c>
      <c r="V33">
        <v>1052</v>
      </c>
      <c r="W33">
        <v>71</v>
      </c>
      <c r="X33">
        <v>38</v>
      </c>
      <c r="Y33">
        <v>36</v>
      </c>
      <c r="Z33">
        <v>677</v>
      </c>
      <c r="AA33">
        <v>627</v>
      </c>
      <c r="AB33">
        <v>3.87</v>
      </c>
      <c r="AC33">
        <v>12</v>
      </c>
      <c r="AD33">
        <v>13</v>
      </c>
      <c r="AE33">
        <v>34</v>
      </c>
      <c r="AF33" s="27">
        <v>6090</v>
      </c>
      <c r="AG33" s="27">
        <f t="shared" ca="1" si="2"/>
        <v>1520</v>
      </c>
      <c r="AH33" s="27">
        <f t="shared" ca="1" si="3"/>
        <v>938</v>
      </c>
      <c r="AI33" s="27">
        <f t="shared" ca="1" si="4"/>
        <v>393</v>
      </c>
      <c r="AJ33" s="27">
        <f t="shared" ca="1" si="5"/>
        <v>24</v>
      </c>
      <c r="AK33" s="27">
        <f t="shared" ca="1" si="6"/>
        <v>165</v>
      </c>
      <c r="AL33" s="27">
        <f t="shared" ca="1" si="7"/>
        <v>554</v>
      </c>
      <c r="AM33" s="27">
        <f t="shared" ca="1" si="8"/>
        <v>44</v>
      </c>
      <c r="AN33" s="27">
        <f t="shared" ca="1" si="9"/>
        <v>3972</v>
      </c>
      <c r="AO33">
        <v>4379</v>
      </c>
      <c r="AP33">
        <v>1352</v>
      </c>
      <c r="AQ33">
        <v>195</v>
      </c>
      <c r="AR33">
        <v>461</v>
      </c>
      <c r="AS33">
        <v>1297</v>
      </c>
      <c r="AT33">
        <v>84</v>
      </c>
      <c r="AU33">
        <v>148</v>
      </c>
      <c r="AV33">
        <v>0.98599999999999999</v>
      </c>
      <c r="AW33" s="1"/>
      <c r="AX33" s="29"/>
      <c r="AY33" s="29"/>
      <c r="AZ33" s="31"/>
      <c r="BA33" s="31"/>
      <c r="BB33" s="30"/>
      <c r="BC33">
        <v>32</v>
      </c>
      <c r="BD33" s="20" t="s">
        <v>100</v>
      </c>
      <c r="BG33" t="s">
        <v>96</v>
      </c>
    </row>
    <row r="34" spans="2:59" x14ac:dyDescent="0.5">
      <c r="B34" s="4">
        <v>2001</v>
      </c>
      <c r="C34" t="s">
        <v>41</v>
      </c>
      <c r="D34" t="s">
        <v>42</v>
      </c>
      <c r="E34">
        <v>1</v>
      </c>
      <c r="F34" t="s">
        <v>43</v>
      </c>
      <c r="G34" t="s">
        <v>38</v>
      </c>
      <c r="H34" t="s">
        <v>38</v>
      </c>
      <c r="I34" t="s">
        <v>38</v>
      </c>
      <c r="J34">
        <v>88</v>
      </c>
      <c r="K34">
        <v>74</v>
      </c>
      <c r="L34">
        <v>729</v>
      </c>
      <c r="M34" s="20">
        <v>5498</v>
      </c>
      <c r="N34" s="20">
        <v>1432</v>
      </c>
      <c r="O34" s="20">
        <f t="shared" si="0"/>
        <v>971</v>
      </c>
      <c r="P34" s="20">
        <v>263</v>
      </c>
      <c r="Q34" s="20">
        <v>24</v>
      </c>
      <c r="R34" s="20">
        <v>174</v>
      </c>
      <c r="S34" s="20">
        <v>493</v>
      </c>
      <c r="T34" s="20">
        <v>45</v>
      </c>
      <c r="U34" s="20">
        <f t="shared" si="1"/>
        <v>3528</v>
      </c>
      <c r="V34">
        <v>1039</v>
      </c>
      <c r="W34">
        <v>85</v>
      </c>
      <c r="X34">
        <v>46</v>
      </c>
      <c r="Y34">
        <v>52</v>
      </c>
      <c r="Z34">
        <v>643</v>
      </c>
      <c r="AA34">
        <v>578</v>
      </c>
      <c r="AB34">
        <v>3.59</v>
      </c>
      <c r="AC34">
        <v>5</v>
      </c>
      <c r="AD34">
        <v>13</v>
      </c>
      <c r="AE34">
        <v>41</v>
      </c>
      <c r="AF34" s="27">
        <v>6089</v>
      </c>
      <c r="AG34" s="27">
        <f t="shared" ca="1" si="2"/>
        <v>1398</v>
      </c>
      <c r="AH34" s="27">
        <f t="shared" ca="1" si="3"/>
        <v>839</v>
      </c>
      <c r="AI34" s="27">
        <f t="shared" ca="1" si="4"/>
        <v>304</v>
      </c>
      <c r="AJ34" s="27">
        <f t="shared" ca="1" si="5"/>
        <v>33</v>
      </c>
      <c r="AK34" s="27">
        <f t="shared" ca="1" si="6"/>
        <v>222</v>
      </c>
      <c r="AL34" s="27">
        <f t="shared" ca="1" si="7"/>
        <v>492</v>
      </c>
      <c r="AM34" s="27">
        <f t="shared" ca="1" si="8"/>
        <v>38</v>
      </c>
      <c r="AN34" s="27">
        <f t="shared" ca="1" si="9"/>
        <v>4161</v>
      </c>
      <c r="AO34">
        <v>4342</v>
      </c>
      <c r="AP34">
        <v>1363</v>
      </c>
      <c r="AQ34">
        <v>153</v>
      </c>
      <c r="AR34">
        <v>499</v>
      </c>
      <c r="AS34">
        <v>1133</v>
      </c>
      <c r="AT34">
        <v>103</v>
      </c>
      <c r="AU34">
        <v>133</v>
      </c>
      <c r="AV34">
        <v>0.98299999999999998</v>
      </c>
      <c r="AW34" s="1">
        <v>2004</v>
      </c>
      <c r="AX34" s="29" t="s">
        <v>134</v>
      </c>
      <c r="AY34" s="29">
        <f t="shared" si="10"/>
        <v>29700</v>
      </c>
      <c r="AZ34" s="31">
        <f t="shared" si="11"/>
        <v>166234</v>
      </c>
      <c r="BA34" s="31">
        <f t="shared" ref="BA34" si="34">SUMIF($B$2:$B$571,$B34,$O$2:$O$571)</f>
        <v>28680</v>
      </c>
      <c r="BB34" s="30">
        <f t="shared" si="12"/>
        <v>0.17252788238266539</v>
      </c>
      <c r="BC34">
        <v>33</v>
      </c>
      <c r="BG34" s="20" t="s">
        <v>100</v>
      </c>
    </row>
    <row r="35" spans="2:59" x14ac:dyDescent="0.5">
      <c r="B35" s="4">
        <v>2001</v>
      </c>
      <c r="C35" t="s">
        <v>44</v>
      </c>
      <c r="D35" t="s">
        <v>45</v>
      </c>
      <c r="E35">
        <v>4</v>
      </c>
      <c r="F35" t="s">
        <v>38</v>
      </c>
      <c r="G35" t="s">
        <v>38</v>
      </c>
      <c r="H35" t="s">
        <v>38</v>
      </c>
      <c r="I35" t="s">
        <v>38</v>
      </c>
      <c r="J35">
        <v>63</v>
      </c>
      <c r="K35">
        <v>98</v>
      </c>
      <c r="L35">
        <v>687</v>
      </c>
      <c r="M35" s="20">
        <v>5472</v>
      </c>
      <c r="N35" s="20">
        <v>1359</v>
      </c>
      <c r="O35" s="20">
        <f t="shared" si="0"/>
        <v>937</v>
      </c>
      <c r="P35" s="20">
        <v>262</v>
      </c>
      <c r="Q35" s="20">
        <v>24</v>
      </c>
      <c r="R35" s="20">
        <v>136</v>
      </c>
      <c r="S35" s="20">
        <v>514</v>
      </c>
      <c r="T35" s="20">
        <v>77</v>
      </c>
      <c r="U35" s="20">
        <f t="shared" si="1"/>
        <v>3522</v>
      </c>
      <c r="V35">
        <v>989</v>
      </c>
      <c r="W35">
        <v>133</v>
      </c>
      <c r="X35">
        <v>53</v>
      </c>
      <c r="Y35">
        <v>49</v>
      </c>
      <c r="Z35">
        <v>829</v>
      </c>
      <c r="AA35">
        <v>744</v>
      </c>
      <c r="AB35">
        <v>4.67</v>
      </c>
      <c r="AC35">
        <v>10</v>
      </c>
      <c r="AD35">
        <v>6</v>
      </c>
      <c r="AE35">
        <v>31</v>
      </c>
      <c r="AF35" s="27">
        <v>6273</v>
      </c>
      <c r="AG35" s="27">
        <f t="shared" ca="1" si="2"/>
        <v>1557</v>
      </c>
      <c r="AH35" s="27">
        <f t="shared" ca="1" si="3"/>
        <v>977</v>
      </c>
      <c r="AI35" s="27">
        <f t="shared" ca="1" si="4"/>
        <v>340</v>
      </c>
      <c r="AJ35" s="27">
        <f t="shared" ca="1" si="5"/>
        <v>49</v>
      </c>
      <c r="AK35" s="27">
        <f t="shared" ca="1" si="6"/>
        <v>191</v>
      </c>
      <c r="AL35" s="27">
        <f t="shared" ca="1" si="7"/>
        <v>531</v>
      </c>
      <c r="AM35" s="27">
        <f t="shared" ca="1" si="8"/>
        <v>31</v>
      </c>
      <c r="AN35" s="27">
        <f t="shared" ca="1" si="9"/>
        <v>4154</v>
      </c>
      <c r="AO35">
        <v>4297</v>
      </c>
      <c r="AP35">
        <v>1504</v>
      </c>
      <c r="AQ35">
        <v>194</v>
      </c>
      <c r="AR35">
        <v>528</v>
      </c>
      <c r="AS35">
        <v>938</v>
      </c>
      <c r="AT35">
        <v>125</v>
      </c>
      <c r="AU35">
        <v>137</v>
      </c>
      <c r="AV35">
        <v>0.97899999999999998</v>
      </c>
      <c r="AW35" s="1"/>
      <c r="AX35" s="29" t="s">
        <v>135</v>
      </c>
      <c r="AY35" s="29">
        <f t="shared" si="10"/>
        <v>29700</v>
      </c>
      <c r="AZ35" s="31">
        <f t="shared" si="11"/>
        <v>166234</v>
      </c>
      <c r="BA35" s="31">
        <f t="shared" ref="BA35" si="35">SUMIF($B$2:$B$571,$B35,$P$2:$P$571)</f>
        <v>8813</v>
      </c>
      <c r="BB35" s="30">
        <f t="shared" si="12"/>
        <v>5.3015628571772319E-2</v>
      </c>
    </row>
    <row r="36" spans="2:59" x14ac:dyDescent="0.5">
      <c r="B36" s="4">
        <v>2001</v>
      </c>
      <c r="C36" t="s">
        <v>46</v>
      </c>
      <c r="D36" t="s">
        <v>47</v>
      </c>
      <c r="E36">
        <v>2</v>
      </c>
      <c r="F36" t="s">
        <v>38</v>
      </c>
      <c r="G36" t="s">
        <v>38</v>
      </c>
      <c r="H36" t="s">
        <v>38</v>
      </c>
      <c r="I36" t="s">
        <v>38</v>
      </c>
      <c r="J36">
        <v>82</v>
      </c>
      <c r="K36">
        <v>79</v>
      </c>
      <c r="L36">
        <v>772</v>
      </c>
      <c r="M36" s="20">
        <v>5605</v>
      </c>
      <c r="N36" s="20">
        <v>1493</v>
      </c>
      <c r="O36" s="20">
        <f t="shared" si="0"/>
        <v>950</v>
      </c>
      <c r="P36" s="20">
        <v>316</v>
      </c>
      <c r="Q36" s="20">
        <v>29</v>
      </c>
      <c r="R36" s="20">
        <v>198</v>
      </c>
      <c r="S36" s="20">
        <v>520</v>
      </c>
      <c r="T36" s="20">
        <v>70</v>
      </c>
      <c r="U36" s="20">
        <f t="shared" si="1"/>
        <v>3522</v>
      </c>
      <c r="V36">
        <v>1131</v>
      </c>
      <c r="W36">
        <v>46</v>
      </c>
      <c r="X36">
        <v>35</v>
      </c>
      <c r="Y36">
        <v>41</v>
      </c>
      <c r="Z36">
        <v>745</v>
      </c>
      <c r="AA36">
        <v>667</v>
      </c>
      <c r="AB36">
        <v>4.1500000000000004</v>
      </c>
      <c r="AC36">
        <v>3</v>
      </c>
      <c r="AD36">
        <v>9</v>
      </c>
      <c r="AE36">
        <v>48</v>
      </c>
      <c r="AF36" s="27">
        <v>6272</v>
      </c>
      <c r="AG36" s="27">
        <f t="shared" ca="1" si="2"/>
        <v>1341</v>
      </c>
      <c r="AH36" s="27">
        <f t="shared" ca="1" si="3"/>
        <v>872</v>
      </c>
      <c r="AI36" s="27">
        <f t="shared" ca="1" si="4"/>
        <v>233</v>
      </c>
      <c r="AJ36" s="27">
        <f t="shared" ca="1" si="5"/>
        <v>38</v>
      </c>
      <c r="AK36" s="27">
        <f t="shared" ca="1" si="6"/>
        <v>198</v>
      </c>
      <c r="AL36" s="27">
        <f t="shared" ca="1" si="7"/>
        <v>663</v>
      </c>
      <c r="AM36" s="27">
        <f t="shared" ca="1" si="8"/>
        <v>63</v>
      </c>
      <c r="AN36" s="27">
        <f t="shared" ca="1" si="9"/>
        <v>4205</v>
      </c>
      <c r="AO36">
        <v>4344</v>
      </c>
      <c r="AP36">
        <v>1412</v>
      </c>
      <c r="AQ36">
        <v>146</v>
      </c>
      <c r="AR36">
        <v>544</v>
      </c>
      <c r="AS36">
        <v>1259</v>
      </c>
      <c r="AT36">
        <v>113</v>
      </c>
      <c r="AU36">
        <v>129</v>
      </c>
      <c r="AV36">
        <v>0.98099999999999998</v>
      </c>
      <c r="AW36" s="1"/>
      <c r="AX36" s="29" t="s">
        <v>136</v>
      </c>
      <c r="AY36" s="29">
        <f t="shared" si="10"/>
        <v>29700</v>
      </c>
      <c r="AZ36" s="31">
        <f t="shared" si="11"/>
        <v>166234</v>
      </c>
      <c r="BA36" s="31">
        <f t="shared" ref="BA36" si="36">SUMIF($B$2:$B$571,$B36,$Q$2:$Q$571)</f>
        <v>928</v>
      </c>
      <c r="BB36" s="30">
        <f t="shared" si="12"/>
        <v>5.5824921496204147E-3</v>
      </c>
    </row>
    <row r="37" spans="2:59" x14ac:dyDescent="0.5">
      <c r="B37" s="4">
        <v>2001</v>
      </c>
      <c r="C37" t="s">
        <v>48</v>
      </c>
      <c r="D37" t="s">
        <v>49</v>
      </c>
      <c r="E37">
        <v>3</v>
      </c>
      <c r="F37" t="s">
        <v>38</v>
      </c>
      <c r="G37" t="s">
        <v>38</v>
      </c>
      <c r="H37" t="s">
        <v>38</v>
      </c>
      <c r="I37" t="s">
        <v>38</v>
      </c>
      <c r="J37">
        <v>83</v>
      </c>
      <c r="K37">
        <v>79</v>
      </c>
      <c r="L37">
        <v>798</v>
      </c>
      <c r="M37" s="20">
        <v>5464</v>
      </c>
      <c r="N37" s="20">
        <v>1463</v>
      </c>
      <c r="O37" s="20">
        <f t="shared" si="0"/>
        <v>920</v>
      </c>
      <c r="P37" s="20">
        <v>300</v>
      </c>
      <c r="Q37" s="20">
        <v>29</v>
      </c>
      <c r="R37" s="20">
        <v>214</v>
      </c>
      <c r="S37" s="20">
        <v>520</v>
      </c>
      <c r="T37" s="20">
        <v>52</v>
      </c>
      <c r="U37" s="20">
        <f t="shared" si="1"/>
        <v>3429</v>
      </c>
      <c r="V37">
        <v>998</v>
      </c>
      <c r="W37">
        <v>123</v>
      </c>
      <c r="X37">
        <v>59</v>
      </c>
      <c r="Y37">
        <v>51</v>
      </c>
      <c r="Z37">
        <v>795</v>
      </c>
      <c r="AA37">
        <v>725</v>
      </c>
      <c r="AB37">
        <v>4.55</v>
      </c>
      <c r="AC37">
        <v>8</v>
      </c>
      <c r="AD37">
        <v>9</v>
      </c>
      <c r="AE37">
        <v>51</v>
      </c>
      <c r="AF37" s="27">
        <v>6200</v>
      </c>
      <c r="AG37" s="27">
        <f t="shared" ca="1" si="2"/>
        <v>1685</v>
      </c>
      <c r="AH37" s="27">
        <f t="shared" ca="1" si="3"/>
        <v>1117</v>
      </c>
      <c r="AI37" s="27">
        <f t="shared" ca="1" si="4"/>
        <v>352</v>
      </c>
      <c r="AJ37" s="27">
        <f t="shared" ca="1" si="5"/>
        <v>38</v>
      </c>
      <c r="AK37" s="27">
        <f t="shared" ca="1" si="6"/>
        <v>178</v>
      </c>
      <c r="AL37" s="27">
        <f t="shared" ca="1" si="7"/>
        <v>617</v>
      </c>
      <c r="AM37" s="27">
        <f t="shared" ca="1" si="8"/>
        <v>55</v>
      </c>
      <c r="AN37" s="27">
        <f t="shared" ca="1" si="9"/>
        <v>3843</v>
      </c>
      <c r="AO37">
        <v>4300</v>
      </c>
      <c r="AP37">
        <v>1465</v>
      </c>
      <c r="AQ37">
        <v>181</v>
      </c>
      <c r="AR37">
        <v>500</v>
      </c>
      <c r="AS37">
        <v>921</v>
      </c>
      <c r="AT37">
        <v>118</v>
      </c>
      <c r="AU37">
        <v>149</v>
      </c>
      <c r="AV37">
        <v>0.98099999999999998</v>
      </c>
      <c r="AW37" s="1"/>
      <c r="AX37" s="29" t="s">
        <v>137</v>
      </c>
      <c r="AY37" s="29">
        <f t="shared" si="10"/>
        <v>29700</v>
      </c>
      <c r="AZ37" s="31">
        <f t="shared" si="11"/>
        <v>166234</v>
      </c>
      <c r="BA37" s="31">
        <f t="shared" ref="BA37" si="37">SUMIF($B$2:$B$571,$B37,$R$2:$R$571)</f>
        <v>5458</v>
      </c>
      <c r="BB37" s="30">
        <f t="shared" si="12"/>
        <v>3.2833235078263169E-2</v>
      </c>
      <c r="BC37">
        <v>1</v>
      </c>
      <c r="BD37" t="s">
        <v>182</v>
      </c>
    </row>
    <row r="38" spans="2:59" x14ac:dyDescent="0.5">
      <c r="B38" s="4">
        <v>2001</v>
      </c>
      <c r="C38" t="s">
        <v>50</v>
      </c>
      <c r="D38" t="s">
        <v>51</v>
      </c>
      <c r="E38">
        <v>3</v>
      </c>
      <c r="F38" t="s">
        <v>38</v>
      </c>
      <c r="G38" t="s">
        <v>38</v>
      </c>
      <c r="H38" t="s">
        <v>38</v>
      </c>
      <c r="I38" t="s">
        <v>38</v>
      </c>
      <c r="J38">
        <v>88</v>
      </c>
      <c r="K38">
        <v>74</v>
      </c>
      <c r="L38">
        <v>777</v>
      </c>
      <c r="M38" s="20">
        <v>5406</v>
      </c>
      <c r="N38" s="20">
        <v>1409</v>
      </c>
      <c r="O38" s="20">
        <f t="shared" si="0"/>
        <v>915</v>
      </c>
      <c r="P38" s="20">
        <v>268</v>
      </c>
      <c r="Q38" s="20">
        <v>32</v>
      </c>
      <c r="R38" s="20">
        <v>194</v>
      </c>
      <c r="S38" s="20">
        <v>577</v>
      </c>
      <c r="T38" s="20">
        <v>66</v>
      </c>
      <c r="U38" s="20">
        <f t="shared" si="1"/>
        <v>3354</v>
      </c>
      <c r="V38">
        <v>1077</v>
      </c>
      <c r="W38">
        <v>67</v>
      </c>
      <c r="X38">
        <v>36</v>
      </c>
      <c r="Y38">
        <v>53</v>
      </c>
      <c r="Z38">
        <v>701</v>
      </c>
      <c r="AA38">
        <v>643</v>
      </c>
      <c r="AB38">
        <v>4.03</v>
      </c>
      <c r="AC38">
        <v>8</v>
      </c>
      <c r="AD38">
        <v>6</v>
      </c>
      <c r="AE38">
        <v>41</v>
      </c>
      <c r="AF38" s="27">
        <v>6159</v>
      </c>
      <c r="AG38" s="27">
        <f t="shared" ca="1" si="2"/>
        <v>1377</v>
      </c>
      <c r="AH38" s="27">
        <f t="shared" ca="1" si="3"/>
        <v>842</v>
      </c>
      <c r="AI38" s="27">
        <f t="shared" ca="1" si="4"/>
        <v>320</v>
      </c>
      <c r="AJ38" s="27">
        <f t="shared" ca="1" si="5"/>
        <v>23</v>
      </c>
      <c r="AK38" s="27">
        <f t="shared" ca="1" si="6"/>
        <v>192</v>
      </c>
      <c r="AL38" s="27">
        <f t="shared" ca="1" si="7"/>
        <v>496</v>
      </c>
      <c r="AM38" s="27">
        <f t="shared" ca="1" si="8"/>
        <v>50</v>
      </c>
      <c r="AN38" s="27">
        <f t="shared" ca="1" si="9"/>
        <v>4236</v>
      </c>
      <c r="AO38">
        <v>4311</v>
      </c>
      <c r="AP38">
        <v>1357</v>
      </c>
      <c r="AQ38">
        <v>164</v>
      </c>
      <c r="AR38">
        <v>550</v>
      </c>
      <c r="AS38">
        <v>1344</v>
      </c>
      <c r="AT38">
        <v>109</v>
      </c>
      <c r="AU38">
        <v>113</v>
      </c>
      <c r="AV38">
        <v>0.98199999999999998</v>
      </c>
      <c r="AW38" s="1"/>
      <c r="AX38" s="29" t="s">
        <v>138</v>
      </c>
      <c r="AY38" s="29">
        <f t="shared" si="10"/>
        <v>29700</v>
      </c>
      <c r="AZ38" s="31">
        <f t="shared" si="11"/>
        <v>166234</v>
      </c>
      <c r="BA38" s="31">
        <f t="shared" ref="BA38" si="38">SUMIF($B$2:$B$571,$B38,$S$2:$S$571)</f>
        <v>15806</v>
      </c>
      <c r="BB38" s="30">
        <f t="shared" si="12"/>
        <v>9.5082835039763225E-2</v>
      </c>
      <c r="BC38">
        <v>2</v>
      </c>
      <c r="BD38" t="s">
        <v>183</v>
      </c>
    </row>
    <row r="39" spans="2:59" x14ac:dyDescent="0.5">
      <c r="B39" s="4">
        <v>2001</v>
      </c>
      <c r="C39" t="s">
        <v>52</v>
      </c>
      <c r="D39" t="s">
        <v>53</v>
      </c>
      <c r="E39">
        <v>5</v>
      </c>
      <c r="F39" t="s">
        <v>38</v>
      </c>
      <c r="G39" t="s">
        <v>38</v>
      </c>
      <c r="H39" t="s">
        <v>38</v>
      </c>
      <c r="I39" t="s">
        <v>38</v>
      </c>
      <c r="J39">
        <v>66</v>
      </c>
      <c r="K39">
        <v>96</v>
      </c>
      <c r="L39">
        <v>735</v>
      </c>
      <c r="M39" s="20">
        <v>5583</v>
      </c>
      <c r="N39" s="20">
        <v>1464</v>
      </c>
      <c r="O39" s="20">
        <f t="shared" si="0"/>
        <v>962</v>
      </c>
      <c r="P39" s="20">
        <v>304</v>
      </c>
      <c r="Q39" s="20">
        <v>22</v>
      </c>
      <c r="R39" s="20">
        <v>176</v>
      </c>
      <c r="S39" s="20">
        <v>468</v>
      </c>
      <c r="T39" s="20">
        <v>65</v>
      </c>
      <c r="U39" s="20">
        <f t="shared" si="1"/>
        <v>3586</v>
      </c>
      <c r="V39">
        <v>1172</v>
      </c>
      <c r="W39">
        <v>103</v>
      </c>
      <c r="X39">
        <v>54</v>
      </c>
      <c r="Y39">
        <v>40</v>
      </c>
      <c r="Z39">
        <v>850</v>
      </c>
      <c r="AA39">
        <v>765</v>
      </c>
      <c r="AB39">
        <v>4.7699999999999996</v>
      </c>
      <c r="AC39">
        <v>2</v>
      </c>
      <c r="AD39">
        <v>2</v>
      </c>
      <c r="AE39">
        <v>35</v>
      </c>
      <c r="AF39" s="27">
        <v>6324</v>
      </c>
      <c r="AG39" s="27">
        <f t="shared" ca="1" si="2"/>
        <v>1345</v>
      </c>
      <c r="AH39" s="27">
        <f t="shared" ca="1" si="3"/>
        <v>709</v>
      </c>
      <c r="AI39" s="27">
        <f t="shared" ca="1" si="4"/>
        <v>373</v>
      </c>
      <c r="AJ39" s="27">
        <f t="shared" ca="1" si="5"/>
        <v>38</v>
      </c>
      <c r="AK39" s="27">
        <f t="shared" ca="1" si="6"/>
        <v>225</v>
      </c>
      <c r="AL39" s="27">
        <f t="shared" ca="1" si="7"/>
        <v>594</v>
      </c>
      <c r="AM39" s="27">
        <f t="shared" ca="1" si="8"/>
        <v>79</v>
      </c>
      <c r="AN39" s="27">
        <f t="shared" ca="1" si="9"/>
        <v>4306</v>
      </c>
      <c r="AO39">
        <v>4328</v>
      </c>
      <c r="AP39">
        <v>1572</v>
      </c>
      <c r="AQ39">
        <v>198</v>
      </c>
      <c r="AR39">
        <v>515</v>
      </c>
      <c r="AS39">
        <v>943</v>
      </c>
      <c r="AT39">
        <v>138</v>
      </c>
      <c r="AU39">
        <v>136</v>
      </c>
      <c r="AV39">
        <v>0.97799999999999998</v>
      </c>
      <c r="AW39" s="1"/>
      <c r="AX39" s="29" t="s">
        <v>139</v>
      </c>
      <c r="AY39" s="29">
        <f t="shared" si="10"/>
        <v>29700</v>
      </c>
      <c r="AZ39" s="31">
        <f t="shared" si="11"/>
        <v>166234</v>
      </c>
      <c r="BA39" s="31">
        <f t="shared" ref="BA39" si="39">SUMIF($B$2:$B$571,$B39,$T$2:$T$571)</f>
        <v>1890</v>
      </c>
      <c r="BB39" s="30">
        <f t="shared" si="12"/>
        <v>1.1369515261619164E-2</v>
      </c>
      <c r="BC39">
        <v>3</v>
      </c>
      <c r="BD39" t="s">
        <v>184</v>
      </c>
    </row>
    <row r="40" spans="2:59" x14ac:dyDescent="0.5">
      <c r="B40" s="4">
        <v>2001</v>
      </c>
      <c r="C40" t="s">
        <v>54</v>
      </c>
      <c r="D40" t="s">
        <v>55</v>
      </c>
      <c r="E40">
        <v>1</v>
      </c>
      <c r="F40" t="s">
        <v>43</v>
      </c>
      <c r="G40" t="s">
        <v>38</v>
      </c>
      <c r="H40" t="s">
        <v>38</v>
      </c>
      <c r="I40" t="s">
        <v>38</v>
      </c>
      <c r="J40">
        <v>91</v>
      </c>
      <c r="K40">
        <v>71</v>
      </c>
      <c r="L40">
        <v>897</v>
      </c>
      <c r="M40" s="20">
        <v>5600</v>
      </c>
      <c r="N40" s="20">
        <v>1559</v>
      </c>
      <c r="O40" s="20">
        <f t="shared" si="0"/>
        <v>1016</v>
      </c>
      <c r="P40" s="20">
        <v>294</v>
      </c>
      <c r="Q40" s="20">
        <v>37</v>
      </c>
      <c r="R40" s="20">
        <v>212</v>
      </c>
      <c r="S40" s="20">
        <v>577</v>
      </c>
      <c r="T40" s="20">
        <v>69</v>
      </c>
      <c r="U40" s="20">
        <f t="shared" si="1"/>
        <v>3395</v>
      </c>
      <c r="V40">
        <v>1076</v>
      </c>
      <c r="W40">
        <v>79</v>
      </c>
      <c r="X40">
        <v>41</v>
      </c>
      <c r="Y40">
        <v>62</v>
      </c>
      <c r="Z40">
        <v>821</v>
      </c>
      <c r="AA40">
        <v>746</v>
      </c>
      <c r="AB40">
        <v>4.6399999999999997</v>
      </c>
      <c r="AC40">
        <v>3</v>
      </c>
      <c r="AD40">
        <v>4</v>
      </c>
      <c r="AE40">
        <v>42</v>
      </c>
      <c r="AF40" s="27">
        <v>6312</v>
      </c>
      <c r="AG40" s="27">
        <f t="shared" ca="1" si="2"/>
        <v>1562</v>
      </c>
      <c r="AH40" s="27">
        <f t="shared" ca="1" si="3"/>
        <v>962</v>
      </c>
      <c r="AI40" s="27">
        <f t="shared" ca="1" si="4"/>
        <v>383</v>
      </c>
      <c r="AJ40" s="27">
        <f t="shared" ca="1" si="5"/>
        <v>46</v>
      </c>
      <c r="AK40" s="27">
        <f t="shared" ca="1" si="6"/>
        <v>171</v>
      </c>
      <c r="AL40" s="27">
        <f t="shared" ca="1" si="7"/>
        <v>691</v>
      </c>
      <c r="AM40" s="27">
        <f t="shared" ca="1" si="8"/>
        <v>45</v>
      </c>
      <c r="AN40" s="27">
        <f t="shared" ca="1" si="9"/>
        <v>4014</v>
      </c>
      <c r="AO40">
        <v>4340</v>
      </c>
      <c r="AP40">
        <v>1512</v>
      </c>
      <c r="AQ40">
        <v>148</v>
      </c>
      <c r="AR40">
        <v>573</v>
      </c>
      <c r="AS40">
        <v>1218</v>
      </c>
      <c r="AT40">
        <v>107</v>
      </c>
      <c r="AU40">
        <v>137</v>
      </c>
      <c r="AV40">
        <v>0.98199999999999998</v>
      </c>
      <c r="AW40" s="1"/>
      <c r="AX40" s="29" t="s">
        <v>140</v>
      </c>
      <c r="AY40" s="29">
        <f t="shared" si="10"/>
        <v>29700</v>
      </c>
      <c r="AZ40" s="31">
        <f t="shared" si="11"/>
        <v>166234</v>
      </c>
      <c r="BA40" s="31">
        <f t="shared" ref="BA40" si="40">SUMIF($B$2:$B$571,$B40,$U$2:$U$571)</f>
        <v>104659</v>
      </c>
      <c r="BB40" s="30">
        <f t="shared" si="12"/>
        <v>0.6295884115162963</v>
      </c>
      <c r="BC40">
        <v>4</v>
      </c>
      <c r="BD40" t="s">
        <v>185</v>
      </c>
    </row>
    <row r="41" spans="2:59" x14ac:dyDescent="0.5">
      <c r="B41" s="4">
        <v>2001</v>
      </c>
      <c r="C41" t="s">
        <v>56</v>
      </c>
      <c r="D41" t="s">
        <v>57</v>
      </c>
      <c r="E41">
        <v>5</v>
      </c>
      <c r="F41" t="s">
        <v>38</v>
      </c>
      <c r="G41" t="s">
        <v>38</v>
      </c>
      <c r="H41" t="s">
        <v>38</v>
      </c>
      <c r="I41" t="s">
        <v>38</v>
      </c>
      <c r="J41">
        <v>73</v>
      </c>
      <c r="K41">
        <v>89</v>
      </c>
      <c r="L41">
        <v>923</v>
      </c>
      <c r="M41" s="20">
        <v>5690</v>
      </c>
      <c r="N41" s="20">
        <v>1663</v>
      </c>
      <c r="O41" s="20">
        <f t="shared" si="0"/>
        <v>1065</v>
      </c>
      <c r="P41" s="20">
        <v>324</v>
      </c>
      <c r="Q41" s="20">
        <v>61</v>
      </c>
      <c r="R41" s="20">
        <v>213</v>
      </c>
      <c r="S41" s="20">
        <v>511</v>
      </c>
      <c r="T41" s="20">
        <v>61</v>
      </c>
      <c r="U41" s="20">
        <f t="shared" si="1"/>
        <v>3455</v>
      </c>
      <c r="V41">
        <v>1027</v>
      </c>
      <c r="W41">
        <v>132</v>
      </c>
      <c r="X41">
        <v>54</v>
      </c>
      <c r="Y41">
        <v>50</v>
      </c>
      <c r="Z41">
        <v>906</v>
      </c>
      <c r="AA41">
        <v>841</v>
      </c>
      <c r="AB41">
        <v>5.29</v>
      </c>
      <c r="AC41">
        <v>8</v>
      </c>
      <c r="AD41">
        <v>8</v>
      </c>
      <c r="AE41">
        <v>26</v>
      </c>
      <c r="AF41" s="27">
        <v>6306</v>
      </c>
      <c r="AG41" s="27">
        <f t="shared" ca="1" si="2"/>
        <v>1454</v>
      </c>
      <c r="AH41" s="27">
        <f t="shared" ca="1" si="3"/>
        <v>1001</v>
      </c>
      <c r="AI41" s="27">
        <f t="shared" ca="1" si="4"/>
        <v>256</v>
      </c>
      <c r="AJ41" s="27">
        <f t="shared" ca="1" si="5"/>
        <v>28</v>
      </c>
      <c r="AK41" s="27">
        <f t="shared" ca="1" si="6"/>
        <v>169</v>
      </c>
      <c r="AL41" s="27">
        <f t="shared" ca="1" si="7"/>
        <v>638</v>
      </c>
      <c r="AM41" s="27">
        <f t="shared" ca="1" si="8"/>
        <v>72</v>
      </c>
      <c r="AN41" s="27">
        <f t="shared" ca="1" si="9"/>
        <v>4142</v>
      </c>
      <c r="AO41">
        <v>4290</v>
      </c>
      <c r="AP41">
        <v>1522</v>
      </c>
      <c r="AQ41">
        <v>239</v>
      </c>
      <c r="AR41">
        <v>598</v>
      </c>
      <c r="AS41">
        <v>1058</v>
      </c>
      <c r="AT41">
        <v>96</v>
      </c>
      <c r="AU41">
        <v>167</v>
      </c>
      <c r="AV41">
        <v>0.98399999999999999</v>
      </c>
      <c r="AW41" s="1"/>
      <c r="AX41" s="29"/>
      <c r="AY41" s="29"/>
      <c r="AZ41" s="31"/>
      <c r="BA41" s="31"/>
      <c r="BB41" s="30"/>
      <c r="BC41">
        <v>5</v>
      </c>
      <c r="BD41" t="s">
        <v>186</v>
      </c>
    </row>
    <row r="42" spans="2:59" x14ac:dyDescent="0.5">
      <c r="B42" s="4">
        <v>2001</v>
      </c>
      <c r="C42" t="s">
        <v>58</v>
      </c>
      <c r="D42" t="s">
        <v>59</v>
      </c>
      <c r="E42">
        <v>4</v>
      </c>
      <c r="F42" t="s">
        <v>38</v>
      </c>
      <c r="G42" t="s">
        <v>38</v>
      </c>
      <c r="H42" t="s">
        <v>38</v>
      </c>
      <c r="I42" t="s">
        <v>38</v>
      </c>
      <c r="J42">
        <v>66</v>
      </c>
      <c r="K42">
        <v>96</v>
      </c>
      <c r="L42">
        <v>724</v>
      </c>
      <c r="M42" s="20">
        <v>5537</v>
      </c>
      <c r="N42" s="20">
        <v>1439</v>
      </c>
      <c r="O42" s="20">
        <f t="shared" si="0"/>
        <v>949</v>
      </c>
      <c r="P42" s="20">
        <v>291</v>
      </c>
      <c r="Q42" s="20">
        <v>60</v>
      </c>
      <c r="R42" s="20">
        <v>139</v>
      </c>
      <c r="S42" s="20">
        <v>466</v>
      </c>
      <c r="T42" s="20">
        <v>51</v>
      </c>
      <c r="U42" s="20">
        <f t="shared" si="1"/>
        <v>3581</v>
      </c>
      <c r="V42">
        <v>972</v>
      </c>
      <c r="W42">
        <v>133</v>
      </c>
      <c r="X42">
        <v>61</v>
      </c>
      <c r="Y42">
        <v>49</v>
      </c>
      <c r="Z42">
        <v>876</v>
      </c>
      <c r="AA42">
        <v>795</v>
      </c>
      <c r="AB42">
        <v>5.01</v>
      </c>
      <c r="AC42">
        <v>16</v>
      </c>
      <c r="AD42">
        <v>2</v>
      </c>
      <c r="AE42">
        <v>34</v>
      </c>
      <c r="AF42" s="27">
        <v>6361</v>
      </c>
      <c r="AG42" s="27">
        <f t="shared" ca="1" si="2"/>
        <v>1343</v>
      </c>
      <c r="AH42" s="27">
        <f t="shared" ca="1" si="3"/>
        <v>854</v>
      </c>
      <c r="AI42" s="27">
        <f t="shared" ca="1" si="4"/>
        <v>286</v>
      </c>
      <c r="AJ42" s="27">
        <f t="shared" ca="1" si="5"/>
        <v>42</v>
      </c>
      <c r="AK42" s="27">
        <f t="shared" ca="1" si="6"/>
        <v>161</v>
      </c>
      <c r="AL42" s="27">
        <f t="shared" ca="1" si="7"/>
        <v>536</v>
      </c>
      <c r="AM42" s="27">
        <f t="shared" ca="1" si="8"/>
        <v>41</v>
      </c>
      <c r="AN42" s="27">
        <f t="shared" ca="1" si="9"/>
        <v>4441</v>
      </c>
      <c r="AO42">
        <v>4288</v>
      </c>
      <c r="AP42">
        <v>1624</v>
      </c>
      <c r="AQ42">
        <v>180</v>
      </c>
      <c r="AR42">
        <v>553</v>
      </c>
      <c r="AS42">
        <v>859</v>
      </c>
      <c r="AT42">
        <v>131</v>
      </c>
      <c r="AU42">
        <v>164</v>
      </c>
      <c r="AV42">
        <v>0.97899999999999998</v>
      </c>
      <c r="AW42" s="1">
        <v>2005</v>
      </c>
      <c r="AX42" s="29" t="s">
        <v>134</v>
      </c>
      <c r="AY42" s="29">
        <f t="shared" si="10"/>
        <v>29700</v>
      </c>
      <c r="AZ42" s="31">
        <f t="shared" si="11"/>
        <v>166234</v>
      </c>
      <c r="BA42" s="31">
        <f t="shared" ref="BA42" si="41">SUMIF($B$2:$B$571,$B42,$O$2:$O$571)</f>
        <v>28680</v>
      </c>
      <c r="BB42" s="30">
        <f t="shared" si="12"/>
        <v>0.17252788238266539</v>
      </c>
      <c r="BC42">
        <v>6</v>
      </c>
      <c r="BD42" t="s">
        <v>187</v>
      </c>
    </row>
    <row r="43" spans="2:59" x14ac:dyDescent="0.5">
      <c r="B43" s="4">
        <v>2001</v>
      </c>
      <c r="C43" t="s">
        <v>60</v>
      </c>
      <c r="D43" t="s">
        <v>61</v>
      </c>
      <c r="E43">
        <v>4</v>
      </c>
      <c r="F43" t="s">
        <v>38</v>
      </c>
      <c r="G43" t="s">
        <v>38</v>
      </c>
      <c r="H43" t="s">
        <v>38</v>
      </c>
      <c r="I43" t="s">
        <v>38</v>
      </c>
      <c r="J43">
        <v>76</v>
      </c>
      <c r="K43">
        <v>86</v>
      </c>
      <c r="L43">
        <v>742</v>
      </c>
      <c r="M43" s="20">
        <v>5542</v>
      </c>
      <c r="N43" s="20">
        <v>1461</v>
      </c>
      <c r="O43" s="20">
        <f t="shared" si="0"/>
        <v>940</v>
      </c>
      <c r="P43" s="20">
        <v>325</v>
      </c>
      <c r="Q43" s="20">
        <v>30</v>
      </c>
      <c r="R43" s="20">
        <v>166</v>
      </c>
      <c r="S43" s="20">
        <v>470</v>
      </c>
      <c r="T43" s="20">
        <v>67</v>
      </c>
      <c r="U43" s="20">
        <f t="shared" si="1"/>
        <v>3544</v>
      </c>
      <c r="V43">
        <v>1145</v>
      </c>
      <c r="W43">
        <v>89</v>
      </c>
      <c r="X43">
        <v>40</v>
      </c>
      <c r="Y43">
        <v>45</v>
      </c>
      <c r="Z43">
        <v>744</v>
      </c>
      <c r="AA43">
        <v>691</v>
      </c>
      <c r="AB43">
        <v>4.32</v>
      </c>
      <c r="AC43">
        <v>5</v>
      </c>
      <c r="AD43">
        <v>11</v>
      </c>
      <c r="AE43">
        <v>32</v>
      </c>
      <c r="AF43" s="27">
        <v>6227</v>
      </c>
      <c r="AG43" s="27">
        <f t="shared" ca="1" si="2"/>
        <v>1323</v>
      </c>
      <c r="AH43" s="27">
        <f t="shared" ca="1" si="3"/>
        <v>830</v>
      </c>
      <c r="AI43" s="27">
        <f t="shared" ca="1" si="4"/>
        <v>249</v>
      </c>
      <c r="AJ43" s="27">
        <f t="shared" ca="1" si="5"/>
        <v>20</v>
      </c>
      <c r="AK43" s="27">
        <f t="shared" ca="1" si="6"/>
        <v>224</v>
      </c>
      <c r="AL43" s="27">
        <f t="shared" ca="1" si="7"/>
        <v>626</v>
      </c>
      <c r="AM43" s="27">
        <f t="shared" ca="1" si="8"/>
        <v>71</v>
      </c>
      <c r="AN43" s="27">
        <f t="shared" ca="1" si="9"/>
        <v>4207</v>
      </c>
      <c r="AO43">
        <v>4314</v>
      </c>
      <c r="AP43">
        <v>1397</v>
      </c>
      <c r="AQ43">
        <v>151</v>
      </c>
      <c r="AR43">
        <v>617</v>
      </c>
      <c r="AS43">
        <v>1119</v>
      </c>
      <c r="AT43">
        <v>103</v>
      </c>
      <c r="AU43">
        <v>174</v>
      </c>
      <c r="AV43">
        <v>0.98299999999999998</v>
      </c>
      <c r="AW43" s="1"/>
      <c r="AX43" s="29" t="s">
        <v>135</v>
      </c>
      <c r="AY43" s="29">
        <f t="shared" si="10"/>
        <v>29700</v>
      </c>
      <c r="AZ43" s="31">
        <f t="shared" si="11"/>
        <v>166234</v>
      </c>
      <c r="BA43" s="31">
        <f t="shared" ref="BA43" si="42">SUMIF($B$2:$B$571,$B43,$P$2:$P$571)</f>
        <v>8813</v>
      </c>
      <c r="BB43" s="30">
        <f t="shared" si="12"/>
        <v>5.3015628571772319E-2</v>
      </c>
      <c r="BC43">
        <v>7</v>
      </c>
      <c r="BD43" t="s">
        <v>188</v>
      </c>
    </row>
    <row r="44" spans="2:59" x14ac:dyDescent="0.5">
      <c r="B44" s="4">
        <v>2001</v>
      </c>
      <c r="C44" t="s">
        <v>62</v>
      </c>
      <c r="D44" t="s">
        <v>63</v>
      </c>
      <c r="E44">
        <v>1</v>
      </c>
      <c r="F44" t="s">
        <v>43</v>
      </c>
      <c r="G44" t="s">
        <v>38</v>
      </c>
      <c r="H44" t="s">
        <v>38</v>
      </c>
      <c r="I44" t="s">
        <v>38</v>
      </c>
      <c r="J44">
        <v>93</v>
      </c>
      <c r="K44">
        <v>69</v>
      </c>
      <c r="L44">
        <v>847</v>
      </c>
      <c r="M44" s="20">
        <v>5528</v>
      </c>
      <c r="N44" s="20">
        <v>1500</v>
      </c>
      <c r="O44" s="20">
        <f t="shared" si="0"/>
        <v>950</v>
      </c>
      <c r="P44" s="20">
        <v>313</v>
      </c>
      <c r="Q44" s="20">
        <v>29</v>
      </c>
      <c r="R44" s="20">
        <v>208</v>
      </c>
      <c r="S44" s="20">
        <v>581</v>
      </c>
      <c r="T44" s="20">
        <v>89</v>
      </c>
      <c r="U44" s="20">
        <f t="shared" si="1"/>
        <v>3358</v>
      </c>
      <c r="V44">
        <v>1119</v>
      </c>
      <c r="W44">
        <v>64</v>
      </c>
      <c r="X44">
        <v>49</v>
      </c>
      <c r="Y44">
        <v>56</v>
      </c>
      <c r="Z44">
        <v>769</v>
      </c>
      <c r="AA44">
        <v>707</v>
      </c>
      <c r="AB44">
        <v>4.37</v>
      </c>
      <c r="AC44">
        <v>7</v>
      </c>
      <c r="AD44">
        <v>6</v>
      </c>
      <c r="AE44">
        <v>48</v>
      </c>
      <c r="AF44" s="27">
        <v>6236</v>
      </c>
      <c r="AG44" s="27">
        <f t="shared" ca="1" si="2"/>
        <v>1600</v>
      </c>
      <c r="AH44" s="27">
        <f t="shared" ca="1" si="3"/>
        <v>971</v>
      </c>
      <c r="AI44" s="27">
        <f t="shared" ca="1" si="4"/>
        <v>393</v>
      </c>
      <c r="AJ44" s="27">
        <f t="shared" ca="1" si="5"/>
        <v>42</v>
      </c>
      <c r="AK44" s="27">
        <f t="shared" ca="1" si="6"/>
        <v>194</v>
      </c>
      <c r="AL44" s="27">
        <f t="shared" ca="1" si="7"/>
        <v>699</v>
      </c>
      <c r="AM44" s="27">
        <f t="shared" ca="1" si="8"/>
        <v>33</v>
      </c>
      <c r="AN44" s="27">
        <f t="shared" ca="1" si="9"/>
        <v>3904</v>
      </c>
      <c r="AO44">
        <v>4364</v>
      </c>
      <c r="AP44">
        <v>1453</v>
      </c>
      <c r="AQ44">
        <v>221</v>
      </c>
      <c r="AR44">
        <v>486</v>
      </c>
      <c r="AS44">
        <v>1228</v>
      </c>
      <c r="AT44">
        <v>110</v>
      </c>
      <c r="AU44">
        <v>138</v>
      </c>
      <c r="AV44">
        <v>0.98199999999999998</v>
      </c>
      <c r="AW44" s="1"/>
      <c r="AX44" s="29" t="s">
        <v>136</v>
      </c>
      <c r="AY44" s="29">
        <f t="shared" si="10"/>
        <v>29700</v>
      </c>
      <c r="AZ44" s="31">
        <f t="shared" si="11"/>
        <v>166234</v>
      </c>
      <c r="BA44" s="31">
        <f t="shared" ref="BA44" si="43">SUMIF($B$2:$B$571,$B44,$Q$2:$Q$571)</f>
        <v>928</v>
      </c>
      <c r="BB44" s="30">
        <f t="shared" si="12"/>
        <v>5.5824921496204147E-3</v>
      </c>
    </row>
    <row r="45" spans="2:59" x14ac:dyDescent="0.5">
      <c r="B45" s="4">
        <v>2001</v>
      </c>
      <c r="C45" t="s">
        <v>64</v>
      </c>
      <c r="D45" t="s">
        <v>65</v>
      </c>
      <c r="E45">
        <v>5</v>
      </c>
      <c r="F45" t="s">
        <v>38</v>
      </c>
      <c r="G45" t="s">
        <v>38</v>
      </c>
      <c r="H45" t="s">
        <v>38</v>
      </c>
      <c r="I45" t="s">
        <v>38</v>
      </c>
      <c r="J45">
        <v>65</v>
      </c>
      <c r="K45">
        <v>97</v>
      </c>
      <c r="L45">
        <v>729</v>
      </c>
      <c r="M45" s="20">
        <v>5643</v>
      </c>
      <c r="N45" s="20">
        <v>1503</v>
      </c>
      <c r="O45" s="20">
        <f t="shared" si="0"/>
        <v>1037</v>
      </c>
      <c r="P45" s="20">
        <v>277</v>
      </c>
      <c r="Q45" s="20">
        <v>37</v>
      </c>
      <c r="R45" s="20">
        <v>152</v>
      </c>
      <c r="S45" s="20">
        <v>406</v>
      </c>
      <c r="T45" s="20">
        <v>44</v>
      </c>
      <c r="U45" s="20">
        <f t="shared" si="1"/>
        <v>3690</v>
      </c>
      <c r="V45">
        <v>898</v>
      </c>
      <c r="W45">
        <v>100</v>
      </c>
      <c r="X45">
        <v>42</v>
      </c>
      <c r="Y45">
        <v>47</v>
      </c>
      <c r="Z45">
        <v>858</v>
      </c>
      <c r="AA45">
        <v>779</v>
      </c>
      <c r="AB45">
        <v>4.87</v>
      </c>
      <c r="AC45">
        <v>5</v>
      </c>
      <c r="AD45">
        <v>1</v>
      </c>
      <c r="AE45">
        <v>30</v>
      </c>
      <c r="AF45" s="27">
        <v>6289</v>
      </c>
      <c r="AG45" s="27">
        <f t="shared" ca="1" si="2"/>
        <v>1593</v>
      </c>
      <c r="AH45" s="27">
        <f t="shared" ca="1" si="3"/>
        <v>1005</v>
      </c>
      <c r="AI45" s="27">
        <f t="shared" ca="1" si="4"/>
        <v>390</v>
      </c>
      <c r="AJ45" s="27">
        <f t="shared" ca="1" si="5"/>
        <v>42</v>
      </c>
      <c r="AK45" s="27">
        <f t="shared" ca="1" si="6"/>
        <v>156</v>
      </c>
      <c r="AL45" s="27">
        <f t="shared" ca="1" si="7"/>
        <v>499</v>
      </c>
      <c r="AM45" s="27">
        <f t="shared" ca="1" si="8"/>
        <v>80</v>
      </c>
      <c r="AN45" s="27">
        <f t="shared" ca="1" si="9"/>
        <v>4117</v>
      </c>
      <c r="AO45">
        <v>4320</v>
      </c>
      <c r="AP45">
        <v>1537</v>
      </c>
      <c r="AQ45">
        <v>209</v>
      </c>
      <c r="AR45">
        <v>576</v>
      </c>
      <c r="AS45">
        <v>911</v>
      </c>
      <c r="AT45">
        <v>117</v>
      </c>
      <c r="AU45">
        <v>204</v>
      </c>
      <c r="AV45">
        <v>0.98099999999999998</v>
      </c>
      <c r="AW45" s="1"/>
      <c r="AX45" s="29" t="s">
        <v>137</v>
      </c>
      <c r="AY45" s="29">
        <f t="shared" si="10"/>
        <v>29700</v>
      </c>
      <c r="AZ45" s="31">
        <f t="shared" si="11"/>
        <v>166234</v>
      </c>
      <c r="BA45" s="31">
        <f t="shared" ref="BA45" si="44">SUMIF($B$2:$B$571,$B45,$R$2:$R$571)</f>
        <v>5458</v>
      </c>
      <c r="BB45" s="30">
        <f t="shared" si="12"/>
        <v>3.2833235078263169E-2</v>
      </c>
    </row>
    <row r="46" spans="2:59" x14ac:dyDescent="0.5">
      <c r="B46" s="4">
        <v>2001</v>
      </c>
      <c r="C46" t="s">
        <v>66</v>
      </c>
      <c r="D46" t="s">
        <v>67</v>
      </c>
      <c r="E46">
        <v>3</v>
      </c>
      <c r="F46" t="s">
        <v>38</v>
      </c>
      <c r="G46" t="s">
        <v>38</v>
      </c>
      <c r="H46" t="s">
        <v>38</v>
      </c>
      <c r="I46" t="s">
        <v>38</v>
      </c>
      <c r="J46">
        <v>86</v>
      </c>
      <c r="K46">
        <v>76</v>
      </c>
      <c r="L46">
        <v>758</v>
      </c>
      <c r="M46" s="20">
        <v>5493</v>
      </c>
      <c r="N46" s="20">
        <v>1399</v>
      </c>
      <c r="O46" s="20">
        <f t="shared" si="0"/>
        <v>902</v>
      </c>
      <c r="P46" s="20">
        <v>264</v>
      </c>
      <c r="Q46" s="20">
        <v>27</v>
      </c>
      <c r="R46" s="20">
        <v>206</v>
      </c>
      <c r="S46" s="20">
        <v>519</v>
      </c>
      <c r="T46" s="20">
        <v>56</v>
      </c>
      <c r="U46" s="20">
        <f t="shared" si="1"/>
        <v>3519</v>
      </c>
      <c r="V46">
        <v>1062</v>
      </c>
      <c r="W46">
        <v>89</v>
      </c>
      <c r="X46">
        <v>42</v>
      </c>
      <c r="Y46">
        <v>44</v>
      </c>
      <c r="Z46">
        <v>744</v>
      </c>
      <c r="AA46">
        <v>685</v>
      </c>
      <c r="AB46">
        <v>4.25</v>
      </c>
      <c r="AC46">
        <v>3</v>
      </c>
      <c r="AD46">
        <v>5</v>
      </c>
      <c r="AE46">
        <v>46</v>
      </c>
      <c r="AF46" s="27">
        <v>6201</v>
      </c>
      <c r="AG46" s="27">
        <f t="shared" ca="1" si="2"/>
        <v>1626</v>
      </c>
      <c r="AH46" s="27">
        <f t="shared" ca="1" si="3"/>
        <v>1187</v>
      </c>
      <c r="AI46" s="27">
        <f t="shared" ca="1" si="4"/>
        <v>220</v>
      </c>
      <c r="AJ46" s="27">
        <f t="shared" ca="1" si="5"/>
        <v>44</v>
      </c>
      <c r="AK46" s="27">
        <f t="shared" ca="1" si="6"/>
        <v>175</v>
      </c>
      <c r="AL46" s="27">
        <f t="shared" ca="1" si="7"/>
        <v>454</v>
      </c>
      <c r="AM46" s="27">
        <f t="shared" ca="1" si="8"/>
        <v>44</v>
      </c>
      <c r="AN46" s="27">
        <f t="shared" ca="1" si="9"/>
        <v>4077</v>
      </c>
      <c r="AO46">
        <v>4352</v>
      </c>
      <c r="AP46">
        <v>1387</v>
      </c>
      <c r="AQ46">
        <v>184</v>
      </c>
      <c r="AR46">
        <v>524</v>
      </c>
      <c r="AS46">
        <v>1212</v>
      </c>
      <c r="AT46">
        <v>116</v>
      </c>
      <c r="AU46">
        <v>138</v>
      </c>
      <c r="AV46">
        <v>0.98099999999999998</v>
      </c>
      <c r="AW46" s="1"/>
      <c r="AX46" s="29" t="s">
        <v>138</v>
      </c>
      <c r="AY46" s="29">
        <f t="shared" si="10"/>
        <v>29700</v>
      </c>
      <c r="AZ46" s="31">
        <f t="shared" si="11"/>
        <v>166234</v>
      </c>
      <c r="BA46" s="31">
        <f t="shared" ref="BA46" si="45">SUMIF($B$2:$B$571,$B46,$S$2:$S$571)</f>
        <v>15806</v>
      </c>
      <c r="BB46" s="30">
        <f t="shared" si="12"/>
        <v>9.5082835039763225E-2</v>
      </c>
    </row>
    <row r="47" spans="2:59" x14ac:dyDescent="0.5">
      <c r="B47" s="4">
        <v>2001</v>
      </c>
      <c r="C47" t="s">
        <v>68</v>
      </c>
      <c r="D47" t="s">
        <v>69</v>
      </c>
      <c r="E47">
        <v>4</v>
      </c>
      <c r="F47" t="s">
        <v>38</v>
      </c>
      <c r="G47" t="s">
        <v>38</v>
      </c>
      <c r="H47" t="s">
        <v>38</v>
      </c>
      <c r="I47" t="s">
        <v>38</v>
      </c>
      <c r="J47">
        <v>68</v>
      </c>
      <c r="K47">
        <v>94</v>
      </c>
      <c r="L47">
        <v>740</v>
      </c>
      <c r="M47" s="20">
        <v>5488</v>
      </c>
      <c r="N47" s="20">
        <v>1378</v>
      </c>
      <c r="O47" s="20">
        <f t="shared" si="0"/>
        <v>866</v>
      </c>
      <c r="P47" s="20">
        <v>273</v>
      </c>
      <c r="Q47" s="20">
        <v>30</v>
      </c>
      <c r="R47" s="20">
        <v>209</v>
      </c>
      <c r="S47" s="20">
        <v>488</v>
      </c>
      <c r="T47" s="20">
        <v>72</v>
      </c>
      <c r="U47" s="20">
        <f t="shared" si="1"/>
        <v>3550</v>
      </c>
      <c r="V47">
        <v>1399</v>
      </c>
      <c r="W47">
        <v>66</v>
      </c>
      <c r="X47">
        <v>36</v>
      </c>
      <c r="Y47">
        <v>35</v>
      </c>
      <c r="Z47">
        <v>806</v>
      </c>
      <c r="AA47">
        <v>740</v>
      </c>
      <c r="AB47">
        <v>4.6399999999999997</v>
      </c>
      <c r="AC47">
        <v>3</v>
      </c>
      <c r="AD47">
        <v>8</v>
      </c>
      <c r="AE47">
        <v>28</v>
      </c>
      <c r="AF47" s="27">
        <v>6338</v>
      </c>
      <c r="AG47" s="27">
        <f t="shared" ca="1" si="2"/>
        <v>1590</v>
      </c>
      <c r="AH47" s="27">
        <f t="shared" ca="1" si="3"/>
        <v>1050</v>
      </c>
      <c r="AI47" s="27">
        <f t="shared" ca="1" si="4"/>
        <v>292</v>
      </c>
      <c r="AJ47" s="27">
        <f t="shared" ca="1" si="5"/>
        <v>43</v>
      </c>
      <c r="AK47" s="27">
        <f t="shared" ca="1" si="6"/>
        <v>205</v>
      </c>
      <c r="AL47" s="27">
        <f t="shared" ca="1" si="7"/>
        <v>439</v>
      </c>
      <c r="AM47" s="27">
        <f t="shared" ca="1" si="8"/>
        <v>81</v>
      </c>
      <c r="AN47" s="27">
        <f t="shared" ca="1" si="9"/>
        <v>4228</v>
      </c>
      <c r="AO47">
        <v>4309</v>
      </c>
      <c r="AP47">
        <v>1452</v>
      </c>
      <c r="AQ47">
        <v>197</v>
      </c>
      <c r="AR47">
        <v>667</v>
      </c>
      <c r="AS47">
        <v>1057</v>
      </c>
      <c r="AT47">
        <v>103</v>
      </c>
      <c r="AU47">
        <v>156</v>
      </c>
      <c r="AV47">
        <v>0.98299999999999998</v>
      </c>
      <c r="AW47" s="1"/>
      <c r="AX47" s="29" t="s">
        <v>139</v>
      </c>
      <c r="AY47" s="29">
        <f t="shared" si="10"/>
        <v>29700</v>
      </c>
      <c r="AZ47" s="31">
        <f t="shared" si="11"/>
        <v>166234</v>
      </c>
      <c r="BA47" s="31">
        <f t="shared" ref="BA47" si="46">SUMIF($B$2:$B$571,$B47,$T$2:$T$571)</f>
        <v>1890</v>
      </c>
      <c r="BB47" s="30">
        <f t="shared" si="12"/>
        <v>1.1369515261619164E-2</v>
      </c>
    </row>
    <row r="48" spans="2:59" x14ac:dyDescent="0.5">
      <c r="B48" s="4">
        <v>2001</v>
      </c>
      <c r="C48" t="s">
        <v>70</v>
      </c>
      <c r="D48" t="s">
        <v>71</v>
      </c>
      <c r="E48">
        <v>2</v>
      </c>
      <c r="F48" t="s">
        <v>38</v>
      </c>
      <c r="G48" t="s">
        <v>38</v>
      </c>
      <c r="H48" t="s">
        <v>38</v>
      </c>
      <c r="I48" t="s">
        <v>38</v>
      </c>
      <c r="J48">
        <v>85</v>
      </c>
      <c r="K48">
        <v>77</v>
      </c>
      <c r="L48">
        <v>771</v>
      </c>
      <c r="M48" s="20">
        <v>5560</v>
      </c>
      <c r="N48" s="20">
        <v>1514</v>
      </c>
      <c r="O48" s="20">
        <f t="shared" si="0"/>
        <v>984</v>
      </c>
      <c r="P48" s="20">
        <v>328</v>
      </c>
      <c r="Q48" s="20">
        <v>38</v>
      </c>
      <c r="R48" s="20">
        <v>164</v>
      </c>
      <c r="S48" s="20">
        <v>495</v>
      </c>
      <c r="T48" s="20">
        <v>64</v>
      </c>
      <c r="U48" s="20">
        <f t="shared" si="1"/>
        <v>3487</v>
      </c>
      <c r="V48">
        <v>1083</v>
      </c>
      <c r="W48">
        <v>146</v>
      </c>
      <c r="X48">
        <v>67</v>
      </c>
      <c r="Y48">
        <v>38</v>
      </c>
      <c r="Z48">
        <v>766</v>
      </c>
      <c r="AA48">
        <v>722</v>
      </c>
      <c r="AB48">
        <v>4.51</v>
      </c>
      <c r="AC48">
        <v>12</v>
      </c>
      <c r="AD48">
        <v>8</v>
      </c>
      <c r="AE48">
        <v>45</v>
      </c>
      <c r="AF48" s="27">
        <v>6187</v>
      </c>
      <c r="AG48" s="27">
        <f t="shared" ca="1" si="2"/>
        <v>1309</v>
      </c>
      <c r="AH48" s="27">
        <f t="shared" ca="1" si="3"/>
        <v>788</v>
      </c>
      <c r="AI48" s="27">
        <f t="shared" ca="1" si="4"/>
        <v>324</v>
      </c>
      <c r="AJ48" s="27">
        <f t="shared" ca="1" si="5"/>
        <v>28</v>
      </c>
      <c r="AK48" s="27">
        <f t="shared" ca="1" si="6"/>
        <v>169</v>
      </c>
      <c r="AL48" s="27">
        <f t="shared" ca="1" si="7"/>
        <v>608</v>
      </c>
      <c r="AM48" s="27">
        <f t="shared" ca="1" si="8"/>
        <v>82</v>
      </c>
      <c r="AN48" s="27">
        <f t="shared" ca="1" si="9"/>
        <v>4188</v>
      </c>
      <c r="AO48">
        <v>4324</v>
      </c>
      <c r="AP48">
        <v>1494</v>
      </c>
      <c r="AQ48">
        <v>192</v>
      </c>
      <c r="AR48">
        <v>445</v>
      </c>
      <c r="AS48">
        <v>965</v>
      </c>
      <c r="AT48">
        <v>108</v>
      </c>
      <c r="AU48">
        <v>118</v>
      </c>
      <c r="AV48">
        <v>0.98199999999999998</v>
      </c>
      <c r="AW48" s="1"/>
      <c r="AX48" s="29" t="s">
        <v>140</v>
      </c>
      <c r="AY48" s="29">
        <f t="shared" si="10"/>
        <v>29700</v>
      </c>
      <c r="AZ48" s="31">
        <f t="shared" si="11"/>
        <v>166234</v>
      </c>
      <c r="BA48" s="31">
        <f t="shared" ref="BA48" si="47">SUMIF($B$2:$B$571,$B48,$U$2:$U$571)</f>
        <v>104659</v>
      </c>
      <c r="BB48" s="30">
        <f t="shared" si="12"/>
        <v>0.6295884115162963</v>
      </c>
    </row>
    <row r="49" spans="2:54" x14ac:dyDescent="0.5">
      <c r="B49" s="4">
        <v>2001</v>
      </c>
      <c r="C49" t="s">
        <v>72</v>
      </c>
      <c r="D49" t="s">
        <v>73</v>
      </c>
      <c r="E49">
        <v>5</v>
      </c>
      <c r="F49" t="s">
        <v>38</v>
      </c>
      <c r="G49" t="s">
        <v>38</v>
      </c>
      <c r="H49" t="s">
        <v>38</v>
      </c>
      <c r="I49" t="s">
        <v>38</v>
      </c>
      <c r="J49">
        <v>68</v>
      </c>
      <c r="K49">
        <v>94</v>
      </c>
      <c r="L49">
        <v>670</v>
      </c>
      <c r="M49" s="20">
        <v>5379</v>
      </c>
      <c r="N49" s="20">
        <v>1361</v>
      </c>
      <c r="O49" s="20">
        <f t="shared" si="0"/>
        <v>882</v>
      </c>
      <c r="P49" s="20">
        <v>320</v>
      </c>
      <c r="Q49" s="20">
        <v>28</v>
      </c>
      <c r="R49" s="20">
        <v>131</v>
      </c>
      <c r="S49" s="20">
        <v>478</v>
      </c>
      <c r="T49" s="20">
        <v>60</v>
      </c>
      <c r="U49" s="20">
        <f t="shared" si="1"/>
        <v>3480</v>
      </c>
      <c r="V49">
        <v>1071</v>
      </c>
      <c r="W49">
        <v>101</v>
      </c>
      <c r="X49">
        <v>51</v>
      </c>
      <c r="Y49">
        <v>45</v>
      </c>
      <c r="Z49">
        <v>812</v>
      </c>
      <c r="AA49">
        <v>745</v>
      </c>
      <c r="AB49">
        <v>4.68</v>
      </c>
      <c r="AC49">
        <v>5</v>
      </c>
      <c r="AD49">
        <v>11</v>
      </c>
      <c r="AE49">
        <v>28</v>
      </c>
      <c r="AF49" s="27">
        <v>6250</v>
      </c>
      <c r="AG49" s="27">
        <f t="shared" ca="1" si="2"/>
        <v>1566</v>
      </c>
      <c r="AH49" s="27">
        <f t="shared" ca="1" si="3"/>
        <v>1090</v>
      </c>
      <c r="AI49" s="27">
        <f t="shared" ca="1" si="4"/>
        <v>231</v>
      </c>
      <c r="AJ49" s="27">
        <f t="shared" ca="1" si="5"/>
        <v>31</v>
      </c>
      <c r="AK49" s="27">
        <f t="shared" ca="1" si="6"/>
        <v>214</v>
      </c>
      <c r="AL49" s="27">
        <f t="shared" ca="1" si="7"/>
        <v>464</v>
      </c>
      <c r="AM49" s="27">
        <f t="shared" ca="1" si="8"/>
        <v>49</v>
      </c>
      <c r="AN49" s="27">
        <f t="shared" ca="1" si="9"/>
        <v>4171</v>
      </c>
      <c r="AO49">
        <v>4294</v>
      </c>
      <c r="AP49">
        <v>1509</v>
      </c>
      <c r="AQ49">
        <v>190</v>
      </c>
      <c r="AR49">
        <v>525</v>
      </c>
      <c r="AS49">
        <v>1103</v>
      </c>
      <c r="AT49">
        <v>108</v>
      </c>
      <c r="AU49">
        <v>139</v>
      </c>
      <c r="AV49">
        <v>0.98199999999999998</v>
      </c>
      <c r="AW49" s="1"/>
      <c r="AX49" s="29"/>
      <c r="AY49" s="29"/>
      <c r="AZ49" s="31"/>
      <c r="BA49" s="31"/>
      <c r="BB49" s="30"/>
    </row>
    <row r="50" spans="2:54" x14ac:dyDescent="0.5">
      <c r="B50" s="4">
        <v>2001</v>
      </c>
      <c r="C50" t="s">
        <v>74</v>
      </c>
      <c r="D50" t="s">
        <v>75</v>
      </c>
      <c r="E50">
        <v>1</v>
      </c>
      <c r="F50" t="s">
        <v>43</v>
      </c>
      <c r="G50" t="s">
        <v>38</v>
      </c>
      <c r="H50" t="s">
        <v>43</v>
      </c>
      <c r="I50" t="s">
        <v>38</v>
      </c>
      <c r="J50">
        <v>95</v>
      </c>
      <c r="K50">
        <v>65</v>
      </c>
      <c r="L50">
        <v>804</v>
      </c>
      <c r="M50" s="20">
        <v>5577</v>
      </c>
      <c r="N50" s="20">
        <v>1488</v>
      </c>
      <c r="O50" s="20">
        <f t="shared" si="0"/>
        <v>976</v>
      </c>
      <c r="P50" s="20">
        <v>289</v>
      </c>
      <c r="Q50" s="20">
        <v>20</v>
      </c>
      <c r="R50" s="20">
        <v>203</v>
      </c>
      <c r="S50" s="20">
        <v>519</v>
      </c>
      <c r="T50" s="20">
        <v>64</v>
      </c>
      <c r="U50" s="20">
        <f t="shared" si="1"/>
        <v>3506</v>
      </c>
      <c r="V50">
        <v>1035</v>
      </c>
      <c r="W50">
        <v>161</v>
      </c>
      <c r="X50">
        <v>53</v>
      </c>
      <c r="Y50">
        <v>43</v>
      </c>
      <c r="Z50">
        <v>713</v>
      </c>
      <c r="AA50">
        <v>649</v>
      </c>
      <c r="AB50">
        <v>4.0199999999999996</v>
      </c>
      <c r="AC50">
        <v>7</v>
      </c>
      <c r="AD50">
        <v>9</v>
      </c>
      <c r="AE50">
        <v>57</v>
      </c>
      <c r="AF50" s="27">
        <v>6174</v>
      </c>
      <c r="AG50" s="27">
        <f t="shared" ca="1" si="2"/>
        <v>1690</v>
      </c>
      <c r="AH50" s="27">
        <f t="shared" ca="1" si="3"/>
        <v>1121</v>
      </c>
      <c r="AI50" s="27">
        <f t="shared" ca="1" si="4"/>
        <v>318</v>
      </c>
      <c r="AJ50" s="27">
        <f t="shared" ca="1" si="5"/>
        <v>33</v>
      </c>
      <c r="AK50" s="27">
        <f t="shared" ca="1" si="6"/>
        <v>218</v>
      </c>
      <c r="AL50" s="27">
        <f t="shared" ca="1" si="7"/>
        <v>522</v>
      </c>
      <c r="AM50" s="27">
        <f t="shared" ca="1" si="8"/>
        <v>33</v>
      </c>
      <c r="AN50" s="27">
        <f t="shared" ca="1" si="9"/>
        <v>3929</v>
      </c>
      <c r="AO50">
        <v>4354</v>
      </c>
      <c r="AP50">
        <v>1429</v>
      </c>
      <c r="AQ50">
        <v>158</v>
      </c>
      <c r="AR50">
        <v>465</v>
      </c>
      <c r="AS50">
        <v>1266</v>
      </c>
      <c r="AT50">
        <v>109</v>
      </c>
      <c r="AU50">
        <v>132</v>
      </c>
      <c r="AV50">
        <v>0.98199999999999998</v>
      </c>
      <c r="AW50" s="1">
        <v>2006</v>
      </c>
      <c r="AX50" s="29" t="s">
        <v>134</v>
      </c>
      <c r="AY50" s="29">
        <f t="shared" si="10"/>
        <v>29700</v>
      </c>
      <c r="AZ50" s="31">
        <f t="shared" si="11"/>
        <v>166234</v>
      </c>
      <c r="BA50" s="31">
        <f t="shared" ref="BA50" si="48">SUMIF($B$2:$B$571,$B50,$O$2:$O$571)</f>
        <v>28680</v>
      </c>
      <c r="BB50" s="30">
        <f t="shared" si="12"/>
        <v>0.17252788238266539</v>
      </c>
    </row>
    <row r="51" spans="2:54" x14ac:dyDescent="0.5">
      <c r="B51" s="4">
        <v>2001</v>
      </c>
      <c r="C51" t="s">
        <v>76</v>
      </c>
      <c r="D51" t="s">
        <v>77</v>
      </c>
      <c r="E51">
        <v>3</v>
      </c>
      <c r="F51" t="s">
        <v>38</v>
      </c>
      <c r="G51" t="s">
        <v>38</v>
      </c>
      <c r="H51" t="s">
        <v>38</v>
      </c>
      <c r="I51" t="s">
        <v>38</v>
      </c>
      <c r="J51">
        <v>82</v>
      </c>
      <c r="K51">
        <v>80</v>
      </c>
      <c r="L51">
        <v>642</v>
      </c>
      <c r="M51" s="20">
        <v>5459</v>
      </c>
      <c r="N51" s="20">
        <v>1361</v>
      </c>
      <c r="O51" s="20">
        <f t="shared" si="0"/>
        <v>923</v>
      </c>
      <c r="P51" s="20">
        <v>273</v>
      </c>
      <c r="Q51" s="20">
        <v>18</v>
      </c>
      <c r="R51" s="20">
        <v>147</v>
      </c>
      <c r="S51" s="20">
        <v>545</v>
      </c>
      <c r="T51" s="20">
        <v>65</v>
      </c>
      <c r="U51" s="20">
        <f t="shared" si="1"/>
        <v>3488</v>
      </c>
      <c r="V51">
        <v>1062</v>
      </c>
      <c r="W51">
        <v>66</v>
      </c>
      <c r="X51">
        <v>48</v>
      </c>
      <c r="Y51">
        <v>35</v>
      </c>
      <c r="Z51">
        <v>713</v>
      </c>
      <c r="AA51">
        <v>654</v>
      </c>
      <c r="AB51">
        <v>4.07</v>
      </c>
      <c r="AC51">
        <v>6</v>
      </c>
      <c r="AD51">
        <v>14</v>
      </c>
      <c r="AE51">
        <v>48</v>
      </c>
      <c r="AF51" s="27">
        <v>6107</v>
      </c>
      <c r="AG51" s="27">
        <f t="shared" ca="1" si="2"/>
        <v>1525</v>
      </c>
      <c r="AH51" s="27">
        <f t="shared" ca="1" si="3"/>
        <v>1054</v>
      </c>
      <c r="AI51" s="27">
        <f t="shared" ca="1" si="4"/>
        <v>263</v>
      </c>
      <c r="AJ51" s="27">
        <f t="shared" ca="1" si="5"/>
        <v>21</v>
      </c>
      <c r="AK51" s="27">
        <f t="shared" ca="1" si="6"/>
        <v>187</v>
      </c>
      <c r="AL51" s="27">
        <f t="shared" ca="1" si="7"/>
        <v>615</v>
      </c>
      <c r="AM51" s="27">
        <f t="shared" ca="1" si="8"/>
        <v>84</v>
      </c>
      <c r="AN51" s="27">
        <f t="shared" ca="1" si="9"/>
        <v>3883</v>
      </c>
      <c r="AO51">
        <v>4337</v>
      </c>
      <c r="AP51">
        <v>1418</v>
      </c>
      <c r="AQ51">
        <v>186</v>
      </c>
      <c r="AR51">
        <v>438</v>
      </c>
      <c r="AS51">
        <v>1191</v>
      </c>
      <c r="AT51">
        <v>101</v>
      </c>
      <c r="AU51">
        <v>132</v>
      </c>
      <c r="AV51">
        <v>0.98299999999999998</v>
      </c>
      <c r="AW51" s="1"/>
      <c r="AX51" s="29" t="s">
        <v>135</v>
      </c>
      <c r="AY51" s="29">
        <f t="shared" si="10"/>
        <v>29700</v>
      </c>
      <c r="AZ51" s="31">
        <f t="shared" si="11"/>
        <v>166234</v>
      </c>
      <c r="BA51" s="31">
        <f t="shared" ref="BA51" si="49">SUMIF($B$2:$B$571,$B51,$P$2:$P$571)</f>
        <v>8813</v>
      </c>
      <c r="BB51" s="30">
        <f t="shared" si="12"/>
        <v>5.3015628571772319E-2</v>
      </c>
    </row>
    <row r="52" spans="2:54" x14ac:dyDescent="0.5">
      <c r="B52" s="4">
        <v>2001</v>
      </c>
      <c r="C52" t="s">
        <v>78</v>
      </c>
      <c r="D52" t="s">
        <v>79</v>
      </c>
      <c r="E52">
        <v>2</v>
      </c>
      <c r="F52" t="s">
        <v>38</v>
      </c>
      <c r="G52" t="s">
        <v>43</v>
      </c>
      <c r="H52" t="s">
        <v>38</v>
      </c>
      <c r="I52" t="s">
        <v>38</v>
      </c>
      <c r="J52">
        <v>102</v>
      </c>
      <c r="K52">
        <v>60</v>
      </c>
      <c r="L52">
        <v>884</v>
      </c>
      <c r="M52" s="20">
        <v>5573</v>
      </c>
      <c r="N52" s="20">
        <v>1469</v>
      </c>
      <c r="O52" s="20">
        <f t="shared" si="0"/>
        <v>914</v>
      </c>
      <c r="P52" s="20">
        <v>334</v>
      </c>
      <c r="Q52" s="20">
        <v>22</v>
      </c>
      <c r="R52" s="20">
        <v>199</v>
      </c>
      <c r="S52" s="20">
        <v>640</v>
      </c>
      <c r="T52" s="20">
        <v>88</v>
      </c>
      <c r="U52" s="20">
        <f t="shared" si="1"/>
        <v>3376</v>
      </c>
      <c r="V52">
        <v>1021</v>
      </c>
      <c r="W52">
        <v>68</v>
      </c>
      <c r="X52">
        <v>29</v>
      </c>
      <c r="Y52">
        <v>59</v>
      </c>
      <c r="Z52">
        <v>645</v>
      </c>
      <c r="AA52">
        <v>583</v>
      </c>
      <c r="AB52">
        <v>3.59</v>
      </c>
      <c r="AC52">
        <v>13</v>
      </c>
      <c r="AD52">
        <v>9</v>
      </c>
      <c r="AE52">
        <v>44</v>
      </c>
      <c r="AF52" s="27">
        <v>6115</v>
      </c>
      <c r="AG52" s="27">
        <f t="shared" ca="1" si="2"/>
        <v>1580</v>
      </c>
      <c r="AH52" s="27">
        <f t="shared" ca="1" si="3"/>
        <v>1066</v>
      </c>
      <c r="AI52" s="27">
        <f t="shared" ca="1" si="4"/>
        <v>342</v>
      </c>
      <c r="AJ52" s="27">
        <f t="shared" ca="1" si="5"/>
        <v>36</v>
      </c>
      <c r="AK52" s="27">
        <f t="shared" ca="1" si="6"/>
        <v>136</v>
      </c>
      <c r="AL52" s="27">
        <f t="shared" ca="1" si="7"/>
        <v>426</v>
      </c>
      <c r="AM52" s="27">
        <f t="shared" ca="1" si="8"/>
        <v>63</v>
      </c>
      <c r="AN52" s="27">
        <f t="shared" ca="1" si="9"/>
        <v>4046</v>
      </c>
      <c r="AO52">
        <v>4390</v>
      </c>
      <c r="AP52">
        <v>1384</v>
      </c>
      <c r="AQ52">
        <v>153</v>
      </c>
      <c r="AR52">
        <v>440</v>
      </c>
      <c r="AS52">
        <v>1117</v>
      </c>
      <c r="AT52">
        <v>125</v>
      </c>
      <c r="AU52">
        <v>151</v>
      </c>
      <c r="AV52">
        <v>0.98</v>
      </c>
      <c r="AW52" s="1"/>
      <c r="AX52" s="29" t="s">
        <v>136</v>
      </c>
      <c r="AY52" s="29">
        <f t="shared" si="10"/>
        <v>29700</v>
      </c>
      <c r="AZ52" s="31">
        <f t="shared" si="11"/>
        <v>166234</v>
      </c>
      <c r="BA52" s="31">
        <f t="shared" ref="BA52" si="50">SUMIF($B$2:$B$571,$B52,$Q$2:$Q$571)</f>
        <v>928</v>
      </c>
      <c r="BB52" s="30">
        <f t="shared" si="12"/>
        <v>5.5824921496204147E-3</v>
      </c>
    </row>
    <row r="53" spans="2:54" x14ac:dyDescent="0.5">
      <c r="B53" s="4">
        <v>2001</v>
      </c>
      <c r="C53" t="s">
        <v>80</v>
      </c>
      <c r="D53" t="s">
        <v>81</v>
      </c>
      <c r="E53">
        <v>2</v>
      </c>
      <c r="F53" t="s">
        <v>38</v>
      </c>
      <c r="G53" t="s">
        <v>38</v>
      </c>
      <c r="H53" t="s">
        <v>38</v>
      </c>
      <c r="I53" t="s">
        <v>38</v>
      </c>
      <c r="J53">
        <v>86</v>
      </c>
      <c r="K53">
        <v>76</v>
      </c>
      <c r="L53">
        <v>746</v>
      </c>
      <c r="M53" s="20">
        <v>5497</v>
      </c>
      <c r="N53" s="20">
        <v>1431</v>
      </c>
      <c r="O53" s="20">
        <f t="shared" si="0"/>
        <v>943</v>
      </c>
      <c r="P53" s="20">
        <v>295</v>
      </c>
      <c r="Q53" s="20">
        <v>29</v>
      </c>
      <c r="R53" s="20">
        <v>164</v>
      </c>
      <c r="S53" s="20">
        <v>551</v>
      </c>
      <c r="T53" s="20">
        <v>43</v>
      </c>
      <c r="U53" s="20">
        <f t="shared" si="1"/>
        <v>3472</v>
      </c>
      <c r="V53">
        <v>1125</v>
      </c>
      <c r="W53">
        <v>153</v>
      </c>
      <c r="X53">
        <v>47</v>
      </c>
      <c r="Y53">
        <v>61</v>
      </c>
      <c r="Z53">
        <v>719</v>
      </c>
      <c r="AA53">
        <v>667</v>
      </c>
      <c r="AB53">
        <v>4.1500000000000004</v>
      </c>
      <c r="AC53">
        <v>8</v>
      </c>
      <c r="AD53">
        <v>7</v>
      </c>
      <c r="AE53">
        <v>47</v>
      </c>
      <c r="AF53" s="27">
        <v>6198</v>
      </c>
      <c r="AG53" s="27">
        <f t="shared" ca="1" si="2"/>
        <v>1570</v>
      </c>
      <c r="AH53" s="27">
        <f t="shared" ca="1" si="3"/>
        <v>991</v>
      </c>
      <c r="AI53" s="27">
        <f t="shared" ca="1" si="4"/>
        <v>359</v>
      </c>
      <c r="AJ53" s="27">
        <f t="shared" ca="1" si="5"/>
        <v>34</v>
      </c>
      <c r="AK53" s="27">
        <f t="shared" ca="1" si="6"/>
        <v>186</v>
      </c>
      <c r="AL53" s="27">
        <f t="shared" ca="1" si="7"/>
        <v>503</v>
      </c>
      <c r="AM53" s="27">
        <f t="shared" ca="1" si="8"/>
        <v>66</v>
      </c>
      <c r="AN53" s="27">
        <f t="shared" ca="1" si="9"/>
        <v>4059</v>
      </c>
      <c r="AO53">
        <v>4336</v>
      </c>
      <c r="AP53">
        <v>1417</v>
      </c>
      <c r="AQ53">
        <v>170</v>
      </c>
      <c r="AR53">
        <v>527</v>
      </c>
      <c r="AS53">
        <v>1086</v>
      </c>
      <c r="AT53">
        <v>91</v>
      </c>
      <c r="AU53">
        <v>145</v>
      </c>
      <c r="AV53">
        <v>0.98499999999999999</v>
      </c>
      <c r="AW53" s="1"/>
      <c r="AX53" s="29" t="s">
        <v>137</v>
      </c>
      <c r="AY53" s="29">
        <f t="shared" si="10"/>
        <v>29700</v>
      </c>
      <c r="AZ53" s="31">
        <f t="shared" si="11"/>
        <v>166234</v>
      </c>
      <c r="BA53" s="31">
        <f t="shared" ref="BA53" si="51">SUMIF($B$2:$B$571,$B53,$R$2:$R$571)</f>
        <v>5458</v>
      </c>
      <c r="BB53" s="30">
        <f t="shared" si="12"/>
        <v>3.2833235078263169E-2</v>
      </c>
    </row>
    <row r="54" spans="2:54" x14ac:dyDescent="0.5">
      <c r="B54" s="4">
        <v>2001</v>
      </c>
      <c r="C54" t="s">
        <v>82</v>
      </c>
      <c r="D54" t="s">
        <v>83</v>
      </c>
      <c r="E54">
        <v>6</v>
      </c>
      <c r="F54" t="s">
        <v>38</v>
      </c>
      <c r="G54" t="s">
        <v>38</v>
      </c>
      <c r="H54" t="s">
        <v>38</v>
      </c>
      <c r="I54" t="s">
        <v>38</v>
      </c>
      <c r="J54">
        <v>62</v>
      </c>
      <c r="K54">
        <v>100</v>
      </c>
      <c r="L54">
        <v>657</v>
      </c>
      <c r="M54" s="20">
        <v>5398</v>
      </c>
      <c r="N54" s="20">
        <v>1333</v>
      </c>
      <c r="O54" s="20">
        <f t="shared" si="0"/>
        <v>891</v>
      </c>
      <c r="P54" s="20">
        <v>256</v>
      </c>
      <c r="Q54" s="20">
        <v>25</v>
      </c>
      <c r="R54" s="20">
        <v>161</v>
      </c>
      <c r="S54" s="20">
        <v>467</v>
      </c>
      <c r="T54" s="20">
        <v>67</v>
      </c>
      <c r="U54" s="20">
        <f t="shared" si="1"/>
        <v>3531</v>
      </c>
      <c r="V54">
        <v>1106</v>
      </c>
      <c r="W54">
        <v>93</v>
      </c>
      <c r="X54">
        <v>73</v>
      </c>
      <c r="Y54">
        <v>35</v>
      </c>
      <c r="Z54">
        <v>858</v>
      </c>
      <c r="AA54">
        <v>794</v>
      </c>
      <c r="AB54">
        <v>5.05</v>
      </c>
      <c r="AC54">
        <v>8</v>
      </c>
      <c r="AD54">
        <v>9</v>
      </c>
      <c r="AE54">
        <v>36</v>
      </c>
      <c r="AF54" s="27">
        <v>6222</v>
      </c>
      <c r="AG54" s="27">
        <f t="shared" ca="1" si="2"/>
        <v>1501</v>
      </c>
      <c r="AH54" s="27">
        <f t="shared" ca="1" si="3"/>
        <v>985</v>
      </c>
      <c r="AI54" s="27">
        <f t="shared" ca="1" si="4"/>
        <v>281</v>
      </c>
      <c r="AJ54" s="27">
        <f t="shared" ca="1" si="5"/>
        <v>27</v>
      </c>
      <c r="AK54" s="27">
        <f t="shared" ca="1" si="6"/>
        <v>208</v>
      </c>
      <c r="AL54" s="27">
        <f t="shared" ca="1" si="7"/>
        <v>418</v>
      </c>
      <c r="AM54" s="27">
        <f t="shared" ca="1" si="8"/>
        <v>43</v>
      </c>
      <c r="AN54" s="27">
        <f t="shared" ca="1" si="9"/>
        <v>4260</v>
      </c>
      <c r="AO54">
        <v>4249</v>
      </c>
      <c r="AP54">
        <v>1493</v>
      </c>
      <c r="AQ54">
        <v>167</v>
      </c>
      <c r="AR54">
        <v>549</v>
      </c>
      <c r="AS54">
        <v>908</v>
      </c>
      <c r="AT54">
        <v>133</v>
      </c>
      <c r="AU54">
        <v>168</v>
      </c>
      <c r="AV54">
        <v>0.97799999999999998</v>
      </c>
      <c r="AW54" s="1"/>
      <c r="AX54" s="29" t="s">
        <v>138</v>
      </c>
      <c r="AY54" s="29">
        <f t="shared" si="10"/>
        <v>29700</v>
      </c>
      <c r="AZ54" s="31">
        <f t="shared" si="11"/>
        <v>166234</v>
      </c>
      <c r="BA54" s="31">
        <f t="shared" ref="BA54" si="52">SUMIF($B$2:$B$571,$B54,$S$2:$S$571)</f>
        <v>15806</v>
      </c>
      <c r="BB54" s="30">
        <f t="shared" si="12"/>
        <v>9.5082835039763225E-2</v>
      </c>
    </row>
    <row r="55" spans="2:54" x14ac:dyDescent="0.5">
      <c r="B55" s="4">
        <v>2001</v>
      </c>
      <c r="C55" t="s">
        <v>84</v>
      </c>
      <c r="D55" t="s">
        <v>85</v>
      </c>
      <c r="E55">
        <v>4</v>
      </c>
      <c r="F55" t="s">
        <v>38</v>
      </c>
      <c r="G55" t="s">
        <v>38</v>
      </c>
      <c r="H55" t="s">
        <v>38</v>
      </c>
      <c r="I55" t="s">
        <v>38</v>
      </c>
      <c r="J55">
        <v>79</v>
      </c>
      <c r="K55">
        <v>83</v>
      </c>
      <c r="L55">
        <v>789</v>
      </c>
      <c r="M55" s="20">
        <v>5482</v>
      </c>
      <c r="N55" s="20">
        <v>1379</v>
      </c>
      <c r="O55" s="20">
        <f t="shared" si="0"/>
        <v>919</v>
      </c>
      <c r="P55" s="20">
        <v>273</v>
      </c>
      <c r="Q55" s="20">
        <v>26</v>
      </c>
      <c r="R55" s="20">
        <v>161</v>
      </c>
      <c r="S55" s="20">
        <v>678</v>
      </c>
      <c r="T55" s="20">
        <v>41</v>
      </c>
      <c r="U55" s="20">
        <f t="shared" si="1"/>
        <v>3384</v>
      </c>
      <c r="V55">
        <v>1273</v>
      </c>
      <c r="W55">
        <v>129</v>
      </c>
      <c r="X55">
        <v>44</v>
      </c>
      <c r="Y55">
        <v>48</v>
      </c>
      <c r="Z55">
        <v>812</v>
      </c>
      <c r="AA55">
        <v>724</v>
      </c>
      <c r="AB55">
        <v>4.5199999999999996</v>
      </c>
      <c r="AC55">
        <v>5</v>
      </c>
      <c r="AD55">
        <v>6</v>
      </c>
      <c r="AE55">
        <v>46</v>
      </c>
      <c r="AF55" s="27">
        <v>6278</v>
      </c>
      <c r="AG55" s="27">
        <f t="shared" ca="1" si="2"/>
        <v>1627</v>
      </c>
      <c r="AH55" s="27">
        <f t="shared" ca="1" si="3"/>
        <v>1148</v>
      </c>
      <c r="AI55" s="27">
        <f t="shared" ca="1" si="4"/>
        <v>289</v>
      </c>
      <c r="AJ55" s="27">
        <f t="shared" ca="1" si="5"/>
        <v>34</v>
      </c>
      <c r="AK55" s="27">
        <f t="shared" ca="1" si="6"/>
        <v>156</v>
      </c>
      <c r="AL55" s="27">
        <f t="shared" ca="1" si="7"/>
        <v>578</v>
      </c>
      <c r="AM55" s="27">
        <f t="shared" ca="1" si="8"/>
        <v>38</v>
      </c>
      <c r="AN55" s="27">
        <f t="shared" ca="1" si="9"/>
        <v>4035</v>
      </c>
      <c r="AO55">
        <v>4322</v>
      </c>
      <c r="AP55">
        <v>1519</v>
      </c>
      <c r="AQ55">
        <v>219</v>
      </c>
      <c r="AR55">
        <v>476</v>
      </c>
      <c r="AS55">
        <v>1088</v>
      </c>
      <c r="AT55">
        <v>145</v>
      </c>
      <c r="AU55">
        <v>127</v>
      </c>
      <c r="AV55">
        <v>0.97599999999999998</v>
      </c>
      <c r="AW55" s="1"/>
      <c r="AX55" s="29" t="s">
        <v>139</v>
      </c>
      <c r="AY55" s="29">
        <f t="shared" si="10"/>
        <v>29700</v>
      </c>
      <c r="AZ55" s="31">
        <f t="shared" si="11"/>
        <v>166234</v>
      </c>
      <c r="BA55" s="31">
        <f t="shared" ref="BA55" si="53">SUMIF($B$2:$B$571,$B55,$T$2:$T$571)</f>
        <v>1890</v>
      </c>
      <c r="BB55" s="30">
        <f t="shared" si="12"/>
        <v>1.1369515261619164E-2</v>
      </c>
    </row>
    <row r="56" spans="2:54" x14ac:dyDescent="0.5">
      <c r="B56" s="4">
        <v>2001</v>
      </c>
      <c r="C56" t="s">
        <v>86</v>
      </c>
      <c r="D56" t="s">
        <v>87</v>
      </c>
      <c r="E56">
        <v>1</v>
      </c>
      <c r="F56" t="s">
        <v>43</v>
      </c>
      <c r="G56" t="s">
        <v>38</v>
      </c>
      <c r="H56" t="s">
        <v>38</v>
      </c>
      <c r="I56" t="s">
        <v>38</v>
      </c>
      <c r="J56">
        <v>116</v>
      </c>
      <c r="K56">
        <v>46</v>
      </c>
      <c r="L56">
        <v>927</v>
      </c>
      <c r="M56" s="20">
        <v>5680</v>
      </c>
      <c r="N56" s="20">
        <v>1637</v>
      </c>
      <c r="O56" s="20">
        <f t="shared" si="0"/>
        <v>1120</v>
      </c>
      <c r="P56" s="20">
        <v>310</v>
      </c>
      <c r="Q56" s="20">
        <v>38</v>
      </c>
      <c r="R56" s="20">
        <v>169</v>
      </c>
      <c r="S56" s="20">
        <v>614</v>
      </c>
      <c r="T56" s="20">
        <v>62</v>
      </c>
      <c r="U56" s="20">
        <f t="shared" si="1"/>
        <v>3367</v>
      </c>
      <c r="V56">
        <v>989</v>
      </c>
      <c r="W56">
        <v>174</v>
      </c>
      <c r="X56">
        <v>42</v>
      </c>
      <c r="Y56">
        <v>70</v>
      </c>
      <c r="Z56">
        <v>627</v>
      </c>
      <c r="AA56">
        <v>576</v>
      </c>
      <c r="AB56">
        <v>3.54</v>
      </c>
      <c r="AC56">
        <v>8</v>
      </c>
      <c r="AD56">
        <v>14</v>
      </c>
      <c r="AE56">
        <v>56</v>
      </c>
      <c r="AF56" s="27">
        <v>6096</v>
      </c>
      <c r="AG56" s="27">
        <f t="shared" ca="1" si="2"/>
        <v>1697</v>
      </c>
      <c r="AH56" s="27">
        <f t="shared" ca="1" si="3"/>
        <v>1195</v>
      </c>
      <c r="AI56" s="27">
        <f t="shared" ca="1" si="4"/>
        <v>304</v>
      </c>
      <c r="AJ56" s="27">
        <f t="shared" ca="1" si="5"/>
        <v>33</v>
      </c>
      <c r="AK56" s="27">
        <f t="shared" ca="1" si="6"/>
        <v>165</v>
      </c>
      <c r="AL56" s="27">
        <f t="shared" ca="1" si="7"/>
        <v>657</v>
      </c>
      <c r="AM56" s="27">
        <f t="shared" ca="1" si="8"/>
        <v>52</v>
      </c>
      <c r="AN56" s="27">
        <f t="shared" ca="1" si="9"/>
        <v>3690</v>
      </c>
      <c r="AO56">
        <v>4395</v>
      </c>
      <c r="AP56">
        <v>1293</v>
      </c>
      <c r="AQ56">
        <v>160</v>
      </c>
      <c r="AR56">
        <v>465</v>
      </c>
      <c r="AS56">
        <v>1051</v>
      </c>
      <c r="AT56">
        <v>83</v>
      </c>
      <c r="AU56">
        <v>137</v>
      </c>
      <c r="AV56">
        <v>0.98599999999999999</v>
      </c>
      <c r="AW56" s="1"/>
      <c r="AX56" s="29" t="s">
        <v>140</v>
      </c>
      <c r="AY56" s="29">
        <f t="shared" si="10"/>
        <v>29700</v>
      </c>
      <c r="AZ56" s="31">
        <f t="shared" si="11"/>
        <v>166234</v>
      </c>
      <c r="BA56" s="31">
        <f t="shared" ref="BA56" si="54">SUMIF($B$2:$B$571,$B56,$U$2:$U$571)</f>
        <v>104659</v>
      </c>
      <c r="BB56" s="30">
        <f t="shared" si="12"/>
        <v>0.6295884115162963</v>
      </c>
    </row>
    <row r="57" spans="2:54" x14ac:dyDescent="0.5">
      <c r="B57" s="4">
        <v>2001</v>
      </c>
      <c r="C57" t="s">
        <v>88</v>
      </c>
      <c r="D57" t="s">
        <v>89</v>
      </c>
      <c r="E57">
        <v>2</v>
      </c>
      <c r="F57" t="s">
        <v>38</v>
      </c>
      <c r="G57" t="s">
        <v>38</v>
      </c>
      <c r="H57" t="s">
        <v>38</v>
      </c>
      <c r="I57" t="s">
        <v>38</v>
      </c>
      <c r="J57">
        <v>90</v>
      </c>
      <c r="K57">
        <v>72</v>
      </c>
      <c r="L57">
        <v>799</v>
      </c>
      <c r="M57" s="20">
        <v>5612</v>
      </c>
      <c r="N57" s="20">
        <v>1493</v>
      </c>
      <c r="O57" s="20">
        <f t="shared" si="0"/>
        <v>914</v>
      </c>
      <c r="P57" s="20">
        <v>304</v>
      </c>
      <c r="Q57" s="20">
        <v>40</v>
      </c>
      <c r="R57" s="20">
        <v>235</v>
      </c>
      <c r="S57" s="20">
        <v>625</v>
      </c>
      <c r="T57" s="20">
        <v>50</v>
      </c>
      <c r="U57" s="20">
        <f t="shared" si="1"/>
        <v>3444</v>
      </c>
      <c r="V57">
        <v>1090</v>
      </c>
      <c r="W57">
        <v>57</v>
      </c>
      <c r="X57">
        <v>42</v>
      </c>
      <c r="Y57">
        <v>54</v>
      </c>
      <c r="Z57">
        <v>748</v>
      </c>
      <c r="AA57">
        <v>680</v>
      </c>
      <c r="AB57">
        <v>4.18</v>
      </c>
      <c r="AC57">
        <v>3</v>
      </c>
      <c r="AD57">
        <v>8</v>
      </c>
      <c r="AE57">
        <v>47</v>
      </c>
      <c r="AF57" s="27">
        <v>6294</v>
      </c>
      <c r="AG57" s="27">
        <f t="shared" ca="1" si="2"/>
        <v>1510</v>
      </c>
      <c r="AH57" s="27">
        <f t="shared" ca="1" si="3"/>
        <v>989</v>
      </c>
      <c r="AI57" s="27">
        <f t="shared" ca="1" si="4"/>
        <v>343</v>
      </c>
      <c r="AJ57" s="27">
        <f t="shared" ca="1" si="5"/>
        <v>44</v>
      </c>
      <c r="AK57" s="27">
        <f t="shared" ca="1" si="6"/>
        <v>134</v>
      </c>
      <c r="AL57" s="27">
        <f t="shared" ca="1" si="7"/>
        <v>439</v>
      </c>
      <c r="AM57" s="27">
        <f t="shared" ca="1" si="8"/>
        <v>51</v>
      </c>
      <c r="AN57" s="27">
        <f t="shared" ca="1" si="9"/>
        <v>4294</v>
      </c>
      <c r="AO57">
        <v>4390</v>
      </c>
      <c r="AP57">
        <v>1437</v>
      </c>
      <c r="AQ57">
        <v>145</v>
      </c>
      <c r="AR57">
        <v>579</v>
      </c>
      <c r="AS57">
        <v>1080</v>
      </c>
      <c r="AT57">
        <v>118</v>
      </c>
      <c r="AU57">
        <v>170</v>
      </c>
      <c r="AV57">
        <v>0.98099999999999998</v>
      </c>
      <c r="AW57" s="1"/>
      <c r="AX57" s="29"/>
      <c r="AY57" s="29"/>
      <c r="AZ57" s="31"/>
      <c r="BA57" s="31"/>
      <c r="BB57" s="30"/>
    </row>
    <row r="58" spans="2:54" x14ac:dyDescent="0.5">
      <c r="B58" s="4">
        <v>2001</v>
      </c>
      <c r="C58" t="s">
        <v>90</v>
      </c>
      <c r="D58" t="s">
        <v>91</v>
      </c>
      <c r="E58">
        <v>2</v>
      </c>
      <c r="F58" t="s">
        <v>38</v>
      </c>
      <c r="G58" t="s">
        <v>43</v>
      </c>
      <c r="H58" t="s">
        <v>38</v>
      </c>
      <c r="I58" t="s">
        <v>38</v>
      </c>
      <c r="J58">
        <v>93</v>
      </c>
      <c r="K58">
        <v>69</v>
      </c>
      <c r="L58">
        <v>814</v>
      </c>
      <c r="M58" s="20">
        <v>5450</v>
      </c>
      <c r="N58" s="20">
        <v>1469</v>
      </c>
      <c r="O58" s="20">
        <f t="shared" si="0"/>
        <v>964</v>
      </c>
      <c r="P58" s="20">
        <v>274</v>
      </c>
      <c r="Q58" s="20">
        <v>32</v>
      </c>
      <c r="R58" s="20">
        <v>199</v>
      </c>
      <c r="S58" s="20">
        <v>529</v>
      </c>
      <c r="T58" s="20">
        <v>65</v>
      </c>
      <c r="U58" s="20">
        <f t="shared" si="1"/>
        <v>3387</v>
      </c>
      <c r="V58">
        <v>1089</v>
      </c>
      <c r="W58">
        <v>91</v>
      </c>
      <c r="X58">
        <v>35</v>
      </c>
      <c r="Y58">
        <v>50</v>
      </c>
      <c r="Z58">
        <v>684</v>
      </c>
      <c r="AA58">
        <v>627</v>
      </c>
      <c r="AB58">
        <v>3.93</v>
      </c>
      <c r="AC58">
        <v>8</v>
      </c>
      <c r="AD58">
        <v>11</v>
      </c>
      <c r="AE58">
        <v>38</v>
      </c>
      <c r="AF58" s="27">
        <v>6121</v>
      </c>
      <c r="AG58" s="27">
        <f t="shared" ca="1" si="2"/>
        <v>1582</v>
      </c>
      <c r="AH58" s="27">
        <f t="shared" ca="1" si="3"/>
        <v>1070</v>
      </c>
      <c r="AI58" s="27">
        <f t="shared" ca="1" si="4"/>
        <v>333</v>
      </c>
      <c r="AJ58" s="27">
        <f t="shared" ca="1" si="5"/>
        <v>32</v>
      </c>
      <c r="AK58" s="27">
        <f t="shared" ca="1" si="6"/>
        <v>147</v>
      </c>
      <c r="AL58" s="27">
        <f t="shared" ca="1" si="7"/>
        <v>631</v>
      </c>
      <c r="AM58" s="27">
        <f t="shared" ca="1" si="8"/>
        <v>45</v>
      </c>
      <c r="AN58" s="27">
        <f t="shared" ca="1" si="9"/>
        <v>3863</v>
      </c>
      <c r="AO58">
        <v>4306</v>
      </c>
      <c r="AP58">
        <v>1389</v>
      </c>
      <c r="AQ58">
        <v>196</v>
      </c>
      <c r="AR58">
        <v>526</v>
      </c>
      <c r="AS58">
        <v>1083</v>
      </c>
      <c r="AT58">
        <v>110</v>
      </c>
      <c r="AU58">
        <v>156</v>
      </c>
      <c r="AV58">
        <v>0.98199999999999998</v>
      </c>
      <c r="AW58" s="1">
        <v>2007</v>
      </c>
      <c r="AX58" s="29" t="s">
        <v>134</v>
      </c>
      <c r="AY58" s="29">
        <f t="shared" si="10"/>
        <v>29700</v>
      </c>
      <c r="AZ58" s="31">
        <f t="shared" si="11"/>
        <v>166234</v>
      </c>
      <c r="BA58" s="31">
        <f t="shared" ref="BA58" si="55">SUMIF($B$2:$B$571,$B58,$O$2:$O$571)</f>
        <v>28680</v>
      </c>
      <c r="BB58" s="30">
        <f t="shared" si="12"/>
        <v>0.17252788238266539</v>
      </c>
    </row>
    <row r="59" spans="2:54" x14ac:dyDescent="0.5">
      <c r="B59" s="4">
        <v>2001</v>
      </c>
      <c r="C59" t="s">
        <v>92</v>
      </c>
      <c r="D59" t="s">
        <v>93</v>
      </c>
      <c r="E59">
        <v>5</v>
      </c>
      <c r="F59" t="s">
        <v>38</v>
      </c>
      <c r="G59" t="s">
        <v>38</v>
      </c>
      <c r="H59" t="s">
        <v>38</v>
      </c>
      <c r="I59" t="s">
        <v>38</v>
      </c>
      <c r="J59">
        <v>62</v>
      </c>
      <c r="K59">
        <v>100</v>
      </c>
      <c r="L59">
        <v>672</v>
      </c>
      <c r="M59" s="20">
        <v>5524</v>
      </c>
      <c r="N59" s="20">
        <v>1426</v>
      </c>
      <c r="O59" s="20">
        <f t="shared" si="0"/>
        <v>973</v>
      </c>
      <c r="P59" s="20">
        <v>311</v>
      </c>
      <c r="Q59" s="20">
        <v>21</v>
      </c>
      <c r="R59" s="20">
        <v>121</v>
      </c>
      <c r="S59" s="20">
        <v>456</v>
      </c>
      <c r="T59" s="20">
        <v>54</v>
      </c>
      <c r="U59" s="20">
        <f t="shared" si="1"/>
        <v>3588</v>
      </c>
      <c r="V59">
        <v>1116</v>
      </c>
      <c r="W59">
        <v>115</v>
      </c>
      <c r="X59">
        <v>52</v>
      </c>
      <c r="Y59">
        <v>25</v>
      </c>
      <c r="Z59">
        <v>887</v>
      </c>
      <c r="AA59">
        <v>781</v>
      </c>
      <c r="AB59">
        <v>4.9400000000000004</v>
      </c>
      <c r="AC59">
        <v>1</v>
      </c>
      <c r="AD59">
        <v>6</v>
      </c>
      <c r="AE59">
        <v>30</v>
      </c>
      <c r="AF59" s="27">
        <v>6288</v>
      </c>
      <c r="AG59" s="27">
        <f t="shared" ca="1" si="2"/>
        <v>1517</v>
      </c>
      <c r="AH59" s="27">
        <f t="shared" ca="1" si="3"/>
        <v>1066</v>
      </c>
      <c r="AI59" s="27">
        <f t="shared" ca="1" si="4"/>
        <v>225</v>
      </c>
      <c r="AJ59" s="27">
        <f t="shared" ca="1" si="5"/>
        <v>34</v>
      </c>
      <c r="AK59" s="27">
        <f t="shared" ca="1" si="6"/>
        <v>192</v>
      </c>
      <c r="AL59" s="27">
        <f t="shared" ca="1" si="7"/>
        <v>605</v>
      </c>
      <c r="AM59" s="27">
        <f t="shared" ca="1" si="8"/>
        <v>82</v>
      </c>
      <c r="AN59" s="27">
        <f t="shared" ca="1" si="9"/>
        <v>4084</v>
      </c>
      <c r="AO59">
        <v>4271</v>
      </c>
      <c r="AP59">
        <v>1513</v>
      </c>
      <c r="AQ59">
        <v>207</v>
      </c>
      <c r="AR59">
        <v>569</v>
      </c>
      <c r="AS59">
        <v>1030</v>
      </c>
      <c r="AT59">
        <v>139</v>
      </c>
      <c r="AU59">
        <v>144</v>
      </c>
      <c r="AV59">
        <v>0.97699999999999998</v>
      </c>
      <c r="AW59" s="1"/>
      <c r="AX59" s="29" t="s">
        <v>135</v>
      </c>
      <c r="AY59" s="29">
        <f t="shared" si="10"/>
        <v>29700</v>
      </c>
      <c r="AZ59" s="31">
        <f t="shared" si="11"/>
        <v>166234</v>
      </c>
      <c r="BA59" s="31">
        <f t="shared" ref="BA59" si="56">SUMIF($B$2:$B$571,$B59,$P$2:$P$571)</f>
        <v>8813</v>
      </c>
      <c r="BB59" s="30">
        <f t="shared" si="12"/>
        <v>5.3015628571772319E-2</v>
      </c>
    </row>
    <row r="60" spans="2:54" x14ac:dyDescent="0.5">
      <c r="B60" s="4">
        <v>2001</v>
      </c>
      <c r="C60" t="s">
        <v>94</v>
      </c>
      <c r="D60" t="s">
        <v>95</v>
      </c>
      <c r="E60">
        <v>4</v>
      </c>
      <c r="F60" t="s">
        <v>38</v>
      </c>
      <c r="G60" t="s">
        <v>38</v>
      </c>
      <c r="H60" t="s">
        <v>38</v>
      </c>
      <c r="I60" t="s">
        <v>38</v>
      </c>
      <c r="J60">
        <v>73</v>
      </c>
      <c r="K60">
        <v>89</v>
      </c>
      <c r="L60">
        <v>890</v>
      </c>
      <c r="M60" s="20">
        <v>5685</v>
      </c>
      <c r="N60" s="20">
        <v>1566</v>
      </c>
      <c r="O60" s="20">
        <f t="shared" si="0"/>
        <v>971</v>
      </c>
      <c r="P60" s="20">
        <v>326</v>
      </c>
      <c r="Q60" s="20">
        <v>23</v>
      </c>
      <c r="R60" s="20">
        <v>246</v>
      </c>
      <c r="S60" s="20">
        <v>548</v>
      </c>
      <c r="T60" s="20">
        <v>75</v>
      </c>
      <c r="U60" s="20">
        <f t="shared" si="1"/>
        <v>3496</v>
      </c>
      <c r="V60">
        <v>1093</v>
      </c>
      <c r="W60">
        <v>97</v>
      </c>
      <c r="X60">
        <v>32</v>
      </c>
      <c r="Y60">
        <v>55</v>
      </c>
      <c r="Z60">
        <v>968</v>
      </c>
      <c r="AA60">
        <v>913</v>
      </c>
      <c r="AB60">
        <v>5.71</v>
      </c>
      <c r="AC60">
        <v>4</v>
      </c>
      <c r="AD60">
        <v>3</v>
      </c>
      <c r="AE60">
        <v>37</v>
      </c>
      <c r="AF60" s="27">
        <v>6469</v>
      </c>
      <c r="AG60" s="27">
        <f t="shared" ca="1" si="2"/>
        <v>1418</v>
      </c>
      <c r="AH60" s="27">
        <f t="shared" ca="1" si="3"/>
        <v>894</v>
      </c>
      <c r="AI60" s="27">
        <f t="shared" ca="1" si="4"/>
        <v>278</v>
      </c>
      <c r="AJ60" s="27">
        <f t="shared" ca="1" si="5"/>
        <v>35</v>
      </c>
      <c r="AK60" s="27">
        <f t="shared" ca="1" si="6"/>
        <v>211</v>
      </c>
      <c r="AL60" s="27">
        <f t="shared" ca="1" si="7"/>
        <v>509</v>
      </c>
      <c r="AM60" s="27">
        <f t="shared" ca="1" si="8"/>
        <v>42</v>
      </c>
      <c r="AN60" s="27">
        <f t="shared" ca="1" si="9"/>
        <v>4500</v>
      </c>
      <c r="AO60">
        <v>4315</v>
      </c>
      <c r="AP60">
        <v>1670</v>
      </c>
      <c r="AQ60">
        <v>222</v>
      </c>
      <c r="AR60">
        <v>596</v>
      </c>
      <c r="AS60">
        <v>951</v>
      </c>
      <c r="AT60">
        <v>114</v>
      </c>
      <c r="AU60">
        <v>167</v>
      </c>
      <c r="AV60">
        <v>0.98099999999999998</v>
      </c>
      <c r="AW60" s="1"/>
      <c r="AX60" s="29" t="s">
        <v>136</v>
      </c>
      <c r="AY60" s="29">
        <f t="shared" si="10"/>
        <v>29700</v>
      </c>
      <c r="AZ60" s="31">
        <f t="shared" si="11"/>
        <v>166234</v>
      </c>
      <c r="BA60" s="31">
        <f t="shared" ref="BA60" si="57">SUMIF($B$2:$B$571,$B60,$Q$2:$Q$571)</f>
        <v>928</v>
      </c>
      <c r="BB60" s="30">
        <f t="shared" si="12"/>
        <v>5.5824921496204147E-3</v>
      </c>
    </row>
    <row r="61" spans="2:54" x14ac:dyDescent="0.5">
      <c r="B61" s="4">
        <v>2001</v>
      </c>
      <c r="C61" t="s">
        <v>96</v>
      </c>
      <c r="D61" t="s">
        <v>97</v>
      </c>
      <c r="E61">
        <v>3</v>
      </c>
      <c r="F61" t="s">
        <v>38</v>
      </c>
      <c r="G61" t="s">
        <v>38</v>
      </c>
      <c r="H61" t="s">
        <v>38</v>
      </c>
      <c r="I61" t="s">
        <v>38</v>
      </c>
      <c r="J61">
        <v>80</v>
      </c>
      <c r="K61">
        <v>82</v>
      </c>
      <c r="L61">
        <v>767</v>
      </c>
      <c r="M61" s="20">
        <v>5663</v>
      </c>
      <c r="N61" s="20">
        <v>1489</v>
      </c>
      <c r="O61" s="20">
        <f t="shared" si="0"/>
        <v>971</v>
      </c>
      <c r="P61" s="20">
        <v>287</v>
      </c>
      <c r="Q61" s="20">
        <v>36</v>
      </c>
      <c r="R61" s="20">
        <v>195</v>
      </c>
      <c r="S61" s="20">
        <v>470</v>
      </c>
      <c r="T61" s="20">
        <v>74</v>
      </c>
      <c r="U61" s="20">
        <f t="shared" si="1"/>
        <v>3630</v>
      </c>
      <c r="V61">
        <v>1094</v>
      </c>
      <c r="W61">
        <v>156</v>
      </c>
      <c r="X61">
        <v>55</v>
      </c>
      <c r="Y61">
        <v>43</v>
      </c>
      <c r="Z61">
        <v>753</v>
      </c>
      <c r="AA61">
        <v>696</v>
      </c>
      <c r="AB61">
        <v>4.28</v>
      </c>
      <c r="AC61">
        <v>7</v>
      </c>
      <c r="AD61">
        <v>10</v>
      </c>
      <c r="AE61">
        <v>41</v>
      </c>
      <c r="AF61" s="27">
        <v>6305</v>
      </c>
      <c r="AG61" s="27">
        <f t="shared" ca="1" si="2"/>
        <v>1472</v>
      </c>
      <c r="AH61" s="27">
        <f t="shared" ca="1" si="3"/>
        <v>970</v>
      </c>
      <c r="AI61" s="27">
        <f t="shared" ca="1" si="4"/>
        <v>267</v>
      </c>
      <c r="AJ61" s="27">
        <f t="shared" ca="1" si="5"/>
        <v>43</v>
      </c>
      <c r="AK61" s="27">
        <f t="shared" ca="1" si="6"/>
        <v>192</v>
      </c>
      <c r="AL61" s="27">
        <f t="shared" ca="1" si="7"/>
        <v>559</v>
      </c>
      <c r="AM61" s="27">
        <f t="shared" ca="1" si="8"/>
        <v>39</v>
      </c>
      <c r="AN61" s="27">
        <f t="shared" ca="1" si="9"/>
        <v>4235</v>
      </c>
      <c r="AO61">
        <v>4388</v>
      </c>
      <c r="AP61">
        <v>1553</v>
      </c>
      <c r="AQ61">
        <v>165</v>
      </c>
      <c r="AR61">
        <v>490</v>
      </c>
      <c r="AS61">
        <v>1041</v>
      </c>
      <c r="AT61">
        <v>97</v>
      </c>
      <c r="AU61">
        <v>184</v>
      </c>
      <c r="AV61">
        <v>0.98499999999999999</v>
      </c>
      <c r="AW61" s="1"/>
      <c r="AX61" s="29" t="s">
        <v>137</v>
      </c>
      <c r="AY61" s="29">
        <f t="shared" si="10"/>
        <v>29700</v>
      </c>
      <c r="AZ61" s="31">
        <f t="shared" si="11"/>
        <v>166234</v>
      </c>
      <c r="BA61" s="31">
        <f t="shared" ref="BA61" si="58">SUMIF($B$2:$B$571,$B61,$R$2:$R$571)</f>
        <v>5458</v>
      </c>
      <c r="BB61" s="30">
        <f t="shared" si="12"/>
        <v>3.2833235078263169E-2</v>
      </c>
    </row>
    <row r="62" spans="2:54" x14ac:dyDescent="0.5">
      <c r="B62" s="32">
        <v>2002</v>
      </c>
      <c r="C62" t="s">
        <v>36</v>
      </c>
      <c r="D62" t="s">
        <v>37</v>
      </c>
      <c r="E62">
        <v>2</v>
      </c>
      <c r="F62" t="s">
        <v>38</v>
      </c>
      <c r="G62" t="s">
        <v>43</v>
      </c>
      <c r="H62" t="s">
        <v>43</v>
      </c>
      <c r="I62" t="s">
        <v>43</v>
      </c>
      <c r="J62">
        <v>99</v>
      </c>
      <c r="K62">
        <v>63</v>
      </c>
      <c r="L62">
        <v>851</v>
      </c>
      <c r="M62" s="20">
        <v>5678</v>
      </c>
      <c r="N62" s="20">
        <v>1603</v>
      </c>
      <c r="O62" s="20">
        <f t="shared" si="0"/>
        <v>1086</v>
      </c>
      <c r="P62" s="20">
        <v>333</v>
      </c>
      <c r="Q62" s="20">
        <v>32</v>
      </c>
      <c r="R62" s="20">
        <v>152</v>
      </c>
      <c r="S62" s="20">
        <v>462</v>
      </c>
      <c r="T62" s="20">
        <v>74</v>
      </c>
      <c r="U62" s="20">
        <f t="shared" si="1"/>
        <v>3539</v>
      </c>
      <c r="V62">
        <v>805</v>
      </c>
      <c r="W62">
        <v>117</v>
      </c>
      <c r="X62">
        <v>51</v>
      </c>
      <c r="Y62">
        <v>64</v>
      </c>
      <c r="Z62">
        <v>644</v>
      </c>
      <c r="AA62">
        <v>595</v>
      </c>
      <c r="AB62">
        <v>3.69</v>
      </c>
      <c r="AC62">
        <v>7</v>
      </c>
      <c r="AD62">
        <v>14</v>
      </c>
      <c r="AE62">
        <v>54</v>
      </c>
      <c r="AF62" s="27">
        <v>6097</v>
      </c>
      <c r="AG62" s="27">
        <f t="shared" ca="1" si="2"/>
        <v>1354</v>
      </c>
      <c r="AH62" s="27">
        <f t="shared" ca="1" si="3"/>
        <v>701</v>
      </c>
      <c r="AI62" s="27">
        <f t="shared" ca="1" si="4"/>
        <v>398</v>
      </c>
      <c r="AJ62" s="27">
        <f t="shared" ca="1" si="5"/>
        <v>21</v>
      </c>
      <c r="AK62" s="27">
        <f t="shared" ca="1" si="6"/>
        <v>234</v>
      </c>
      <c r="AL62" s="27">
        <f t="shared" ca="1" si="7"/>
        <v>513</v>
      </c>
      <c r="AM62" s="27">
        <f t="shared" ca="1" si="8"/>
        <v>82</v>
      </c>
      <c r="AN62" s="27">
        <f t="shared" ca="1" si="9"/>
        <v>4148</v>
      </c>
      <c r="AO62">
        <v>4357</v>
      </c>
      <c r="AP62">
        <v>1345</v>
      </c>
      <c r="AQ62">
        <v>169</v>
      </c>
      <c r="AR62">
        <v>509</v>
      </c>
      <c r="AS62">
        <v>999</v>
      </c>
      <c r="AT62">
        <v>87</v>
      </c>
      <c r="AU62">
        <v>151</v>
      </c>
      <c r="AV62">
        <v>0.98599999999999999</v>
      </c>
      <c r="AW62" s="1"/>
      <c r="AX62" s="29" t="s">
        <v>138</v>
      </c>
      <c r="AY62" s="29">
        <f t="shared" si="10"/>
        <v>29700</v>
      </c>
      <c r="AZ62" s="31">
        <f t="shared" si="11"/>
        <v>165582</v>
      </c>
      <c r="BA62" s="31">
        <f t="shared" ref="BA62" si="59">SUMIF($B$2:$B$571,$B62,$S$2:$S$571)</f>
        <v>16246</v>
      </c>
      <c r="BB62" s="30">
        <f t="shared" si="12"/>
        <v>9.8114529357055724E-2</v>
      </c>
    </row>
    <row r="63" spans="2:54" x14ac:dyDescent="0.5">
      <c r="B63" s="4">
        <v>2002</v>
      </c>
      <c r="C63" t="s">
        <v>39</v>
      </c>
      <c r="D63" t="s">
        <v>40</v>
      </c>
      <c r="E63">
        <v>1</v>
      </c>
      <c r="F63" t="s">
        <v>43</v>
      </c>
      <c r="G63" t="s">
        <v>38</v>
      </c>
      <c r="H63" t="s">
        <v>38</v>
      </c>
      <c r="I63" t="s">
        <v>38</v>
      </c>
      <c r="J63">
        <v>98</v>
      </c>
      <c r="K63">
        <v>64</v>
      </c>
      <c r="L63">
        <v>819</v>
      </c>
      <c r="M63" s="20">
        <v>5508</v>
      </c>
      <c r="N63" s="20">
        <v>1471</v>
      </c>
      <c r="O63" s="20">
        <f t="shared" si="0"/>
        <v>982</v>
      </c>
      <c r="P63" s="20">
        <v>283</v>
      </c>
      <c r="Q63" s="20">
        <v>41</v>
      </c>
      <c r="R63" s="20">
        <v>165</v>
      </c>
      <c r="S63" s="20">
        <v>643</v>
      </c>
      <c r="T63" s="20">
        <v>50</v>
      </c>
      <c r="U63" s="20">
        <f t="shared" si="1"/>
        <v>3344</v>
      </c>
      <c r="V63">
        <v>1016</v>
      </c>
      <c r="W63">
        <v>92</v>
      </c>
      <c r="X63">
        <v>46</v>
      </c>
      <c r="Y63">
        <v>53</v>
      </c>
      <c r="Z63">
        <v>674</v>
      </c>
      <c r="AA63">
        <v>630</v>
      </c>
      <c r="AB63">
        <v>3.92</v>
      </c>
      <c r="AC63">
        <v>14</v>
      </c>
      <c r="AD63">
        <v>10</v>
      </c>
      <c r="AE63">
        <v>40</v>
      </c>
      <c r="AF63" s="27">
        <f t="shared" ref="AF63:AF117" ca="1" si="60">RANDBETWEEN(6049,6490)</f>
        <v>6285</v>
      </c>
      <c r="AG63" s="27">
        <f t="shared" ca="1" si="2"/>
        <v>1386</v>
      </c>
      <c r="AH63" s="27">
        <f t="shared" ca="1" si="3"/>
        <v>893</v>
      </c>
      <c r="AI63" s="27">
        <f t="shared" ca="1" si="4"/>
        <v>261</v>
      </c>
      <c r="AJ63" s="27">
        <f t="shared" ca="1" si="5"/>
        <v>28</v>
      </c>
      <c r="AK63" s="27">
        <f t="shared" ca="1" si="6"/>
        <v>204</v>
      </c>
      <c r="AL63" s="27">
        <f t="shared" ca="1" si="7"/>
        <v>672</v>
      </c>
      <c r="AM63" s="27">
        <f t="shared" ca="1" si="8"/>
        <v>74</v>
      </c>
      <c r="AN63" s="27">
        <f t="shared" ca="1" si="9"/>
        <v>4153</v>
      </c>
      <c r="AO63">
        <v>4340</v>
      </c>
      <c r="AP63">
        <v>1361</v>
      </c>
      <c r="AQ63">
        <v>170</v>
      </c>
      <c r="AR63">
        <v>421</v>
      </c>
      <c r="AS63">
        <v>1303</v>
      </c>
      <c r="AT63">
        <v>89</v>
      </c>
      <c r="AU63">
        <v>116</v>
      </c>
      <c r="AV63">
        <v>0.98499999999999999</v>
      </c>
      <c r="AW63" s="1"/>
      <c r="AX63" s="29" t="s">
        <v>139</v>
      </c>
      <c r="AY63" s="29">
        <f t="shared" si="10"/>
        <v>29700</v>
      </c>
      <c r="AZ63" s="31">
        <f t="shared" si="11"/>
        <v>165582</v>
      </c>
      <c r="BA63" s="31">
        <f t="shared" ref="BA63" si="61">SUMIF($B$2:$B$571,$B63,$T$2:$T$571)</f>
        <v>1746</v>
      </c>
      <c r="BB63" s="30">
        <f t="shared" si="12"/>
        <v>1.0544624415697359E-2</v>
      </c>
    </row>
    <row r="64" spans="2:54" x14ac:dyDescent="0.5">
      <c r="B64" s="4">
        <v>2002</v>
      </c>
      <c r="C64" t="s">
        <v>41</v>
      </c>
      <c r="D64" t="s">
        <v>42</v>
      </c>
      <c r="E64">
        <v>1</v>
      </c>
      <c r="F64" t="s">
        <v>43</v>
      </c>
      <c r="G64" t="s">
        <v>38</v>
      </c>
      <c r="H64" t="s">
        <v>38</v>
      </c>
      <c r="I64" t="s">
        <v>38</v>
      </c>
      <c r="J64">
        <v>101</v>
      </c>
      <c r="K64">
        <v>59</v>
      </c>
      <c r="L64">
        <v>708</v>
      </c>
      <c r="M64" s="20">
        <v>5495</v>
      </c>
      <c r="N64" s="20">
        <v>1428</v>
      </c>
      <c r="O64" s="20">
        <f t="shared" si="0"/>
        <v>959</v>
      </c>
      <c r="P64" s="20">
        <v>280</v>
      </c>
      <c r="Q64" s="20">
        <v>25</v>
      </c>
      <c r="R64" s="20">
        <v>164</v>
      </c>
      <c r="S64" s="20">
        <v>558</v>
      </c>
      <c r="T64" s="20">
        <v>54</v>
      </c>
      <c r="U64" s="20">
        <f t="shared" si="1"/>
        <v>3455</v>
      </c>
      <c r="V64">
        <v>1028</v>
      </c>
      <c r="W64">
        <v>76</v>
      </c>
      <c r="X64">
        <v>39</v>
      </c>
      <c r="Y64">
        <v>49</v>
      </c>
      <c r="Z64">
        <v>565</v>
      </c>
      <c r="AA64">
        <v>511</v>
      </c>
      <c r="AB64">
        <v>3.13</v>
      </c>
      <c r="AC64">
        <v>3</v>
      </c>
      <c r="AD64">
        <v>15</v>
      </c>
      <c r="AE64">
        <v>57</v>
      </c>
      <c r="AF64" s="27">
        <f t="shared" ca="1" si="60"/>
        <v>6488</v>
      </c>
      <c r="AG64" s="27">
        <f t="shared" ca="1" si="2"/>
        <v>1359</v>
      </c>
      <c r="AH64" s="27">
        <f t="shared" ca="1" si="3"/>
        <v>880</v>
      </c>
      <c r="AI64" s="27">
        <f t="shared" ca="1" si="4"/>
        <v>269</v>
      </c>
      <c r="AJ64" s="27">
        <f t="shared" ca="1" si="5"/>
        <v>28</v>
      </c>
      <c r="AK64" s="27">
        <f t="shared" ca="1" si="6"/>
        <v>182</v>
      </c>
      <c r="AL64" s="27">
        <f t="shared" ca="1" si="7"/>
        <v>598</v>
      </c>
      <c r="AM64" s="27">
        <f t="shared" ca="1" si="8"/>
        <v>80</v>
      </c>
      <c r="AN64" s="27">
        <f t="shared" ca="1" si="9"/>
        <v>4451</v>
      </c>
      <c r="AO64">
        <v>4402</v>
      </c>
      <c r="AP64">
        <v>1302</v>
      </c>
      <c r="AQ64">
        <v>123</v>
      </c>
      <c r="AR64">
        <v>554</v>
      </c>
      <c r="AS64">
        <v>1058</v>
      </c>
      <c r="AT64">
        <v>114</v>
      </c>
      <c r="AU64">
        <v>170</v>
      </c>
      <c r="AV64">
        <v>0.98199999999999998</v>
      </c>
      <c r="AW64" s="1"/>
      <c r="AX64" s="29" t="s">
        <v>140</v>
      </c>
      <c r="AY64" s="29">
        <f t="shared" si="10"/>
        <v>29700</v>
      </c>
      <c r="AZ64" s="31">
        <f t="shared" si="11"/>
        <v>165582</v>
      </c>
      <c r="BA64" s="31">
        <f t="shared" ref="BA64" si="62">SUMIF($B$2:$B$571,$B64,$U$2:$U$571)</f>
        <v>104318</v>
      </c>
      <c r="BB64" s="30">
        <f t="shared" si="12"/>
        <v>0.63000809266707736</v>
      </c>
    </row>
    <row r="65" spans="2:54" x14ac:dyDescent="0.5">
      <c r="B65" s="4">
        <v>2002</v>
      </c>
      <c r="C65" t="s">
        <v>44</v>
      </c>
      <c r="D65" t="s">
        <v>45</v>
      </c>
      <c r="E65">
        <v>4</v>
      </c>
      <c r="F65" t="s">
        <v>38</v>
      </c>
      <c r="G65" t="s">
        <v>38</v>
      </c>
      <c r="H65" t="s">
        <v>38</v>
      </c>
      <c r="I65" t="s">
        <v>38</v>
      </c>
      <c r="J65">
        <v>67</v>
      </c>
      <c r="K65">
        <v>95</v>
      </c>
      <c r="L65">
        <v>667</v>
      </c>
      <c r="M65" s="20">
        <v>5491</v>
      </c>
      <c r="N65" s="20">
        <v>1353</v>
      </c>
      <c r="O65" s="20">
        <f t="shared" si="0"/>
        <v>850</v>
      </c>
      <c r="P65" s="20">
        <v>311</v>
      </c>
      <c r="Q65" s="20">
        <v>27</v>
      </c>
      <c r="R65" s="20">
        <v>165</v>
      </c>
      <c r="S65" s="20">
        <v>452</v>
      </c>
      <c r="T65" s="20">
        <v>64</v>
      </c>
      <c r="U65" s="20">
        <f t="shared" si="1"/>
        <v>3622</v>
      </c>
      <c r="V65">
        <v>993</v>
      </c>
      <c r="W65">
        <v>110</v>
      </c>
      <c r="X65">
        <v>48</v>
      </c>
      <c r="Y65">
        <v>49</v>
      </c>
      <c r="Z65">
        <v>773</v>
      </c>
      <c r="AA65">
        <v>719</v>
      </c>
      <c r="AB65">
        <v>4.46</v>
      </c>
      <c r="AC65">
        <v>8</v>
      </c>
      <c r="AD65">
        <v>3</v>
      </c>
      <c r="AE65">
        <v>31</v>
      </c>
      <c r="AF65" s="27">
        <f t="shared" ca="1" si="60"/>
        <v>6067</v>
      </c>
      <c r="AG65" s="27">
        <f t="shared" ca="1" si="2"/>
        <v>1337</v>
      </c>
      <c r="AH65" s="27">
        <f t="shared" ca="1" si="3"/>
        <v>849</v>
      </c>
      <c r="AI65" s="27">
        <f t="shared" ca="1" si="4"/>
        <v>298</v>
      </c>
      <c r="AJ65" s="27">
        <f t="shared" ca="1" si="5"/>
        <v>33</v>
      </c>
      <c r="AK65" s="27">
        <f t="shared" ca="1" si="6"/>
        <v>157</v>
      </c>
      <c r="AL65" s="27">
        <f t="shared" ca="1" si="7"/>
        <v>589</v>
      </c>
      <c r="AM65" s="27">
        <f t="shared" ca="1" si="8"/>
        <v>62</v>
      </c>
      <c r="AN65" s="27">
        <f t="shared" ca="1" si="9"/>
        <v>4079</v>
      </c>
      <c r="AO65">
        <v>4352</v>
      </c>
      <c r="AP65">
        <v>1491</v>
      </c>
      <c r="AQ65">
        <v>208</v>
      </c>
      <c r="AR65">
        <v>549</v>
      </c>
      <c r="AS65">
        <v>967</v>
      </c>
      <c r="AT65">
        <v>91</v>
      </c>
      <c r="AU65">
        <v>173</v>
      </c>
      <c r="AV65">
        <v>0.98499999999999999</v>
      </c>
      <c r="AW65" s="1"/>
      <c r="AX65" s="29" t="s">
        <v>141</v>
      </c>
      <c r="AY65" s="29">
        <f t="shared" si="10"/>
        <v>29700</v>
      </c>
      <c r="AZ65" s="31">
        <f t="shared" si="11"/>
        <v>165582</v>
      </c>
      <c r="BA65" s="31"/>
      <c r="BB65" s="30">
        <f t="shared" si="12"/>
        <v>0</v>
      </c>
    </row>
    <row r="66" spans="2:54" x14ac:dyDescent="0.5">
      <c r="B66" s="4">
        <v>2002</v>
      </c>
      <c r="C66" t="s">
        <v>46</v>
      </c>
      <c r="D66" t="s">
        <v>47</v>
      </c>
      <c r="E66">
        <v>2</v>
      </c>
      <c r="F66" t="s">
        <v>38</v>
      </c>
      <c r="G66" t="s">
        <v>38</v>
      </c>
      <c r="H66" t="s">
        <v>38</v>
      </c>
      <c r="I66" t="s">
        <v>38</v>
      </c>
      <c r="J66">
        <v>93</v>
      </c>
      <c r="K66">
        <v>69</v>
      </c>
      <c r="L66">
        <v>859</v>
      </c>
      <c r="M66" s="20">
        <v>5640</v>
      </c>
      <c r="N66" s="20">
        <v>1560</v>
      </c>
      <c r="O66" s="20">
        <f t="shared" si="0"/>
        <v>1002</v>
      </c>
      <c r="P66" s="20">
        <v>348</v>
      </c>
      <c r="Q66" s="20">
        <v>33</v>
      </c>
      <c r="R66" s="20">
        <v>177</v>
      </c>
      <c r="S66" s="20">
        <v>545</v>
      </c>
      <c r="T66" s="20">
        <v>72</v>
      </c>
      <c r="U66" s="20">
        <f t="shared" si="1"/>
        <v>3463</v>
      </c>
      <c r="V66">
        <v>944</v>
      </c>
      <c r="W66">
        <v>80</v>
      </c>
      <c r="X66">
        <v>28</v>
      </c>
      <c r="Y66">
        <v>53</v>
      </c>
      <c r="Z66">
        <v>665</v>
      </c>
      <c r="AA66">
        <v>603</v>
      </c>
      <c r="AB66">
        <v>3.75</v>
      </c>
      <c r="AC66">
        <v>5</v>
      </c>
      <c r="AD66">
        <v>17</v>
      </c>
      <c r="AE66">
        <v>51</v>
      </c>
      <c r="AF66" s="27">
        <f t="shared" ca="1" si="60"/>
        <v>6180</v>
      </c>
      <c r="AG66" s="27">
        <f t="shared" ca="1" si="2"/>
        <v>1690</v>
      </c>
      <c r="AH66" s="27">
        <f t="shared" ca="1" si="3"/>
        <v>1157</v>
      </c>
      <c r="AI66" s="27">
        <f t="shared" ca="1" si="4"/>
        <v>265</v>
      </c>
      <c r="AJ66" s="27">
        <f t="shared" ca="1" si="5"/>
        <v>34</v>
      </c>
      <c r="AK66" s="27">
        <f t="shared" ca="1" si="6"/>
        <v>234</v>
      </c>
      <c r="AL66" s="27">
        <f t="shared" ca="1" si="7"/>
        <v>476</v>
      </c>
      <c r="AM66" s="27">
        <f t="shared" ca="1" si="8"/>
        <v>90</v>
      </c>
      <c r="AN66" s="27">
        <f t="shared" ca="1" si="9"/>
        <v>3924</v>
      </c>
      <c r="AO66">
        <v>4338</v>
      </c>
      <c r="AP66">
        <v>1339</v>
      </c>
      <c r="AQ66">
        <v>146</v>
      </c>
      <c r="AR66">
        <v>430</v>
      </c>
      <c r="AS66">
        <v>1157</v>
      </c>
      <c r="AT66">
        <v>104</v>
      </c>
      <c r="AU66">
        <v>140</v>
      </c>
      <c r="AV66">
        <v>0.98299999999999998</v>
      </c>
      <c r="AW66" s="1">
        <v>2008</v>
      </c>
      <c r="AX66" s="29" t="s">
        <v>134</v>
      </c>
      <c r="AY66" s="29">
        <f t="shared" si="10"/>
        <v>29700</v>
      </c>
      <c r="AZ66" s="31">
        <f t="shared" si="11"/>
        <v>165582</v>
      </c>
      <c r="BA66" s="31">
        <f t="shared" ref="BA66" si="63">SUMIF($B$2:$B$571,$B66,$O$2:$O$571)</f>
        <v>28592</v>
      </c>
      <c r="BB66" s="30">
        <f t="shared" si="12"/>
        <v>0.17267577393678057</v>
      </c>
    </row>
    <row r="67" spans="2:54" x14ac:dyDescent="0.5">
      <c r="B67" s="4">
        <v>2002</v>
      </c>
      <c r="C67" t="s">
        <v>48</v>
      </c>
      <c r="D67" t="s">
        <v>49</v>
      </c>
      <c r="E67">
        <v>2</v>
      </c>
      <c r="F67" t="s">
        <v>38</v>
      </c>
      <c r="G67" t="s">
        <v>38</v>
      </c>
      <c r="H67" t="s">
        <v>38</v>
      </c>
      <c r="I67" t="s">
        <v>38</v>
      </c>
      <c r="J67">
        <v>81</v>
      </c>
      <c r="K67">
        <v>81</v>
      </c>
      <c r="L67">
        <v>856</v>
      </c>
      <c r="M67" s="20">
        <v>5502</v>
      </c>
      <c r="N67" s="20">
        <v>1475</v>
      </c>
      <c r="O67" s="20">
        <f t="shared" ref="O67:O130" si="64">N67-(P67+Q67+R67)</f>
        <v>940</v>
      </c>
      <c r="P67" s="20">
        <v>289</v>
      </c>
      <c r="Q67" s="20">
        <v>29</v>
      </c>
      <c r="R67" s="20">
        <v>217</v>
      </c>
      <c r="S67" s="20">
        <v>555</v>
      </c>
      <c r="T67" s="20">
        <v>49</v>
      </c>
      <c r="U67" s="20">
        <f t="shared" ref="U67:U130" si="65">M67-(N67+S67+T67)</f>
        <v>3423</v>
      </c>
      <c r="V67">
        <v>952</v>
      </c>
      <c r="W67">
        <v>75</v>
      </c>
      <c r="X67">
        <v>31</v>
      </c>
      <c r="Y67">
        <v>53</v>
      </c>
      <c r="Z67">
        <v>798</v>
      </c>
      <c r="AA67">
        <v>716</v>
      </c>
      <c r="AB67">
        <v>4.53</v>
      </c>
      <c r="AC67">
        <v>7</v>
      </c>
      <c r="AD67">
        <v>7</v>
      </c>
      <c r="AE67">
        <v>35</v>
      </c>
      <c r="AF67" s="27">
        <f t="shared" ca="1" si="60"/>
        <v>6488</v>
      </c>
      <c r="AG67" s="27">
        <f t="shared" ref="AG67:AG130" ca="1" si="66">RANDBETWEEN(1300,1700)</f>
        <v>1408</v>
      </c>
      <c r="AH67" s="27">
        <f t="shared" ref="AH67:AH130" ca="1" si="67">AG67-(AI67+AJ67+AK67)</f>
        <v>865</v>
      </c>
      <c r="AI67" s="27">
        <f t="shared" ref="AI67:AI130" ca="1" si="68">RANDBETWEEN(219,400)</f>
        <v>351</v>
      </c>
      <c r="AJ67" s="27">
        <f t="shared" ref="AJ67:AJ130" ca="1" si="69">RANDBETWEEN(20,50)</f>
        <v>47</v>
      </c>
      <c r="AK67" s="27">
        <f t="shared" ref="AK67:AK130" ca="1" si="70">RANDBETWEEN(130,240)</f>
        <v>145</v>
      </c>
      <c r="AL67" s="27">
        <f t="shared" ref="AL67:AL130" ca="1" si="71">RANDBETWEEN(400,700)</f>
        <v>494</v>
      </c>
      <c r="AM67" s="27">
        <f t="shared" ref="AM67:AM130" ca="1" si="72">RANDBETWEEN(30,90)</f>
        <v>44</v>
      </c>
      <c r="AN67" s="27">
        <f t="shared" ref="AN67:AN130" ca="1" si="73">AF67-(AG67+AL67+AM67)</f>
        <v>4542</v>
      </c>
      <c r="AO67">
        <v>4269</v>
      </c>
      <c r="AP67">
        <v>1422</v>
      </c>
      <c r="AQ67">
        <v>190</v>
      </c>
      <c r="AR67">
        <v>528</v>
      </c>
      <c r="AS67">
        <v>945</v>
      </c>
      <c r="AT67">
        <v>97</v>
      </c>
      <c r="AU67">
        <v>157</v>
      </c>
      <c r="AV67">
        <v>0.98399999999999999</v>
      </c>
      <c r="AW67" s="1"/>
      <c r="AX67" s="29" t="s">
        <v>135</v>
      </c>
      <c r="AY67" s="29">
        <f t="shared" ref="AY67:AY130" si="74">SUM(O$2:O$31)</f>
        <v>29700</v>
      </c>
      <c r="AZ67" s="31">
        <f t="shared" ref="AZ67:AZ130" si="75">SUMIF($B$2:$B$571,$B67,$M$2:$M$571)</f>
        <v>165582</v>
      </c>
      <c r="BA67" s="31">
        <f t="shared" ref="BA67" si="76">SUMIF($B$2:$B$571,$B67,$P$2:$P$571)</f>
        <v>8700</v>
      </c>
      <c r="BB67" s="30">
        <f t="shared" ref="BB67:BB130" si="77">BA67/AZ67</f>
        <v>5.2541942964815014E-2</v>
      </c>
    </row>
    <row r="68" spans="2:54" x14ac:dyDescent="0.5">
      <c r="B68" s="4">
        <v>2002</v>
      </c>
      <c r="C68" t="s">
        <v>50</v>
      </c>
      <c r="D68" t="s">
        <v>51</v>
      </c>
      <c r="E68">
        <v>5</v>
      </c>
      <c r="F68" t="s">
        <v>38</v>
      </c>
      <c r="G68" t="s">
        <v>38</v>
      </c>
      <c r="H68" t="s">
        <v>38</v>
      </c>
      <c r="I68" t="s">
        <v>38</v>
      </c>
      <c r="J68">
        <v>67</v>
      </c>
      <c r="K68">
        <v>95</v>
      </c>
      <c r="L68">
        <v>706</v>
      </c>
      <c r="M68" s="20">
        <v>5496</v>
      </c>
      <c r="N68" s="20">
        <v>1351</v>
      </c>
      <c r="O68" s="20">
        <f t="shared" si="64"/>
        <v>863</v>
      </c>
      <c r="P68" s="20">
        <v>259</v>
      </c>
      <c r="Q68" s="20">
        <v>29</v>
      </c>
      <c r="R68" s="20">
        <v>200</v>
      </c>
      <c r="S68" s="20">
        <v>585</v>
      </c>
      <c r="T68" s="20">
        <v>44</v>
      </c>
      <c r="U68" s="20">
        <f t="shared" si="65"/>
        <v>3516</v>
      </c>
      <c r="V68">
        <v>1269</v>
      </c>
      <c r="W68">
        <v>63</v>
      </c>
      <c r="X68">
        <v>21</v>
      </c>
      <c r="Y68">
        <v>39</v>
      </c>
      <c r="Z68">
        <v>759</v>
      </c>
      <c r="AA68">
        <v>687</v>
      </c>
      <c r="AB68">
        <v>4.29</v>
      </c>
      <c r="AC68">
        <v>11</v>
      </c>
      <c r="AD68">
        <v>9</v>
      </c>
      <c r="AE68">
        <v>23</v>
      </c>
      <c r="AF68" s="27">
        <f t="shared" ca="1" si="60"/>
        <v>6474</v>
      </c>
      <c r="AG68" s="27">
        <f t="shared" ca="1" si="66"/>
        <v>1398</v>
      </c>
      <c r="AH68" s="27">
        <f t="shared" ca="1" si="67"/>
        <v>832</v>
      </c>
      <c r="AI68" s="27">
        <f t="shared" ca="1" si="68"/>
        <v>315</v>
      </c>
      <c r="AJ68" s="27">
        <f t="shared" ca="1" si="69"/>
        <v>33</v>
      </c>
      <c r="AK68" s="27">
        <f t="shared" ca="1" si="70"/>
        <v>218</v>
      </c>
      <c r="AL68" s="27">
        <f t="shared" ca="1" si="71"/>
        <v>573</v>
      </c>
      <c r="AM68" s="27">
        <f t="shared" ca="1" si="72"/>
        <v>82</v>
      </c>
      <c r="AN68" s="27">
        <f t="shared" ca="1" si="73"/>
        <v>4421</v>
      </c>
      <c r="AO68">
        <v>4324</v>
      </c>
      <c r="AP68">
        <v>1373</v>
      </c>
      <c r="AQ68">
        <v>167</v>
      </c>
      <c r="AR68">
        <v>606</v>
      </c>
      <c r="AS68">
        <v>1333</v>
      </c>
      <c r="AT68">
        <v>114</v>
      </c>
      <c r="AU68">
        <v>144</v>
      </c>
      <c r="AV68">
        <v>0.98099999999999998</v>
      </c>
      <c r="AW68" s="1"/>
      <c r="AX68" s="29" t="s">
        <v>136</v>
      </c>
      <c r="AY68" s="29">
        <f t="shared" si="74"/>
        <v>29700</v>
      </c>
      <c r="AZ68" s="31">
        <f t="shared" si="75"/>
        <v>165582</v>
      </c>
      <c r="BA68" s="31">
        <f t="shared" ref="BA68" si="78">SUMIF($B$2:$B$571,$B68,$Q$2:$Q$571)</f>
        <v>921</v>
      </c>
      <c r="BB68" s="30">
        <f t="shared" si="77"/>
        <v>5.5621987897235209E-3</v>
      </c>
    </row>
    <row r="69" spans="2:54" x14ac:dyDescent="0.5">
      <c r="B69" s="4">
        <v>2002</v>
      </c>
      <c r="C69" t="s">
        <v>52</v>
      </c>
      <c r="D69" t="s">
        <v>53</v>
      </c>
      <c r="E69">
        <v>3</v>
      </c>
      <c r="F69" t="s">
        <v>38</v>
      </c>
      <c r="G69" t="s">
        <v>38</v>
      </c>
      <c r="H69" t="s">
        <v>38</v>
      </c>
      <c r="I69" t="s">
        <v>38</v>
      </c>
      <c r="J69">
        <v>78</v>
      </c>
      <c r="K69">
        <v>84</v>
      </c>
      <c r="L69">
        <v>709</v>
      </c>
      <c r="M69" s="20">
        <v>5470</v>
      </c>
      <c r="N69" s="20">
        <v>1386</v>
      </c>
      <c r="O69" s="20">
        <f t="shared" si="64"/>
        <v>899</v>
      </c>
      <c r="P69" s="20">
        <v>297</v>
      </c>
      <c r="Q69" s="20">
        <v>21</v>
      </c>
      <c r="R69" s="20">
        <v>169</v>
      </c>
      <c r="S69" s="20">
        <v>583</v>
      </c>
      <c r="T69" s="20">
        <v>66</v>
      </c>
      <c r="U69" s="20">
        <f t="shared" si="65"/>
        <v>3435</v>
      </c>
      <c r="V69">
        <v>1188</v>
      </c>
      <c r="W69">
        <v>116</v>
      </c>
      <c r="X69">
        <v>52</v>
      </c>
      <c r="Y69">
        <v>40</v>
      </c>
      <c r="Z69">
        <v>774</v>
      </c>
      <c r="AA69">
        <v>690</v>
      </c>
      <c r="AB69">
        <v>4.2699999999999996</v>
      </c>
      <c r="AC69">
        <v>2</v>
      </c>
      <c r="AD69">
        <v>8</v>
      </c>
      <c r="AE69">
        <v>42</v>
      </c>
      <c r="AF69" s="27">
        <f t="shared" ca="1" si="60"/>
        <v>6149</v>
      </c>
      <c r="AG69" s="27">
        <f t="shared" ca="1" si="66"/>
        <v>1455</v>
      </c>
      <c r="AH69" s="27">
        <f t="shared" ca="1" si="67"/>
        <v>868</v>
      </c>
      <c r="AI69" s="27">
        <f t="shared" ca="1" si="68"/>
        <v>340</v>
      </c>
      <c r="AJ69" s="27">
        <f t="shared" ca="1" si="69"/>
        <v>33</v>
      </c>
      <c r="AK69" s="27">
        <f t="shared" ca="1" si="70"/>
        <v>214</v>
      </c>
      <c r="AL69" s="27">
        <f t="shared" ca="1" si="71"/>
        <v>662</v>
      </c>
      <c r="AM69" s="27">
        <f t="shared" ca="1" si="72"/>
        <v>57</v>
      </c>
      <c r="AN69" s="27">
        <f t="shared" ca="1" si="73"/>
        <v>3975</v>
      </c>
      <c r="AO69">
        <v>4361</v>
      </c>
      <c r="AP69">
        <v>1502</v>
      </c>
      <c r="AQ69">
        <v>173</v>
      </c>
      <c r="AR69">
        <v>550</v>
      </c>
      <c r="AS69">
        <v>980</v>
      </c>
      <c r="AT69">
        <v>120</v>
      </c>
      <c r="AU69">
        <v>169</v>
      </c>
      <c r="AV69">
        <v>0.98099999999999998</v>
      </c>
      <c r="AW69" s="1"/>
      <c r="AX69" s="29" t="s">
        <v>137</v>
      </c>
      <c r="AY69" s="29">
        <f t="shared" si="74"/>
        <v>29700</v>
      </c>
      <c r="AZ69" s="31">
        <f t="shared" si="75"/>
        <v>165582</v>
      </c>
      <c r="BA69" s="31">
        <f t="shared" ref="BA69" si="79">SUMIF($B$2:$B$571,$B69,$R$2:$R$571)</f>
        <v>5059</v>
      </c>
      <c r="BB69" s="30">
        <f t="shared" si="77"/>
        <v>3.0552837868850481E-2</v>
      </c>
    </row>
    <row r="70" spans="2:54" x14ac:dyDescent="0.5">
      <c r="B70" s="4">
        <v>2002</v>
      </c>
      <c r="C70" t="s">
        <v>54</v>
      </c>
      <c r="D70" t="s">
        <v>55</v>
      </c>
      <c r="E70">
        <v>3</v>
      </c>
      <c r="F70" t="s">
        <v>38</v>
      </c>
      <c r="G70" t="s">
        <v>38</v>
      </c>
      <c r="H70" t="s">
        <v>38</v>
      </c>
      <c r="I70" t="s">
        <v>38</v>
      </c>
      <c r="J70">
        <v>74</v>
      </c>
      <c r="K70">
        <v>88</v>
      </c>
      <c r="L70">
        <v>739</v>
      </c>
      <c r="M70" s="20">
        <v>5423</v>
      </c>
      <c r="N70" s="20">
        <v>1349</v>
      </c>
      <c r="O70" s="20">
        <f t="shared" si="64"/>
        <v>876</v>
      </c>
      <c r="P70" s="20">
        <v>255</v>
      </c>
      <c r="Q70" s="20">
        <v>26</v>
      </c>
      <c r="R70" s="20">
        <v>192</v>
      </c>
      <c r="S70" s="20">
        <v>542</v>
      </c>
      <c r="T70" s="20">
        <v>56</v>
      </c>
      <c r="U70" s="20">
        <f t="shared" si="65"/>
        <v>3476</v>
      </c>
      <c r="V70">
        <v>1000</v>
      </c>
      <c r="W70">
        <v>52</v>
      </c>
      <c r="X70">
        <v>37</v>
      </c>
      <c r="Y70">
        <v>39</v>
      </c>
      <c r="Z70">
        <v>837</v>
      </c>
      <c r="AA70">
        <v>777</v>
      </c>
      <c r="AB70">
        <v>4.91</v>
      </c>
      <c r="AC70">
        <v>9</v>
      </c>
      <c r="AD70">
        <v>4</v>
      </c>
      <c r="AE70">
        <v>34</v>
      </c>
      <c r="AF70" s="27">
        <f t="shared" ca="1" si="60"/>
        <v>6106</v>
      </c>
      <c r="AG70" s="27">
        <f t="shared" ca="1" si="66"/>
        <v>1697</v>
      </c>
      <c r="AH70" s="27">
        <f t="shared" ca="1" si="67"/>
        <v>1210</v>
      </c>
      <c r="AI70" s="27">
        <f t="shared" ca="1" si="68"/>
        <v>224</v>
      </c>
      <c r="AJ70" s="27">
        <f t="shared" ca="1" si="69"/>
        <v>30</v>
      </c>
      <c r="AK70" s="27">
        <f t="shared" ca="1" si="70"/>
        <v>233</v>
      </c>
      <c r="AL70" s="27">
        <f t="shared" ca="1" si="71"/>
        <v>583</v>
      </c>
      <c r="AM70" s="27">
        <f t="shared" ca="1" si="72"/>
        <v>41</v>
      </c>
      <c r="AN70" s="27">
        <f t="shared" ca="1" si="73"/>
        <v>3785</v>
      </c>
      <c r="AO70">
        <v>4274</v>
      </c>
      <c r="AP70">
        <v>1508</v>
      </c>
      <c r="AQ70">
        <v>142</v>
      </c>
      <c r="AR70">
        <v>603</v>
      </c>
      <c r="AS70">
        <v>1058</v>
      </c>
      <c r="AT70">
        <v>113</v>
      </c>
      <c r="AU70">
        <v>161</v>
      </c>
      <c r="AV70">
        <v>0.98099999999999998</v>
      </c>
      <c r="AW70" s="1"/>
      <c r="AX70" s="29" t="s">
        <v>138</v>
      </c>
      <c r="AY70" s="29">
        <f t="shared" si="74"/>
        <v>29700</v>
      </c>
      <c r="AZ70" s="31">
        <f t="shared" si="75"/>
        <v>165582</v>
      </c>
      <c r="BA70" s="31">
        <f t="shared" ref="BA70" si="80">SUMIF($B$2:$B$571,$B70,$S$2:$S$571)</f>
        <v>16246</v>
      </c>
      <c r="BB70" s="30">
        <f t="shared" si="77"/>
        <v>9.8114529357055724E-2</v>
      </c>
    </row>
    <row r="71" spans="2:54" x14ac:dyDescent="0.5">
      <c r="B71" s="4">
        <v>2002</v>
      </c>
      <c r="C71" t="s">
        <v>56</v>
      </c>
      <c r="D71" t="s">
        <v>57</v>
      </c>
      <c r="E71">
        <v>4</v>
      </c>
      <c r="F71" t="s">
        <v>38</v>
      </c>
      <c r="G71" t="s">
        <v>38</v>
      </c>
      <c r="H71" t="s">
        <v>38</v>
      </c>
      <c r="I71" t="s">
        <v>38</v>
      </c>
      <c r="J71">
        <v>73</v>
      </c>
      <c r="K71">
        <v>89</v>
      </c>
      <c r="L71">
        <v>778</v>
      </c>
      <c r="M71" s="20">
        <v>5512</v>
      </c>
      <c r="N71" s="20">
        <v>1508</v>
      </c>
      <c r="O71" s="20">
        <f t="shared" si="64"/>
        <v>1032</v>
      </c>
      <c r="P71" s="20">
        <v>283</v>
      </c>
      <c r="Q71" s="20">
        <v>41</v>
      </c>
      <c r="R71" s="20">
        <v>152</v>
      </c>
      <c r="S71" s="20">
        <v>497</v>
      </c>
      <c r="T71" s="20">
        <v>56</v>
      </c>
      <c r="U71" s="20">
        <f t="shared" si="65"/>
        <v>3451</v>
      </c>
      <c r="V71">
        <v>1043</v>
      </c>
      <c r="W71">
        <v>103</v>
      </c>
      <c r="X71">
        <v>53</v>
      </c>
      <c r="Y71">
        <v>50</v>
      </c>
      <c r="Z71">
        <v>898</v>
      </c>
      <c r="AA71">
        <v>825</v>
      </c>
      <c r="AB71">
        <v>5.2</v>
      </c>
      <c r="AC71">
        <v>1</v>
      </c>
      <c r="AD71">
        <v>8</v>
      </c>
      <c r="AE71">
        <v>43</v>
      </c>
      <c r="AF71" s="27">
        <f t="shared" ca="1" si="60"/>
        <v>6316</v>
      </c>
      <c r="AG71" s="27">
        <f t="shared" ca="1" si="66"/>
        <v>1392</v>
      </c>
      <c r="AH71" s="27">
        <f t="shared" ca="1" si="67"/>
        <v>979</v>
      </c>
      <c r="AI71" s="27">
        <f t="shared" ca="1" si="68"/>
        <v>232</v>
      </c>
      <c r="AJ71" s="27">
        <f t="shared" ca="1" si="69"/>
        <v>22</v>
      </c>
      <c r="AK71" s="27">
        <f t="shared" ca="1" si="70"/>
        <v>159</v>
      </c>
      <c r="AL71" s="27">
        <f t="shared" ca="1" si="71"/>
        <v>685</v>
      </c>
      <c r="AM71" s="27">
        <f t="shared" ca="1" si="72"/>
        <v>85</v>
      </c>
      <c r="AN71" s="27">
        <f t="shared" ca="1" si="73"/>
        <v>4154</v>
      </c>
      <c r="AO71">
        <v>4280</v>
      </c>
      <c r="AP71">
        <v>1554</v>
      </c>
      <c r="AQ71">
        <v>225</v>
      </c>
      <c r="AR71">
        <v>582</v>
      </c>
      <c r="AS71">
        <v>920</v>
      </c>
      <c r="AT71">
        <v>112</v>
      </c>
      <c r="AU71">
        <v>158</v>
      </c>
      <c r="AV71">
        <v>0.98199999999999998</v>
      </c>
      <c r="AW71" s="1"/>
      <c r="AX71" s="29" t="s">
        <v>139</v>
      </c>
      <c r="AY71" s="29">
        <f t="shared" si="74"/>
        <v>29700</v>
      </c>
      <c r="AZ71" s="31">
        <f t="shared" si="75"/>
        <v>165582</v>
      </c>
      <c r="BA71" s="31">
        <f t="shared" ref="BA71" si="81">SUMIF($B$2:$B$571,$B71,$T$2:$T$571)</f>
        <v>1746</v>
      </c>
      <c r="BB71" s="30">
        <f t="shared" si="77"/>
        <v>1.0544624415697359E-2</v>
      </c>
    </row>
    <row r="72" spans="2:54" x14ac:dyDescent="0.5">
      <c r="B72" s="4">
        <v>2002</v>
      </c>
      <c r="C72" t="s">
        <v>58</v>
      </c>
      <c r="D72" t="s">
        <v>59</v>
      </c>
      <c r="E72">
        <v>5</v>
      </c>
      <c r="F72" t="s">
        <v>38</v>
      </c>
      <c r="G72" t="s">
        <v>38</v>
      </c>
      <c r="H72" t="s">
        <v>38</v>
      </c>
      <c r="I72" t="s">
        <v>38</v>
      </c>
      <c r="J72">
        <v>55</v>
      </c>
      <c r="K72">
        <v>106</v>
      </c>
      <c r="L72">
        <v>575</v>
      </c>
      <c r="M72" s="20">
        <v>5406</v>
      </c>
      <c r="N72" s="20">
        <v>1340</v>
      </c>
      <c r="O72" s="20">
        <f t="shared" si="64"/>
        <v>914</v>
      </c>
      <c r="P72" s="20">
        <v>265</v>
      </c>
      <c r="Q72" s="20">
        <v>37</v>
      </c>
      <c r="R72" s="20">
        <v>124</v>
      </c>
      <c r="S72" s="20">
        <v>363</v>
      </c>
      <c r="T72" s="20">
        <v>64</v>
      </c>
      <c r="U72" s="20">
        <f t="shared" si="65"/>
        <v>3639</v>
      </c>
      <c r="V72">
        <v>1035</v>
      </c>
      <c r="W72">
        <v>65</v>
      </c>
      <c r="X72">
        <v>44</v>
      </c>
      <c r="Y72">
        <v>57</v>
      </c>
      <c r="Z72">
        <v>864</v>
      </c>
      <c r="AA72">
        <v>773</v>
      </c>
      <c r="AB72">
        <v>4.92</v>
      </c>
      <c r="AC72">
        <v>11</v>
      </c>
      <c r="AD72">
        <v>7</v>
      </c>
      <c r="AE72">
        <v>33</v>
      </c>
      <c r="AF72" s="27">
        <f t="shared" ca="1" si="60"/>
        <v>6441</v>
      </c>
      <c r="AG72" s="27">
        <f t="shared" ca="1" si="66"/>
        <v>1580</v>
      </c>
      <c r="AH72" s="27">
        <f t="shared" ca="1" si="67"/>
        <v>1002</v>
      </c>
      <c r="AI72" s="27">
        <f t="shared" ca="1" si="68"/>
        <v>365</v>
      </c>
      <c r="AJ72" s="27">
        <f t="shared" ca="1" si="69"/>
        <v>35</v>
      </c>
      <c r="AK72" s="27">
        <f t="shared" ca="1" si="70"/>
        <v>178</v>
      </c>
      <c r="AL72" s="27">
        <f t="shared" ca="1" si="71"/>
        <v>584</v>
      </c>
      <c r="AM72" s="27">
        <f t="shared" ca="1" si="72"/>
        <v>61</v>
      </c>
      <c r="AN72" s="27">
        <f t="shared" ca="1" si="73"/>
        <v>4216</v>
      </c>
      <c r="AO72">
        <v>4242</v>
      </c>
      <c r="AP72">
        <v>1593</v>
      </c>
      <c r="AQ72">
        <v>163</v>
      </c>
      <c r="AR72">
        <v>463</v>
      </c>
      <c r="AS72">
        <v>794</v>
      </c>
      <c r="AT72">
        <v>142</v>
      </c>
      <c r="AU72">
        <v>148</v>
      </c>
      <c r="AV72">
        <v>0.97699999999999998</v>
      </c>
      <c r="AW72" s="1"/>
      <c r="AX72" s="29" t="s">
        <v>140</v>
      </c>
      <c r="AY72" s="29">
        <f t="shared" si="74"/>
        <v>29700</v>
      </c>
      <c r="AZ72" s="31">
        <f t="shared" si="75"/>
        <v>165582</v>
      </c>
      <c r="BA72" s="31">
        <f t="shared" ref="BA72" si="82">SUMIF($B$2:$B$571,$B72,$U$2:$U$571)</f>
        <v>104318</v>
      </c>
      <c r="BB72" s="30">
        <f t="shared" si="77"/>
        <v>0.63000809266707736</v>
      </c>
    </row>
    <row r="73" spans="2:54" x14ac:dyDescent="0.5">
      <c r="B73" s="4">
        <v>2002</v>
      </c>
      <c r="C73" t="s">
        <v>60</v>
      </c>
      <c r="D73" t="s">
        <v>61</v>
      </c>
      <c r="E73">
        <v>4</v>
      </c>
      <c r="F73" t="s">
        <v>38</v>
      </c>
      <c r="G73" t="s">
        <v>38</v>
      </c>
      <c r="H73" t="s">
        <v>38</v>
      </c>
      <c r="I73" t="s">
        <v>38</v>
      </c>
      <c r="J73">
        <v>79</v>
      </c>
      <c r="K73">
        <v>83</v>
      </c>
      <c r="L73">
        <v>699</v>
      </c>
      <c r="M73" s="20">
        <v>5496</v>
      </c>
      <c r="N73" s="20">
        <v>1433</v>
      </c>
      <c r="O73" s="20">
        <f t="shared" si="64"/>
        <v>975</v>
      </c>
      <c r="P73" s="20">
        <v>280</v>
      </c>
      <c r="Q73" s="20">
        <v>32</v>
      </c>
      <c r="R73" s="20">
        <v>146</v>
      </c>
      <c r="S73" s="20">
        <v>595</v>
      </c>
      <c r="T73" s="20">
        <v>61</v>
      </c>
      <c r="U73" s="20">
        <f t="shared" si="65"/>
        <v>3407</v>
      </c>
      <c r="V73">
        <v>1130</v>
      </c>
      <c r="W73">
        <v>177</v>
      </c>
      <c r="X73">
        <v>73</v>
      </c>
      <c r="Y73">
        <v>49</v>
      </c>
      <c r="Z73">
        <v>763</v>
      </c>
      <c r="AA73">
        <v>706</v>
      </c>
      <c r="AB73">
        <v>4.3600000000000003</v>
      </c>
      <c r="AC73">
        <v>11</v>
      </c>
      <c r="AD73">
        <v>12</v>
      </c>
      <c r="AE73">
        <v>36</v>
      </c>
      <c r="AF73" s="27">
        <f t="shared" ca="1" si="60"/>
        <v>6208</v>
      </c>
      <c r="AG73" s="27">
        <f t="shared" ca="1" si="66"/>
        <v>1443</v>
      </c>
      <c r="AH73" s="27">
        <f t="shared" ca="1" si="67"/>
        <v>919</v>
      </c>
      <c r="AI73" s="27">
        <f t="shared" ca="1" si="68"/>
        <v>335</v>
      </c>
      <c r="AJ73" s="27">
        <f t="shared" ca="1" si="69"/>
        <v>44</v>
      </c>
      <c r="AK73" s="27">
        <f t="shared" ca="1" si="70"/>
        <v>145</v>
      </c>
      <c r="AL73" s="27">
        <f t="shared" ca="1" si="71"/>
        <v>455</v>
      </c>
      <c r="AM73" s="27">
        <f t="shared" ca="1" si="72"/>
        <v>51</v>
      </c>
      <c r="AN73" s="27">
        <f t="shared" ca="1" si="73"/>
        <v>4259</v>
      </c>
      <c r="AO73">
        <v>4369</v>
      </c>
      <c r="AP73">
        <v>1449</v>
      </c>
      <c r="AQ73">
        <v>151</v>
      </c>
      <c r="AR73">
        <v>631</v>
      </c>
      <c r="AS73">
        <v>1104</v>
      </c>
      <c r="AT73">
        <v>106</v>
      </c>
      <c r="AU73">
        <v>163</v>
      </c>
      <c r="AV73">
        <v>0.98299999999999998</v>
      </c>
      <c r="AW73" s="1"/>
      <c r="AX73" s="29"/>
      <c r="AY73" s="29"/>
      <c r="AZ73" s="31"/>
      <c r="BA73" s="31"/>
      <c r="BB73" s="30"/>
    </row>
    <row r="74" spans="2:54" x14ac:dyDescent="0.5">
      <c r="B74" s="4">
        <v>2002</v>
      </c>
      <c r="C74" t="s">
        <v>62</v>
      </c>
      <c r="D74" t="s">
        <v>63</v>
      </c>
      <c r="E74">
        <v>2</v>
      </c>
      <c r="F74" t="s">
        <v>38</v>
      </c>
      <c r="G74" t="s">
        <v>38</v>
      </c>
      <c r="H74" t="s">
        <v>38</v>
      </c>
      <c r="I74" t="s">
        <v>38</v>
      </c>
      <c r="J74">
        <v>84</v>
      </c>
      <c r="K74">
        <v>78</v>
      </c>
      <c r="L74">
        <v>749</v>
      </c>
      <c r="M74" s="20">
        <v>5503</v>
      </c>
      <c r="N74" s="20">
        <v>1441</v>
      </c>
      <c r="O74" s="20">
        <f t="shared" si="64"/>
        <v>951</v>
      </c>
      <c r="P74" s="20">
        <v>291</v>
      </c>
      <c r="Q74" s="20">
        <v>32</v>
      </c>
      <c r="R74" s="20">
        <v>167</v>
      </c>
      <c r="S74" s="20">
        <v>589</v>
      </c>
      <c r="T74" s="20">
        <v>59</v>
      </c>
      <c r="U74" s="20">
        <f t="shared" si="65"/>
        <v>3414</v>
      </c>
      <c r="V74">
        <v>1120</v>
      </c>
      <c r="W74">
        <v>71</v>
      </c>
      <c r="X74">
        <v>27</v>
      </c>
      <c r="Y74">
        <v>37</v>
      </c>
      <c r="Z74">
        <v>695</v>
      </c>
      <c r="AA74">
        <v>642</v>
      </c>
      <c r="AB74">
        <v>4</v>
      </c>
      <c r="AC74">
        <v>2</v>
      </c>
      <c r="AD74">
        <v>11</v>
      </c>
      <c r="AE74">
        <v>43</v>
      </c>
      <c r="AF74" s="27">
        <f t="shared" ca="1" si="60"/>
        <v>6132</v>
      </c>
      <c r="AG74" s="27">
        <f t="shared" ca="1" si="66"/>
        <v>1436</v>
      </c>
      <c r="AH74" s="27">
        <f t="shared" ca="1" si="67"/>
        <v>885</v>
      </c>
      <c r="AI74" s="27">
        <f t="shared" ca="1" si="68"/>
        <v>288</v>
      </c>
      <c r="AJ74" s="27">
        <f t="shared" ca="1" si="69"/>
        <v>49</v>
      </c>
      <c r="AK74" s="27">
        <f t="shared" ca="1" si="70"/>
        <v>214</v>
      </c>
      <c r="AL74" s="27">
        <f t="shared" ca="1" si="71"/>
        <v>637</v>
      </c>
      <c r="AM74" s="27">
        <f t="shared" ca="1" si="72"/>
        <v>52</v>
      </c>
      <c r="AN74" s="27">
        <f t="shared" ca="1" si="73"/>
        <v>4007</v>
      </c>
      <c r="AO74">
        <v>4335</v>
      </c>
      <c r="AP74">
        <v>1423</v>
      </c>
      <c r="AQ74">
        <v>151</v>
      </c>
      <c r="AR74">
        <v>546</v>
      </c>
      <c r="AS74">
        <v>1219</v>
      </c>
      <c r="AT74">
        <v>83</v>
      </c>
      <c r="AU74">
        <v>149</v>
      </c>
      <c r="AV74">
        <v>0.98599999999999999</v>
      </c>
      <c r="AW74" s="1">
        <v>2009</v>
      </c>
      <c r="AX74" s="29" t="s">
        <v>134</v>
      </c>
      <c r="AY74" s="29">
        <f t="shared" si="74"/>
        <v>29700</v>
      </c>
      <c r="AZ74" s="31">
        <f t="shared" si="75"/>
        <v>165582</v>
      </c>
      <c r="BA74" s="31">
        <f t="shared" ref="BA74" si="83">SUMIF($B$2:$B$571,$B74,$O$2:$O$571)</f>
        <v>28592</v>
      </c>
      <c r="BB74" s="30">
        <f t="shared" si="77"/>
        <v>0.17267577393678057</v>
      </c>
    </row>
    <row r="75" spans="2:54" x14ac:dyDescent="0.5">
      <c r="B75" s="4">
        <v>2002</v>
      </c>
      <c r="C75" t="s">
        <v>64</v>
      </c>
      <c r="D75" t="s">
        <v>65</v>
      </c>
      <c r="E75">
        <v>4</v>
      </c>
      <c r="F75" t="s">
        <v>38</v>
      </c>
      <c r="G75" t="s">
        <v>38</v>
      </c>
      <c r="H75" t="s">
        <v>38</v>
      </c>
      <c r="I75" t="s">
        <v>38</v>
      </c>
      <c r="J75">
        <v>62</v>
      </c>
      <c r="K75">
        <v>100</v>
      </c>
      <c r="L75">
        <v>737</v>
      </c>
      <c r="M75" s="20">
        <v>5535</v>
      </c>
      <c r="N75" s="20">
        <v>1415</v>
      </c>
      <c r="O75" s="20">
        <f t="shared" si="64"/>
        <v>948</v>
      </c>
      <c r="P75" s="20">
        <v>285</v>
      </c>
      <c r="Q75" s="20">
        <v>42</v>
      </c>
      <c r="R75" s="20">
        <v>140</v>
      </c>
      <c r="S75" s="20">
        <v>524</v>
      </c>
      <c r="T75" s="20">
        <v>52</v>
      </c>
      <c r="U75" s="20">
        <f t="shared" si="65"/>
        <v>3544</v>
      </c>
      <c r="V75">
        <v>921</v>
      </c>
      <c r="W75">
        <v>140</v>
      </c>
      <c r="X75">
        <v>65</v>
      </c>
      <c r="Y75">
        <v>51</v>
      </c>
      <c r="Z75">
        <v>891</v>
      </c>
      <c r="AA75">
        <v>834</v>
      </c>
      <c r="AB75">
        <v>5.21</v>
      </c>
      <c r="AC75">
        <v>12</v>
      </c>
      <c r="AD75">
        <v>6</v>
      </c>
      <c r="AE75">
        <v>30</v>
      </c>
      <c r="AF75" s="27">
        <f t="shared" ca="1" si="60"/>
        <v>6133</v>
      </c>
      <c r="AG75" s="27">
        <f t="shared" ca="1" si="66"/>
        <v>1580</v>
      </c>
      <c r="AH75" s="27">
        <f t="shared" ca="1" si="67"/>
        <v>958</v>
      </c>
      <c r="AI75" s="27">
        <f t="shared" ca="1" si="68"/>
        <v>390</v>
      </c>
      <c r="AJ75" s="27">
        <f t="shared" ca="1" si="69"/>
        <v>39</v>
      </c>
      <c r="AK75" s="27">
        <f t="shared" ca="1" si="70"/>
        <v>193</v>
      </c>
      <c r="AL75" s="27">
        <f t="shared" ca="1" si="71"/>
        <v>613</v>
      </c>
      <c r="AM75" s="27">
        <f t="shared" ca="1" si="72"/>
        <v>75</v>
      </c>
      <c r="AN75" s="27">
        <f t="shared" ca="1" si="73"/>
        <v>3865</v>
      </c>
      <c r="AO75">
        <v>4323</v>
      </c>
      <c r="AP75">
        <v>1587</v>
      </c>
      <c r="AQ75">
        <v>212</v>
      </c>
      <c r="AR75">
        <v>572</v>
      </c>
      <c r="AS75">
        <v>909</v>
      </c>
      <c r="AT75">
        <v>130</v>
      </c>
      <c r="AU75">
        <v>153</v>
      </c>
      <c r="AV75">
        <v>0.97899999999999998</v>
      </c>
      <c r="AW75" s="1"/>
      <c r="AX75" s="29" t="s">
        <v>135</v>
      </c>
      <c r="AY75" s="29">
        <f t="shared" si="74"/>
        <v>29700</v>
      </c>
      <c r="AZ75" s="31">
        <f t="shared" si="75"/>
        <v>165582</v>
      </c>
      <c r="BA75" s="31">
        <f t="shared" ref="BA75" si="84">SUMIF($B$2:$B$571,$B75,$P$2:$P$571)</f>
        <v>8700</v>
      </c>
      <c r="BB75" s="30">
        <f t="shared" si="77"/>
        <v>5.2541942964815014E-2</v>
      </c>
    </row>
    <row r="76" spans="2:54" x14ac:dyDescent="0.5">
      <c r="B76" s="4">
        <v>2002</v>
      </c>
      <c r="C76" t="s">
        <v>66</v>
      </c>
      <c r="D76" t="s">
        <v>67</v>
      </c>
      <c r="E76">
        <v>3</v>
      </c>
      <c r="F76" t="s">
        <v>38</v>
      </c>
      <c r="G76" t="s">
        <v>38</v>
      </c>
      <c r="H76" t="s">
        <v>38</v>
      </c>
      <c r="I76" t="s">
        <v>38</v>
      </c>
      <c r="J76">
        <v>92</v>
      </c>
      <c r="K76">
        <v>70</v>
      </c>
      <c r="L76">
        <v>713</v>
      </c>
      <c r="M76" s="20">
        <v>5554</v>
      </c>
      <c r="N76" s="20">
        <v>1464</v>
      </c>
      <c r="O76" s="20">
        <f t="shared" si="64"/>
        <v>994</v>
      </c>
      <c r="P76" s="20">
        <v>286</v>
      </c>
      <c r="Q76" s="20">
        <v>29</v>
      </c>
      <c r="R76" s="20">
        <v>155</v>
      </c>
      <c r="S76" s="20">
        <v>428</v>
      </c>
      <c r="T76" s="20">
        <v>53</v>
      </c>
      <c r="U76" s="20">
        <f t="shared" si="65"/>
        <v>3609</v>
      </c>
      <c r="V76">
        <v>940</v>
      </c>
      <c r="W76">
        <v>96</v>
      </c>
      <c r="X76">
        <v>37</v>
      </c>
      <c r="Y76">
        <v>44</v>
      </c>
      <c r="Z76">
        <v>643</v>
      </c>
      <c r="AA76">
        <v>598</v>
      </c>
      <c r="AB76">
        <v>3.69</v>
      </c>
      <c r="AC76">
        <v>4</v>
      </c>
      <c r="AD76">
        <v>15</v>
      </c>
      <c r="AE76">
        <v>56</v>
      </c>
      <c r="AF76" s="27">
        <f t="shared" ca="1" si="60"/>
        <v>6218</v>
      </c>
      <c r="AG76" s="27">
        <f t="shared" ca="1" si="66"/>
        <v>1396</v>
      </c>
      <c r="AH76" s="27">
        <f t="shared" ca="1" si="67"/>
        <v>810</v>
      </c>
      <c r="AI76" s="27">
        <f t="shared" ca="1" si="68"/>
        <v>396</v>
      </c>
      <c r="AJ76" s="27">
        <f t="shared" ca="1" si="69"/>
        <v>32</v>
      </c>
      <c r="AK76" s="27">
        <f t="shared" ca="1" si="70"/>
        <v>158</v>
      </c>
      <c r="AL76" s="27">
        <f t="shared" ca="1" si="71"/>
        <v>673</v>
      </c>
      <c r="AM76" s="27">
        <f t="shared" ca="1" si="72"/>
        <v>60</v>
      </c>
      <c r="AN76" s="27">
        <f t="shared" ca="1" si="73"/>
        <v>4089</v>
      </c>
      <c r="AO76">
        <v>4373</v>
      </c>
      <c r="AP76">
        <v>1311</v>
      </c>
      <c r="AQ76">
        <v>165</v>
      </c>
      <c r="AR76">
        <v>555</v>
      </c>
      <c r="AS76">
        <v>1132</v>
      </c>
      <c r="AT76">
        <v>90</v>
      </c>
      <c r="AU76">
        <v>134</v>
      </c>
      <c r="AV76">
        <v>0.98499999999999999</v>
      </c>
      <c r="AW76" s="1"/>
      <c r="AX76" s="29" t="s">
        <v>136</v>
      </c>
      <c r="AY76" s="29">
        <f t="shared" si="74"/>
        <v>29700</v>
      </c>
      <c r="AZ76" s="31">
        <f t="shared" si="75"/>
        <v>165582</v>
      </c>
      <c r="BA76" s="31">
        <f t="shared" ref="BA76" si="85">SUMIF($B$2:$B$571,$B76,$Q$2:$Q$571)</f>
        <v>921</v>
      </c>
      <c r="BB76" s="30">
        <f t="shared" si="77"/>
        <v>5.5621987897235209E-3</v>
      </c>
    </row>
    <row r="77" spans="2:54" x14ac:dyDescent="0.5">
      <c r="B77" s="4">
        <v>2002</v>
      </c>
      <c r="C77" t="s">
        <v>68</v>
      </c>
      <c r="D77" t="s">
        <v>69</v>
      </c>
      <c r="E77">
        <v>6</v>
      </c>
      <c r="F77" t="s">
        <v>38</v>
      </c>
      <c r="G77" t="s">
        <v>38</v>
      </c>
      <c r="H77" t="s">
        <v>38</v>
      </c>
      <c r="I77" t="s">
        <v>38</v>
      </c>
      <c r="J77">
        <v>56</v>
      </c>
      <c r="K77">
        <v>106</v>
      </c>
      <c r="L77">
        <v>627</v>
      </c>
      <c r="M77" s="20">
        <v>5415</v>
      </c>
      <c r="N77" s="20">
        <v>1369</v>
      </c>
      <c r="O77" s="20">
        <f t="shared" si="64"/>
        <v>932</v>
      </c>
      <c r="P77" s="20">
        <v>269</v>
      </c>
      <c r="Q77" s="20">
        <v>29</v>
      </c>
      <c r="R77" s="20">
        <v>139</v>
      </c>
      <c r="S77" s="20">
        <v>500</v>
      </c>
      <c r="T77" s="20">
        <v>55</v>
      </c>
      <c r="U77" s="20">
        <f t="shared" si="65"/>
        <v>3491</v>
      </c>
      <c r="V77">
        <v>1125</v>
      </c>
      <c r="W77">
        <v>94</v>
      </c>
      <c r="X77">
        <v>50</v>
      </c>
      <c r="Y77">
        <v>34</v>
      </c>
      <c r="Z77">
        <v>821</v>
      </c>
      <c r="AA77">
        <v>752</v>
      </c>
      <c r="AB77">
        <v>4.7300000000000004</v>
      </c>
      <c r="AC77">
        <v>7</v>
      </c>
      <c r="AD77">
        <v>4</v>
      </c>
      <c r="AE77">
        <v>32</v>
      </c>
      <c r="AF77" s="27">
        <f t="shared" ca="1" si="60"/>
        <v>6112</v>
      </c>
      <c r="AG77" s="27">
        <f t="shared" ca="1" si="66"/>
        <v>1519</v>
      </c>
      <c r="AH77" s="27">
        <f t="shared" ca="1" si="67"/>
        <v>1021</v>
      </c>
      <c r="AI77" s="27">
        <f t="shared" ca="1" si="68"/>
        <v>317</v>
      </c>
      <c r="AJ77" s="27">
        <f t="shared" ca="1" si="69"/>
        <v>46</v>
      </c>
      <c r="AK77" s="27">
        <f t="shared" ca="1" si="70"/>
        <v>135</v>
      </c>
      <c r="AL77" s="27">
        <f t="shared" ca="1" si="71"/>
        <v>479</v>
      </c>
      <c r="AM77" s="27">
        <f t="shared" ca="1" si="72"/>
        <v>59</v>
      </c>
      <c r="AN77" s="27">
        <f t="shared" ca="1" si="73"/>
        <v>4055</v>
      </c>
      <c r="AO77">
        <v>4297</v>
      </c>
      <c r="AP77">
        <v>1468</v>
      </c>
      <c r="AQ77">
        <v>199</v>
      </c>
      <c r="AR77">
        <v>666</v>
      </c>
      <c r="AS77">
        <v>1026</v>
      </c>
      <c r="AT77">
        <v>103</v>
      </c>
      <c r="AU77">
        <v>154</v>
      </c>
      <c r="AV77">
        <v>0.98299999999999998</v>
      </c>
      <c r="AW77" s="1"/>
      <c r="AX77" s="29" t="s">
        <v>137</v>
      </c>
      <c r="AY77" s="29">
        <f t="shared" si="74"/>
        <v>29700</v>
      </c>
      <c r="AZ77" s="31">
        <f t="shared" si="75"/>
        <v>165582</v>
      </c>
      <c r="BA77" s="31">
        <f t="shared" ref="BA77" si="86">SUMIF($B$2:$B$571,$B77,$R$2:$R$571)</f>
        <v>5059</v>
      </c>
      <c r="BB77" s="30">
        <f t="shared" si="77"/>
        <v>3.0552837868850481E-2</v>
      </c>
    </row>
    <row r="78" spans="2:54" x14ac:dyDescent="0.5">
      <c r="B78" s="4">
        <v>2002</v>
      </c>
      <c r="C78" t="s">
        <v>70</v>
      </c>
      <c r="D78" t="s">
        <v>71</v>
      </c>
      <c r="E78">
        <v>1</v>
      </c>
      <c r="F78" t="s">
        <v>43</v>
      </c>
      <c r="G78" t="s">
        <v>38</v>
      </c>
      <c r="H78" t="s">
        <v>38</v>
      </c>
      <c r="I78" t="s">
        <v>38</v>
      </c>
      <c r="J78">
        <v>94</v>
      </c>
      <c r="K78">
        <v>67</v>
      </c>
      <c r="L78">
        <v>768</v>
      </c>
      <c r="M78" s="20">
        <v>5582</v>
      </c>
      <c r="N78" s="20">
        <v>1518</v>
      </c>
      <c r="O78" s="20">
        <f t="shared" si="64"/>
        <v>967</v>
      </c>
      <c r="P78" s="20">
        <v>348</v>
      </c>
      <c r="Q78" s="20">
        <v>36</v>
      </c>
      <c r="R78" s="20">
        <v>167</v>
      </c>
      <c r="S78" s="20">
        <v>472</v>
      </c>
      <c r="T78" s="20">
        <v>56</v>
      </c>
      <c r="U78" s="20">
        <f t="shared" si="65"/>
        <v>3536</v>
      </c>
      <c r="V78">
        <v>1089</v>
      </c>
      <c r="W78">
        <v>79</v>
      </c>
      <c r="X78">
        <v>62</v>
      </c>
      <c r="Y78">
        <v>52</v>
      </c>
      <c r="Z78">
        <v>712</v>
      </c>
      <c r="AA78">
        <v>662</v>
      </c>
      <c r="AB78">
        <v>4.12</v>
      </c>
      <c r="AC78">
        <v>8</v>
      </c>
      <c r="AD78">
        <v>9</v>
      </c>
      <c r="AE78">
        <v>47</v>
      </c>
      <c r="AF78" s="27">
        <f t="shared" ca="1" si="60"/>
        <v>6438</v>
      </c>
      <c r="AG78" s="27">
        <f t="shared" ca="1" si="66"/>
        <v>1642</v>
      </c>
      <c r="AH78" s="27">
        <f t="shared" ca="1" si="67"/>
        <v>1089</v>
      </c>
      <c r="AI78" s="27">
        <f t="shared" ca="1" si="68"/>
        <v>345</v>
      </c>
      <c r="AJ78" s="27">
        <f t="shared" ca="1" si="69"/>
        <v>36</v>
      </c>
      <c r="AK78" s="27">
        <f t="shared" ca="1" si="70"/>
        <v>172</v>
      </c>
      <c r="AL78" s="27">
        <f t="shared" ca="1" si="71"/>
        <v>617</v>
      </c>
      <c r="AM78" s="27">
        <f t="shared" ca="1" si="72"/>
        <v>32</v>
      </c>
      <c r="AN78" s="27">
        <f t="shared" ca="1" si="73"/>
        <v>4147</v>
      </c>
      <c r="AO78">
        <v>4334</v>
      </c>
      <c r="AP78">
        <v>1454</v>
      </c>
      <c r="AQ78">
        <v>184</v>
      </c>
      <c r="AR78">
        <v>439</v>
      </c>
      <c r="AS78">
        <v>1026</v>
      </c>
      <c r="AT78">
        <v>74</v>
      </c>
      <c r="AU78">
        <v>124</v>
      </c>
      <c r="AV78">
        <v>0.98699999999999999</v>
      </c>
      <c r="AW78" s="1"/>
      <c r="AX78" s="29" t="s">
        <v>138</v>
      </c>
      <c r="AY78" s="29">
        <f t="shared" si="74"/>
        <v>29700</v>
      </c>
      <c r="AZ78" s="31">
        <f t="shared" si="75"/>
        <v>165582</v>
      </c>
      <c r="BA78" s="31">
        <f t="shared" ref="BA78" si="87">SUMIF($B$2:$B$571,$B78,$S$2:$S$571)</f>
        <v>16246</v>
      </c>
      <c r="BB78" s="30">
        <f t="shared" si="77"/>
        <v>9.8114529357055724E-2</v>
      </c>
    </row>
    <row r="79" spans="2:54" x14ac:dyDescent="0.5">
      <c r="B79" s="4">
        <v>2002</v>
      </c>
      <c r="C79" t="s">
        <v>72</v>
      </c>
      <c r="D79" t="s">
        <v>73</v>
      </c>
      <c r="E79">
        <v>2</v>
      </c>
      <c r="F79" t="s">
        <v>38</v>
      </c>
      <c r="G79" t="s">
        <v>38</v>
      </c>
      <c r="H79" t="s">
        <v>38</v>
      </c>
      <c r="I79" t="s">
        <v>38</v>
      </c>
      <c r="J79">
        <v>83</v>
      </c>
      <c r="K79">
        <v>79</v>
      </c>
      <c r="L79">
        <v>735</v>
      </c>
      <c r="M79" s="20">
        <v>5479</v>
      </c>
      <c r="N79" s="20">
        <v>1432</v>
      </c>
      <c r="O79" s="20">
        <f t="shared" si="64"/>
        <v>934</v>
      </c>
      <c r="P79" s="20">
        <v>300</v>
      </c>
      <c r="Q79" s="20">
        <v>36</v>
      </c>
      <c r="R79" s="20">
        <v>162</v>
      </c>
      <c r="S79" s="20">
        <v>575</v>
      </c>
      <c r="T79" s="20">
        <v>46</v>
      </c>
      <c r="U79" s="20">
        <f t="shared" si="65"/>
        <v>3426</v>
      </c>
      <c r="V79">
        <v>1104</v>
      </c>
      <c r="W79">
        <v>118</v>
      </c>
      <c r="X79">
        <v>64</v>
      </c>
      <c r="Y79">
        <v>42</v>
      </c>
      <c r="Z79">
        <v>718</v>
      </c>
      <c r="AA79">
        <v>641</v>
      </c>
      <c r="AB79">
        <v>3.97</v>
      </c>
      <c r="AC79">
        <v>9</v>
      </c>
      <c r="AD79">
        <v>3</v>
      </c>
      <c r="AE79">
        <v>39</v>
      </c>
      <c r="AF79" s="27">
        <f t="shared" ca="1" si="60"/>
        <v>6388</v>
      </c>
      <c r="AG79" s="27">
        <f t="shared" ca="1" si="66"/>
        <v>1316</v>
      </c>
      <c r="AH79" s="27">
        <f t="shared" ca="1" si="67"/>
        <v>648</v>
      </c>
      <c r="AI79" s="27">
        <f t="shared" ca="1" si="68"/>
        <v>395</v>
      </c>
      <c r="AJ79" s="27">
        <f t="shared" ca="1" si="69"/>
        <v>39</v>
      </c>
      <c r="AK79" s="27">
        <f t="shared" ca="1" si="70"/>
        <v>234</v>
      </c>
      <c r="AL79" s="27">
        <f t="shared" ca="1" si="71"/>
        <v>576</v>
      </c>
      <c r="AM79" s="27">
        <f t="shared" ca="1" si="72"/>
        <v>79</v>
      </c>
      <c r="AN79" s="27">
        <f t="shared" ca="1" si="73"/>
        <v>4417</v>
      </c>
      <c r="AO79">
        <v>4359</v>
      </c>
      <c r="AP79">
        <v>1475</v>
      </c>
      <c r="AQ79">
        <v>165</v>
      </c>
      <c r="AR79">
        <v>508</v>
      </c>
      <c r="AS79">
        <v>1088</v>
      </c>
      <c r="AT79">
        <v>139</v>
      </c>
      <c r="AU79">
        <v>160</v>
      </c>
      <c r="AV79">
        <v>0.97799999999999998</v>
      </c>
      <c r="AW79" s="1"/>
      <c r="AX79" s="29" t="s">
        <v>139</v>
      </c>
      <c r="AY79" s="29">
        <f t="shared" si="74"/>
        <v>29700</v>
      </c>
      <c r="AZ79" s="31">
        <f t="shared" si="75"/>
        <v>165582</v>
      </c>
      <c r="BA79" s="31">
        <f t="shared" ref="BA79" si="88">SUMIF($B$2:$B$571,$B79,$T$2:$T$571)</f>
        <v>1746</v>
      </c>
      <c r="BB79" s="30">
        <f t="shared" si="77"/>
        <v>1.0544624415697359E-2</v>
      </c>
    </row>
    <row r="80" spans="2:54" x14ac:dyDescent="0.5">
      <c r="B80" s="4">
        <v>2002</v>
      </c>
      <c r="C80" t="s">
        <v>74</v>
      </c>
      <c r="D80" t="s">
        <v>75</v>
      </c>
      <c r="E80">
        <v>1</v>
      </c>
      <c r="F80" t="s">
        <v>43</v>
      </c>
      <c r="G80" t="s">
        <v>38</v>
      </c>
      <c r="H80" t="s">
        <v>38</v>
      </c>
      <c r="I80" t="s">
        <v>38</v>
      </c>
      <c r="J80">
        <v>103</v>
      </c>
      <c r="K80">
        <v>58</v>
      </c>
      <c r="L80">
        <v>897</v>
      </c>
      <c r="M80" s="20">
        <v>5601</v>
      </c>
      <c r="N80" s="20">
        <v>1540</v>
      </c>
      <c r="O80" s="20">
        <f t="shared" si="64"/>
        <v>991</v>
      </c>
      <c r="P80" s="20">
        <v>314</v>
      </c>
      <c r="Q80" s="20">
        <v>12</v>
      </c>
      <c r="R80" s="20">
        <v>223</v>
      </c>
      <c r="S80" s="20">
        <v>640</v>
      </c>
      <c r="T80" s="20">
        <v>72</v>
      </c>
      <c r="U80" s="20">
        <f t="shared" si="65"/>
        <v>3349</v>
      </c>
      <c r="V80">
        <v>1171</v>
      </c>
      <c r="W80">
        <v>100</v>
      </c>
      <c r="X80">
        <v>38</v>
      </c>
      <c r="Y80">
        <v>41</v>
      </c>
      <c r="Z80">
        <v>697</v>
      </c>
      <c r="AA80">
        <v>625</v>
      </c>
      <c r="AB80">
        <v>3.87</v>
      </c>
      <c r="AC80">
        <v>9</v>
      </c>
      <c r="AD80">
        <v>11</v>
      </c>
      <c r="AE80">
        <v>53</v>
      </c>
      <c r="AF80" s="27">
        <f t="shared" ca="1" si="60"/>
        <v>6080</v>
      </c>
      <c r="AG80" s="27">
        <f t="shared" ca="1" si="66"/>
        <v>1658</v>
      </c>
      <c r="AH80" s="27">
        <f t="shared" ca="1" si="67"/>
        <v>1129</v>
      </c>
      <c r="AI80" s="27">
        <f t="shared" ca="1" si="68"/>
        <v>278</v>
      </c>
      <c r="AJ80" s="27">
        <f t="shared" ca="1" si="69"/>
        <v>45</v>
      </c>
      <c r="AK80" s="27">
        <f t="shared" ca="1" si="70"/>
        <v>206</v>
      </c>
      <c r="AL80" s="27">
        <f t="shared" ca="1" si="71"/>
        <v>672</v>
      </c>
      <c r="AM80" s="27">
        <f t="shared" ca="1" si="72"/>
        <v>33</v>
      </c>
      <c r="AN80" s="27">
        <f t="shared" ca="1" si="73"/>
        <v>3717</v>
      </c>
      <c r="AO80">
        <v>4356</v>
      </c>
      <c r="AP80">
        <v>1441</v>
      </c>
      <c r="AQ80">
        <v>144</v>
      </c>
      <c r="AR80">
        <v>403</v>
      </c>
      <c r="AS80">
        <v>1135</v>
      </c>
      <c r="AT80">
        <v>127</v>
      </c>
      <c r="AU80">
        <v>117</v>
      </c>
      <c r="AV80">
        <v>0.97899999999999998</v>
      </c>
      <c r="AW80" s="1"/>
      <c r="AX80" s="29" t="s">
        <v>140</v>
      </c>
      <c r="AY80" s="29">
        <f t="shared" si="74"/>
        <v>29700</v>
      </c>
      <c r="AZ80" s="31">
        <f t="shared" si="75"/>
        <v>165582</v>
      </c>
      <c r="BA80" s="31">
        <f t="shared" ref="BA80" si="89">SUMIF($B$2:$B$571,$B80,$U$2:$U$571)</f>
        <v>104318</v>
      </c>
      <c r="BB80" s="30">
        <f t="shared" si="77"/>
        <v>0.63000809266707736</v>
      </c>
    </row>
    <row r="81" spans="2:54" x14ac:dyDescent="0.5">
      <c r="B81" s="4">
        <v>2002</v>
      </c>
      <c r="C81" t="s">
        <v>76</v>
      </c>
      <c r="D81" t="s">
        <v>77</v>
      </c>
      <c r="E81">
        <v>5</v>
      </c>
      <c r="F81" t="s">
        <v>38</v>
      </c>
      <c r="G81" t="s">
        <v>38</v>
      </c>
      <c r="H81" t="s">
        <v>38</v>
      </c>
      <c r="I81" t="s">
        <v>38</v>
      </c>
      <c r="J81">
        <v>75</v>
      </c>
      <c r="K81">
        <v>86</v>
      </c>
      <c r="L81">
        <v>690</v>
      </c>
      <c r="M81" s="20">
        <v>5496</v>
      </c>
      <c r="N81" s="20">
        <v>1409</v>
      </c>
      <c r="O81" s="20">
        <f t="shared" si="64"/>
        <v>989</v>
      </c>
      <c r="P81" s="20">
        <v>238</v>
      </c>
      <c r="Q81" s="20">
        <v>22</v>
      </c>
      <c r="R81" s="20">
        <v>160</v>
      </c>
      <c r="S81" s="20">
        <v>486</v>
      </c>
      <c r="T81" s="20">
        <v>63</v>
      </c>
      <c r="U81" s="20">
        <f t="shared" si="65"/>
        <v>3538</v>
      </c>
      <c r="V81">
        <v>1044</v>
      </c>
      <c r="W81">
        <v>87</v>
      </c>
      <c r="X81">
        <v>42</v>
      </c>
      <c r="Y81">
        <v>30</v>
      </c>
      <c r="Z81">
        <v>703</v>
      </c>
      <c r="AA81">
        <v>624</v>
      </c>
      <c r="AB81">
        <v>3.89</v>
      </c>
      <c r="AC81">
        <v>9</v>
      </c>
      <c r="AD81">
        <v>10</v>
      </c>
      <c r="AE81">
        <v>36</v>
      </c>
      <c r="AF81" s="27">
        <f t="shared" ca="1" si="60"/>
        <v>6054</v>
      </c>
      <c r="AG81" s="27">
        <f t="shared" ca="1" si="66"/>
        <v>1320</v>
      </c>
      <c r="AH81" s="27">
        <f t="shared" ca="1" si="67"/>
        <v>760</v>
      </c>
      <c r="AI81" s="27">
        <f t="shared" ca="1" si="68"/>
        <v>335</v>
      </c>
      <c r="AJ81" s="27">
        <f t="shared" ca="1" si="69"/>
        <v>32</v>
      </c>
      <c r="AK81" s="27">
        <f t="shared" ca="1" si="70"/>
        <v>193</v>
      </c>
      <c r="AL81" s="27">
        <f t="shared" ca="1" si="71"/>
        <v>700</v>
      </c>
      <c r="AM81" s="27">
        <f t="shared" ca="1" si="72"/>
        <v>77</v>
      </c>
      <c r="AN81" s="27">
        <f t="shared" ca="1" si="73"/>
        <v>3957</v>
      </c>
      <c r="AO81">
        <v>4328</v>
      </c>
      <c r="AP81">
        <v>1408</v>
      </c>
      <c r="AQ81">
        <v>163</v>
      </c>
      <c r="AR81">
        <v>543</v>
      </c>
      <c r="AS81">
        <v>1107</v>
      </c>
      <c r="AT81">
        <v>144</v>
      </c>
      <c r="AU81">
        <v>138</v>
      </c>
      <c r="AV81">
        <v>0.97599999999999998</v>
      </c>
      <c r="AW81" s="1"/>
      <c r="AX81" s="29" t="s">
        <v>141</v>
      </c>
      <c r="AY81" s="29">
        <f t="shared" si="74"/>
        <v>29700</v>
      </c>
      <c r="AZ81" s="31">
        <f t="shared" si="75"/>
        <v>165582</v>
      </c>
      <c r="BA81" s="31"/>
      <c r="BB81" s="30">
        <f t="shared" si="77"/>
        <v>0</v>
      </c>
    </row>
    <row r="82" spans="2:54" x14ac:dyDescent="0.5">
      <c r="B82" s="4">
        <v>2002</v>
      </c>
      <c r="C82" t="s">
        <v>78</v>
      </c>
      <c r="D82" t="s">
        <v>79</v>
      </c>
      <c r="E82">
        <v>1</v>
      </c>
      <c r="F82" t="s">
        <v>43</v>
      </c>
      <c r="G82" t="s">
        <v>38</v>
      </c>
      <c r="H82" t="s">
        <v>38</v>
      </c>
      <c r="I82" t="s">
        <v>38</v>
      </c>
      <c r="J82">
        <v>103</v>
      </c>
      <c r="K82">
        <v>59</v>
      </c>
      <c r="L82">
        <v>800</v>
      </c>
      <c r="M82" s="20">
        <v>5558</v>
      </c>
      <c r="N82" s="20">
        <v>1450</v>
      </c>
      <c r="O82" s="20">
        <f t="shared" si="64"/>
        <v>938</v>
      </c>
      <c r="P82" s="20">
        <v>279</v>
      </c>
      <c r="Q82" s="20">
        <v>28</v>
      </c>
      <c r="R82" s="20">
        <v>205</v>
      </c>
      <c r="S82" s="20">
        <v>609</v>
      </c>
      <c r="T82" s="20">
        <v>68</v>
      </c>
      <c r="U82" s="20">
        <f t="shared" si="65"/>
        <v>3431</v>
      </c>
      <c r="V82">
        <v>1008</v>
      </c>
      <c r="W82">
        <v>46</v>
      </c>
      <c r="X82">
        <v>20</v>
      </c>
      <c r="Y82">
        <v>36</v>
      </c>
      <c r="Z82">
        <v>654</v>
      </c>
      <c r="AA82">
        <v>593</v>
      </c>
      <c r="AB82">
        <v>3.68</v>
      </c>
      <c r="AC82">
        <v>9</v>
      </c>
      <c r="AD82">
        <v>19</v>
      </c>
      <c r="AE82">
        <v>48</v>
      </c>
      <c r="AF82" s="27">
        <f t="shared" ca="1" si="60"/>
        <v>6354</v>
      </c>
      <c r="AG82" s="27">
        <f t="shared" ca="1" si="66"/>
        <v>1320</v>
      </c>
      <c r="AH82" s="27">
        <f t="shared" ca="1" si="67"/>
        <v>810</v>
      </c>
      <c r="AI82" s="27">
        <f t="shared" ca="1" si="68"/>
        <v>238</v>
      </c>
      <c r="AJ82" s="27">
        <f t="shared" ca="1" si="69"/>
        <v>34</v>
      </c>
      <c r="AK82" s="27">
        <f t="shared" ca="1" si="70"/>
        <v>238</v>
      </c>
      <c r="AL82" s="27">
        <f t="shared" ca="1" si="71"/>
        <v>404</v>
      </c>
      <c r="AM82" s="27">
        <f t="shared" ca="1" si="72"/>
        <v>90</v>
      </c>
      <c r="AN82" s="27">
        <f t="shared" ca="1" si="73"/>
        <v>4540</v>
      </c>
      <c r="AO82">
        <v>4356</v>
      </c>
      <c r="AP82">
        <v>1391</v>
      </c>
      <c r="AQ82">
        <v>135</v>
      </c>
      <c r="AR82">
        <v>474</v>
      </c>
      <c r="AS82">
        <v>1021</v>
      </c>
      <c r="AT82">
        <v>102</v>
      </c>
      <c r="AU82">
        <v>144</v>
      </c>
      <c r="AV82">
        <v>0.98399999999999999</v>
      </c>
      <c r="AW82" s="1">
        <v>2010</v>
      </c>
      <c r="AX82" s="29" t="s">
        <v>134</v>
      </c>
      <c r="AY82" s="29">
        <f t="shared" si="74"/>
        <v>29700</v>
      </c>
      <c r="AZ82" s="31">
        <f t="shared" si="75"/>
        <v>165582</v>
      </c>
      <c r="BA82" s="31">
        <f t="shared" ref="BA82" si="90">SUMIF($B$2:$B$571,$B82,$O$2:$O$571)</f>
        <v>28592</v>
      </c>
      <c r="BB82" s="30">
        <f t="shared" si="77"/>
        <v>0.17267577393678057</v>
      </c>
    </row>
    <row r="83" spans="2:54" x14ac:dyDescent="0.5">
      <c r="B83" s="4">
        <v>2002</v>
      </c>
      <c r="C83" t="s">
        <v>80</v>
      </c>
      <c r="D83" t="s">
        <v>81</v>
      </c>
      <c r="E83">
        <v>3</v>
      </c>
      <c r="F83" t="s">
        <v>38</v>
      </c>
      <c r="G83" t="s">
        <v>38</v>
      </c>
      <c r="H83" t="s">
        <v>38</v>
      </c>
      <c r="I83" t="s">
        <v>38</v>
      </c>
      <c r="J83">
        <v>80</v>
      </c>
      <c r="K83">
        <v>81</v>
      </c>
      <c r="L83">
        <v>710</v>
      </c>
      <c r="M83" s="20">
        <v>5523</v>
      </c>
      <c r="N83" s="20">
        <v>1428</v>
      </c>
      <c r="O83" s="20">
        <f t="shared" si="64"/>
        <v>897</v>
      </c>
      <c r="P83" s="20">
        <v>325</v>
      </c>
      <c r="Q83" s="20">
        <v>41</v>
      </c>
      <c r="R83" s="20">
        <v>165</v>
      </c>
      <c r="S83" s="20">
        <v>640</v>
      </c>
      <c r="T83" s="20">
        <v>53</v>
      </c>
      <c r="U83" s="20">
        <f t="shared" si="65"/>
        <v>3402</v>
      </c>
      <c r="V83">
        <v>1095</v>
      </c>
      <c r="W83">
        <v>104</v>
      </c>
      <c r="X83">
        <v>43</v>
      </c>
      <c r="Y83">
        <v>39</v>
      </c>
      <c r="Z83">
        <v>724</v>
      </c>
      <c r="AA83">
        <v>671</v>
      </c>
      <c r="AB83">
        <v>4.17</v>
      </c>
      <c r="AC83">
        <v>5</v>
      </c>
      <c r="AD83">
        <v>9</v>
      </c>
      <c r="AE83">
        <v>47</v>
      </c>
      <c r="AF83" s="27">
        <f t="shared" ca="1" si="60"/>
        <v>6345</v>
      </c>
      <c r="AG83" s="27">
        <f t="shared" ca="1" si="66"/>
        <v>1580</v>
      </c>
      <c r="AH83" s="27">
        <f t="shared" ca="1" si="67"/>
        <v>1070</v>
      </c>
      <c r="AI83" s="27">
        <f t="shared" ca="1" si="68"/>
        <v>313</v>
      </c>
      <c r="AJ83" s="27">
        <f t="shared" ca="1" si="69"/>
        <v>21</v>
      </c>
      <c r="AK83" s="27">
        <f t="shared" ca="1" si="70"/>
        <v>176</v>
      </c>
      <c r="AL83" s="27">
        <f t="shared" ca="1" si="71"/>
        <v>454</v>
      </c>
      <c r="AM83" s="27">
        <f t="shared" ca="1" si="72"/>
        <v>40</v>
      </c>
      <c r="AN83" s="27">
        <f t="shared" ca="1" si="73"/>
        <v>4271</v>
      </c>
      <c r="AO83">
        <v>4349</v>
      </c>
      <c r="AP83">
        <v>1381</v>
      </c>
      <c r="AQ83">
        <v>153</v>
      </c>
      <c r="AR83">
        <v>570</v>
      </c>
      <c r="AS83">
        <v>1075</v>
      </c>
      <c r="AT83">
        <v>88</v>
      </c>
      <c r="AU83">
        <v>156</v>
      </c>
      <c r="AV83">
        <v>0.98599999999999999</v>
      </c>
      <c r="AW83" s="1"/>
      <c r="AX83" s="29" t="s">
        <v>135</v>
      </c>
      <c r="AY83" s="29">
        <f t="shared" si="74"/>
        <v>29700</v>
      </c>
      <c r="AZ83" s="31">
        <f t="shared" si="75"/>
        <v>165582</v>
      </c>
      <c r="BA83" s="31">
        <f t="shared" ref="BA83" si="91">SUMIF($B$2:$B$571,$B83,$P$2:$P$571)</f>
        <v>8700</v>
      </c>
      <c r="BB83" s="30">
        <f t="shared" si="77"/>
        <v>5.2541942964815014E-2</v>
      </c>
    </row>
    <row r="84" spans="2:54" x14ac:dyDescent="0.5">
      <c r="B84" s="4">
        <v>2002</v>
      </c>
      <c r="C84" t="s">
        <v>82</v>
      </c>
      <c r="D84" t="s">
        <v>83</v>
      </c>
      <c r="E84">
        <v>4</v>
      </c>
      <c r="F84" t="s">
        <v>38</v>
      </c>
      <c r="G84" t="s">
        <v>38</v>
      </c>
      <c r="H84" t="s">
        <v>38</v>
      </c>
      <c r="I84" t="s">
        <v>38</v>
      </c>
      <c r="J84">
        <v>72</v>
      </c>
      <c r="K84">
        <v>89</v>
      </c>
      <c r="L84">
        <v>641</v>
      </c>
      <c r="M84" s="20">
        <v>5330</v>
      </c>
      <c r="N84" s="20">
        <v>1300</v>
      </c>
      <c r="O84" s="20">
        <f t="shared" si="64"/>
        <v>875</v>
      </c>
      <c r="P84" s="20">
        <v>263</v>
      </c>
      <c r="Q84" s="20">
        <v>20</v>
      </c>
      <c r="R84" s="20">
        <v>142</v>
      </c>
      <c r="S84" s="20">
        <v>537</v>
      </c>
      <c r="T84" s="20">
        <v>73</v>
      </c>
      <c r="U84" s="20">
        <f t="shared" si="65"/>
        <v>3420</v>
      </c>
      <c r="V84">
        <v>1109</v>
      </c>
      <c r="W84">
        <v>86</v>
      </c>
      <c r="X84">
        <v>49</v>
      </c>
      <c r="Y84">
        <v>41</v>
      </c>
      <c r="Z84">
        <v>730</v>
      </c>
      <c r="AA84">
        <v>664</v>
      </c>
      <c r="AB84">
        <v>4.2300000000000004</v>
      </c>
      <c r="AC84">
        <v>2</v>
      </c>
      <c r="AD84">
        <v>7</v>
      </c>
      <c r="AE84">
        <v>47</v>
      </c>
      <c r="AF84" s="27">
        <f t="shared" ca="1" si="60"/>
        <v>6437</v>
      </c>
      <c r="AG84" s="27">
        <f t="shared" ca="1" si="66"/>
        <v>1571</v>
      </c>
      <c r="AH84" s="27">
        <f t="shared" ca="1" si="67"/>
        <v>1013</v>
      </c>
      <c r="AI84" s="27">
        <f t="shared" ca="1" si="68"/>
        <v>305</v>
      </c>
      <c r="AJ84" s="27">
        <f t="shared" ca="1" si="69"/>
        <v>49</v>
      </c>
      <c r="AK84" s="27">
        <f t="shared" ca="1" si="70"/>
        <v>204</v>
      </c>
      <c r="AL84" s="27">
        <f t="shared" ca="1" si="71"/>
        <v>620</v>
      </c>
      <c r="AM84" s="27">
        <f t="shared" ca="1" si="72"/>
        <v>63</v>
      </c>
      <c r="AN84" s="27">
        <f t="shared" ca="1" si="73"/>
        <v>4183</v>
      </c>
      <c r="AO84">
        <v>4238</v>
      </c>
      <c r="AP84">
        <v>1447</v>
      </c>
      <c r="AQ84">
        <v>163</v>
      </c>
      <c r="AR84">
        <v>572</v>
      </c>
      <c r="AS84">
        <v>920</v>
      </c>
      <c r="AT84">
        <v>115</v>
      </c>
      <c r="AU84">
        <v>177</v>
      </c>
      <c r="AV84">
        <v>0.98199999999999998</v>
      </c>
      <c r="AW84" s="1"/>
      <c r="AX84" s="29" t="s">
        <v>136</v>
      </c>
      <c r="AY84" s="29">
        <f t="shared" si="74"/>
        <v>29700</v>
      </c>
      <c r="AZ84" s="31">
        <f t="shared" si="75"/>
        <v>165582</v>
      </c>
      <c r="BA84" s="31">
        <f t="shared" ref="BA84" si="92">SUMIF($B$2:$B$571,$B84,$Q$2:$Q$571)</f>
        <v>921</v>
      </c>
      <c r="BB84" s="30">
        <f t="shared" si="77"/>
        <v>5.5621987897235209E-3</v>
      </c>
    </row>
    <row r="85" spans="2:54" x14ac:dyDescent="0.5">
      <c r="B85" s="4">
        <v>2002</v>
      </c>
      <c r="C85" t="s">
        <v>84</v>
      </c>
      <c r="D85" t="s">
        <v>85</v>
      </c>
      <c r="E85">
        <v>5</v>
      </c>
      <c r="F85" t="s">
        <v>38</v>
      </c>
      <c r="G85" t="s">
        <v>38</v>
      </c>
      <c r="H85" t="s">
        <v>38</v>
      </c>
      <c r="I85" t="s">
        <v>38</v>
      </c>
      <c r="J85">
        <v>66</v>
      </c>
      <c r="K85">
        <v>96</v>
      </c>
      <c r="L85">
        <v>662</v>
      </c>
      <c r="M85" s="20">
        <v>5515</v>
      </c>
      <c r="N85" s="20">
        <v>1393</v>
      </c>
      <c r="O85" s="20">
        <f t="shared" si="64"/>
        <v>985</v>
      </c>
      <c r="P85" s="20">
        <v>243</v>
      </c>
      <c r="Q85" s="20">
        <v>29</v>
      </c>
      <c r="R85" s="20">
        <v>136</v>
      </c>
      <c r="S85" s="20">
        <v>547</v>
      </c>
      <c r="T85" s="20">
        <v>30</v>
      </c>
      <c r="U85" s="20">
        <f t="shared" si="65"/>
        <v>3545</v>
      </c>
      <c r="V85">
        <v>1062</v>
      </c>
      <c r="W85">
        <v>71</v>
      </c>
      <c r="X85">
        <v>44</v>
      </c>
      <c r="Y85">
        <v>41</v>
      </c>
      <c r="Z85">
        <v>815</v>
      </c>
      <c r="AA85">
        <v>737</v>
      </c>
      <c r="AB85">
        <v>4.62</v>
      </c>
      <c r="AC85">
        <v>5</v>
      </c>
      <c r="AD85">
        <v>10</v>
      </c>
      <c r="AE85">
        <v>40</v>
      </c>
      <c r="AF85" s="27">
        <f t="shared" ca="1" si="60"/>
        <v>6128</v>
      </c>
      <c r="AG85" s="27">
        <f t="shared" ca="1" si="66"/>
        <v>1587</v>
      </c>
      <c r="AH85" s="27">
        <f t="shared" ca="1" si="67"/>
        <v>1047</v>
      </c>
      <c r="AI85" s="27">
        <f t="shared" ca="1" si="68"/>
        <v>308</v>
      </c>
      <c r="AJ85" s="27">
        <f t="shared" ca="1" si="69"/>
        <v>29</v>
      </c>
      <c r="AK85" s="27">
        <f t="shared" ca="1" si="70"/>
        <v>203</v>
      </c>
      <c r="AL85" s="27">
        <f t="shared" ca="1" si="71"/>
        <v>479</v>
      </c>
      <c r="AM85" s="27">
        <f t="shared" ca="1" si="72"/>
        <v>34</v>
      </c>
      <c r="AN85" s="27">
        <f t="shared" ca="1" si="73"/>
        <v>4028</v>
      </c>
      <c r="AO85">
        <v>4309</v>
      </c>
      <c r="AP85">
        <v>1522</v>
      </c>
      <c r="AQ85">
        <v>177</v>
      </c>
      <c r="AR85">
        <v>582</v>
      </c>
      <c r="AS85">
        <v>1108</v>
      </c>
      <c r="AT85">
        <v>128</v>
      </c>
      <c r="AU85">
        <v>162</v>
      </c>
      <c r="AV85">
        <v>0.97899999999999998</v>
      </c>
      <c r="AW85" s="1"/>
      <c r="AX85" s="29" t="s">
        <v>137</v>
      </c>
      <c r="AY85" s="29">
        <f t="shared" si="74"/>
        <v>29700</v>
      </c>
      <c r="AZ85" s="31">
        <f t="shared" si="75"/>
        <v>165582</v>
      </c>
      <c r="BA85" s="31">
        <f t="shared" ref="BA85" si="93">SUMIF($B$2:$B$571,$B85,$R$2:$R$571)</f>
        <v>5059</v>
      </c>
      <c r="BB85" s="30">
        <f t="shared" si="77"/>
        <v>3.0552837868850481E-2</v>
      </c>
    </row>
    <row r="86" spans="2:54" x14ac:dyDescent="0.5">
      <c r="B86" s="4">
        <v>2002</v>
      </c>
      <c r="C86" t="s">
        <v>86</v>
      </c>
      <c r="D86" t="s">
        <v>87</v>
      </c>
      <c r="E86">
        <v>3</v>
      </c>
      <c r="F86" t="s">
        <v>38</v>
      </c>
      <c r="G86" t="s">
        <v>38</v>
      </c>
      <c r="H86" t="s">
        <v>38</v>
      </c>
      <c r="I86" t="s">
        <v>38</v>
      </c>
      <c r="J86">
        <v>93</v>
      </c>
      <c r="K86">
        <v>69</v>
      </c>
      <c r="L86">
        <v>814</v>
      </c>
      <c r="M86" s="20">
        <v>5569</v>
      </c>
      <c r="N86" s="20">
        <v>1531</v>
      </c>
      <c r="O86" s="20">
        <f t="shared" si="64"/>
        <v>1063</v>
      </c>
      <c r="P86" s="20">
        <v>285</v>
      </c>
      <c r="Q86" s="20">
        <v>31</v>
      </c>
      <c r="R86" s="20">
        <v>152</v>
      </c>
      <c r="S86" s="20">
        <v>629</v>
      </c>
      <c r="T86" s="20">
        <v>51</v>
      </c>
      <c r="U86" s="20">
        <f t="shared" si="65"/>
        <v>3358</v>
      </c>
      <c r="V86">
        <v>1003</v>
      </c>
      <c r="W86">
        <v>137</v>
      </c>
      <c r="X86">
        <v>58</v>
      </c>
      <c r="Y86">
        <v>72</v>
      </c>
      <c r="Z86">
        <v>699</v>
      </c>
      <c r="AA86">
        <v>654</v>
      </c>
      <c r="AB86">
        <v>4.07</v>
      </c>
      <c r="AC86">
        <v>8</v>
      </c>
      <c r="AD86">
        <v>12</v>
      </c>
      <c r="AE86">
        <v>43</v>
      </c>
      <c r="AF86" s="27">
        <f t="shared" ca="1" si="60"/>
        <v>6417</v>
      </c>
      <c r="AG86" s="27">
        <f t="shared" ca="1" si="66"/>
        <v>1334</v>
      </c>
      <c r="AH86" s="27">
        <f t="shared" ca="1" si="67"/>
        <v>787</v>
      </c>
      <c r="AI86" s="27">
        <f t="shared" ca="1" si="68"/>
        <v>363</v>
      </c>
      <c r="AJ86" s="27">
        <f t="shared" ca="1" si="69"/>
        <v>43</v>
      </c>
      <c r="AK86" s="27">
        <f t="shared" ca="1" si="70"/>
        <v>141</v>
      </c>
      <c r="AL86" s="27">
        <f t="shared" ca="1" si="71"/>
        <v>429</v>
      </c>
      <c r="AM86" s="27">
        <f t="shared" ca="1" si="72"/>
        <v>89</v>
      </c>
      <c r="AN86" s="27">
        <f t="shared" ca="1" si="73"/>
        <v>4565</v>
      </c>
      <c r="AO86">
        <v>4336</v>
      </c>
      <c r="AP86">
        <v>1422</v>
      </c>
      <c r="AQ86">
        <v>178</v>
      </c>
      <c r="AR86">
        <v>441</v>
      </c>
      <c r="AS86">
        <v>1063</v>
      </c>
      <c r="AT86">
        <v>88</v>
      </c>
      <c r="AU86">
        <v>134</v>
      </c>
      <c r="AV86">
        <v>0.98499999999999999</v>
      </c>
      <c r="AW86" s="1"/>
      <c r="AX86" s="29" t="s">
        <v>138</v>
      </c>
      <c r="AY86" s="29">
        <f t="shared" si="74"/>
        <v>29700</v>
      </c>
      <c r="AZ86" s="31">
        <f t="shared" si="75"/>
        <v>165582</v>
      </c>
      <c r="BA86" s="31">
        <f t="shared" ref="BA86" si="94">SUMIF($B$2:$B$571,$B86,$S$2:$S$571)</f>
        <v>16246</v>
      </c>
      <c r="BB86" s="30">
        <f t="shared" si="77"/>
        <v>9.8114529357055724E-2</v>
      </c>
    </row>
    <row r="87" spans="2:54" x14ac:dyDescent="0.5">
      <c r="B87" s="4">
        <v>2002</v>
      </c>
      <c r="C87" t="s">
        <v>88</v>
      </c>
      <c r="D87" t="s">
        <v>89</v>
      </c>
      <c r="E87">
        <v>2</v>
      </c>
      <c r="F87" t="s">
        <v>38</v>
      </c>
      <c r="G87" t="s">
        <v>43</v>
      </c>
      <c r="H87" t="s">
        <v>43</v>
      </c>
      <c r="I87" t="s">
        <v>38</v>
      </c>
      <c r="J87">
        <v>95</v>
      </c>
      <c r="K87">
        <v>66</v>
      </c>
      <c r="L87">
        <v>783</v>
      </c>
      <c r="M87" s="20">
        <v>5497</v>
      </c>
      <c r="N87" s="20">
        <v>1465</v>
      </c>
      <c r="O87" s="20">
        <f t="shared" si="64"/>
        <v>932</v>
      </c>
      <c r="P87" s="20">
        <v>300</v>
      </c>
      <c r="Q87" s="20">
        <v>35</v>
      </c>
      <c r="R87" s="20">
        <v>198</v>
      </c>
      <c r="S87" s="20">
        <v>616</v>
      </c>
      <c r="T87" s="20">
        <v>65</v>
      </c>
      <c r="U87" s="20">
        <f t="shared" si="65"/>
        <v>3351</v>
      </c>
      <c r="V87">
        <v>961</v>
      </c>
      <c r="W87">
        <v>74</v>
      </c>
      <c r="X87">
        <v>21</v>
      </c>
      <c r="Y87">
        <v>52</v>
      </c>
      <c r="Z87">
        <v>616</v>
      </c>
      <c r="AA87">
        <v>566</v>
      </c>
      <c r="AB87">
        <v>3.54</v>
      </c>
      <c r="AC87">
        <v>10</v>
      </c>
      <c r="AD87">
        <v>13</v>
      </c>
      <c r="AE87">
        <v>43</v>
      </c>
      <c r="AF87" s="27">
        <f t="shared" ca="1" si="60"/>
        <v>6284</v>
      </c>
      <c r="AG87" s="27">
        <f t="shared" ca="1" si="66"/>
        <v>1492</v>
      </c>
      <c r="AH87" s="27">
        <f t="shared" ca="1" si="67"/>
        <v>951</v>
      </c>
      <c r="AI87" s="27">
        <f t="shared" ca="1" si="68"/>
        <v>287</v>
      </c>
      <c r="AJ87" s="27">
        <f t="shared" ca="1" si="69"/>
        <v>33</v>
      </c>
      <c r="AK87" s="27">
        <f t="shared" ca="1" si="70"/>
        <v>221</v>
      </c>
      <c r="AL87" s="27">
        <f t="shared" ca="1" si="71"/>
        <v>474</v>
      </c>
      <c r="AM87" s="27">
        <f t="shared" ca="1" si="72"/>
        <v>85</v>
      </c>
      <c r="AN87" s="27">
        <f t="shared" ca="1" si="73"/>
        <v>4233</v>
      </c>
      <c r="AO87">
        <v>4312</v>
      </c>
      <c r="AP87">
        <v>1349</v>
      </c>
      <c r="AQ87">
        <v>116</v>
      </c>
      <c r="AR87">
        <v>523</v>
      </c>
      <c r="AS87">
        <v>992</v>
      </c>
      <c r="AT87">
        <v>90</v>
      </c>
      <c r="AU87">
        <v>166</v>
      </c>
      <c r="AV87">
        <v>0.98499999999999999</v>
      </c>
      <c r="AW87" s="1"/>
      <c r="AX87" s="29" t="s">
        <v>139</v>
      </c>
      <c r="AY87" s="29">
        <f t="shared" si="74"/>
        <v>29700</v>
      </c>
      <c r="AZ87" s="31">
        <f t="shared" si="75"/>
        <v>165582</v>
      </c>
      <c r="BA87" s="31">
        <f t="shared" ref="BA87" si="95">SUMIF($B$2:$B$571,$B87,$T$2:$T$571)</f>
        <v>1746</v>
      </c>
      <c r="BB87" s="30">
        <f t="shared" si="77"/>
        <v>1.0544624415697359E-2</v>
      </c>
    </row>
    <row r="88" spans="2:54" x14ac:dyDescent="0.5">
      <c r="B88" s="4">
        <v>2002</v>
      </c>
      <c r="C88" t="s">
        <v>90</v>
      </c>
      <c r="D88" t="s">
        <v>91</v>
      </c>
      <c r="E88">
        <v>1</v>
      </c>
      <c r="F88" t="s">
        <v>43</v>
      </c>
      <c r="G88" t="s">
        <v>38</v>
      </c>
      <c r="H88" t="s">
        <v>38</v>
      </c>
      <c r="I88" t="s">
        <v>38</v>
      </c>
      <c r="J88">
        <v>97</v>
      </c>
      <c r="K88">
        <v>65</v>
      </c>
      <c r="L88">
        <v>787</v>
      </c>
      <c r="M88" s="20">
        <v>5505</v>
      </c>
      <c r="N88" s="20">
        <v>1475</v>
      </c>
      <c r="O88" s="20">
        <f t="shared" si="64"/>
        <v>989</v>
      </c>
      <c r="P88" s="20">
        <v>285</v>
      </c>
      <c r="Q88" s="20">
        <v>26</v>
      </c>
      <c r="R88" s="20">
        <v>175</v>
      </c>
      <c r="S88" s="20">
        <v>542</v>
      </c>
      <c r="T88" s="20">
        <v>67</v>
      </c>
      <c r="U88" s="20">
        <f t="shared" si="65"/>
        <v>3421</v>
      </c>
      <c r="V88">
        <v>927</v>
      </c>
      <c r="W88">
        <v>86</v>
      </c>
      <c r="X88">
        <v>42</v>
      </c>
      <c r="Y88">
        <v>49</v>
      </c>
      <c r="Z88">
        <v>648</v>
      </c>
      <c r="AA88">
        <v>595</v>
      </c>
      <c r="AB88">
        <v>3.7</v>
      </c>
      <c r="AC88">
        <v>4</v>
      </c>
      <c r="AD88">
        <v>9</v>
      </c>
      <c r="AE88">
        <v>42</v>
      </c>
      <c r="AF88" s="27">
        <f t="shared" ca="1" si="60"/>
        <v>6052</v>
      </c>
      <c r="AG88" s="27">
        <f t="shared" ca="1" si="66"/>
        <v>1365</v>
      </c>
      <c r="AH88" s="27">
        <f t="shared" ca="1" si="67"/>
        <v>799</v>
      </c>
      <c r="AI88" s="27">
        <f t="shared" ca="1" si="68"/>
        <v>377</v>
      </c>
      <c r="AJ88" s="27">
        <f t="shared" ca="1" si="69"/>
        <v>25</v>
      </c>
      <c r="AK88" s="27">
        <f t="shared" ca="1" si="70"/>
        <v>164</v>
      </c>
      <c r="AL88" s="27">
        <f t="shared" ca="1" si="71"/>
        <v>447</v>
      </c>
      <c r="AM88" s="27">
        <f t="shared" ca="1" si="72"/>
        <v>46</v>
      </c>
      <c r="AN88" s="27">
        <f t="shared" ca="1" si="73"/>
        <v>4194</v>
      </c>
      <c r="AO88">
        <v>4339</v>
      </c>
      <c r="AP88">
        <v>1355</v>
      </c>
      <c r="AQ88">
        <v>141</v>
      </c>
      <c r="AR88">
        <v>547</v>
      </c>
      <c r="AS88">
        <v>1009</v>
      </c>
      <c r="AT88">
        <v>103</v>
      </c>
      <c r="AU88">
        <v>168</v>
      </c>
      <c r="AV88">
        <v>0.98299999999999998</v>
      </c>
      <c r="AW88" s="1"/>
      <c r="AX88" s="29" t="s">
        <v>140</v>
      </c>
      <c r="AY88" s="29">
        <f t="shared" si="74"/>
        <v>29700</v>
      </c>
      <c r="AZ88" s="31">
        <f t="shared" si="75"/>
        <v>165582</v>
      </c>
      <c r="BA88" s="31">
        <f t="shared" ref="BA88" si="96">SUMIF($B$2:$B$571,$B88,$U$2:$U$571)</f>
        <v>104318</v>
      </c>
      <c r="BB88" s="30">
        <f t="shared" si="77"/>
        <v>0.63000809266707736</v>
      </c>
    </row>
    <row r="89" spans="2:54" x14ac:dyDescent="0.5">
      <c r="B89" s="4">
        <v>2002</v>
      </c>
      <c r="C89" t="s">
        <v>92</v>
      </c>
      <c r="D89" t="s">
        <v>93</v>
      </c>
      <c r="E89">
        <v>5</v>
      </c>
      <c r="F89" t="s">
        <v>38</v>
      </c>
      <c r="G89" t="s">
        <v>38</v>
      </c>
      <c r="H89" t="s">
        <v>38</v>
      </c>
      <c r="I89" t="s">
        <v>38</v>
      </c>
      <c r="J89">
        <v>55</v>
      </c>
      <c r="K89">
        <v>106</v>
      </c>
      <c r="L89">
        <v>673</v>
      </c>
      <c r="M89" s="20">
        <v>5604</v>
      </c>
      <c r="N89" s="20">
        <v>1418</v>
      </c>
      <c r="O89" s="20">
        <f t="shared" si="64"/>
        <v>953</v>
      </c>
      <c r="P89" s="20">
        <v>297</v>
      </c>
      <c r="Q89" s="20">
        <v>35</v>
      </c>
      <c r="R89" s="20">
        <v>133</v>
      </c>
      <c r="S89" s="20">
        <v>456</v>
      </c>
      <c r="T89" s="20">
        <v>58</v>
      </c>
      <c r="U89" s="20">
        <f t="shared" si="65"/>
        <v>3672</v>
      </c>
      <c r="V89">
        <v>1115</v>
      </c>
      <c r="W89">
        <v>102</v>
      </c>
      <c r="X89">
        <v>45</v>
      </c>
      <c r="Y89">
        <v>36</v>
      </c>
      <c r="Z89">
        <v>918</v>
      </c>
      <c r="AA89">
        <v>846</v>
      </c>
      <c r="AB89">
        <v>5.29</v>
      </c>
      <c r="AC89">
        <v>12</v>
      </c>
      <c r="AD89">
        <v>3</v>
      </c>
      <c r="AE89">
        <v>25</v>
      </c>
      <c r="AF89" s="27">
        <f t="shared" ca="1" si="60"/>
        <v>6484</v>
      </c>
      <c r="AG89" s="27">
        <f t="shared" ca="1" si="66"/>
        <v>1429</v>
      </c>
      <c r="AH89" s="27">
        <f t="shared" ca="1" si="67"/>
        <v>892</v>
      </c>
      <c r="AI89" s="27">
        <f t="shared" ca="1" si="68"/>
        <v>273</v>
      </c>
      <c r="AJ89" s="27">
        <f t="shared" ca="1" si="69"/>
        <v>31</v>
      </c>
      <c r="AK89" s="27">
        <f t="shared" ca="1" si="70"/>
        <v>233</v>
      </c>
      <c r="AL89" s="27">
        <f t="shared" ca="1" si="71"/>
        <v>420</v>
      </c>
      <c r="AM89" s="27">
        <f t="shared" ca="1" si="72"/>
        <v>47</v>
      </c>
      <c r="AN89" s="27">
        <f t="shared" ca="1" si="73"/>
        <v>4588</v>
      </c>
      <c r="AO89">
        <v>4321</v>
      </c>
      <c r="AP89">
        <v>1567</v>
      </c>
      <c r="AQ89">
        <v>215</v>
      </c>
      <c r="AR89">
        <v>620</v>
      </c>
      <c r="AS89">
        <v>925</v>
      </c>
      <c r="AT89">
        <v>126</v>
      </c>
      <c r="AU89">
        <v>168</v>
      </c>
      <c r="AV89">
        <v>0.97899999999999998</v>
      </c>
      <c r="AW89" s="1"/>
      <c r="AX89" s="29"/>
      <c r="AY89" s="29"/>
      <c r="AZ89" s="31"/>
      <c r="BA89" s="31"/>
      <c r="BB89" s="30"/>
    </row>
    <row r="90" spans="2:54" x14ac:dyDescent="0.5">
      <c r="B90" s="4">
        <v>2002</v>
      </c>
      <c r="C90" t="s">
        <v>94</v>
      </c>
      <c r="D90" t="s">
        <v>95</v>
      </c>
      <c r="E90">
        <v>4</v>
      </c>
      <c r="F90" t="s">
        <v>38</v>
      </c>
      <c r="G90" t="s">
        <v>38</v>
      </c>
      <c r="H90" t="s">
        <v>38</v>
      </c>
      <c r="I90" t="s">
        <v>38</v>
      </c>
      <c r="J90">
        <v>72</v>
      </c>
      <c r="K90">
        <v>90</v>
      </c>
      <c r="L90">
        <v>843</v>
      </c>
      <c r="M90" s="20">
        <v>5618</v>
      </c>
      <c r="N90" s="20">
        <v>1510</v>
      </c>
      <c r="O90" s="20">
        <f t="shared" si="64"/>
        <v>949</v>
      </c>
      <c r="P90" s="20">
        <v>304</v>
      </c>
      <c r="Q90" s="20">
        <v>27</v>
      </c>
      <c r="R90" s="20">
        <v>230</v>
      </c>
      <c r="S90" s="20">
        <v>554</v>
      </c>
      <c r="T90" s="20">
        <v>62</v>
      </c>
      <c r="U90" s="20">
        <f t="shared" si="65"/>
        <v>3492</v>
      </c>
      <c r="V90">
        <v>1055</v>
      </c>
      <c r="W90">
        <v>62</v>
      </c>
      <c r="X90">
        <v>34</v>
      </c>
      <c r="Y90">
        <v>50</v>
      </c>
      <c r="Z90">
        <v>882</v>
      </c>
      <c r="AA90">
        <v>824</v>
      </c>
      <c r="AB90">
        <v>5.15</v>
      </c>
      <c r="AC90">
        <v>4</v>
      </c>
      <c r="AD90">
        <v>4</v>
      </c>
      <c r="AE90">
        <v>33</v>
      </c>
      <c r="AF90" s="27">
        <f t="shared" ca="1" si="60"/>
        <v>6160</v>
      </c>
      <c r="AG90" s="27">
        <f t="shared" ca="1" si="66"/>
        <v>1529</v>
      </c>
      <c r="AH90" s="27">
        <f t="shared" ca="1" si="67"/>
        <v>1068</v>
      </c>
      <c r="AI90" s="27">
        <f t="shared" ca="1" si="68"/>
        <v>274</v>
      </c>
      <c r="AJ90" s="27">
        <f t="shared" ca="1" si="69"/>
        <v>27</v>
      </c>
      <c r="AK90" s="27">
        <f t="shared" ca="1" si="70"/>
        <v>160</v>
      </c>
      <c r="AL90" s="27">
        <f t="shared" ca="1" si="71"/>
        <v>630</v>
      </c>
      <c r="AM90" s="27">
        <f t="shared" ca="1" si="72"/>
        <v>55</v>
      </c>
      <c r="AN90" s="27">
        <f t="shared" ca="1" si="73"/>
        <v>3946</v>
      </c>
      <c r="AO90">
        <v>4319</v>
      </c>
      <c r="AP90">
        <v>1528</v>
      </c>
      <c r="AQ90">
        <v>194</v>
      </c>
      <c r="AR90">
        <v>669</v>
      </c>
      <c r="AS90">
        <v>1030</v>
      </c>
      <c r="AT90">
        <v>99</v>
      </c>
      <c r="AU90">
        <v>152</v>
      </c>
      <c r="AV90">
        <v>0.98399999999999999</v>
      </c>
      <c r="AW90" s="1">
        <v>2011</v>
      </c>
      <c r="AX90" s="29" t="s">
        <v>134</v>
      </c>
      <c r="AY90" s="29">
        <f t="shared" si="74"/>
        <v>29700</v>
      </c>
      <c r="AZ90" s="31">
        <f t="shared" si="75"/>
        <v>165582</v>
      </c>
      <c r="BA90" s="31">
        <f t="shared" ref="BA90" si="97">SUMIF($B$2:$B$571,$B90,$O$2:$O$571)</f>
        <v>28592</v>
      </c>
      <c r="BB90" s="30">
        <f t="shared" si="77"/>
        <v>0.17267577393678057</v>
      </c>
    </row>
    <row r="91" spans="2:54" x14ac:dyDescent="0.5">
      <c r="B91" s="4">
        <v>2002</v>
      </c>
      <c r="C91" t="s">
        <v>96</v>
      </c>
      <c r="D91" t="s">
        <v>97</v>
      </c>
      <c r="E91">
        <v>3</v>
      </c>
      <c r="F91" t="s">
        <v>38</v>
      </c>
      <c r="G91" t="s">
        <v>38</v>
      </c>
      <c r="H91" t="s">
        <v>38</v>
      </c>
      <c r="I91" t="s">
        <v>38</v>
      </c>
      <c r="J91">
        <v>78</v>
      </c>
      <c r="K91">
        <v>84</v>
      </c>
      <c r="L91">
        <v>813</v>
      </c>
      <c r="M91" s="20">
        <v>5581</v>
      </c>
      <c r="N91" s="20">
        <v>1457</v>
      </c>
      <c r="O91" s="20">
        <f t="shared" si="64"/>
        <v>927</v>
      </c>
      <c r="P91" s="20">
        <v>305</v>
      </c>
      <c r="Q91" s="20">
        <v>38</v>
      </c>
      <c r="R91" s="20">
        <v>187</v>
      </c>
      <c r="S91" s="20">
        <v>522</v>
      </c>
      <c r="T91" s="20">
        <v>53</v>
      </c>
      <c r="U91" s="20">
        <f t="shared" si="65"/>
        <v>3549</v>
      </c>
      <c r="V91">
        <v>1142</v>
      </c>
      <c r="W91">
        <v>71</v>
      </c>
      <c r="X91">
        <v>18</v>
      </c>
      <c r="Y91">
        <v>57</v>
      </c>
      <c r="Z91">
        <v>828</v>
      </c>
      <c r="AA91">
        <v>767</v>
      </c>
      <c r="AB91">
        <v>4.8</v>
      </c>
      <c r="AC91">
        <v>6</v>
      </c>
      <c r="AD91">
        <v>6</v>
      </c>
      <c r="AE91">
        <v>41</v>
      </c>
      <c r="AF91" s="27">
        <f t="shared" ca="1" si="60"/>
        <v>6154</v>
      </c>
      <c r="AG91" s="27">
        <f t="shared" ca="1" si="66"/>
        <v>1670</v>
      </c>
      <c r="AH91" s="27">
        <f t="shared" ca="1" si="67"/>
        <v>1169</v>
      </c>
      <c r="AI91" s="27">
        <f t="shared" ca="1" si="68"/>
        <v>257</v>
      </c>
      <c r="AJ91" s="27">
        <f t="shared" ca="1" si="69"/>
        <v>27</v>
      </c>
      <c r="AK91" s="27">
        <f t="shared" ca="1" si="70"/>
        <v>217</v>
      </c>
      <c r="AL91" s="27">
        <f t="shared" ca="1" si="71"/>
        <v>624</v>
      </c>
      <c r="AM91" s="27">
        <f t="shared" ca="1" si="72"/>
        <v>61</v>
      </c>
      <c r="AN91" s="27">
        <f t="shared" ca="1" si="73"/>
        <v>3799</v>
      </c>
      <c r="AO91">
        <v>4315</v>
      </c>
      <c r="AP91">
        <v>1504</v>
      </c>
      <c r="AQ91">
        <v>177</v>
      </c>
      <c r="AR91">
        <v>590</v>
      </c>
      <c r="AS91">
        <v>991</v>
      </c>
      <c r="AT91">
        <v>107</v>
      </c>
      <c r="AU91">
        <v>159</v>
      </c>
      <c r="AV91">
        <v>0.98199999999999998</v>
      </c>
      <c r="AW91" s="1"/>
      <c r="AX91" s="29" t="s">
        <v>135</v>
      </c>
      <c r="AY91" s="29">
        <f t="shared" si="74"/>
        <v>29700</v>
      </c>
      <c r="AZ91" s="31">
        <f t="shared" si="75"/>
        <v>165582</v>
      </c>
      <c r="BA91" s="31">
        <f t="shared" ref="BA91" si="98">SUMIF($B$2:$B$571,$B91,$P$2:$P$571)</f>
        <v>8700</v>
      </c>
      <c r="BB91" s="30">
        <f t="shared" si="77"/>
        <v>5.2541942964815014E-2</v>
      </c>
    </row>
    <row r="92" spans="2:54" x14ac:dyDescent="0.5">
      <c r="B92" s="4">
        <v>2003</v>
      </c>
      <c r="C92" t="s">
        <v>36</v>
      </c>
      <c r="D92" t="s">
        <v>37</v>
      </c>
      <c r="E92">
        <v>3</v>
      </c>
      <c r="F92" t="s">
        <v>38</v>
      </c>
      <c r="G92" t="s">
        <v>38</v>
      </c>
      <c r="H92" t="s">
        <v>38</v>
      </c>
      <c r="I92" t="s">
        <v>38</v>
      </c>
      <c r="J92">
        <v>77</v>
      </c>
      <c r="K92">
        <v>85</v>
      </c>
      <c r="L92">
        <v>736</v>
      </c>
      <c r="M92" s="20">
        <v>5487</v>
      </c>
      <c r="N92" s="20">
        <v>1473</v>
      </c>
      <c r="O92" s="20">
        <f t="shared" si="64"/>
        <v>1014</v>
      </c>
      <c r="P92" s="20">
        <v>276</v>
      </c>
      <c r="Q92" s="20">
        <v>33</v>
      </c>
      <c r="R92" s="20">
        <v>150</v>
      </c>
      <c r="S92" s="20">
        <v>476</v>
      </c>
      <c r="T92" s="20">
        <v>56</v>
      </c>
      <c r="U92" s="20">
        <f t="shared" si="65"/>
        <v>3482</v>
      </c>
      <c r="V92">
        <v>838</v>
      </c>
      <c r="W92">
        <v>129</v>
      </c>
      <c r="X92">
        <v>61</v>
      </c>
      <c r="Y92">
        <v>50</v>
      </c>
      <c r="Z92">
        <v>743</v>
      </c>
      <c r="AA92">
        <v>680</v>
      </c>
      <c r="AB92">
        <v>4.28</v>
      </c>
      <c r="AC92">
        <v>5</v>
      </c>
      <c r="AD92">
        <v>9</v>
      </c>
      <c r="AE92">
        <v>39</v>
      </c>
      <c r="AF92" s="27">
        <f t="shared" ca="1" si="60"/>
        <v>6113</v>
      </c>
      <c r="AG92" s="27">
        <f t="shared" ca="1" si="66"/>
        <v>1600</v>
      </c>
      <c r="AH92" s="27">
        <f t="shared" ca="1" si="67"/>
        <v>1067</v>
      </c>
      <c r="AI92" s="27">
        <f t="shared" ca="1" si="68"/>
        <v>328</v>
      </c>
      <c r="AJ92" s="27">
        <f t="shared" ca="1" si="69"/>
        <v>27</v>
      </c>
      <c r="AK92" s="27">
        <f t="shared" ca="1" si="70"/>
        <v>178</v>
      </c>
      <c r="AL92" s="27">
        <f t="shared" ca="1" si="71"/>
        <v>417</v>
      </c>
      <c r="AM92" s="27">
        <f t="shared" ca="1" si="72"/>
        <v>49</v>
      </c>
      <c r="AN92" s="27">
        <f t="shared" ca="1" si="73"/>
        <v>4047</v>
      </c>
      <c r="AO92">
        <v>4294</v>
      </c>
      <c r="AP92">
        <v>1444</v>
      </c>
      <c r="AQ92">
        <v>190</v>
      </c>
      <c r="AR92">
        <v>486</v>
      </c>
      <c r="AS92">
        <v>980</v>
      </c>
      <c r="AT92">
        <v>105</v>
      </c>
      <c r="AU92">
        <v>138</v>
      </c>
      <c r="AV92">
        <v>0.98199999999999998</v>
      </c>
      <c r="AW92" s="1"/>
      <c r="AX92" s="29" t="s">
        <v>136</v>
      </c>
      <c r="AY92" s="29">
        <f t="shared" si="74"/>
        <v>29700</v>
      </c>
      <c r="AZ92" s="31">
        <f t="shared" si="75"/>
        <v>166737</v>
      </c>
      <c r="BA92" s="31">
        <f t="shared" ref="BA92" si="99">SUMIF($B$2:$B$571,$B92,$Q$2:$Q$571)</f>
        <v>934</v>
      </c>
      <c r="BB92" s="30">
        <f t="shared" si="77"/>
        <v>5.6016361095617652E-3</v>
      </c>
    </row>
    <row r="93" spans="2:54" x14ac:dyDescent="0.5">
      <c r="B93" s="4">
        <v>2003</v>
      </c>
      <c r="C93" t="s">
        <v>39</v>
      </c>
      <c r="D93" t="s">
        <v>40</v>
      </c>
      <c r="E93">
        <v>3</v>
      </c>
      <c r="F93" t="s">
        <v>38</v>
      </c>
      <c r="G93" t="s">
        <v>38</v>
      </c>
      <c r="H93" t="s">
        <v>38</v>
      </c>
      <c r="I93" t="s">
        <v>38</v>
      </c>
      <c r="J93">
        <v>84</v>
      </c>
      <c r="K93">
        <v>78</v>
      </c>
      <c r="L93">
        <v>717</v>
      </c>
      <c r="M93" s="20">
        <v>5570</v>
      </c>
      <c r="N93" s="20">
        <v>1467</v>
      </c>
      <c r="O93" s="20">
        <f t="shared" si="64"/>
        <v>965</v>
      </c>
      <c r="P93" s="20">
        <v>303</v>
      </c>
      <c r="Q93" s="20">
        <v>47</v>
      </c>
      <c r="R93" s="20">
        <v>152</v>
      </c>
      <c r="S93" s="20">
        <v>531</v>
      </c>
      <c r="T93" s="20">
        <v>45</v>
      </c>
      <c r="U93" s="20">
        <f t="shared" si="65"/>
        <v>3527</v>
      </c>
      <c r="V93">
        <v>1006</v>
      </c>
      <c r="W93">
        <v>76</v>
      </c>
      <c r="X93">
        <v>38</v>
      </c>
      <c r="Y93">
        <v>52</v>
      </c>
      <c r="Z93">
        <v>685</v>
      </c>
      <c r="AA93">
        <v>621</v>
      </c>
      <c r="AB93">
        <v>3.84</v>
      </c>
      <c r="AC93">
        <v>7</v>
      </c>
      <c r="AD93">
        <v>11</v>
      </c>
      <c r="AE93">
        <v>42</v>
      </c>
      <c r="AF93" s="27">
        <f t="shared" ca="1" si="60"/>
        <v>6104</v>
      </c>
      <c r="AG93" s="27">
        <f t="shared" ca="1" si="66"/>
        <v>1552</v>
      </c>
      <c r="AH93" s="27">
        <f t="shared" ca="1" si="67"/>
        <v>1080</v>
      </c>
      <c r="AI93" s="27">
        <f t="shared" ca="1" si="68"/>
        <v>239</v>
      </c>
      <c r="AJ93" s="27">
        <f t="shared" ca="1" si="69"/>
        <v>44</v>
      </c>
      <c r="AK93" s="27">
        <f t="shared" ca="1" si="70"/>
        <v>189</v>
      </c>
      <c r="AL93" s="27">
        <f t="shared" ca="1" si="71"/>
        <v>619</v>
      </c>
      <c r="AM93" s="27">
        <f t="shared" ca="1" si="72"/>
        <v>82</v>
      </c>
      <c r="AN93" s="27">
        <f t="shared" ca="1" si="73"/>
        <v>3851</v>
      </c>
      <c r="AO93">
        <v>4365</v>
      </c>
      <c r="AP93">
        <v>1379</v>
      </c>
      <c r="AQ93">
        <v>150</v>
      </c>
      <c r="AR93">
        <v>526</v>
      </c>
      <c r="AS93">
        <v>1291</v>
      </c>
      <c r="AT93">
        <v>107</v>
      </c>
      <c r="AU93">
        <v>132</v>
      </c>
      <c r="AV93">
        <v>0.98299999999999998</v>
      </c>
      <c r="AW93" s="1"/>
      <c r="AX93" s="29" t="s">
        <v>137</v>
      </c>
      <c r="AY93" s="29">
        <f t="shared" si="74"/>
        <v>29700</v>
      </c>
      <c r="AZ93" s="31">
        <f t="shared" si="75"/>
        <v>166737</v>
      </c>
      <c r="BA93" s="31">
        <f t="shared" ref="BA93" si="100">SUMIF($B$2:$B$571,$B93,$R$2:$R$571)</f>
        <v>5207</v>
      </c>
      <c r="BB93" s="30">
        <f t="shared" si="77"/>
        <v>3.1228821437353439E-2</v>
      </c>
    </row>
    <row r="94" spans="2:54" x14ac:dyDescent="0.5">
      <c r="B94" s="4">
        <v>2003</v>
      </c>
      <c r="C94" t="s">
        <v>41</v>
      </c>
      <c r="D94" t="s">
        <v>42</v>
      </c>
      <c r="E94">
        <v>1</v>
      </c>
      <c r="F94" t="s">
        <v>43</v>
      </c>
      <c r="G94" t="s">
        <v>38</v>
      </c>
      <c r="H94" t="s">
        <v>38</v>
      </c>
      <c r="I94" t="s">
        <v>38</v>
      </c>
      <c r="J94">
        <v>101</v>
      </c>
      <c r="K94">
        <v>61</v>
      </c>
      <c r="L94">
        <v>907</v>
      </c>
      <c r="M94" s="20">
        <v>5670</v>
      </c>
      <c r="N94" s="20">
        <v>1608</v>
      </c>
      <c r="O94" s="20">
        <f t="shared" si="64"/>
        <v>1021</v>
      </c>
      <c r="P94" s="20">
        <v>321</v>
      </c>
      <c r="Q94" s="20">
        <v>31</v>
      </c>
      <c r="R94" s="20">
        <v>235</v>
      </c>
      <c r="S94" s="20">
        <v>545</v>
      </c>
      <c r="T94" s="20">
        <v>49</v>
      </c>
      <c r="U94" s="20">
        <f t="shared" si="65"/>
        <v>3468</v>
      </c>
      <c r="V94">
        <v>933</v>
      </c>
      <c r="W94">
        <v>68</v>
      </c>
      <c r="X94">
        <v>22</v>
      </c>
      <c r="Y94">
        <v>49</v>
      </c>
      <c r="Z94">
        <v>740</v>
      </c>
      <c r="AA94">
        <v>663</v>
      </c>
      <c r="AB94">
        <v>4.0999999999999996</v>
      </c>
      <c r="AC94">
        <v>4</v>
      </c>
      <c r="AD94">
        <v>7</v>
      </c>
      <c r="AE94">
        <v>51</v>
      </c>
      <c r="AF94" s="27">
        <f t="shared" ca="1" si="60"/>
        <v>6265</v>
      </c>
      <c r="AG94" s="27">
        <f t="shared" ca="1" si="66"/>
        <v>1530</v>
      </c>
      <c r="AH94" s="27">
        <f t="shared" ca="1" si="67"/>
        <v>1068</v>
      </c>
      <c r="AI94" s="27">
        <f t="shared" ca="1" si="68"/>
        <v>245</v>
      </c>
      <c r="AJ94" s="27">
        <f t="shared" ca="1" si="69"/>
        <v>41</v>
      </c>
      <c r="AK94" s="27">
        <f t="shared" ca="1" si="70"/>
        <v>176</v>
      </c>
      <c r="AL94" s="27">
        <f t="shared" ca="1" si="71"/>
        <v>628</v>
      </c>
      <c r="AM94" s="27">
        <f t="shared" ca="1" si="72"/>
        <v>70</v>
      </c>
      <c r="AN94" s="27">
        <f t="shared" ca="1" si="73"/>
        <v>4037</v>
      </c>
      <c r="AO94">
        <v>4369</v>
      </c>
      <c r="AP94">
        <v>1425</v>
      </c>
      <c r="AQ94">
        <v>147</v>
      </c>
      <c r="AR94">
        <v>555</v>
      </c>
      <c r="AS94">
        <v>992</v>
      </c>
      <c r="AT94">
        <v>121</v>
      </c>
      <c r="AU94">
        <v>166</v>
      </c>
      <c r="AV94">
        <v>0.98099999999999998</v>
      </c>
      <c r="AW94" s="1"/>
      <c r="AX94" s="29" t="s">
        <v>138</v>
      </c>
      <c r="AY94" s="29">
        <f t="shared" si="74"/>
        <v>29700</v>
      </c>
      <c r="AZ94" s="31">
        <f t="shared" si="75"/>
        <v>166737</v>
      </c>
      <c r="BA94" s="31">
        <f t="shared" ref="BA94" si="101">SUMIF($B$2:$B$571,$B94,$S$2:$S$571)</f>
        <v>15889</v>
      </c>
      <c r="BB94" s="30">
        <f t="shared" si="77"/>
        <v>9.5293786022298585E-2</v>
      </c>
    </row>
    <row r="95" spans="2:54" x14ac:dyDescent="0.5">
      <c r="B95" s="4">
        <v>2003</v>
      </c>
      <c r="C95" t="s">
        <v>44</v>
      </c>
      <c r="D95" t="s">
        <v>45</v>
      </c>
      <c r="E95">
        <v>4</v>
      </c>
      <c r="F95" t="s">
        <v>38</v>
      </c>
      <c r="G95" t="s">
        <v>38</v>
      </c>
      <c r="H95" t="s">
        <v>38</v>
      </c>
      <c r="I95" t="s">
        <v>38</v>
      </c>
      <c r="J95">
        <v>71</v>
      </c>
      <c r="K95">
        <v>91</v>
      </c>
      <c r="L95">
        <v>743</v>
      </c>
      <c r="M95" s="20">
        <v>5665</v>
      </c>
      <c r="N95" s="20">
        <v>1516</v>
      </c>
      <c r="O95" s="20">
        <f t="shared" si="64"/>
        <v>1063</v>
      </c>
      <c r="P95" s="20">
        <v>277</v>
      </c>
      <c r="Q95" s="20">
        <v>24</v>
      </c>
      <c r="R95" s="20">
        <v>152</v>
      </c>
      <c r="S95" s="20">
        <v>431</v>
      </c>
      <c r="T95" s="20">
        <v>54</v>
      </c>
      <c r="U95" s="20">
        <f t="shared" si="65"/>
        <v>3664</v>
      </c>
      <c r="V95">
        <v>902</v>
      </c>
      <c r="W95">
        <v>89</v>
      </c>
      <c r="X95">
        <v>36</v>
      </c>
      <c r="Y95">
        <v>40</v>
      </c>
      <c r="Z95">
        <v>820</v>
      </c>
      <c r="AA95">
        <v>767</v>
      </c>
      <c r="AB95">
        <v>4.76</v>
      </c>
      <c r="AC95">
        <v>9</v>
      </c>
      <c r="AD95">
        <v>3</v>
      </c>
      <c r="AE95">
        <v>41</v>
      </c>
      <c r="AF95" s="27">
        <f t="shared" ca="1" si="60"/>
        <v>6236</v>
      </c>
      <c r="AG95" s="27">
        <f t="shared" ca="1" si="66"/>
        <v>1645</v>
      </c>
      <c r="AH95" s="27">
        <f t="shared" ca="1" si="67"/>
        <v>1051</v>
      </c>
      <c r="AI95" s="27">
        <f t="shared" ca="1" si="68"/>
        <v>326</v>
      </c>
      <c r="AJ95" s="27">
        <f t="shared" ca="1" si="69"/>
        <v>36</v>
      </c>
      <c r="AK95" s="27">
        <f t="shared" ca="1" si="70"/>
        <v>232</v>
      </c>
      <c r="AL95" s="27">
        <f t="shared" ca="1" si="71"/>
        <v>516</v>
      </c>
      <c r="AM95" s="27">
        <f t="shared" ca="1" si="72"/>
        <v>87</v>
      </c>
      <c r="AN95" s="27">
        <f t="shared" ca="1" si="73"/>
        <v>3988</v>
      </c>
      <c r="AO95">
        <v>4349</v>
      </c>
      <c r="AP95">
        <v>1579</v>
      </c>
      <c r="AQ95">
        <v>198</v>
      </c>
      <c r="AR95">
        <v>526</v>
      </c>
      <c r="AS95">
        <v>981</v>
      </c>
      <c r="AT95">
        <v>105</v>
      </c>
      <c r="AU95">
        <v>164</v>
      </c>
      <c r="AV95">
        <v>0.98299999999999998</v>
      </c>
      <c r="AW95" s="1"/>
      <c r="AX95" s="29" t="s">
        <v>139</v>
      </c>
      <c r="AY95" s="29">
        <f t="shared" si="74"/>
        <v>29700</v>
      </c>
      <c r="AZ95" s="31">
        <f t="shared" si="75"/>
        <v>166737</v>
      </c>
      <c r="BA95" s="31">
        <f t="shared" ref="BA95" si="102">SUMIF($B$2:$B$571,$B95,$T$2:$T$571)</f>
        <v>1849</v>
      </c>
      <c r="BB95" s="30">
        <f t="shared" si="77"/>
        <v>1.1089320306830517E-2</v>
      </c>
    </row>
    <row r="96" spans="2:54" x14ac:dyDescent="0.5">
      <c r="B96" s="4">
        <v>2003</v>
      </c>
      <c r="C96" t="s">
        <v>46</v>
      </c>
      <c r="D96" t="s">
        <v>47</v>
      </c>
      <c r="E96">
        <v>2</v>
      </c>
      <c r="F96" t="s">
        <v>38</v>
      </c>
      <c r="G96" t="s">
        <v>43</v>
      </c>
      <c r="H96" t="s">
        <v>38</v>
      </c>
      <c r="I96" t="s">
        <v>38</v>
      </c>
      <c r="J96">
        <v>95</v>
      </c>
      <c r="K96">
        <v>67</v>
      </c>
      <c r="L96">
        <v>961</v>
      </c>
      <c r="M96" s="20">
        <v>5769</v>
      </c>
      <c r="N96" s="20">
        <v>1667</v>
      </c>
      <c r="O96" s="20">
        <f t="shared" si="64"/>
        <v>1018</v>
      </c>
      <c r="P96" s="20">
        <v>371</v>
      </c>
      <c r="Q96" s="20">
        <v>40</v>
      </c>
      <c r="R96" s="20">
        <v>238</v>
      </c>
      <c r="S96" s="20">
        <v>620</v>
      </c>
      <c r="T96" s="20">
        <v>53</v>
      </c>
      <c r="U96" s="20">
        <f t="shared" si="65"/>
        <v>3429</v>
      </c>
      <c r="V96">
        <v>943</v>
      </c>
      <c r="W96">
        <v>88</v>
      </c>
      <c r="X96">
        <v>35</v>
      </c>
      <c r="Y96">
        <v>64</v>
      </c>
      <c r="Z96">
        <v>809</v>
      </c>
      <c r="AA96">
        <v>729</v>
      </c>
      <c r="AB96">
        <v>4.4800000000000004</v>
      </c>
      <c r="AC96">
        <v>5</v>
      </c>
      <c r="AD96">
        <v>6</v>
      </c>
      <c r="AE96">
        <v>36</v>
      </c>
      <c r="AF96" s="27">
        <f t="shared" ca="1" si="60"/>
        <v>6053</v>
      </c>
      <c r="AG96" s="27">
        <f t="shared" ca="1" si="66"/>
        <v>1515</v>
      </c>
      <c r="AH96" s="27">
        <f t="shared" ca="1" si="67"/>
        <v>1030</v>
      </c>
      <c r="AI96" s="27">
        <f t="shared" ca="1" si="68"/>
        <v>310</v>
      </c>
      <c r="AJ96" s="27">
        <f t="shared" ca="1" si="69"/>
        <v>24</v>
      </c>
      <c r="AK96" s="27">
        <f t="shared" ca="1" si="70"/>
        <v>151</v>
      </c>
      <c r="AL96" s="27">
        <f t="shared" ca="1" si="71"/>
        <v>536</v>
      </c>
      <c r="AM96" s="27">
        <f t="shared" ca="1" si="72"/>
        <v>35</v>
      </c>
      <c r="AN96" s="27">
        <f t="shared" ca="1" si="73"/>
        <v>3967</v>
      </c>
      <c r="AO96">
        <v>4394</v>
      </c>
      <c r="AP96">
        <v>1503</v>
      </c>
      <c r="AQ96">
        <v>153</v>
      </c>
      <c r="AR96">
        <v>488</v>
      </c>
      <c r="AS96">
        <v>1141</v>
      </c>
      <c r="AT96">
        <v>113</v>
      </c>
      <c r="AU96">
        <v>130</v>
      </c>
      <c r="AV96">
        <v>0.98199999999999998</v>
      </c>
      <c r="AW96" s="1"/>
      <c r="AX96" s="29" t="s">
        <v>140</v>
      </c>
      <c r="AY96" s="29">
        <f t="shared" si="74"/>
        <v>29700</v>
      </c>
      <c r="AZ96" s="31">
        <f t="shared" si="75"/>
        <v>166737</v>
      </c>
      <c r="BA96" s="31">
        <f t="shared" ref="BA96" si="103">SUMIF($B$2:$B$571,$B96,$U$2:$U$571)</f>
        <v>104942</v>
      </c>
      <c r="BB96" s="30">
        <f t="shared" si="77"/>
        <v>0.62938639893964743</v>
      </c>
    </row>
    <row r="97" spans="2:54" x14ac:dyDescent="0.5">
      <c r="B97" s="4">
        <v>2003</v>
      </c>
      <c r="C97" t="s">
        <v>48</v>
      </c>
      <c r="D97" t="s">
        <v>49</v>
      </c>
      <c r="E97">
        <v>2</v>
      </c>
      <c r="F97" t="s">
        <v>38</v>
      </c>
      <c r="G97" t="s">
        <v>38</v>
      </c>
      <c r="H97" t="s">
        <v>38</v>
      </c>
      <c r="I97" t="s">
        <v>38</v>
      </c>
      <c r="J97">
        <v>86</v>
      </c>
      <c r="K97">
        <v>76</v>
      </c>
      <c r="L97">
        <v>791</v>
      </c>
      <c r="M97" s="20">
        <v>5487</v>
      </c>
      <c r="N97" s="20">
        <v>1445</v>
      </c>
      <c r="O97" s="20">
        <f t="shared" si="64"/>
        <v>903</v>
      </c>
      <c r="P97" s="20">
        <v>303</v>
      </c>
      <c r="Q97" s="20">
        <v>19</v>
      </c>
      <c r="R97" s="20">
        <v>220</v>
      </c>
      <c r="S97" s="20">
        <v>519</v>
      </c>
      <c r="T97" s="20">
        <v>58</v>
      </c>
      <c r="U97" s="20">
        <f t="shared" si="65"/>
        <v>3465</v>
      </c>
      <c r="V97">
        <v>916</v>
      </c>
      <c r="W97">
        <v>77</v>
      </c>
      <c r="X97">
        <v>29</v>
      </c>
      <c r="Y97">
        <v>41</v>
      </c>
      <c r="Z97">
        <v>715</v>
      </c>
      <c r="AA97">
        <v>663</v>
      </c>
      <c r="AB97">
        <v>4.17</v>
      </c>
      <c r="AC97">
        <v>12</v>
      </c>
      <c r="AD97">
        <v>4</v>
      </c>
      <c r="AE97">
        <v>36</v>
      </c>
      <c r="AF97" s="27">
        <f t="shared" ca="1" si="60"/>
        <v>6228</v>
      </c>
      <c r="AG97" s="27">
        <f t="shared" ca="1" si="66"/>
        <v>1694</v>
      </c>
      <c r="AH97" s="27">
        <f t="shared" ca="1" si="67"/>
        <v>1203</v>
      </c>
      <c r="AI97" s="27">
        <f t="shared" ca="1" si="68"/>
        <v>293</v>
      </c>
      <c r="AJ97" s="27">
        <f t="shared" ca="1" si="69"/>
        <v>32</v>
      </c>
      <c r="AK97" s="27">
        <f t="shared" ca="1" si="70"/>
        <v>166</v>
      </c>
      <c r="AL97" s="27">
        <f t="shared" ca="1" si="71"/>
        <v>619</v>
      </c>
      <c r="AM97" s="27">
        <f t="shared" ca="1" si="72"/>
        <v>37</v>
      </c>
      <c r="AN97" s="27">
        <f t="shared" ca="1" si="73"/>
        <v>3878</v>
      </c>
      <c r="AO97">
        <v>4293</v>
      </c>
      <c r="AP97">
        <v>1364</v>
      </c>
      <c r="AQ97">
        <v>162</v>
      </c>
      <c r="AR97">
        <v>518</v>
      </c>
      <c r="AS97">
        <v>1056</v>
      </c>
      <c r="AT97">
        <v>93</v>
      </c>
      <c r="AU97">
        <v>154</v>
      </c>
      <c r="AV97">
        <v>0.98399999999999999</v>
      </c>
      <c r="AW97" s="1"/>
      <c r="AX97" s="29" t="s">
        <v>141</v>
      </c>
      <c r="AY97" s="29">
        <f t="shared" si="74"/>
        <v>29700</v>
      </c>
      <c r="AZ97" s="31">
        <f t="shared" si="75"/>
        <v>166737</v>
      </c>
      <c r="BA97" s="31"/>
      <c r="BB97" s="30">
        <f t="shared" si="77"/>
        <v>0</v>
      </c>
    </row>
    <row r="98" spans="2:54" x14ac:dyDescent="0.5">
      <c r="B98" s="4">
        <v>2003</v>
      </c>
      <c r="C98" t="s">
        <v>50</v>
      </c>
      <c r="D98" t="s">
        <v>51</v>
      </c>
      <c r="E98">
        <v>1</v>
      </c>
      <c r="F98" t="s">
        <v>43</v>
      </c>
      <c r="G98" t="s">
        <v>38</v>
      </c>
      <c r="H98" t="s">
        <v>38</v>
      </c>
      <c r="I98" t="s">
        <v>38</v>
      </c>
      <c r="J98">
        <v>88</v>
      </c>
      <c r="K98">
        <v>74</v>
      </c>
      <c r="L98">
        <v>724</v>
      </c>
      <c r="M98" s="20">
        <v>5519</v>
      </c>
      <c r="N98" s="20">
        <v>1431</v>
      </c>
      <c r="O98" s="20">
        <f t="shared" si="64"/>
        <v>933</v>
      </c>
      <c r="P98" s="20">
        <v>302</v>
      </c>
      <c r="Q98" s="20">
        <v>24</v>
      </c>
      <c r="R98" s="20">
        <v>172</v>
      </c>
      <c r="S98" s="20">
        <v>492</v>
      </c>
      <c r="T98" s="20">
        <v>50</v>
      </c>
      <c r="U98" s="20">
        <f t="shared" si="65"/>
        <v>3546</v>
      </c>
      <c r="V98">
        <v>1158</v>
      </c>
      <c r="W98">
        <v>73</v>
      </c>
      <c r="X98">
        <v>31</v>
      </c>
      <c r="Y98">
        <v>46</v>
      </c>
      <c r="Z98">
        <v>683</v>
      </c>
      <c r="AA98">
        <v>619</v>
      </c>
      <c r="AB98">
        <v>3.83</v>
      </c>
      <c r="AC98">
        <v>13</v>
      </c>
      <c r="AD98">
        <v>14</v>
      </c>
      <c r="AE98">
        <v>36</v>
      </c>
      <c r="AF98" s="27">
        <f t="shared" ca="1" si="60"/>
        <v>6436</v>
      </c>
      <c r="AG98" s="27">
        <f t="shared" ca="1" si="66"/>
        <v>1674</v>
      </c>
      <c r="AH98" s="27">
        <f t="shared" ca="1" si="67"/>
        <v>1182</v>
      </c>
      <c r="AI98" s="27">
        <f t="shared" ca="1" si="68"/>
        <v>279</v>
      </c>
      <c r="AJ98" s="27">
        <f t="shared" ca="1" si="69"/>
        <v>29</v>
      </c>
      <c r="AK98" s="27">
        <f t="shared" ca="1" si="70"/>
        <v>184</v>
      </c>
      <c r="AL98" s="27">
        <f t="shared" ca="1" si="71"/>
        <v>598</v>
      </c>
      <c r="AM98" s="27">
        <f t="shared" ca="1" si="72"/>
        <v>36</v>
      </c>
      <c r="AN98" s="27">
        <f t="shared" ca="1" si="73"/>
        <v>4128</v>
      </c>
      <c r="AO98">
        <v>4369</v>
      </c>
      <c r="AP98">
        <v>1304</v>
      </c>
      <c r="AQ98">
        <v>143</v>
      </c>
      <c r="AR98">
        <v>617</v>
      </c>
      <c r="AS98">
        <v>1404</v>
      </c>
      <c r="AT98">
        <v>106</v>
      </c>
      <c r="AU98">
        <v>157</v>
      </c>
      <c r="AV98">
        <v>0.98299999999999998</v>
      </c>
      <c r="AW98" s="1">
        <v>2012</v>
      </c>
      <c r="AX98" s="29" t="s">
        <v>134</v>
      </c>
      <c r="AY98" s="29">
        <f t="shared" si="74"/>
        <v>29700</v>
      </c>
      <c r="AZ98" s="31">
        <f t="shared" si="75"/>
        <v>166737</v>
      </c>
      <c r="BA98" s="31">
        <f t="shared" ref="BA98" si="104">SUMIF($B$2:$B$571,$B98,$O$2:$O$571)</f>
        <v>29089</v>
      </c>
      <c r="BB98" s="30">
        <f t="shared" si="77"/>
        <v>0.17446037772060191</v>
      </c>
    </row>
    <row r="99" spans="2:54" x14ac:dyDescent="0.5">
      <c r="B99" s="4">
        <v>2003</v>
      </c>
      <c r="C99" t="s">
        <v>52</v>
      </c>
      <c r="D99" t="s">
        <v>53</v>
      </c>
      <c r="E99">
        <v>5</v>
      </c>
      <c r="F99" t="s">
        <v>38</v>
      </c>
      <c r="G99" t="s">
        <v>38</v>
      </c>
      <c r="H99" t="s">
        <v>38</v>
      </c>
      <c r="I99" t="s">
        <v>38</v>
      </c>
      <c r="J99">
        <v>69</v>
      </c>
      <c r="K99">
        <v>93</v>
      </c>
      <c r="L99">
        <v>694</v>
      </c>
      <c r="M99" s="20">
        <v>5509</v>
      </c>
      <c r="N99" s="20">
        <v>1349</v>
      </c>
      <c r="O99" s="20">
        <f t="shared" si="64"/>
        <v>907</v>
      </c>
      <c r="P99" s="20">
        <v>239</v>
      </c>
      <c r="Q99" s="20">
        <v>21</v>
      </c>
      <c r="R99" s="20">
        <v>182</v>
      </c>
      <c r="S99" s="20">
        <v>524</v>
      </c>
      <c r="T99" s="20">
        <v>79</v>
      </c>
      <c r="U99" s="20">
        <f t="shared" si="65"/>
        <v>3557</v>
      </c>
      <c r="V99">
        <v>1326</v>
      </c>
      <c r="W99">
        <v>80</v>
      </c>
      <c r="X99">
        <v>34</v>
      </c>
      <c r="Y99">
        <v>32</v>
      </c>
      <c r="Z99">
        <v>886</v>
      </c>
      <c r="AA99">
        <v>818</v>
      </c>
      <c r="AB99">
        <v>5.09</v>
      </c>
      <c r="AC99">
        <v>4</v>
      </c>
      <c r="AD99">
        <v>5</v>
      </c>
      <c r="AE99">
        <v>38</v>
      </c>
      <c r="AF99" s="27">
        <f t="shared" ca="1" si="60"/>
        <v>6298</v>
      </c>
      <c r="AG99" s="27">
        <f t="shared" ca="1" si="66"/>
        <v>1461</v>
      </c>
      <c r="AH99" s="27">
        <f t="shared" ca="1" si="67"/>
        <v>912</v>
      </c>
      <c r="AI99" s="27">
        <f t="shared" ca="1" si="68"/>
        <v>390</v>
      </c>
      <c r="AJ99" s="27">
        <f t="shared" ca="1" si="69"/>
        <v>27</v>
      </c>
      <c r="AK99" s="27">
        <f t="shared" ca="1" si="70"/>
        <v>132</v>
      </c>
      <c r="AL99" s="27">
        <f t="shared" ca="1" si="71"/>
        <v>547</v>
      </c>
      <c r="AM99" s="27">
        <f t="shared" ca="1" si="72"/>
        <v>44</v>
      </c>
      <c r="AN99" s="27">
        <f t="shared" ca="1" si="73"/>
        <v>4246</v>
      </c>
      <c r="AO99">
        <v>4339</v>
      </c>
      <c r="AP99">
        <v>1578</v>
      </c>
      <c r="AQ99">
        <v>209</v>
      </c>
      <c r="AR99">
        <v>590</v>
      </c>
      <c r="AS99">
        <v>932</v>
      </c>
      <c r="AT99">
        <v>141</v>
      </c>
      <c r="AU99">
        <v>152</v>
      </c>
      <c r="AV99">
        <v>0.97699999999999998</v>
      </c>
      <c r="AW99" s="1"/>
      <c r="AX99" s="29" t="s">
        <v>135</v>
      </c>
      <c r="AY99" s="29">
        <f t="shared" si="74"/>
        <v>29700</v>
      </c>
      <c r="AZ99" s="31">
        <f t="shared" si="75"/>
        <v>166737</v>
      </c>
      <c r="BA99" s="31">
        <f t="shared" ref="BA99" si="105">SUMIF($B$2:$B$571,$B99,$P$2:$P$571)</f>
        <v>8827</v>
      </c>
      <c r="BB99" s="30">
        <f t="shared" si="77"/>
        <v>5.2939659463706316E-2</v>
      </c>
    </row>
    <row r="100" spans="2:54" x14ac:dyDescent="0.5">
      <c r="B100" s="4">
        <v>2003</v>
      </c>
      <c r="C100" t="s">
        <v>54</v>
      </c>
      <c r="D100" t="s">
        <v>55</v>
      </c>
      <c r="E100">
        <v>4</v>
      </c>
      <c r="F100" t="s">
        <v>38</v>
      </c>
      <c r="G100" t="s">
        <v>38</v>
      </c>
      <c r="H100" t="s">
        <v>38</v>
      </c>
      <c r="I100" t="s">
        <v>38</v>
      </c>
      <c r="J100">
        <v>68</v>
      </c>
      <c r="K100">
        <v>94</v>
      </c>
      <c r="L100">
        <v>699</v>
      </c>
      <c r="M100" s="20">
        <v>5572</v>
      </c>
      <c r="N100" s="20">
        <v>1413</v>
      </c>
      <c r="O100" s="20">
        <f t="shared" si="64"/>
        <v>933</v>
      </c>
      <c r="P100" s="20">
        <v>296</v>
      </c>
      <c r="Q100" s="20">
        <v>26</v>
      </c>
      <c r="R100" s="20">
        <v>158</v>
      </c>
      <c r="S100" s="20">
        <v>466</v>
      </c>
      <c r="T100" s="20">
        <v>62</v>
      </c>
      <c r="U100" s="20">
        <f t="shared" si="65"/>
        <v>3631</v>
      </c>
      <c r="V100">
        <v>1062</v>
      </c>
      <c r="W100">
        <v>86</v>
      </c>
      <c r="X100">
        <v>61</v>
      </c>
      <c r="Y100">
        <v>41</v>
      </c>
      <c r="Z100">
        <v>778</v>
      </c>
      <c r="AA100">
        <v>682</v>
      </c>
      <c r="AB100">
        <v>4.21</v>
      </c>
      <c r="AC100">
        <v>5</v>
      </c>
      <c r="AD100">
        <v>7</v>
      </c>
      <c r="AE100">
        <v>34</v>
      </c>
      <c r="AF100" s="27">
        <f t="shared" ca="1" si="60"/>
        <v>6091</v>
      </c>
      <c r="AG100" s="27">
        <f t="shared" ca="1" si="66"/>
        <v>1582</v>
      </c>
      <c r="AH100" s="27">
        <f t="shared" ca="1" si="67"/>
        <v>963</v>
      </c>
      <c r="AI100" s="27">
        <f t="shared" ca="1" si="68"/>
        <v>372</v>
      </c>
      <c r="AJ100" s="27">
        <f t="shared" ca="1" si="69"/>
        <v>31</v>
      </c>
      <c r="AK100" s="27">
        <f t="shared" ca="1" si="70"/>
        <v>216</v>
      </c>
      <c r="AL100" s="27">
        <f t="shared" ca="1" si="71"/>
        <v>640</v>
      </c>
      <c r="AM100" s="27">
        <f t="shared" ca="1" si="72"/>
        <v>63</v>
      </c>
      <c r="AN100" s="27">
        <f t="shared" ca="1" si="73"/>
        <v>3806</v>
      </c>
      <c r="AO100">
        <v>4378</v>
      </c>
      <c r="AP100">
        <v>1477</v>
      </c>
      <c r="AQ100">
        <v>179</v>
      </c>
      <c r="AR100">
        <v>501</v>
      </c>
      <c r="AS100">
        <v>943</v>
      </c>
      <c r="AT100">
        <v>126</v>
      </c>
      <c r="AU100">
        <v>178</v>
      </c>
      <c r="AV100">
        <v>0.98</v>
      </c>
      <c r="AW100" s="1"/>
      <c r="AX100" s="29" t="s">
        <v>136</v>
      </c>
      <c r="AY100" s="29">
        <f t="shared" si="74"/>
        <v>29700</v>
      </c>
      <c r="AZ100" s="31">
        <f t="shared" si="75"/>
        <v>166737</v>
      </c>
      <c r="BA100" s="31">
        <f t="shared" ref="BA100" si="106">SUMIF($B$2:$B$571,$B100,$Q$2:$Q$571)</f>
        <v>934</v>
      </c>
      <c r="BB100" s="30">
        <f t="shared" si="77"/>
        <v>5.6016361095617652E-3</v>
      </c>
    </row>
    <row r="101" spans="2:54" x14ac:dyDescent="0.5">
      <c r="B101" s="4">
        <v>2003</v>
      </c>
      <c r="C101" t="s">
        <v>56</v>
      </c>
      <c r="D101" t="s">
        <v>57</v>
      </c>
      <c r="E101">
        <v>4</v>
      </c>
      <c r="F101" t="s">
        <v>38</v>
      </c>
      <c r="G101" t="s">
        <v>38</v>
      </c>
      <c r="H101" t="s">
        <v>38</v>
      </c>
      <c r="I101" t="s">
        <v>38</v>
      </c>
      <c r="J101">
        <v>74</v>
      </c>
      <c r="K101">
        <v>88</v>
      </c>
      <c r="L101">
        <v>853</v>
      </c>
      <c r="M101" s="20">
        <v>5518</v>
      </c>
      <c r="N101" s="20">
        <v>1472</v>
      </c>
      <c r="O101" s="20">
        <f t="shared" si="64"/>
        <v>913</v>
      </c>
      <c r="P101" s="20">
        <v>330</v>
      </c>
      <c r="Q101" s="20">
        <v>31</v>
      </c>
      <c r="R101" s="20">
        <v>198</v>
      </c>
      <c r="S101" s="20">
        <v>619</v>
      </c>
      <c r="T101" s="20">
        <v>52</v>
      </c>
      <c r="U101" s="20">
        <f t="shared" si="65"/>
        <v>3375</v>
      </c>
      <c r="V101">
        <v>1134</v>
      </c>
      <c r="W101">
        <v>63</v>
      </c>
      <c r="X101">
        <v>37</v>
      </c>
      <c r="Y101">
        <v>38</v>
      </c>
      <c r="Z101">
        <v>892</v>
      </c>
      <c r="AA101">
        <v>821</v>
      </c>
      <c r="AB101">
        <v>5.2</v>
      </c>
      <c r="AC101">
        <v>3</v>
      </c>
      <c r="AD101">
        <v>4</v>
      </c>
      <c r="AE101">
        <v>34</v>
      </c>
      <c r="AF101" s="27">
        <f t="shared" ca="1" si="60"/>
        <v>6400</v>
      </c>
      <c r="AG101" s="27">
        <f t="shared" ca="1" si="66"/>
        <v>1332</v>
      </c>
      <c r="AH101" s="27">
        <f t="shared" ca="1" si="67"/>
        <v>815</v>
      </c>
      <c r="AI101" s="27">
        <f t="shared" ca="1" si="68"/>
        <v>300</v>
      </c>
      <c r="AJ101" s="27">
        <f t="shared" ca="1" si="69"/>
        <v>44</v>
      </c>
      <c r="AK101" s="27">
        <f t="shared" ca="1" si="70"/>
        <v>173</v>
      </c>
      <c r="AL101" s="27">
        <f t="shared" ca="1" si="71"/>
        <v>597</v>
      </c>
      <c r="AM101" s="27">
        <f t="shared" ca="1" si="72"/>
        <v>54</v>
      </c>
      <c r="AN101" s="27">
        <f t="shared" ca="1" si="73"/>
        <v>4417</v>
      </c>
      <c r="AO101">
        <v>4260</v>
      </c>
      <c r="AP101">
        <v>1629</v>
      </c>
      <c r="AQ101">
        <v>200</v>
      </c>
      <c r="AR101">
        <v>552</v>
      </c>
      <c r="AS101">
        <v>866</v>
      </c>
      <c r="AT101">
        <v>116</v>
      </c>
      <c r="AU101">
        <v>165</v>
      </c>
      <c r="AV101">
        <v>0.98099999999999998</v>
      </c>
      <c r="AW101" s="1"/>
      <c r="AX101" s="29" t="s">
        <v>137</v>
      </c>
      <c r="AY101" s="29">
        <f t="shared" si="74"/>
        <v>29700</v>
      </c>
      <c r="AZ101" s="31">
        <f t="shared" si="75"/>
        <v>166737</v>
      </c>
      <c r="BA101" s="31">
        <f t="shared" ref="BA101" si="107">SUMIF($B$2:$B$571,$B101,$R$2:$R$571)</f>
        <v>5207</v>
      </c>
      <c r="BB101" s="30">
        <f t="shared" si="77"/>
        <v>3.1228821437353439E-2</v>
      </c>
    </row>
    <row r="102" spans="2:54" x14ac:dyDescent="0.5">
      <c r="B102" s="4">
        <v>2003</v>
      </c>
      <c r="C102" t="s">
        <v>58</v>
      </c>
      <c r="D102" t="s">
        <v>59</v>
      </c>
      <c r="E102">
        <v>5</v>
      </c>
      <c r="F102" t="s">
        <v>38</v>
      </c>
      <c r="G102" t="s">
        <v>38</v>
      </c>
      <c r="H102" t="s">
        <v>38</v>
      </c>
      <c r="I102" t="s">
        <v>38</v>
      </c>
      <c r="J102">
        <v>43</v>
      </c>
      <c r="K102">
        <v>119</v>
      </c>
      <c r="L102">
        <v>591</v>
      </c>
      <c r="M102" s="20">
        <v>5466</v>
      </c>
      <c r="N102" s="20">
        <v>1312</v>
      </c>
      <c r="O102" s="20">
        <f t="shared" si="64"/>
        <v>919</v>
      </c>
      <c r="P102" s="20">
        <v>201</v>
      </c>
      <c r="Q102" s="20">
        <v>39</v>
      </c>
      <c r="R102" s="20">
        <v>153</v>
      </c>
      <c r="S102" s="20">
        <v>443</v>
      </c>
      <c r="T102" s="20">
        <v>47</v>
      </c>
      <c r="U102" s="20">
        <f t="shared" si="65"/>
        <v>3664</v>
      </c>
      <c r="V102">
        <v>1099</v>
      </c>
      <c r="W102">
        <v>98</v>
      </c>
      <c r="X102">
        <v>63</v>
      </c>
      <c r="Y102">
        <v>49</v>
      </c>
      <c r="Z102">
        <v>928</v>
      </c>
      <c r="AA102">
        <v>847</v>
      </c>
      <c r="AB102">
        <v>5.3</v>
      </c>
      <c r="AC102">
        <v>3</v>
      </c>
      <c r="AD102">
        <v>5</v>
      </c>
      <c r="AE102">
        <v>27</v>
      </c>
      <c r="AF102" s="27">
        <f t="shared" ca="1" si="60"/>
        <v>6178</v>
      </c>
      <c r="AG102" s="27">
        <f t="shared" ca="1" si="66"/>
        <v>1527</v>
      </c>
      <c r="AH102" s="27">
        <f t="shared" ca="1" si="67"/>
        <v>969</v>
      </c>
      <c r="AI102" s="27">
        <f t="shared" ca="1" si="68"/>
        <v>385</v>
      </c>
      <c r="AJ102" s="27">
        <f t="shared" ca="1" si="69"/>
        <v>20</v>
      </c>
      <c r="AK102" s="27">
        <f t="shared" ca="1" si="70"/>
        <v>153</v>
      </c>
      <c r="AL102" s="27">
        <f t="shared" ca="1" si="71"/>
        <v>527</v>
      </c>
      <c r="AM102" s="27">
        <f t="shared" ca="1" si="72"/>
        <v>52</v>
      </c>
      <c r="AN102" s="27">
        <f t="shared" ca="1" si="73"/>
        <v>4072</v>
      </c>
      <c r="AO102">
        <v>4316</v>
      </c>
      <c r="AP102">
        <v>1616</v>
      </c>
      <c r="AQ102">
        <v>195</v>
      </c>
      <c r="AR102">
        <v>557</v>
      </c>
      <c r="AS102">
        <v>764</v>
      </c>
      <c r="AT102">
        <v>138</v>
      </c>
      <c r="AU102">
        <v>194</v>
      </c>
      <c r="AV102">
        <v>0.97799999999999998</v>
      </c>
      <c r="AW102" s="1"/>
      <c r="AX102" s="29" t="s">
        <v>138</v>
      </c>
      <c r="AY102" s="29">
        <f t="shared" si="74"/>
        <v>29700</v>
      </c>
      <c r="AZ102" s="31">
        <f t="shared" si="75"/>
        <v>166737</v>
      </c>
      <c r="BA102" s="31">
        <f t="shared" ref="BA102" si="108">SUMIF($B$2:$B$571,$B102,$S$2:$S$571)</f>
        <v>15889</v>
      </c>
      <c r="BB102" s="30">
        <f t="shared" si="77"/>
        <v>9.5293786022298585E-2</v>
      </c>
    </row>
    <row r="103" spans="2:54" x14ac:dyDescent="0.5">
      <c r="B103" s="4">
        <v>2003</v>
      </c>
      <c r="C103" t="s">
        <v>60</v>
      </c>
      <c r="D103" t="s">
        <v>61</v>
      </c>
      <c r="E103">
        <v>2</v>
      </c>
      <c r="F103" t="s">
        <v>38</v>
      </c>
      <c r="G103" t="s">
        <v>43</v>
      </c>
      <c r="H103" t="s">
        <v>43</v>
      </c>
      <c r="I103" t="s">
        <v>43</v>
      </c>
      <c r="J103">
        <v>91</v>
      </c>
      <c r="K103">
        <v>71</v>
      </c>
      <c r="L103">
        <v>751</v>
      </c>
      <c r="M103" s="20">
        <v>5490</v>
      </c>
      <c r="N103" s="20">
        <v>1459</v>
      </c>
      <c r="O103" s="20">
        <f t="shared" si="64"/>
        <v>966</v>
      </c>
      <c r="P103" s="20">
        <v>292</v>
      </c>
      <c r="Q103" s="20">
        <v>44</v>
      </c>
      <c r="R103" s="20">
        <v>157</v>
      </c>
      <c r="S103" s="20">
        <v>515</v>
      </c>
      <c r="T103" s="20">
        <v>57</v>
      </c>
      <c r="U103" s="20">
        <f t="shared" si="65"/>
        <v>3459</v>
      </c>
      <c r="V103">
        <v>978</v>
      </c>
      <c r="W103">
        <v>150</v>
      </c>
      <c r="X103">
        <v>74</v>
      </c>
      <c r="Y103">
        <v>41</v>
      </c>
      <c r="Z103">
        <v>692</v>
      </c>
      <c r="AA103">
        <v>648</v>
      </c>
      <c r="AB103">
        <v>4.04</v>
      </c>
      <c r="AC103">
        <v>7</v>
      </c>
      <c r="AD103">
        <v>11</v>
      </c>
      <c r="AE103">
        <v>36</v>
      </c>
      <c r="AF103" s="27">
        <f t="shared" ca="1" si="60"/>
        <v>6175</v>
      </c>
      <c r="AG103" s="27">
        <f t="shared" ca="1" si="66"/>
        <v>1369</v>
      </c>
      <c r="AH103" s="27">
        <f t="shared" ca="1" si="67"/>
        <v>751</v>
      </c>
      <c r="AI103" s="27">
        <f t="shared" ca="1" si="68"/>
        <v>389</v>
      </c>
      <c r="AJ103" s="27">
        <f t="shared" ca="1" si="69"/>
        <v>30</v>
      </c>
      <c r="AK103" s="27">
        <f t="shared" ca="1" si="70"/>
        <v>199</v>
      </c>
      <c r="AL103" s="27">
        <f t="shared" ca="1" si="71"/>
        <v>405</v>
      </c>
      <c r="AM103" s="27">
        <f t="shared" ca="1" si="72"/>
        <v>64</v>
      </c>
      <c r="AN103" s="27">
        <f t="shared" ca="1" si="73"/>
        <v>4337</v>
      </c>
      <c r="AO103">
        <v>4336</v>
      </c>
      <c r="AP103">
        <v>1415</v>
      </c>
      <c r="AQ103">
        <v>128</v>
      </c>
      <c r="AR103">
        <v>530</v>
      </c>
      <c r="AS103">
        <v>1132</v>
      </c>
      <c r="AT103">
        <v>78</v>
      </c>
      <c r="AU103">
        <v>162</v>
      </c>
      <c r="AV103">
        <v>0.98699999999999999</v>
      </c>
      <c r="AW103" s="1"/>
      <c r="AX103" s="29" t="s">
        <v>139</v>
      </c>
      <c r="AY103" s="29">
        <f t="shared" si="74"/>
        <v>29700</v>
      </c>
      <c r="AZ103" s="31">
        <f t="shared" si="75"/>
        <v>166737</v>
      </c>
      <c r="BA103" s="31">
        <f t="shared" ref="BA103" si="109">SUMIF($B$2:$B$571,$B103,$T$2:$T$571)</f>
        <v>1849</v>
      </c>
      <c r="BB103" s="30">
        <f t="shared" si="77"/>
        <v>1.1089320306830517E-2</v>
      </c>
    </row>
    <row r="104" spans="2:54" x14ac:dyDescent="0.5">
      <c r="B104" s="4">
        <v>2003</v>
      </c>
      <c r="C104" t="s">
        <v>62</v>
      </c>
      <c r="D104" t="s">
        <v>63</v>
      </c>
      <c r="E104">
        <v>2</v>
      </c>
      <c r="F104" t="s">
        <v>38</v>
      </c>
      <c r="G104" t="s">
        <v>38</v>
      </c>
      <c r="H104" t="s">
        <v>38</v>
      </c>
      <c r="I104" t="s">
        <v>38</v>
      </c>
      <c r="J104">
        <v>87</v>
      </c>
      <c r="K104">
        <v>75</v>
      </c>
      <c r="L104">
        <v>805</v>
      </c>
      <c r="M104" s="20">
        <v>5583</v>
      </c>
      <c r="N104" s="20">
        <v>1466</v>
      </c>
      <c r="O104" s="20">
        <f t="shared" si="64"/>
        <v>937</v>
      </c>
      <c r="P104" s="20">
        <v>308</v>
      </c>
      <c r="Q104" s="20">
        <v>30</v>
      </c>
      <c r="R104" s="20">
        <v>191</v>
      </c>
      <c r="S104" s="20">
        <v>557</v>
      </c>
      <c r="T104" s="20">
        <v>81</v>
      </c>
      <c r="U104" s="20">
        <f t="shared" si="65"/>
        <v>3479</v>
      </c>
      <c r="V104">
        <v>1021</v>
      </c>
      <c r="W104">
        <v>66</v>
      </c>
      <c r="X104">
        <v>30</v>
      </c>
      <c r="Y104">
        <v>38</v>
      </c>
      <c r="Z104">
        <v>677</v>
      </c>
      <c r="AA104">
        <v>622</v>
      </c>
      <c r="AB104">
        <v>3.86</v>
      </c>
      <c r="AC104">
        <v>1</v>
      </c>
      <c r="AD104">
        <v>5</v>
      </c>
      <c r="AE104">
        <v>50</v>
      </c>
      <c r="AF104" s="27">
        <f t="shared" ca="1" si="60"/>
        <v>6072</v>
      </c>
      <c r="AG104" s="27">
        <f t="shared" ca="1" si="66"/>
        <v>1332</v>
      </c>
      <c r="AH104" s="27">
        <f t="shared" ca="1" si="67"/>
        <v>815</v>
      </c>
      <c r="AI104" s="27">
        <f t="shared" ca="1" si="68"/>
        <v>259</v>
      </c>
      <c r="AJ104" s="27">
        <f t="shared" ca="1" si="69"/>
        <v>31</v>
      </c>
      <c r="AK104" s="27">
        <f t="shared" ca="1" si="70"/>
        <v>227</v>
      </c>
      <c r="AL104" s="27">
        <f t="shared" ca="1" si="71"/>
        <v>494</v>
      </c>
      <c r="AM104" s="27">
        <f t="shared" ca="1" si="72"/>
        <v>86</v>
      </c>
      <c r="AN104" s="27">
        <f t="shared" ca="1" si="73"/>
        <v>4160</v>
      </c>
      <c r="AO104">
        <v>4350</v>
      </c>
      <c r="AP104">
        <v>1350</v>
      </c>
      <c r="AQ104">
        <v>161</v>
      </c>
      <c r="AR104">
        <v>565</v>
      </c>
      <c r="AS104">
        <v>1139</v>
      </c>
      <c r="AT104">
        <v>95</v>
      </c>
      <c r="AU104">
        <v>149</v>
      </c>
      <c r="AV104">
        <v>0.98499999999999999</v>
      </c>
      <c r="AW104" s="1"/>
      <c r="AX104" s="29" t="s">
        <v>140</v>
      </c>
      <c r="AY104" s="29">
        <f t="shared" si="74"/>
        <v>29700</v>
      </c>
      <c r="AZ104" s="31">
        <f t="shared" si="75"/>
        <v>166737</v>
      </c>
      <c r="BA104" s="31">
        <f t="shared" ref="BA104" si="110">SUMIF($B$2:$B$571,$B104,$U$2:$U$571)</f>
        <v>104942</v>
      </c>
      <c r="BB104" s="30">
        <f t="shared" si="77"/>
        <v>0.62938639893964743</v>
      </c>
    </row>
    <row r="105" spans="2:54" x14ac:dyDescent="0.5">
      <c r="B105" s="4">
        <v>2003</v>
      </c>
      <c r="C105" t="s">
        <v>64</v>
      </c>
      <c r="D105" t="s">
        <v>65</v>
      </c>
      <c r="E105">
        <v>3</v>
      </c>
      <c r="F105" t="s">
        <v>38</v>
      </c>
      <c r="G105" t="s">
        <v>38</v>
      </c>
      <c r="H105" t="s">
        <v>38</v>
      </c>
      <c r="I105" t="s">
        <v>38</v>
      </c>
      <c r="J105">
        <v>83</v>
      </c>
      <c r="K105">
        <v>79</v>
      </c>
      <c r="L105">
        <v>836</v>
      </c>
      <c r="M105" s="20">
        <v>5568</v>
      </c>
      <c r="N105" s="20">
        <v>1526</v>
      </c>
      <c r="O105" s="20">
        <f t="shared" si="64"/>
        <v>1037</v>
      </c>
      <c r="P105" s="20">
        <v>288</v>
      </c>
      <c r="Q105" s="20">
        <v>39</v>
      </c>
      <c r="R105" s="20">
        <v>162</v>
      </c>
      <c r="S105" s="20">
        <v>476</v>
      </c>
      <c r="T105" s="20">
        <v>75</v>
      </c>
      <c r="U105" s="20">
        <f t="shared" si="65"/>
        <v>3491</v>
      </c>
      <c r="V105">
        <v>926</v>
      </c>
      <c r="W105">
        <v>120</v>
      </c>
      <c r="X105">
        <v>42</v>
      </c>
      <c r="Y105">
        <v>57</v>
      </c>
      <c r="Z105">
        <v>867</v>
      </c>
      <c r="AA105">
        <v>808</v>
      </c>
      <c r="AB105">
        <v>5.05</v>
      </c>
      <c r="AC105">
        <v>7</v>
      </c>
      <c r="AD105">
        <v>10</v>
      </c>
      <c r="AE105">
        <v>36</v>
      </c>
      <c r="AF105" s="27">
        <f t="shared" ca="1" si="60"/>
        <v>6193</v>
      </c>
      <c r="AG105" s="27">
        <f t="shared" ca="1" si="66"/>
        <v>1384</v>
      </c>
      <c r="AH105" s="27">
        <f t="shared" ca="1" si="67"/>
        <v>863</v>
      </c>
      <c r="AI105" s="27">
        <f t="shared" ca="1" si="68"/>
        <v>293</v>
      </c>
      <c r="AJ105" s="27">
        <f t="shared" ca="1" si="69"/>
        <v>44</v>
      </c>
      <c r="AK105" s="27">
        <f t="shared" ca="1" si="70"/>
        <v>184</v>
      </c>
      <c r="AL105" s="27">
        <f t="shared" ca="1" si="71"/>
        <v>674</v>
      </c>
      <c r="AM105" s="27">
        <f t="shared" ca="1" si="72"/>
        <v>71</v>
      </c>
      <c r="AN105" s="27">
        <f t="shared" ca="1" si="73"/>
        <v>4064</v>
      </c>
      <c r="AO105">
        <v>4316</v>
      </c>
      <c r="AP105">
        <v>1569</v>
      </c>
      <c r="AQ105">
        <v>190</v>
      </c>
      <c r="AR105">
        <v>566</v>
      </c>
      <c r="AS105">
        <v>865</v>
      </c>
      <c r="AT105">
        <v>108</v>
      </c>
      <c r="AU105">
        <v>143</v>
      </c>
      <c r="AV105">
        <v>0.98199999999999998</v>
      </c>
      <c r="AW105" s="1"/>
      <c r="AX105" s="29"/>
      <c r="AY105" s="29"/>
      <c r="AZ105" s="31"/>
      <c r="BA105" s="31"/>
      <c r="BB105" s="30"/>
    </row>
    <row r="106" spans="2:54" x14ac:dyDescent="0.5">
      <c r="B106" s="4">
        <v>2003</v>
      </c>
      <c r="C106" t="s">
        <v>66</v>
      </c>
      <c r="D106" t="s">
        <v>67</v>
      </c>
      <c r="E106">
        <v>2</v>
      </c>
      <c r="F106" t="s">
        <v>38</v>
      </c>
      <c r="G106" t="s">
        <v>38</v>
      </c>
      <c r="H106" t="s">
        <v>38</v>
      </c>
      <c r="I106" t="s">
        <v>38</v>
      </c>
      <c r="J106">
        <v>85</v>
      </c>
      <c r="K106">
        <v>77</v>
      </c>
      <c r="L106">
        <v>574</v>
      </c>
      <c r="M106" s="20">
        <v>5458</v>
      </c>
      <c r="N106" s="20">
        <v>1328</v>
      </c>
      <c r="O106" s="20">
        <f t="shared" si="64"/>
        <v>919</v>
      </c>
      <c r="P106" s="20">
        <v>260</v>
      </c>
      <c r="Q106" s="20">
        <v>25</v>
      </c>
      <c r="R106" s="20">
        <v>124</v>
      </c>
      <c r="S106" s="20">
        <v>407</v>
      </c>
      <c r="T106" s="20">
        <v>72</v>
      </c>
      <c r="U106" s="20">
        <f t="shared" si="65"/>
        <v>3651</v>
      </c>
      <c r="V106">
        <v>985</v>
      </c>
      <c r="W106">
        <v>80</v>
      </c>
      <c r="X106">
        <v>36</v>
      </c>
      <c r="Y106">
        <v>28</v>
      </c>
      <c r="Z106">
        <v>556</v>
      </c>
      <c r="AA106">
        <v>511</v>
      </c>
      <c r="AB106">
        <v>3.16</v>
      </c>
      <c r="AC106">
        <v>3</v>
      </c>
      <c r="AD106">
        <v>17</v>
      </c>
      <c r="AE106">
        <v>58</v>
      </c>
      <c r="AF106" s="27">
        <f t="shared" ca="1" si="60"/>
        <v>6387</v>
      </c>
      <c r="AG106" s="27">
        <f t="shared" ca="1" si="66"/>
        <v>1325</v>
      </c>
      <c r="AH106" s="27">
        <f t="shared" ca="1" si="67"/>
        <v>871</v>
      </c>
      <c r="AI106" s="27">
        <f t="shared" ca="1" si="68"/>
        <v>255</v>
      </c>
      <c r="AJ106" s="27">
        <f t="shared" ca="1" si="69"/>
        <v>48</v>
      </c>
      <c r="AK106" s="27">
        <f t="shared" ca="1" si="70"/>
        <v>151</v>
      </c>
      <c r="AL106" s="27">
        <f t="shared" ca="1" si="71"/>
        <v>588</v>
      </c>
      <c r="AM106" s="27">
        <f t="shared" ca="1" si="72"/>
        <v>32</v>
      </c>
      <c r="AN106" s="27">
        <f t="shared" ca="1" si="73"/>
        <v>4442</v>
      </c>
      <c r="AO106">
        <v>4373</v>
      </c>
      <c r="AP106">
        <v>1254</v>
      </c>
      <c r="AQ106">
        <v>127</v>
      </c>
      <c r="AR106">
        <v>526</v>
      </c>
      <c r="AS106">
        <v>1289</v>
      </c>
      <c r="AT106">
        <v>119</v>
      </c>
      <c r="AU106">
        <v>164</v>
      </c>
      <c r="AV106">
        <v>0.98099999999999998</v>
      </c>
      <c r="AW106" s="1">
        <v>2013</v>
      </c>
      <c r="AX106" s="29" t="s">
        <v>134</v>
      </c>
      <c r="AY106" s="29">
        <f t="shared" si="74"/>
        <v>29700</v>
      </c>
      <c r="AZ106" s="31">
        <f t="shared" si="75"/>
        <v>166737</v>
      </c>
      <c r="BA106" s="31">
        <f t="shared" ref="BA106" si="111">SUMIF($B$2:$B$571,$B106,$O$2:$O$571)</f>
        <v>29089</v>
      </c>
      <c r="BB106" s="30">
        <f t="shared" si="77"/>
        <v>0.17446037772060191</v>
      </c>
    </row>
    <row r="107" spans="2:54" x14ac:dyDescent="0.5">
      <c r="B107" s="4">
        <v>2003</v>
      </c>
      <c r="C107" t="s">
        <v>68</v>
      </c>
      <c r="D107" t="s">
        <v>69</v>
      </c>
      <c r="E107">
        <v>6</v>
      </c>
      <c r="F107" t="s">
        <v>38</v>
      </c>
      <c r="G107" t="s">
        <v>38</v>
      </c>
      <c r="H107" t="s">
        <v>38</v>
      </c>
      <c r="I107" t="s">
        <v>38</v>
      </c>
      <c r="J107">
        <v>68</v>
      </c>
      <c r="K107">
        <v>94</v>
      </c>
      <c r="L107">
        <v>714</v>
      </c>
      <c r="M107" s="20">
        <v>5548</v>
      </c>
      <c r="N107" s="20">
        <v>1423</v>
      </c>
      <c r="O107" s="20">
        <f t="shared" si="64"/>
        <v>937</v>
      </c>
      <c r="P107" s="20">
        <v>266</v>
      </c>
      <c r="Q107" s="20">
        <v>24</v>
      </c>
      <c r="R107" s="20">
        <v>196</v>
      </c>
      <c r="S107" s="20">
        <v>547</v>
      </c>
      <c r="T107" s="20">
        <v>71</v>
      </c>
      <c r="U107" s="20">
        <f t="shared" si="65"/>
        <v>3507</v>
      </c>
      <c r="V107">
        <v>1221</v>
      </c>
      <c r="W107">
        <v>99</v>
      </c>
      <c r="X107">
        <v>39</v>
      </c>
      <c r="Y107">
        <v>40</v>
      </c>
      <c r="Z107">
        <v>873</v>
      </c>
      <c r="AA107">
        <v>810</v>
      </c>
      <c r="AB107">
        <v>5.0199999999999996</v>
      </c>
      <c r="AC107">
        <v>5</v>
      </c>
      <c r="AD107">
        <v>3</v>
      </c>
      <c r="AE107">
        <v>44</v>
      </c>
      <c r="AF107" s="27">
        <f t="shared" ca="1" si="60"/>
        <v>6294</v>
      </c>
      <c r="AG107" s="27">
        <f t="shared" ca="1" si="66"/>
        <v>1348</v>
      </c>
      <c r="AH107" s="27">
        <f t="shared" ca="1" si="67"/>
        <v>740</v>
      </c>
      <c r="AI107" s="27">
        <f t="shared" ca="1" si="68"/>
        <v>352</v>
      </c>
      <c r="AJ107" s="27">
        <f t="shared" ca="1" si="69"/>
        <v>36</v>
      </c>
      <c r="AK107" s="27">
        <f t="shared" ca="1" si="70"/>
        <v>220</v>
      </c>
      <c r="AL107" s="27">
        <f t="shared" ca="1" si="71"/>
        <v>652</v>
      </c>
      <c r="AM107" s="27">
        <f t="shared" ca="1" si="72"/>
        <v>74</v>
      </c>
      <c r="AN107" s="27">
        <f t="shared" ca="1" si="73"/>
        <v>4220</v>
      </c>
      <c r="AO107">
        <v>4356</v>
      </c>
      <c r="AP107">
        <v>1590</v>
      </c>
      <c r="AQ107">
        <v>219</v>
      </c>
      <c r="AR107">
        <v>575</v>
      </c>
      <c r="AS107">
        <v>1034</v>
      </c>
      <c r="AT107">
        <v>114</v>
      </c>
      <c r="AU107">
        <v>142</v>
      </c>
      <c r="AV107">
        <v>0.98099999999999998</v>
      </c>
      <c r="AW107" s="1"/>
      <c r="AX107" s="29" t="s">
        <v>135</v>
      </c>
      <c r="AY107" s="29">
        <f t="shared" si="74"/>
        <v>29700</v>
      </c>
      <c r="AZ107" s="31">
        <f t="shared" si="75"/>
        <v>166737</v>
      </c>
      <c r="BA107" s="31">
        <f t="shared" ref="BA107" si="112">SUMIF($B$2:$B$571,$B107,$P$2:$P$571)</f>
        <v>8827</v>
      </c>
      <c r="BB107" s="30">
        <f t="shared" si="77"/>
        <v>5.2939659463706316E-2</v>
      </c>
    </row>
    <row r="108" spans="2:54" x14ac:dyDescent="0.5">
      <c r="B108" s="4">
        <v>2003</v>
      </c>
      <c r="C108" t="s">
        <v>70</v>
      </c>
      <c r="D108" t="s">
        <v>71</v>
      </c>
      <c r="E108">
        <v>1</v>
      </c>
      <c r="F108" t="s">
        <v>43</v>
      </c>
      <c r="G108" t="s">
        <v>38</v>
      </c>
      <c r="H108" t="s">
        <v>38</v>
      </c>
      <c r="I108" t="s">
        <v>38</v>
      </c>
      <c r="J108">
        <v>90</v>
      </c>
      <c r="K108">
        <v>72</v>
      </c>
      <c r="L108">
        <v>801</v>
      </c>
      <c r="M108" s="20">
        <v>5655</v>
      </c>
      <c r="N108" s="20">
        <v>1567</v>
      </c>
      <c r="O108" s="20">
        <f t="shared" si="64"/>
        <v>1049</v>
      </c>
      <c r="P108" s="20">
        <v>318</v>
      </c>
      <c r="Q108" s="20">
        <v>45</v>
      </c>
      <c r="R108" s="20">
        <v>155</v>
      </c>
      <c r="S108" s="20">
        <v>512</v>
      </c>
      <c r="T108" s="20">
        <v>63</v>
      </c>
      <c r="U108" s="20">
        <f t="shared" si="65"/>
        <v>3513</v>
      </c>
      <c r="V108">
        <v>1027</v>
      </c>
      <c r="W108">
        <v>94</v>
      </c>
      <c r="X108">
        <v>44</v>
      </c>
      <c r="Y108">
        <v>52</v>
      </c>
      <c r="Z108">
        <v>758</v>
      </c>
      <c r="AA108">
        <v>716</v>
      </c>
      <c r="AB108">
        <v>4.41</v>
      </c>
      <c r="AC108">
        <v>7</v>
      </c>
      <c r="AD108">
        <v>8</v>
      </c>
      <c r="AE108">
        <v>45</v>
      </c>
      <c r="AF108" s="27">
        <f t="shared" ca="1" si="60"/>
        <v>6394</v>
      </c>
      <c r="AG108" s="27">
        <f t="shared" ca="1" si="66"/>
        <v>1342</v>
      </c>
      <c r="AH108" s="27">
        <f t="shared" ca="1" si="67"/>
        <v>792</v>
      </c>
      <c r="AI108" s="27">
        <f t="shared" ca="1" si="68"/>
        <v>360</v>
      </c>
      <c r="AJ108" s="27">
        <f t="shared" ca="1" si="69"/>
        <v>46</v>
      </c>
      <c r="AK108" s="27">
        <f t="shared" ca="1" si="70"/>
        <v>144</v>
      </c>
      <c r="AL108" s="27">
        <f t="shared" ca="1" si="71"/>
        <v>616</v>
      </c>
      <c r="AM108" s="27">
        <f t="shared" ca="1" si="72"/>
        <v>51</v>
      </c>
      <c r="AN108" s="27">
        <f t="shared" ca="1" si="73"/>
        <v>4385</v>
      </c>
      <c r="AO108">
        <v>4386</v>
      </c>
      <c r="AP108">
        <v>1526</v>
      </c>
      <c r="AQ108">
        <v>187</v>
      </c>
      <c r="AR108">
        <v>402</v>
      </c>
      <c r="AS108">
        <v>997</v>
      </c>
      <c r="AT108">
        <v>87</v>
      </c>
      <c r="AU108">
        <v>114</v>
      </c>
      <c r="AV108">
        <v>0.98499999999999999</v>
      </c>
      <c r="AW108" s="1"/>
      <c r="AX108" s="29" t="s">
        <v>136</v>
      </c>
      <c r="AY108" s="29">
        <f t="shared" si="74"/>
        <v>29700</v>
      </c>
      <c r="AZ108" s="31">
        <f t="shared" si="75"/>
        <v>166737</v>
      </c>
      <c r="BA108" s="31">
        <f t="shared" ref="BA108" si="113">SUMIF($B$2:$B$571,$B108,$Q$2:$Q$571)</f>
        <v>934</v>
      </c>
      <c r="BB108" s="30">
        <f t="shared" si="77"/>
        <v>5.6016361095617652E-3</v>
      </c>
    </row>
    <row r="109" spans="2:54" x14ac:dyDescent="0.5">
      <c r="B109" s="4">
        <v>2003</v>
      </c>
      <c r="C109" t="s">
        <v>72</v>
      </c>
      <c r="D109" t="s">
        <v>73</v>
      </c>
      <c r="E109">
        <v>4</v>
      </c>
      <c r="F109" t="s">
        <v>38</v>
      </c>
      <c r="G109" t="s">
        <v>38</v>
      </c>
      <c r="H109" t="s">
        <v>38</v>
      </c>
      <c r="I109" t="s">
        <v>38</v>
      </c>
      <c r="J109">
        <v>83</v>
      </c>
      <c r="K109">
        <v>79</v>
      </c>
      <c r="L109">
        <v>711</v>
      </c>
      <c r="M109" s="20">
        <v>5437</v>
      </c>
      <c r="N109" s="20">
        <v>1404</v>
      </c>
      <c r="O109" s="20">
        <f t="shared" si="64"/>
        <v>941</v>
      </c>
      <c r="P109" s="20">
        <v>294</v>
      </c>
      <c r="Q109" s="20">
        <v>25</v>
      </c>
      <c r="R109" s="20">
        <v>144</v>
      </c>
      <c r="S109" s="20">
        <v>522</v>
      </c>
      <c r="T109" s="20">
        <v>45</v>
      </c>
      <c r="U109" s="20">
        <f t="shared" si="65"/>
        <v>3466</v>
      </c>
      <c r="V109">
        <v>990</v>
      </c>
      <c r="W109">
        <v>100</v>
      </c>
      <c r="X109">
        <v>39</v>
      </c>
      <c r="Y109">
        <v>40</v>
      </c>
      <c r="Z109">
        <v>716</v>
      </c>
      <c r="AA109">
        <v>640</v>
      </c>
      <c r="AB109">
        <v>4.01</v>
      </c>
      <c r="AC109">
        <v>15</v>
      </c>
      <c r="AD109">
        <v>10</v>
      </c>
      <c r="AE109">
        <v>42</v>
      </c>
      <c r="AF109" s="27">
        <f t="shared" ca="1" si="60"/>
        <v>6297</v>
      </c>
      <c r="AG109" s="27">
        <f t="shared" ca="1" si="66"/>
        <v>1551</v>
      </c>
      <c r="AH109" s="27">
        <f t="shared" ca="1" si="67"/>
        <v>1062</v>
      </c>
      <c r="AI109" s="27">
        <f t="shared" ca="1" si="68"/>
        <v>258</v>
      </c>
      <c r="AJ109" s="27">
        <f t="shared" ca="1" si="69"/>
        <v>33</v>
      </c>
      <c r="AK109" s="27">
        <f t="shared" ca="1" si="70"/>
        <v>198</v>
      </c>
      <c r="AL109" s="27">
        <f t="shared" ca="1" si="71"/>
        <v>519</v>
      </c>
      <c r="AM109" s="27">
        <f t="shared" ca="1" si="72"/>
        <v>73</v>
      </c>
      <c r="AN109" s="27">
        <f t="shared" ca="1" si="73"/>
        <v>4154</v>
      </c>
      <c r="AO109">
        <v>4313</v>
      </c>
      <c r="AP109">
        <v>1467</v>
      </c>
      <c r="AQ109">
        <v>181</v>
      </c>
      <c r="AR109">
        <v>463</v>
      </c>
      <c r="AS109">
        <v>1028</v>
      </c>
      <c r="AT109">
        <v>102</v>
      </c>
      <c r="AU109">
        <v>152</v>
      </c>
      <c r="AV109">
        <v>0.98299999999999998</v>
      </c>
      <c r="AW109" s="1"/>
      <c r="AX109" s="29" t="s">
        <v>137</v>
      </c>
      <c r="AY109" s="29">
        <f t="shared" si="74"/>
        <v>29700</v>
      </c>
      <c r="AZ109" s="31">
        <f t="shared" si="75"/>
        <v>166737</v>
      </c>
      <c r="BA109" s="31">
        <f t="shared" ref="BA109" si="114">SUMIF($B$2:$B$571,$B109,$R$2:$R$571)</f>
        <v>5207</v>
      </c>
      <c r="BB109" s="30">
        <f t="shared" si="77"/>
        <v>3.1228821437353439E-2</v>
      </c>
    </row>
    <row r="110" spans="2:54" x14ac:dyDescent="0.5">
      <c r="B110" s="4">
        <v>2003</v>
      </c>
      <c r="C110" t="s">
        <v>74</v>
      </c>
      <c r="D110" t="s">
        <v>75</v>
      </c>
      <c r="E110">
        <v>1</v>
      </c>
      <c r="F110" t="s">
        <v>43</v>
      </c>
      <c r="G110" t="s">
        <v>38</v>
      </c>
      <c r="H110" t="s">
        <v>43</v>
      </c>
      <c r="I110" t="s">
        <v>38</v>
      </c>
      <c r="J110">
        <v>101</v>
      </c>
      <c r="K110">
        <v>61</v>
      </c>
      <c r="L110">
        <v>877</v>
      </c>
      <c r="M110" s="20">
        <v>5605</v>
      </c>
      <c r="N110" s="20">
        <v>1518</v>
      </c>
      <c r="O110" s="20">
        <f t="shared" si="64"/>
        <v>970</v>
      </c>
      <c r="P110" s="20">
        <v>304</v>
      </c>
      <c r="Q110" s="20">
        <v>14</v>
      </c>
      <c r="R110" s="20">
        <v>230</v>
      </c>
      <c r="S110" s="20">
        <v>684</v>
      </c>
      <c r="T110" s="20">
        <v>81</v>
      </c>
      <c r="U110" s="20">
        <f t="shared" si="65"/>
        <v>3322</v>
      </c>
      <c r="V110">
        <v>1042</v>
      </c>
      <c r="W110">
        <v>98</v>
      </c>
      <c r="X110">
        <v>33</v>
      </c>
      <c r="Y110">
        <v>35</v>
      </c>
      <c r="Z110">
        <v>716</v>
      </c>
      <c r="AA110">
        <v>653</v>
      </c>
      <c r="AB110">
        <v>4.0199999999999996</v>
      </c>
      <c r="AC110">
        <v>8</v>
      </c>
      <c r="AD110">
        <v>12</v>
      </c>
      <c r="AE110">
        <v>49</v>
      </c>
      <c r="AF110" s="27">
        <f t="shared" ca="1" si="60"/>
        <v>6188</v>
      </c>
      <c r="AG110" s="27">
        <f t="shared" ca="1" si="66"/>
        <v>1597</v>
      </c>
      <c r="AH110" s="27">
        <f t="shared" ca="1" si="67"/>
        <v>1075</v>
      </c>
      <c r="AI110" s="27">
        <f t="shared" ca="1" si="68"/>
        <v>293</v>
      </c>
      <c r="AJ110" s="27">
        <f t="shared" ca="1" si="69"/>
        <v>33</v>
      </c>
      <c r="AK110" s="27">
        <f t="shared" ca="1" si="70"/>
        <v>196</v>
      </c>
      <c r="AL110" s="27">
        <f t="shared" ca="1" si="71"/>
        <v>664</v>
      </c>
      <c r="AM110" s="27">
        <f t="shared" ca="1" si="72"/>
        <v>32</v>
      </c>
      <c r="AN110" s="27">
        <f t="shared" ca="1" si="73"/>
        <v>3895</v>
      </c>
      <c r="AO110">
        <v>4386</v>
      </c>
      <c r="AP110">
        <v>1512</v>
      </c>
      <c r="AQ110">
        <v>145</v>
      </c>
      <c r="AR110">
        <v>375</v>
      </c>
      <c r="AS110">
        <v>1119</v>
      </c>
      <c r="AT110">
        <v>114</v>
      </c>
      <c r="AU110">
        <v>126</v>
      </c>
      <c r="AV110">
        <v>0.98099999999999998</v>
      </c>
      <c r="AW110" s="1"/>
      <c r="AX110" s="29" t="s">
        <v>138</v>
      </c>
      <c r="AY110" s="29">
        <f t="shared" si="74"/>
        <v>29700</v>
      </c>
      <c r="AZ110" s="31">
        <f t="shared" si="75"/>
        <v>166737</v>
      </c>
      <c r="BA110" s="31">
        <f t="shared" ref="BA110" si="115">SUMIF($B$2:$B$571,$B110,$S$2:$S$571)</f>
        <v>15889</v>
      </c>
      <c r="BB110" s="30">
        <f t="shared" si="77"/>
        <v>9.5293786022298585E-2</v>
      </c>
    </row>
    <row r="111" spans="2:54" x14ac:dyDescent="0.5">
      <c r="B111" s="4">
        <v>2003</v>
      </c>
      <c r="C111" t="s">
        <v>76</v>
      </c>
      <c r="D111" t="s">
        <v>77</v>
      </c>
      <c r="E111">
        <v>5</v>
      </c>
      <c r="F111" t="s">
        <v>38</v>
      </c>
      <c r="G111" t="s">
        <v>38</v>
      </c>
      <c r="H111" t="s">
        <v>38</v>
      </c>
      <c r="I111" t="s">
        <v>38</v>
      </c>
      <c r="J111">
        <v>66</v>
      </c>
      <c r="K111">
        <v>95</v>
      </c>
      <c r="L111">
        <v>642</v>
      </c>
      <c r="M111" s="20">
        <v>5341</v>
      </c>
      <c r="N111" s="20">
        <v>1317</v>
      </c>
      <c r="O111" s="20">
        <f t="shared" si="64"/>
        <v>907</v>
      </c>
      <c r="P111" s="20">
        <v>262</v>
      </c>
      <c r="Q111" s="20">
        <v>24</v>
      </c>
      <c r="R111" s="20">
        <v>124</v>
      </c>
      <c r="S111" s="20">
        <v>489</v>
      </c>
      <c r="T111" s="20">
        <v>54</v>
      </c>
      <c r="U111" s="20">
        <f t="shared" si="65"/>
        <v>3481</v>
      </c>
      <c r="V111">
        <v>1035</v>
      </c>
      <c r="W111">
        <v>70</v>
      </c>
      <c r="X111">
        <v>31</v>
      </c>
      <c r="Y111">
        <v>45</v>
      </c>
      <c r="Z111">
        <v>754</v>
      </c>
      <c r="AA111">
        <v>704</v>
      </c>
      <c r="AB111">
        <v>4.4800000000000004</v>
      </c>
      <c r="AC111">
        <v>3</v>
      </c>
      <c r="AD111">
        <v>10</v>
      </c>
      <c r="AE111">
        <v>38</v>
      </c>
      <c r="AF111" s="27">
        <f t="shared" ca="1" si="60"/>
        <v>6161</v>
      </c>
      <c r="AG111" s="27">
        <f t="shared" ca="1" si="66"/>
        <v>1669</v>
      </c>
      <c r="AH111" s="27">
        <f t="shared" ca="1" si="67"/>
        <v>1200</v>
      </c>
      <c r="AI111" s="27">
        <f t="shared" ca="1" si="68"/>
        <v>227</v>
      </c>
      <c r="AJ111" s="27">
        <f t="shared" ca="1" si="69"/>
        <v>47</v>
      </c>
      <c r="AK111" s="27">
        <f t="shared" ca="1" si="70"/>
        <v>195</v>
      </c>
      <c r="AL111" s="27">
        <f t="shared" ca="1" si="71"/>
        <v>482</v>
      </c>
      <c r="AM111" s="27">
        <f t="shared" ca="1" si="72"/>
        <v>31</v>
      </c>
      <c r="AN111" s="27">
        <f t="shared" ca="1" si="73"/>
        <v>3979</v>
      </c>
      <c r="AO111">
        <v>4240</v>
      </c>
      <c r="AP111">
        <v>1497</v>
      </c>
      <c r="AQ111">
        <v>168</v>
      </c>
      <c r="AR111">
        <v>576</v>
      </c>
      <c r="AS111">
        <v>907</v>
      </c>
      <c r="AT111">
        <v>118</v>
      </c>
      <c r="AU111">
        <v>158</v>
      </c>
      <c r="AV111">
        <v>0.98</v>
      </c>
      <c r="AW111" s="1"/>
      <c r="AX111" s="29" t="s">
        <v>139</v>
      </c>
      <c r="AY111" s="29">
        <f t="shared" si="74"/>
        <v>29700</v>
      </c>
      <c r="AZ111" s="31">
        <f t="shared" si="75"/>
        <v>166737</v>
      </c>
      <c r="BA111" s="31">
        <f t="shared" ref="BA111" si="116">SUMIF($B$2:$B$571,$B111,$T$2:$T$571)</f>
        <v>1849</v>
      </c>
      <c r="BB111" s="30">
        <f t="shared" si="77"/>
        <v>1.1089320306830517E-2</v>
      </c>
    </row>
    <row r="112" spans="2:54" x14ac:dyDescent="0.5">
      <c r="B112" s="4">
        <v>2003</v>
      </c>
      <c r="C112" t="s">
        <v>78</v>
      </c>
      <c r="D112" t="s">
        <v>79</v>
      </c>
      <c r="E112">
        <v>1</v>
      </c>
      <c r="F112" t="s">
        <v>43</v>
      </c>
      <c r="G112" t="s">
        <v>38</v>
      </c>
      <c r="H112" t="s">
        <v>38</v>
      </c>
      <c r="I112" t="s">
        <v>38</v>
      </c>
      <c r="J112">
        <v>96</v>
      </c>
      <c r="K112">
        <v>66</v>
      </c>
      <c r="L112">
        <v>768</v>
      </c>
      <c r="M112" s="20">
        <v>5497</v>
      </c>
      <c r="N112" s="20">
        <v>1398</v>
      </c>
      <c r="O112" s="20">
        <f t="shared" si="64"/>
        <v>881</v>
      </c>
      <c r="P112" s="20">
        <v>317</v>
      </c>
      <c r="Q112" s="20">
        <v>24</v>
      </c>
      <c r="R112" s="20">
        <v>176</v>
      </c>
      <c r="S112" s="20">
        <v>556</v>
      </c>
      <c r="T112" s="20">
        <v>59</v>
      </c>
      <c r="U112" s="20">
        <f t="shared" si="65"/>
        <v>3484</v>
      </c>
      <c r="V112">
        <v>898</v>
      </c>
      <c r="W112">
        <v>48</v>
      </c>
      <c r="X112">
        <v>14</v>
      </c>
      <c r="Y112">
        <v>53</v>
      </c>
      <c r="Z112">
        <v>643</v>
      </c>
      <c r="AA112">
        <v>582</v>
      </c>
      <c r="AB112">
        <v>3.63</v>
      </c>
      <c r="AC112">
        <v>16</v>
      </c>
      <c r="AD112">
        <v>14</v>
      </c>
      <c r="AE112">
        <v>48</v>
      </c>
      <c r="AF112" s="27">
        <f t="shared" ca="1" si="60"/>
        <v>6431</v>
      </c>
      <c r="AG112" s="27">
        <f t="shared" ca="1" si="66"/>
        <v>1631</v>
      </c>
      <c r="AH112" s="27">
        <f t="shared" ca="1" si="67"/>
        <v>1128</v>
      </c>
      <c r="AI112" s="27">
        <f t="shared" ca="1" si="68"/>
        <v>315</v>
      </c>
      <c r="AJ112" s="27">
        <f t="shared" ca="1" si="69"/>
        <v>36</v>
      </c>
      <c r="AK112" s="27">
        <f t="shared" ca="1" si="70"/>
        <v>152</v>
      </c>
      <c r="AL112" s="27">
        <f t="shared" ca="1" si="71"/>
        <v>497</v>
      </c>
      <c r="AM112" s="27">
        <f t="shared" ca="1" si="72"/>
        <v>56</v>
      </c>
      <c r="AN112" s="27">
        <f t="shared" ca="1" si="73"/>
        <v>4247</v>
      </c>
      <c r="AO112">
        <v>4325</v>
      </c>
      <c r="AP112">
        <v>1336</v>
      </c>
      <c r="AQ112">
        <v>140</v>
      </c>
      <c r="AR112">
        <v>499</v>
      </c>
      <c r="AS112">
        <v>1018</v>
      </c>
      <c r="AT112">
        <v>107</v>
      </c>
      <c r="AU112">
        <v>145</v>
      </c>
      <c r="AV112">
        <v>0.98299999999999998</v>
      </c>
      <c r="AW112" s="1"/>
      <c r="AX112" s="29" t="s">
        <v>140</v>
      </c>
      <c r="AY112" s="29">
        <f t="shared" si="74"/>
        <v>29700</v>
      </c>
      <c r="AZ112" s="31">
        <f t="shared" si="75"/>
        <v>166737</v>
      </c>
      <c r="BA112" s="31">
        <f t="shared" ref="BA112" si="117">SUMIF($B$2:$B$571,$B112,$U$2:$U$571)</f>
        <v>104942</v>
      </c>
      <c r="BB112" s="30">
        <f t="shared" si="77"/>
        <v>0.62938639893964743</v>
      </c>
    </row>
    <row r="113" spans="2:54" x14ac:dyDescent="0.5">
      <c r="B113" s="4">
        <v>2003</v>
      </c>
      <c r="C113" t="s">
        <v>80</v>
      </c>
      <c r="D113" t="s">
        <v>81</v>
      </c>
      <c r="E113">
        <v>3</v>
      </c>
      <c r="F113" t="s">
        <v>38</v>
      </c>
      <c r="G113" t="s">
        <v>38</v>
      </c>
      <c r="H113" t="s">
        <v>38</v>
      </c>
      <c r="I113" t="s">
        <v>38</v>
      </c>
      <c r="J113">
        <v>86</v>
      </c>
      <c r="K113">
        <v>76</v>
      </c>
      <c r="L113">
        <v>791</v>
      </c>
      <c r="M113" s="20">
        <v>5543</v>
      </c>
      <c r="N113" s="20">
        <v>1448</v>
      </c>
      <c r="O113" s="20">
        <f t="shared" si="64"/>
        <v>930</v>
      </c>
      <c r="P113" s="20">
        <v>325</v>
      </c>
      <c r="Q113" s="20">
        <v>27</v>
      </c>
      <c r="R113" s="20">
        <v>166</v>
      </c>
      <c r="S113" s="20">
        <v>651</v>
      </c>
      <c r="T113" s="20">
        <v>55</v>
      </c>
      <c r="U113" s="20">
        <f t="shared" si="65"/>
        <v>3389</v>
      </c>
      <c r="V113">
        <v>1155</v>
      </c>
      <c r="W113">
        <v>72</v>
      </c>
      <c r="X113">
        <v>29</v>
      </c>
      <c r="Y113">
        <v>38</v>
      </c>
      <c r="Z113">
        <v>697</v>
      </c>
      <c r="AA113">
        <v>648</v>
      </c>
      <c r="AB113">
        <v>4.04</v>
      </c>
      <c r="AC113">
        <v>9</v>
      </c>
      <c r="AD113">
        <v>13</v>
      </c>
      <c r="AE113">
        <v>33</v>
      </c>
      <c r="AF113" s="27">
        <f t="shared" ca="1" si="60"/>
        <v>6468</v>
      </c>
      <c r="AG113" s="27">
        <f t="shared" ca="1" si="66"/>
        <v>1313</v>
      </c>
      <c r="AH113" s="27">
        <f t="shared" ca="1" si="67"/>
        <v>796</v>
      </c>
      <c r="AI113" s="27">
        <f t="shared" ca="1" si="68"/>
        <v>258</v>
      </c>
      <c r="AJ113" s="27">
        <f t="shared" ca="1" si="69"/>
        <v>23</v>
      </c>
      <c r="AK113" s="27">
        <f t="shared" ca="1" si="70"/>
        <v>236</v>
      </c>
      <c r="AL113" s="27">
        <f t="shared" ca="1" si="71"/>
        <v>626</v>
      </c>
      <c r="AM113" s="27">
        <f t="shared" ca="1" si="72"/>
        <v>40</v>
      </c>
      <c r="AN113" s="27">
        <f t="shared" ca="1" si="73"/>
        <v>4489</v>
      </c>
      <c r="AO113">
        <v>4331</v>
      </c>
      <c r="AP113">
        <v>1386</v>
      </c>
      <c r="AQ113">
        <v>142</v>
      </c>
      <c r="AR113">
        <v>536</v>
      </c>
      <c r="AS113">
        <v>1060</v>
      </c>
      <c r="AT113">
        <v>97</v>
      </c>
      <c r="AU113">
        <v>146</v>
      </c>
      <c r="AV113">
        <v>0.98399999999999999</v>
      </c>
      <c r="AW113" s="1"/>
      <c r="AX113" s="29"/>
      <c r="AY113" s="29"/>
      <c r="AZ113" s="31"/>
      <c r="BA113" s="31"/>
      <c r="BB113" s="30"/>
    </row>
    <row r="114" spans="2:54" x14ac:dyDescent="0.5">
      <c r="B114" s="4">
        <v>2003</v>
      </c>
      <c r="C114" t="s">
        <v>82</v>
      </c>
      <c r="D114" t="s">
        <v>83</v>
      </c>
      <c r="E114">
        <v>4</v>
      </c>
      <c r="F114" t="s">
        <v>38</v>
      </c>
      <c r="G114" t="s">
        <v>38</v>
      </c>
      <c r="H114" t="s">
        <v>38</v>
      </c>
      <c r="I114" t="s">
        <v>38</v>
      </c>
      <c r="J114">
        <v>75</v>
      </c>
      <c r="K114">
        <v>87</v>
      </c>
      <c r="L114">
        <v>753</v>
      </c>
      <c r="M114" s="20">
        <v>5581</v>
      </c>
      <c r="N114" s="20">
        <v>1492</v>
      </c>
      <c r="O114" s="20">
        <f t="shared" si="64"/>
        <v>1009</v>
      </c>
      <c r="P114" s="20">
        <v>275</v>
      </c>
      <c r="Q114" s="20">
        <v>45</v>
      </c>
      <c r="R114" s="20">
        <v>163</v>
      </c>
      <c r="S114" s="20">
        <v>529</v>
      </c>
      <c r="T114" s="20">
        <v>87</v>
      </c>
      <c r="U114" s="20">
        <f t="shared" si="65"/>
        <v>3473</v>
      </c>
      <c r="V114">
        <v>1049</v>
      </c>
      <c r="W114">
        <v>86</v>
      </c>
      <c r="X114">
        <v>37</v>
      </c>
      <c r="Y114">
        <v>38</v>
      </c>
      <c r="Z114">
        <v>801</v>
      </c>
      <c r="AA114">
        <v>744</v>
      </c>
      <c r="AB114">
        <v>4.6399999999999997</v>
      </c>
      <c r="AC114">
        <v>7</v>
      </c>
      <c r="AD114">
        <v>10</v>
      </c>
      <c r="AE114">
        <v>44</v>
      </c>
      <c r="AF114" s="27">
        <f t="shared" ca="1" si="60"/>
        <v>6192</v>
      </c>
      <c r="AG114" s="27">
        <f t="shared" ca="1" si="66"/>
        <v>1429</v>
      </c>
      <c r="AH114" s="27">
        <f t="shared" ca="1" si="67"/>
        <v>916</v>
      </c>
      <c r="AI114" s="27">
        <f t="shared" ca="1" si="68"/>
        <v>278</v>
      </c>
      <c r="AJ114" s="27">
        <f t="shared" ca="1" si="69"/>
        <v>31</v>
      </c>
      <c r="AK114" s="27">
        <f t="shared" ca="1" si="70"/>
        <v>204</v>
      </c>
      <c r="AL114" s="27">
        <f t="shared" ca="1" si="71"/>
        <v>415</v>
      </c>
      <c r="AM114" s="27">
        <f t="shared" ca="1" si="72"/>
        <v>82</v>
      </c>
      <c r="AN114" s="27">
        <f t="shared" ca="1" si="73"/>
        <v>4266</v>
      </c>
      <c r="AO114">
        <v>4333</v>
      </c>
      <c r="AP114">
        <v>1527</v>
      </c>
      <c r="AQ114">
        <v>178</v>
      </c>
      <c r="AR114">
        <v>502</v>
      </c>
      <c r="AS114">
        <v>926</v>
      </c>
      <c r="AT114">
        <v>123</v>
      </c>
      <c r="AU114">
        <v>159</v>
      </c>
      <c r="AV114">
        <v>0.98</v>
      </c>
      <c r="AW114" s="1">
        <v>2014</v>
      </c>
      <c r="AX114" s="29" t="s">
        <v>134</v>
      </c>
      <c r="AY114" s="29">
        <f t="shared" si="74"/>
        <v>29700</v>
      </c>
      <c r="AZ114" s="31">
        <f t="shared" si="75"/>
        <v>166737</v>
      </c>
      <c r="BA114" s="31">
        <f t="shared" ref="BA114" si="118">SUMIF($B$2:$B$571,$B114,$O$2:$O$571)</f>
        <v>29089</v>
      </c>
      <c r="BB114" s="30">
        <f t="shared" si="77"/>
        <v>0.17446037772060191</v>
      </c>
    </row>
    <row r="115" spans="2:54" x14ac:dyDescent="0.5">
      <c r="B115" s="4">
        <v>2003</v>
      </c>
      <c r="C115" t="s">
        <v>84</v>
      </c>
      <c r="D115" t="s">
        <v>85</v>
      </c>
      <c r="E115">
        <v>5</v>
      </c>
      <c r="F115" t="s">
        <v>38</v>
      </c>
      <c r="G115" t="s">
        <v>38</v>
      </c>
      <c r="H115" t="s">
        <v>38</v>
      </c>
      <c r="I115" t="s">
        <v>38</v>
      </c>
      <c r="J115">
        <v>64</v>
      </c>
      <c r="K115">
        <v>98</v>
      </c>
      <c r="L115">
        <v>678</v>
      </c>
      <c r="M115" s="20">
        <v>5531</v>
      </c>
      <c r="N115" s="20">
        <v>1442</v>
      </c>
      <c r="O115" s="20">
        <f t="shared" si="64"/>
        <v>1025</v>
      </c>
      <c r="P115" s="20">
        <v>257</v>
      </c>
      <c r="Q115" s="20">
        <v>32</v>
      </c>
      <c r="R115" s="20">
        <v>128</v>
      </c>
      <c r="S115" s="20">
        <v>565</v>
      </c>
      <c r="T115" s="20">
        <v>57</v>
      </c>
      <c r="U115" s="20">
        <f t="shared" si="65"/>
        <v>3467</v>
      </c>
      <c r="V115">
        <v>1073</v>
      </c>
      <c r="W115">
        <v>76</v>
      </c>
      <c r="X115">
        <v>39</v>
      </c>
      <c r="Y115">
        <v>42</v>
      </c>
      <c r="Z115">
        <v>831</v>
      </c>
      <c r="AA115">
        <v>774</v>
      </c>
      <c r="AB115">
        <v>4.87</v>
      </c>
      <c r="AC115">
        <v>2</v>
      </c>
      <c r="AD115">
        <v>10</v>
      </c>
      <c r="AE115">
        <v>31</v>
      </c>
      <c r="AF115" s="27">
        <f t="shared" ca="1" si="60"/>
        <v>6464</v>
      </c>
      <c r="AG115" s="27">
        <f t="shared" ca="1" si="66"/>
        <v>1459</v>
      </c>
      <c r="AH115" s="27">
        <f t="shared" ca="1" si="67"/>
        <v>877</v>
      </c>
      <c r="AI115" s="27">
        <f t="shared" ca="1" si="68"/>
        <v>396</v>
      </c>
      <c r="AJ115" s="27">
        <f t="shared" ca="1" si="69"/>
        <v>50</v>
      </c>
      <c r="AK115" s="27">
        <f t="shared" ca="1" si="70"/>
        <v>136</v>
      </c>
      <c r="AL115" s="27">
        <f t="shared" ca="1" si="71"/>
        <v>465</v>
      </c>
      <c r="AM115" s="27">
        <f t="shared" ca="1" si="72"/>
        <v>47</v>
      </c>
      <c r="AN115" s="27">
        <f t="shared" ca="1" si="73"/>
        <v>4493</v>
      </c>
      <c r="AO115">
        <v>4294</v>
      </c>
      <c r="AP115">
        <v>1458</v>
      </c>
      <c r="AQ115">
        <v>208</v>
      </c>
      <c r="AR115">
        <v>611</v>
      </c>
      <c r="AS115">
        <v>1091</v>
      </c>
      <c r="AT115">
        <v>102</v>
      </c>
      <c r="AU115">
        <v>141</v>
      </c>
      <c r="AV115">
        <v>0.98299999999999998</v>
      </c>
      <c r="AW115" s="1"/>
      <c r="AX115" s="29" t="s">
        <v>135</v>
      </c>
      <c r="AY115" s="29">
        <f t="shared" si="74"/>
        <v>29700</v>
      </c>
      <c r="AZ115" s="31">
        <f t="shared" si="75"/>
        <v>166737</v>
      </c>
      <c r="BA115" s="31">
        <f t="shared" ref="BA115" si="119">SUMIF($B$2:$B$571,$B115,$P$2:$P$571)</f>
        <v>8827</v>
      </c>
      <c r="BB115" s="30">
        <f t="shared" si="77"/>
        <v>5.2939659463706316E-2</v>
      </c>
    </row>
    <row r="116" spans="2:54" x14ac:dyDescent="0.5">
      <c r="B116" s="4">
        <v>2003</v>
      </c>
      <c r="C116" t="s">
        <v>86</v>
      </c>
      <c r="D116" t="s">
        <v>87</v>
      </c>
      <c r="E116">
        <v>2</v>
      </c>
      <c r="F116" t="s">
        <v>38</v>
      </c>
      <c r="G116" t="s">
        <v>38</v>
      </c>
      <c r="H116" t="s">
        <v>38</v>
      </c>
      <c r="I116" t="s">
        <v>38</v>
      </c>
      <c r="J116">
        <v>93</v>
      </c>
      <c r="K116">
        <v>69</v>
      </c>
      <c r="L116">
        <v>795</v>
      </c>
      <c r="M116" s="20">
        <v>5561</v>
      </c>
      <c r="N116" s="20">
        <v>1509</v>
      </c>
      <c r="O116" s="20">
        <f t="shared" si="64"/>
        <v>1047</v>
      </c>
      <c r="P116" s="20">
        <v>290</v>
      </c>
      <c r="Q116" s="20">
        <v>33</v>
      </c>
      <c r="R116" s="20">
        <v>139</v>
      </c>
      <c r="S116" s="20">
        <v>586</v>
      </c>
      <c r="T116" s="20">
        <v>53</v>
      </c>
      <c r="U116" s="20">
        <f t="shared" si="65"/>
        <v>3413</v>
      </c>
      <c r="V116">
        <v>989</v>
      </c>
      <c r="W116">
        <v>108</v>
      </c>
      <c r="X116">
        <v>37</v>
      </c>
      <c r="Y116">
        <v>46</v>
      </c>
      <c r="Z116">
        <v>637</v>
      </c>
      <c r="AA116">
        <v>602</v>
      </c>
      <c r="AB116">
        <v>3.76</v>
      </c>
      <c r="AC116">
        <v>8</v>
      </c>
      <c r="AD116">
        <v>15</v>
      </c>
      <c r="AE116">
        <v>38</v>
      </c>
      <c r="AF116" s="27">
        <f t="shared" ca="1" si="60"/>
        <v>6081</v>
      </c>
      <c r="AG116" s="27">
        <f t="shared" ca="1" si="66"/>
        <v>1636</v>
      </c>
      <c r="AH116" s="27">
        <f t="shared" ca="1" si="67"/>
        <v>1147</v>
      </c>
      <c r="AI116" s="27">
        <f t="shared" ca="1" si="68"/>
        <v>283</v>
      </c>
      <c r="AJ116" s="27">
        <f t="shared" ca="1" si="69"/>
        <v>24</v>
      </c>
      <c r="AK116" s="27">
        <f t="shared" ca="1" si="70"/>
        <v>182</v>
      </c>
      <c r="AL116" s="27">
        <f t="shared" ca="1" si="71"/>
        <v>680</v>
      </c>
      <c r="AM116" s="27">
        <f t="shared" ca="1" si="72"/>
        <v>85</v>
      </c>
      <c r="AN116" s="27">
        <f t="shared" ca="1" si="73"/>
        <v>3680</v>
      </c>
      <c r="AO116">
        <v>4323</v>
      </c>
      <c r="AP116">
        <v>1340</v>
      </c>
      <c r="AQ116">
        <v>173</v>
      </c>
      <c r="AR116">
        <v>466</v>
      </c>
      <c r="AS116">
        <v>1001</v>
      </c>
      <c r="AT116">
        <v>65</v>
      </c>
      <c r="AU116">
        <v>159</v>
      </c>
      <c r="AV116">
        <v>0.98899999999999999</v>
      </c>
      <c r="AW116" s="1"/>
      <c r="AX116" s="29" t="s">
        <v>136</v>
      </c>
      <c r="AY116" s="29">
        <f t="shared" si="74"/>
        <v>29700</v>
      </c>
      <c r="AZ116" s="31">
        <f t="shared" si="75"/>
        <v>166737</v>
      </c>
      <c r="BA116" s="31">
        <f t="shared" ref="BA116" si="120">SUMIF($B$2:$B$571,$B116,$Q$2:$Q$571)</f>
        <v>934</v>
      </c>
      <c r="BB116" s="30">
        <f t="shared" si="77"/>
        <v>5.6016361095617652E-3</v>
      </c>
    </row>
    <row r="117" spans="2:54" x14ac:dyDescent="0.5">
      <c r="B117" s="4">
        <v>2003</v>
      </c>
      <c r="C117" t="s">
        <v>88</v>
      </c>
      <c r="D117" t="s">
        <v>89</v>
      </c>
      <c r="E117">
        <v>1</v>
      </c>
      <c r="F117" t="s">
        <v>43</v>
      </c>
      <c r="G117" t="s">
        <v>38</v>
      </c>
      <c r="H117" t="s">
        <v>38</v>
      </c>
      <c r="I117" t="s">
        <v>38</v>
      </c>
      <c r="J117">
        <v>100</v>
      </c>
      <c r="K117">
        <v>61</v>
      </c>
      <c r="L117">
        <v>755</v>
      </c>
      <c r="M117" s="20">
        <v>5456</v>
      </c>
      <c r="N117" s="20">
        <v>1440</v>
      </c>
      <c r="O117" s="20">
        <f t="shared" si="64"/>
        <v>950</v>
      </c>
      <c r="P117" s="20">
        <v>281</v>
      </c>
      <c r="Q117" s="20">
        <v>29</v>
      </c>
      <c r="R117" s="20">
        <v>180</v>
      </c>
      <c r="S117" s="20">
        <v>593</v>
      </c>
      <c r="T117" s="20">
        <v>40</v>
      </c>
      <c r="U117" s="20">
        <f t="shared" si="65"/>
        <v>3383</v>
      </c>
      <c r="V117">
        <v>980</v>
      </c>
      <c r="W117">
        <v>53</v>
      </c>
      <c r="X117">
        <v>37</v>
      </c>
      <c r="Y117">
        <v>39</v>
      </c>
      <c r="Z117">
        <v>638</v>
      </c>
      <c r="AA117">
        <v>595</v>
      </c>
      <c r="AB117">
        <v>3.73</v>
      </c>
      <c r="AC117">
        <v>7</v>
      </c>
      <c r="AD117">
        <v>10</v>
      </c>
      <c r="AE117">
        <v>43</v>
      </c>
      <c r="AF117" s="27">
        <f t="shared" ca="1" si="60"/>
        <v>6322</v>
      </c>
      <c r="AG117" s="27">
        <f t="shared" ca="1" si="66"/>
        <v>1537</v>
      </c>
      <c r="AH117" s="27">
        <f t="shared" ca="1" si="67"/>
        <v>929</v>
      </c>
      <c r="AI117" s="27">
        <f t="shared" ca="1" si="68"/>
        <v>396</v>
      </c>
      <c r="AJ117" s="27">
        <f t="shared" ca="1" si="69"/>
        <v>20</v>
      </c>
      <c r="AK117" s="27">
        <f t="shared" ca="1" si="70"/>
        <v>192</v>
      </c>
      <c r="AL117" s="27">
        <f t="shared" ca="1" si="71"/>
        <v>516</v>
      </c>
      <c r="AM117" s="27">
        <f t="shared" ca="1" si="72"/>
        <v>84</v>
      </c>
      <c r="AN117" s="27">
        <f t="shared" ca="1" si="73"/>
        <v>4185</v>
      </c>
      <c r="AO117">
        <v>4312</v>
      </c>
      <c r="AP117">
        <v>1349</v>
      </c>
      <c r="AQ117">
        <v>136</v>
      </c>
      <c r="AR117">
        <v>546</v>
      </c>
      <c r="AS117">
        <v>1006</v>
      </c>
      <c r="AT117">
        <v>80</v>
      </c>
      <c r="AU117">
        <v>163</v>
      </c>
      <c r="AV117">
        <v>0.98699999999999999</v>
      </c>
      <c r="AW117" s="1"/>
      <c r="AX117" s="29" t="s">
        <v>137</v>
      </c>
      <c r="AY117" s="29">
        <f t="shared" si="74"/>
        <v>29700</v>
      </c>
      <c r="AZ117" s="31">
        <f t="shared" si="75"/>
        <v>166737</v>
      </c>
      <c r="BA117" s="31">
        <f t="shared" ref="BA117" si="121">SUMIF($B$2:$B$571,$B117,$R$2:$R$571)</f>
        <v>5207</v>
      </c>
      <c r="BB117" s="30">
        <f t="shared" si="77"/>
        <v>3.1228821437353439E-2</v>
      </c>
    </row>
    <row r="118" spans="2:54" x14ac:dyDescent="0.5">
      <c r="B118" s="4">
        <v>2003</v>
      </c>
      <c r="C118" t="s">
        <v>90</v>
      </c>
      <c r="D118" t="s">
        <v>91</v>
      </c>
      <c r="E118">
        <v>3</v>
      </c>
      <c r="F118" t="s">
        <v>38</v>
      </c>
      <c r="G118" t="s">
        <v>38</v>
      </c>
      <c r="H118" t="s">
        <v>38</v>
      </c>
      <c r="I118" t="s">
        <v>38</v>
      </c>
      <c r="J118">
        <v>85</v>
      </c>
      <c r="K118">
        <v>77</v>
      </c>
      <c r="L118">
        <v>876</v>
      </c>
      <c r="M118" s="20">
        <v>5672</v>
      </c>
      <c r="N118" s="20">
        <v>1580</v>
      </c>
      <c r="O118" s="20">
        <f t="shared" si="64"/>
        <v>1010</v>
      </c>
      <c r="P118" s="20">
        <v>342</v>
      </c>
      <c r="Q118" s="20">
        <v>32</v>
      </c>
      <c r="R118" s="20">
        <v>196</v>
      </c>
      <c r="S118" s="20">
        <v>580</v>
      </c>
      <c r="T118" s="20">
        <v>73</v>
      </c>
      <c r="U118" s="20">
        <f t="shared" si="65"/>
        <v>3439</v>
      </c>
      <c r="V118">
        <v>952</v>
      </c>
      <c r="W118">
        <v>82</v>
      </c>
      <c r="X118">
        <v>32</v>
      </c>
      <c r="Y118">
        <v>54</v>
      </c>
      <c r="Z118">
        <v>796</v>
      </c>
      <c r="AA118">
        <v>748</v>
      </c>
      <c r="AB118">
        <v>4.5999999999999996</v>
      </c>
      <c r="AC118">
        <v>9</v>
      </c>
      <c r="AD118">
        <v>10</v>
      </c>
      <c r="AE118">
        <v>41</v>
      </c>
      <c r="AF118" s="27">
        <f t="shared" ref="AF118:AF181" ca="1" si="122">RANDBETWEEN(6049,6490)</f>
        <v>6080</v>
      </c>
      <c r="AG118" s="27">
        <f t="shared" ca="1" si="66"/>
        <v>1531</v>
      </c>
      <c r="AH118" s="27">
        <f t="shared" ca="1" si="67"/>
        <v>937</v>
      </c>
      <c r="AI118" s="27">
        <f t="shared" ca="1" si="68"/>
        <v>375</v>
      </c>
      <c r="AJ118" s="27">
        <f t="shared" ca="1" si="69"/>
        <v>26</v>
      </c>
      <c r="AK118" s="27">
        <f t="shared" ca="1" si="70"/>
        <v>193</v>
      </c>
      <c r="AL118" s="27">
        <f t="shared" ca="1" si="71"/>
        <v>633</v>
      </c>
      <c r="AM118" s="27">
        <f t="shared" ca="1" si="72"/>
        <v>64</v>
      </c>
      <c r="AN118" s="27">
        <f t="shared" ca="1" si="73"/>
        <v>3852</v>
      </c>
      <c r="AO118">
        <v>4391</v>
      </c>
      <c r="AP118">
        <v>1544</v>
      </c>
      <c r="AQ118">
        <v>210</v>
      </c>
      <c r="AR118">
        <v>508</v>
      </c>
      <c r="AS118">
        <v>969</v>
      </c>
      <c r="AT118">
        <v>77</v>
      </c>
      <c r="AU118">
        <v>138</v>
      </c>
      <c r="AV118">
        <v>0.98699999999999999</v>
      </c>
      <c r="AW118" s="1"/>
      <c r="AX118" s="29" t="s">
        <v>138</v>
      </c>
      <c r="AY118" s="29">
        <f t="shared" si="74"/>
        <v>29700</v>
      </c>
      <c r="AZ118" s="31">
        <f t="shared" si="75"/>
        <v>166737</v>
      </c>
      <c r="BA118" s="31">
        <f t="shared" ref="BA118" si="123">SUMIF($B$2:$B$571,$B118,$S$2:$S$571)</f>
        <v>15889</v>
      </c>
      <c r="BB118" s="30">
        <f t="shared" si="77"/>
        <v>9.5293786022298585E-2</v>
      </c>
    </row>
    <row r="119" spans="2:54" x14ac:dyDescent="0.5">
      <c r="B119" s="4">
        <v>2003</v>
      </c>
      <c r="C119" t="s">
        <v>92</v>
      </c>
      <c r="D119" t="s">
        <v>93</v>
      </c>
      <c r="E119">
        <v>5</v>
      </c>
      <c r="F119" t="s">
        <v>38</v>
      </c>
      <c r="G119" t="s">
        <v>38</v>
      </c>
      <c r="H119" t="s">
        <v>38</v>
      </c>
      <c r="I119" t="s">
        <v>38</v>
      </c>
      <c r="J119">
        <v>63</v>
      </c>
      <c r="K119">
        <v>99</v>
      </c>
      <c r="L119">
        <v>715</v>
      </c>
      <c r="M119" s="20">
        <v>5654</v>
      </c>
      <c r="N119" s="20">
        <v>1501</v>
      </c>
      <c r="O119" s="20">
        <f t="shared" si="64"/>
        <v>1028</v>
      </c>
      <c r="P119" s="20">
        <v>298</v>
      </c>
      <c r="Q119" s="20">
        <v>38</v>
      </c>
      <c r="R119" s="20">
        <v>137</v>
      </c>
      <c r="S119" s="20">
        <v>420</v>
      </c>
      <c r="T119" s="20">
        <v>56</v>
      </c>
      <c r="U119" s="20">
        <f t="shared" si="65"/>
        <v>3677</v>
      </c>
      <c r="V119">
        <v>1030</v>
      </c>
      <c r="W119">
        <v>142</v>
      </c>
      <c r="X119">
        <v>42</v>
      </c>
      <c r="Y119">
        <v>50</v>
      </c>
      <c r="Z119">
        <v>852</v>
      </c>
      <c r="AA119">
        <v>787</v>
      </c>
      <c r="AB119">
        <v>4.93</v>
      </c>
      <c r="AC119">
        <v>7</v>
      </c>
      <c r="AD119">
        <v>7</v>
      </c>
      <c r="AE119">
        <v>30</v>
      </c>
      <c r="AF119" s="27">
        <f t="shared" ca="1" si="122"/>
        <v>6205</v>
      </c>
      <c r="AG119" s="27">
        <f t="shared" ca="1" si="66"/>
        <v>1369</v>
      </c>
      <c r="AH119" s="27">
        <f t="shared" ca="1" si="67"/>
        <v>771</v>
      </c>
      <c r="AI119" s="27">
        <f t="shared" ca="1" si="68"/>
        <v>361</v>
      </c>
      <c r="AJ119" s="27">
        <f t="shared" ca="1" si="69"/>
        <v>50</v>
      </c>
      <c r="AK119" s="27">
        <f t="shared" ca="1" si="70"/>
        <v>187</v>
      </c>
      <c r="AL119" s="27">
        <f t="shared" ca="1" si="71"/>
        <v>416</v>
      </c>
      <c r="AM119" s="27">
        <f t="shared" ca="1" si="72"/>
        <v>66</v>
      </c>
      <c r="AN119" s="27">
        <f t="shared" ca="1" si="73"/>
        <v>4354</v>
      </c>
      <c r="AO119">
        <v>4310</v>
      </c>
      <c r="AP119">
        <v>1454</v>
      </c>
      <c r="AQ119">
        <v>196</v>
      </c>
      <c r="AR119">
        <v>639</v>
      </c>
      <c r="AS119">
        <v>877</v>
      </c>
      <c r="AT119">
        <v>103</v>
      </c>
      <c r="AU119">
        <v>158</v>
      </c>
      <c r="AV119">
        <v>0.98299999999999998</v>
      </c>
      <c r="AW119" s="1"/>
      <c r="AX119" s="29" t="s">
        <v>139</v>
      </c>
      <c r="AY119" s="29">
        <f t="shared" si="74"/>
        <v>29700</v>
      </c>
      <c r="AZ119" s="31">
        <f t="shared" si="75"/>
        <v>166737</v>
      </c>
      <c r="BA119" s="31">
        <f t="shared" ref="BA119" si="124">SUMIF($B$2:$B$571,$B119,$T$2:$T$571)</f>
        <v>1849</v>
      </c>
      <c r="BB119" s="30">
        <f t="shared" si="77"/>
        <v>1.1089320306830517E-2</v>
      </c>
    </row>
    <row r="120" spans="2:54" x14ac:dyDescent="0.5">
      <c r="B120" s="4">
        <v>2003</v>
      </c>
      <c r="C120" t="s">
        <v>94</v>
      </c>
      <c r="D120" t="s">
        <v>95</v>
      </c>
      <c r="E120">
        <v>4</v>
      </c>
      <c r="F120" t="s">
        <v>38</v>
      </c>
      <c r="G120" t="s">
        <v>38</v>
      </c>
      <c r="H120" t="s">
        <v>38</v>
      </c>
      <c r="I120" t="s">
        <v>38</v>
      </c>
      <c r="J120">
        <v>71</v>
      </c>
      <c r="K120">
        <v>91</v>
      </c>
      <c r="L120">
        <v>826</v>
      </c>
      <c r="M120" s="20">
        <v>5664</v>
      </c>
      <c r="N120" s="20">
        <v>1506</v>
      </c>
      <c r="O120" s="20">
        <f t="shared" si="64"/>
        <v>957</v>
      </c>
      <c r="P120" s="20">
        <v>274</v>
      </c>
      <c r="Q120" s="20">
        <v>36</v>
      </c>
      <c r="R120" s="20">
        <v>239</v>
      </c>
      <c r="S120" s="20">
        <v>488</v>
      </c>
      <c r="T120" s="20">
        <v>75</v>
      </c>
      <c r="U120" s="20">
        <f t="shared" si="65"/>
        <v>3595</v>
      </c>
      <c r="V120">
        <v>1052</v>
      </c>
      <c r="W120">
        <v>65</v>
      </c>
      <c r="X120">
        <v>25</v>
      </c>
      <c r="Y120">
        <v>42</v>
      </c>
      <c r="Z120">
        <v>969</v>
      </c>
      <c r="AA120">
        <v>903</v>
      </c>
      <c r="AB120">
        <v>5.67</v>
      </c>
      <c r="AC120">
        <v>4</v>
      </c>
      <c r="AD120">
        <v>3</v>
      </c>
      <c r="AE120">
        <v>43</v>
      </c>
      <c r="AF120" s="27">
        <f t="shared" ca="1" si="122"/>
        <v>6407</v>
      </c>
      <c r="AG120" s="27">
        <f t="shared" ca="1" si="66"/>
        <v>1679</v>
      </c>
      <c r="AH120" s="27">
        <f t="shared" ca="1" si="67"/>
        <v>1066</v>
      </c>
      <c r="AI120" s="27">
        <f t="shared" ca="1" si="68"/>
        <v>377</v>
      </c>
      <c r="AJ120" s="27">
        <f t="shared" ca="1" si="69"/>
        <v>36</v>
      </c>
      <c r="AK120" s="27">
        <f t="shared" ca="1" si="70"/>
        <v>200</v>
      </c>
      <c r="AL120" s="27">
        <f t="shared" ca="1" si="71"/>
        <v>586</v>
      </c>
      <c r="AM120" s="27">
        <f t="shared" ca="1" si="72"/>
        <v>41</v>
      </c>
      <c r="AN120" s="27">
        <f t="shared" ca="1" si="73"/>
        <v>4101</v>
      </c>
      <c r="AO120">
        <v>4300</v>
      </c>
      <c r="AP120">
        <v>1625</v>
      </c>
      <c r="AQ120">
        <v>208</v>
      </c>
      <c r="AR120">
        <v>603</v>
      </c>
      <c r="AS120">
        <v>1009</v>
      </c>
      <c r="AT120">
        <v>94</v>
      </c>
      <c r="AU120">
        <v>168</v>
      </c>
      <c r="AV120">
        <v>0.98499999999999999</v>
      </c>
      <c r="AW120" s="1"/>
      <c r="AX120" s="29" t="s">
        <v>140</v>
      </c>
      <c r="AY120" s="29">
        <f t="shared" si="74"/>
        <v>29700</v>
      </c>
      <c r="AZ120" s="31">
        <f t="shared" si="75"/>
        <v>166737</v>
      </c>
      <c r="BA120" s="31">
        <f t="shared" ref="BA120" si="125">SUMIF($B$2:$B$571,$B120,$U$2:$U$571)</f>
        <v>104942</v>
      </c>
      <c r="BB120" s="30">
        <f t="shared" si="77"/>
        <v>0.62938639893964743</v>
      </c>
    </row>
    <row r="121" spans="2:54" x14ac:dyDescent="0.5">
      <c r="B121" s="4">
        <v>2003</v>
      </c>
      <c r="C121" t="s">
        <v>96</v>
      </c>
      <c r="D121" t="s">
        <v>97</v>
      </c>
      <c r="E121">
        <v>3</v>
      </c>
      <c r="F121" t="s">
        <v>38</v>
      </c>
      <c r="G121" t="s">
        <v>38</v>
      </c>
      <c r="H121" t="s">
        <v>38</v>
      </c>
      <c r="I121" t="s">
        <v>38</v>
      </c>
      <c r="J121">
        <v>86</v>
      </c>
      <c r="K121">
        <v>76</v>
      </c>
      <c r="L121">
        <v>894</v>
      </c>
      <c r="M121" s="20">
        <v>5661</v>
      </c>
      <c r="N121" s="20">
        <v>1580</v>
      </c>
      <c r="O121" s="20">
        <f t="shared" si="64"/>
        <v>1000</v>
      </c>
      <c r="P121" s="20">
        <v>357</v>
      </c>
      <c r="Q121" s="20">
        <v>33</v>
      </c>
      <c r="R121" s="20">
        <v>190</v>
      </c>
      <c r="S121" s="20">
        <v>546</v>
      </c>
      <c r="T121" s="20">
        <v>90</v>
      </c>
      <c r="U121" s="20">
        <f t="shared" si="65"/>
        <v>3445</v>
      </c>
      <c r="V121">
        <v>1081</v>
      </c>
      <c r="W121">
        <v>37</v>
      </c>
      <c r="X121">
        <v>25</v>
      </c>
      <c r="Y121">
        <v>56</v>
      </c>
      <c r="Z121">
        <v>826</v>
      </c>
      <c r="AA121">
        <v>748</v>
      </c>
      <c r="AB121">
        <v>4.6900000000000004</v>
      </c>
      <c r="AC121">
        <v>14</v>
      </c>
      <c r="AD121">
        <v>6</v>
      </c>
      <c r="AE121">
        <v>35</v>
      </c>
      <c r="AF121" s="27">
        <f t="shared" ca="1" si="122"/>
        <v>6415</v>
      </c>
      <c r="AG121" s="27">
        <f t="shared" ca="1" si="66"/>
        <v>1694</v>
      </c>
      <c r="AH121" s="27">
        <f t="shared" ca="1" si="67"/>
        <v>1039</v>
      </c>
      <c r="AI121" s="27">
        <f t="shared" ca="1" si="68"/>
        <v>382</v>
      </c>
      <c r="AJ121" s="27">
        <f t="shared" ca="1" si="69"/>
        <v>35</v>
      </c>
      <c r="AK121" s="27">
        <f t="shared" ca="1" si="70"/>
        <v>238</v>
      </c>
      <c r="AL121" s="27">
        <f t="shared" ca="1" si="71"/>
        <v>673</v>
      </c>
      <c r="AM121" s="27">
        <f t="shared" ca="1" si="72"/>
        <v>84</v>
      </c>
      <c r="AN121" s="27">
        <f t="shared" ca="1" si="73"/>
        <v>3964</v>
      </c>
      <c r="AO121">
        <v>4305</v>
      </c>
      <c r="AP121">
        <v>1560</v>
      </c>
      <c r="AQ121">
        <v>184</v>
      </c>
      <c r="AR121">
        <v>485</v>
      </c>
      <c r="AS121">
        <v>984</v>
      </c>
      <c r="AT121">
        <v>117</v>
      </c>
      <c r="AU121">
        <v>161</v>
      </c>
      <c r="AV121">
        <v>0.98099999999999998</v>
      </c>
      <c r="AW121" s="1"/>
      <c r="AX121" s="29"/>
      <c r="AY121" s="29"/>
      <c r="AZ121" s="31"/>
      <c r="BA121" s="31"/>
      <c r="BB121" s="30"/>
    </row>
    <row r="122" spans="2:54" x14ac:dyDescent="0.5">
      <c r="B122" s="4">
        <v>2004</v>
      </c>
      <c r="C122" t="s">
        <v>36</v>
      </c>
      <c r="D122" t="s">
        <v>37</v>
      </c>
      <c r="E122">
        <v>1</v>
      </c>
      <c r="F122" t="s">
        <v>43</v>
      </c>
      <c r="G122" t="s">
        <v>38</v>
      </c>
      <c r="H122" t="s">
        <v>38</v>
      </c>
      <c r="I122" t="s">
        <v>38</v>
      </c>
      <c r="J122">
        <v>92</v>
      </c>
      <c r="K122">
        <v>70</v>
      </c>
      <c r="L122">
        <v>836</v>
      </c>
      <c r="M122" s="20">
        <v>5675</v>
      </c>
      <c r="N122" s="20">
        <v>1603</v>
      </c>
      <c r="O122" s="20">
        <f t="shared" si="64"/>
        <v>1132</v>
      </c>
      <c r="P122" s="20">
        <v>272</v>
      </c>
      <c r="Q122" s="20">
        <v>37</v>
      </c>
      <c r="R122" s="20">
        <v>162</v>
      </c>
      <c r="S122" s="20">
        <v>450</v>
      </c>
      <c r="T122" s="20">
        <v>73</v>
      </c>
      <c r="U122" s="20">
        <f t="shared" si="65"/>
        <v>3549</v>
      </c>
      <c r="V122">
        <v>942</v>
      </c>
      <c r="W122">
        <v>143</v>
      </c>
      <c r="X122">
        <v>46</v>
      </c>
      <c r="Y122">
        <v>41</v>
      </c>
      <c r="Z122">
        <v>734</v>
      </c>
      <c r="AA122">
        <v>692</v>
      </c>
      <c r="AB122">
        <v>4.28</v>
      </c>
      <c r="AC122">
        <v>2</v>
      </c>
      <c r="AD122">
        <v>11</v>
      </c>
      <c r="AE122">
        <v>50</v>
      </c>
      <c r="AF122" s="27">
        <f t="shared" ca="1" si="122"/>
        <v>6435</v>
      </c>
      <c r="AG122" s="27">
        <f t="shared" ca="1" si="66"/>
        <v>1450</v>
      </c>
      <c r="AH122" s="27">
        <f t="shared" ca="1" si="67"/>
        <v>952</v>
      </c>
      <c r="AI122" s="27">
        <f t="shared" ca="1" si="68"/>
        <v>299</v>
      </c>
      <c r="AJ122" s="27">
        <f t="shared" ca="1" si="69"/>
        <v>42</v>
      </c>
      <c r="AK122" s="27">
        <f t="shared" ca="1" si="70"/>
        <v>157</v>
      </c>
      <c r="AL122" s="27">
        <f t="shared" ca="1" si="71"/>
        <v>538</v>
      </c>
      <c r="AM122" s="27">
        <f t="shared" ca="1" si="72"/>
        <v>83</v>
      </c>
      <c r="AN122" s="27">
        <f t="shared" ca="1" si="73"/>
        <v>4364</v>
      </c>
      <c r="AO122">
        <v>4363</v>
      </c>
      <c r="AP122">
        <v>1476</v>
      </c>
      <c r="AQ122">
        <v>170</v>
      </c>
      <c r="AR122">
        <v>502</v>
      </c>
      <c r="AS122">
        <v>1164</v>
      </c>
      <c r="AT122">
        <v>90</v>
      </c>
      <c r="AU122">
        <v>126</v>
      </c>
      <c r="AV122">
        <v>0.98499999999999999</v>
      </c>
      <c r="AW122" s="1">
        <v>2015</v>
      </c>
      <c r="AX122" s="29" t="s">
        <v>134</v>
      </c>
      <c r="AY122" s="29">
        <f t="shared" si="74"/>
        <v>29700</v>
      </c>
      <c r="AZ122" s="31">
        <f t="shared" si="75"/>
        <v>167353</v>
      </c>
      <c r="BA122" s="31">
        <f t="shared" ref="BA122" si="126">SUMIF($B$2:$B$571,$B122,$O$2:$O$571)</f>
        <v>29254</v>
      </c>
      <c r="BB122" s="30">
        <f t="shared" si="77"/>
        <v>0.17480415648360054</v>
      </c>
    </row>
    <row r="123" spans="2:54" x14ac:dyDescent="0.5">
      <c r="B123" s="4">
        <v>2004</v>
      </c>
      <c r="C123" t="s">
        <v>39</v>
      </c>
      <c r="D123" t="s">
        <v>40</v>
      </c>
      <c r="E123">
        <v>5</v>
      </c>
      <c r="F123" t="s">
        <v>38</v>
      </c>
      <c r="G123" t="s">
        <v>38</v>
      </c>
      <c r="H123" t="s">
        <v>38</v>
      </c>
      <c r="I123" t="s">
        <v>38</v>
      </c>
      <c r="J123">
        <v>51</v>
      </c>
      <c r="K123">
        <v>111</v>
      </c>
      <c r="L123">
        <v>615</v>
      </c>
      <c r="M123" s="20">
        <v>5544</v>
      </c>
      <c r="N123" s="20">
        <v>1401</v>
      </c>
      <c r="O123" s="20">
        <f t="shared" si="64"/>
        <v>933</v>
      </c>
      <c r="P123" s="20">
        <v>295</v>
      </c>
      <c r="Q123" s="20">
        <v>38</v>
      </c>
      <c r="R123" s="20">
        <v>135</v>
      </c>
      <c r="S123" s="20">
        <v>441</v>
      </c>
      <c r="T123" s="20">
        <v>35</v>
      </c>
      <c r="U123" s="20">
        <f t="shared" si="65"/>
        <v>3667</v>
      </c>
      <c r="V123">
        <v>1022</v>
      </c>
      <c r="W123">
        <v>53</v>
      </c>
      <c r="X123">
        <v>32</v>
      </c>
      <c r="Y123">
        <v>37</v>
      </c>
      <c r="Z123">
        <v>899</v>
      </c>
      <c r="AA123">
        <v>794</v>
      </c>
      <c r="AB123">
        <v>4.9800000000000004</v>
      </c>
      <c r="AC123">
        <v>5</v>
      </c>
      <c r="AD123">
        <v>6</v>
      </c>
      <c r="AE123">
        <v>33</v>
      </c>
      <c r="AF123" s="27">
        <f t="shared" ca="1" si="122"/>
        <v>6293</v>
      </c>
      <c r="AG123" s="27">
        <f t="shared" ca="1" si="66"/>
        <v>1555</v>
      </c>
      <c r="AH123" s="27">
        <f t="shared" ca="1" si="67"/>
        <v>1050</v>
      </c>
      <c r="AI123" s="27">
        <f t="shared" ca="1" si="68"/>
        <v>272</v>
      </c>
      <c r="AJ123" s="27">
        <f t="shared" ca="1" si="69"/>
        <v>22</v>
      </c>
      <c r="AK123" s="27">
        <f t="shared" ca="1" si="70"/>
        <v>211</v>
      </c>
      <c r="AL123" s="27">
        <f t="shared" ca="1" si="71"/>
        <v>671</v>
      </c>
      <c r="AM123" s="27">
        <f t="shared" ca="1" si="72"/>
        <v>43</v>
      </c>
      <c r="AN123" s="27">
        <f t="shared" ca="1" si="73"/>
        <v>4024</v>
      </c>
      <c r="AO123">
        <v>4308</v>
      </c>
      <c r="AP123">
        <v>1480</v>
      </c>
      <c r="AQ123">
        <v>197</v>
      </c>
      <c r="AR123">
        <v>668</v>
      </c>
      <c r="AS123">
        <v>1153</v>
      </c>
      <c r="AT123">
        <v>139</v>
      </c>
      <c r="AU123">
        <v>144</v>
      </c>
      <c r="AV123">
        <v>0.97699999999999998</v>
      </c>
      <c r="AW123" s="1"/>
      <c r="AX123" s="29" t="s">
        <v>135</v>
      </c>
      <c r="AY123" s="29">
        <f t="shared" si="74"/>
        <v>29700</v>
      </c>
      <c r="AZ123" s="31">
        <f t="shared" si="75"/>
        <v>167353</v>
      </c>
      <c r="BA123" s="31">
        <f t="shared" ref="BA123" si="127">SUMIF($B$2:$B$571,$B123,$P$2:$P$571)</f>
        <v>8919</v>
      </c>
      <c r="BB123" s="30">
        <f t="shared" si="77"/>
        <v>5.3294533112642137E-2</v>
      </c>
    </row>
    <row r="124" spans="2:54" x14ac:dyDescent="0.5">
      <c r="B124" s="4">
        <v>2004</v>
      </c>
      <c r="C124" t="s">
        <v>41</v>
      </c>
      <c r="D124" t="s">
        <v>42</v>
      </c>
      <c r="E124">
        <v>1</v>
      </c>
      <c r="F124" t="s">
        <v>43</v>
      </c>
      <c r="G124" t="s">
        <v>38</v>
      </c>
      <c r="H124" t="s">
        <v>38</v>
      </c>
      <c r="I124" t="s">
        <v>38</v>
      </c>
      <c r="J124">
        <v>96</v>
      </c>
      <c r="K124">
        <v>66</v>
      </c>
      <c r="L124">
        <v>803</v>
      </c>
      <c r="M124" s="20">
        <v>5570</v>
      </c>
      <c r="N124" s="20">
        <v>1503</v>
      </c>
      <c r="O124" s="20">
        <f t="shared" si="64"/>
        <v>984</v>
      </c>
      <c r="P124" s="20">
        <v>304</v>
      </c>
      <c r="Q124" s="20">
        <v>37</v>
      </c>
      <c r="R124" s="20">
        <v>178</v>
      </c>
      <c r="S124" s="20">
        <v>587</v>
      </c>
      <c r="T124" s="20">
        <v>59</v>
      </c>
      <c r="U124" s="20">
        <f t="shared" si="65"/>
        <v>3421</v>
      </c>
      <c r="V124">
        <v>1158</v>
      </c>
      <c r="W124">
        <v>86</v>
      </c>
      <c r="X124">
        <v>32</v>
      </c>
      <c r="Y124">
        <v>48</v>
      </c>
      <c r="Z124">
        <v>668</v>
      </c>
      <c r="AA124">
        <v>603</v>
      </c>
      <c r="AB124">
        <v>3.74</v>
      </c>
      <c r="AC124">
        <v>4</v>
      </c>
      <c r="AD124">
        <v>13</v>
      </c>
      <c r="AE124">
        <v>48</v>
      </c>
      <c r="AF124" s="27">
        <f t="shared" ca="1" si="122"/>
        <v>6063</v>
      </c>
      <c r="AG124" s="27">
        <f t="shared" ca="1" si="66"/>
        <v>1646</v>
      </c>
      <c r="AH124" s="27">
        <f t="shared" ca="1" si="67"/>
        <v>1101</v>
      </c>
      <c r="AI124" s="27">
        <f t="shared" ca="1" si="68"/>
        <v>317</v>
      </c>
      <c r="AJ124" s="27">
        <f t="shared" ca="1" si="69"/>
        <v>35</v>
      </c>
      <c r="AK124" s="27">
        <f t="shared" ca="1" si="70"/>
        <v>193</v>
      </c>
      <c r="AL124" s="27">
        <f t="shared" ca="1" si="71"/>
        <v>461</v>
      </c>
      <c r="AM124" s="27">
        <f t="shared" ca="1" si="72"/>
        <v>74</v>
      </c>
      <c r="AN124" s="27">
        <f t="shared" ca="1" si="73"/>
        <v>3882</v>
      </c>
      <c r="AO124">
        <v>4350</v>
      </c>
      <c r="AP124">
        <v>1475</v>
      </c>
      <c r="AQ124">
        <v>154</v>
      </c>
      <c r="AR124">
        <v>523</v>
      </c>
      <c r="AS124">
        <v>1025</v>
      </c>
      <c r="AT124">
        <v>116</v>
      </c>
      <c r="AU124">
        <v>171</v>
      </c>
      <c r="AV124">
        <v>0.98099999999999998</v>
      </c>
      <c r="AW124" s="1"/>
      <c r="AX124" s="29" t="s">
        <v>136</v>
      </c>
      <c r="AY124" s="29">
        <f t="shared" si="74"/>
        <v>29700</v>
      </c>
      <c r="AZ124" s="31">
        <f t="shared" si="75"/>
        <v>167353</v>
      </c>
      <c r="BA124" s="31">
        <f t="shared" ref="BA124" si="128">SUMIF($B$2:$B$571,$B124,$Q$2:$Q$571)</f>
        <v>898</v>
      </c>
      <c r="BB124" s="30">
        <f t="shared" si="77"/>
        <v>5.3659032105788365E-3</v>
      </c>
    </row>
    <row r="125" spans="2:54" x14ac:dyDescent="0.5">
      <c r="B125" s="4">
        <v>2004</v>
      </c>
      <c r="C125" t="s">
        <v>44</v>
      </c>
      <c r="D125" t="s">
        <v>45</v>
      </c>
      <c r="E125">
        <v>3</v>
      </c>
      <c r="F125" t="s">
        <v>38</v>
      </c>
      <c r="G125" t="s">
        <v>38</v>
      </c>
      <c r="H125" t="s">
        <v>38</v>
      </c>
      <c r="I125" t="s">
        <v>38</v>
      </c>
      <c r="J125">
        <v>78</v>
      </c>
      <c r="K125">
        <v>84</v>
      </c>
      <c r="L125">
        <v>842</v>
      </c>
      <c r="M125" s="20">
        <v>5736</v>
      </c>
      <c r="N125" s="20">
        <v>1614</v>
      </c>
      <c r="O125" s="20">
        <f t="shared" si="64"/>
        <v>1108</v>
      </c>
      <c r="P125" s="20">
        <v>319</v>
      </c>
      <c r="Q125" s="20">
        <v>18</v>
      </c>
      <c r="R125" s="20">
        <v>169</v>
      </c>
      <c r="S125" s="20">
        <v>528</v>
      </c>
      <c r="T125" s="20">
        <v>57</v>
      </c>
      <c r="U125" s="20">
        <f t="shared" si="65"/>
        <v>3537</v>
      </c>
      <c r="V125">
        <v>949</v>
      </c>
      <c r="W125">
        <v>101</v>
      </c>
      <c r="X125">
        <v>41</v>
      </c>
      <c r="Y125">
        <v>62</v>
      </c>
      <c r="Z125">
        <v>830</v>
      </c>
      <c r="AA125">
        <v>760</v>
      </c>
      <c r="AB125">
        <v>4.7</v>
      </c>
      <c r="AC125">
        <v>8</v>
      </c>
      <c r="AD125">
        <v>10</v>
      </c>
      <c r="AE125">
        <v>27</v>
      </c>
      <c r="AF125" s="27">
        <f t="shared" ca="1" si="122"/>
        <v>6374</v>
      </c>
      <c r="AG125" s="27">
        <f t="shared" ca="1" si="66"/>
        <v>1518</v>
      </c>
      <c r="AH125" s="27">
        <f t="shared" ca="1" si="67"/>
        <v>996</v>
      </c>
      <c r="AI125" s="27">
        <f t="shared" ca="1" si="68"/>
        <v>276</v>
      </c>
      <c r="AJ125" s="27">
        <f t="shared" ca="1" si="69"/>
        <v>34</v>
      </c>
      <c r="AK125" s="27">
        <f t="shared" ca="1" si="70"/>
        <v>212</v>
      </c>
      <c r="AL125" s="27">
        <f t="shared" ca="1" si="71"/>
        <v>447</v>
      </c>
      <c r="AM125" s="27">
        <f t="shared" ca="1" si="72"/>
        <v>35</v>
      </c>
      <c r="AN125" s="27">
        <f t="shared" ca="1" si="73"/>
        <v>4374</v>
      </c>
      <c r="AO125">
        <v>4366</v>
      </c>
      <c r="AP125">
        <v>1488</v>
      </c>
      <c r="AQ125">
        <v>159</v>
      </c>
      <c r="AR125">
        <v>687</v>
      </c>
      <c r="AS125">
        <v>1090</v>
      </c>
      <c r="AT125">
        <v>110</v>
      </c>
      <c r="AU125">
        <v>161</v>
      </c>
      <c r="AV125">
        <v>0.98199999999999998</v>
      </c>
      <c r="AW125" s="1"/>
      <c r="AX125" s="29" t="s">
        <v>137</v>
      </c>
      <c r="AY125" s="29">
        <f t="shared" si="74"/>
        <v>29700</v>
      </c>
      <c r="AZ125" s="31">
        <f t="shared" si="75"/>
        <v>167353</v>
      </c>
      <c r="BA125" s="31">
        <f t="shared" ref="BA125" si="129">SUMIF($B$2:$B$571,$B125,$R$2:$R$571)</f>
        <v>5451</v>
      </c>
      <c r="BB125" s="30">
        <f t="shared" si="77"/>
        <v>3.2571869043279772E-2</v>
      </c>
    </row>
    <row r="126" spans="2:54" x14ac:dyDescent="0.5">
      <c r="B126" s="4">
        <v>2004</v>
      </c>
      <c r="C126" t="s">
        <v>46</v>
      </c>
      <c r="D126" t="s">
        <v>47</v>
      </c>
      <c r="E126">
        <v>2</v>
      </c>
      <c r="F126" t="s">
        <v>38</v>
      </c>
      <c r="G126" t="s">
        <v>43</v>
      </c>
      <c r="H126" t="s">
        <v>43</v>
      </c>
      <c r="I126" t="s">
        <v>43</v>
      </c>
      <c r="J126">
        <v>98</v>
      </c>
      <c r="K126">
        <v>64</v>
      </c>
      <c r="L126">
        <v>949</v>
      </c>
      <c r="M126" s="20">
        <v>5720</v>
      </c>
      <c r="N126" s="20">
        <v>1613</v>
      </c>
      <c r="O126" s="20">
        <f t="shared" si="64"/>
        <v>993</v>
      </c>
      <c r="P126" s="20">
        <v>373</v>
      </c>
      <c r="Q126" s="20">
        <v>25</v>
      </c>
      <c r="R126" s="20">
        <v>222</v>
      </c>
      <c r="S126" s="20">
        <v>659</v>
      </c>
      <c r="T126" s="20">
        <v>69</v>
      </c>
      <c r="U126" s="20">
        <f t="shared" si="65"/>
        <v>3379</v>
      </c>
      <c r="V126">
        <v>1189</v>
      </c>
      <c r="W126">
        <v>68</v>
      </c>
      <c r="X126">
        <v>30</v>
      </c>
      <c r="Y126">
        <v>55</v>
      </c>
      <c r="Z126">
        <v>768</v>
      </c>
      <c r="AA126">
        <v>674</v>
      </c>
      <c r="AB126">
        <v>4.18</v>
      </c>
      <c r="AC126">
        <v>4</v>
      </c>
      <c r="AD126">
        <v>12</v>
      </c>
      <c r="AE126">
        <v>36</v>
      </c>
      <c r="AF126" s="27">
        <f t="shared" ca="1" si="122"/>
        <v>6075</v>
      </c>
      <c r="AG126" s="27">
        <f t="shared" ca="1" si="66"/>
        <v>1451</v>
      </c>
      <c r="AH126" s="27">
        <f t="shared" ca="1" si="67"/>
        <v>910</v>
      </c>
      <c r="AI126" s="27">
        <f t="shared" ca="1" si="68"/>
        <v>293</v>
      </c>
      <c r="AJ126" s="27">
        <f t="shared" ca="1" si="69"/>
        <v>33</v>
      </c>
      <c r="AK126" s="27">
        <f t="shared" ca="1" si="70"/>
        <v>215</v>
      </c>
      <c r="AL126" s="27">
        <f t="shared" ca="1" si="71"/>
        <v>438</v>
      </c>
      <c r="AM126" s="27">
        <f t="shared" ca="1" si="72"/>
        <v>37</v>
      </c>
      <c r="AN126" s="27">
        <f t="shared" ca="1" si="73"/>
        <v>4149</v>
      </c>
      <c r="AO126">
        <v>4354</v>
      </c>
      <c r="AP126">
        <v>1430</v>
      </c>
      <c r="AQ126">
        <v>159</v>
      </c>
      <c r="AR126">
        <v>447</v>
      </c>
      <c r="AS126">
        <v>1132</v>
      </c>
      <c r="AT126">
        <v>118</v>
      </c>
      <c r="AU126">
        <v>129</v>
      </c>
      <c r="AV126">
        <v>0.98099999999999998</v>
      </c>
      <c r="AW126" s="1"/>
      <c r="AX126" s="29" t="s">
        <v>138</v>
      </c>
      <c r="AY126" s="29">
        <f t="shared" si="74"/>
        <v>29700</v>
      </c>
      <c r="AZ126" s="31">
        <f t="shared" si="75"/>
        <v>167353</v>
      </c>
      <c r="BA126" s="31">
        <f t="shared" ref="BA126" si="130">SUMIF($B$2:$B$571,$B126,$S$2:$S$571)</f>
        <v>16222</v>
      </c>
      <c r="BB126" s="30">
        <f t="shared" si="77"/>
        <v>9.693283060357448E-2</v>
      </c>
    </row>
    <row r="127" spans="2:54" x14ac:dyDescent="0.5">
      <c r="B127" s="4">
        <v>2004</v>
      </c>
      <c r="C127" t="s">
        <v>48</v>
      </c>
      <c r="D127" t="s">
        <v>49</v>
      </c>
      <c r="E127">
        <v>2</v>
      </c>
      <c r="F127" t="s">
        <v>38</v>
      </c>
      <c r="G127" t="s">
        <v>38</v>
      </c>
      <c r="H127" t="s">
        <v>38</v>
      </c>
      <c r="I127" t="s">
        <v>38</v>
      </c>
      <c r="J127">
        <v>83</v>
      </c>
      <c r="K127">
        <v>79</v>
      </c>
      <c r="L127">
        <v>865</v>
      </c>
      <c r="M127" s="20">
        <v>5534</v>
      </c>
      <c r="N127" s="20">
        <v>1481</v>
      </c>
      <c r="O127" s="20">
        <f t="shared" si="64"/>
        <v>936</v>
      </c>
      <c r="P127" s="20">
        <v>284</v>
      </c>
      <c r="Q127" s="20">
        <v>19</v>
      </c>
      <c r="R127" s="20">
        <v>242</v>
      </c>
      <c r="S127" s="20">
        <v>499</v>
      </c>
      <c r="T127" s="20">
        <v>63</v>
      </c>
      <c r="U127" s="20">
        <f t="shared" si="65"/>
        <v>3491</v>
      </c>
      <c r="V127">
        <v>1030</v>
      </c>
      <c r="W127">
        <v>78</v>
      </c>
      <c r="X127">
        <v>51</v>
      </c>
      <c r="Y127">
        <v>42</v>
      </c>
      <c r="Z127">
        <v>831</v>
      </c>
      <c r="AA127">
        <v>782</v>
      </c>
      <c r="AB127">
        <v>4.91</v>
      </c>
      <c r="AC127">
        <v>8</v>
      </c>
      <c r="AD127">
        <v>8</v>
      </c>
      <c r="AE127">
        <v>34</v>
      </c>
      <c r="AF127" s="27">
        <f t="shared" ca="1" si="122"/>
        <v>6193</v>
      </c>
      <c r="AG127" s="27">
        <f t="shared" ca="1" si="66"/>
        <v>1526</v>
      </c>
      <c r="AH127" s="27">
        <f t="shared" ca="1" si="67"/>
        <v>909</v>
      </c>
      <c r="AI127" s="27">
        <f t="shared" ca="1" si="68"/>
        <v>379</v>
      </c>
      <c r="AJ127" s="27">
        <f t="shared" ca="1" si="69"/>
        <v>32</v>
      </c>
      <c r="AK127" s="27">
        <f t="shared" ca="1" si="70"/>
        <v>206</v>
      </c>
      <c r="AL127" s="27">
        <f t="shared" ca="1" si="71"/>
        <v>405</v>
      </c>
      <c r="AM127" s="27">
        <f t="shared" ca="1" si="72"/>
        <v>72</v>
      </c>
      <c r="AN127" s="27">
        <f t="shared" ca="1" si="73"/>
        <v>4190</v>
      </c>
      <c r="AO127">
        <v>4297</v>
      </c>
      <c r="AP127">
        <v>1505</v>
      </c>
      <c r="AQ127">
        <v>224</v>
      </c>
      <c r="AR127">
        <v>527</v>
      </c>
      <c r="AS127">
        <v>1013</v>
      </c>
      <c r="AT127">
        <v>100</v>
      </c>
      <c r="AU127">
        <v>167</v>
      </c>
      <c r="AV127">
        <v>0.98399999999999999</v>
      </c>
      <c r="AW127" s="1"/>
      <c r="AX127" s="29" t="s">
        <v>139</v>
      </c>
      <c r="AY127" s="29">
        <f t="shared" si="74"/>
        <v>29700</v>
      </c>
      <c r="AZ127" s="31">
        <f t="shared" si="75"/>
        <v>167353</v>
      </c>
      <c r="BA127" s="31">
        <f t="shared" ref="BA127" si="131">SUMIF($B$2:$B$571,$B127,$T$2:$T$571)</f>
        <v>1850</v>
      </c>
      <c r="BB127" s="30">
        <f t="shared" si="77"/>
        <v>1.1054477660992035E-2</v>
      </c>
    </row>
    <row r="128" spans="2:54" x14ac:dyDescent="0.5">
      <c r="B128" s="4">
        <v>2004</v>
      </c>
      <c r="C128" t="s">
        <v>50</v>
      </c>
      <c r="D128" t="s">
        <v>51</v>
      </c>
      <c r="E128">
        <v>3</v>
      </c>
      <c r="F128" t="s">
        <v>38</v>
      </c>
      <c r="G128" t="s">
        <v>38</v>
      </c>
      <c r="H128" t="s">
        <v>38</v>
      </c>
      <c r="I128" t="s">
        <v>38</v>
      </c>
      <c r="J128">
        <v>89</v>
      </c>
      <c r="K128">
        <v>73</v>
      </c>
      <c r="L128">
        <v>789</v>
      </c>
      <c r="M128" s="20">
        <v>5628</v>
      </c>
      <c r="N128" s="20">
        <v>1508</v>
      </c>
      <c r="O128" s="20">
        <f t="shared" si="64"/>
        <v>936</v>
      </c>
      <c r="P128" s="20">
        <v>308</v>
      </c>
      <c r="Q128" s="20">
        <v>29</v>
      </c>
      <c r="R128" s="20">
        <v>235</v>
      </c>
      <c r="S128" s="20">
        <v>489</v>
      </c>
      <c r="T128" s="20">
        <v>38</v>
      </c>
      <c r="U128" s="20">
        <f t="shared" si="65"/>
        <v>3593</v>
      </c>
      <c r="V128">
        <v>1080</v>
      </c>
      <c r="W128">
        <v>66</v>
      </c>
      <c r="X128">
        <v>28</v>
      </c>
      <c r="Y128">
        <v>48</v>
      </c>
      <c r="Z128">
        <v>665</v>
      </c>
      <c r="AA128">
        <v>621</v>
      </c>
      <c r="AB128">
        <v>3.81</v>
      </c>
      <c r="AC128">
        <v>3</v>
      </c>
      <c r="AD128">
        <v>6</v>
      </c>
      <c r="AE128">
        <v>42</v>
      </c>
      <c r="AF128" s="27">
        <f t="shared" ca="1" si="122"/>
        <v>6470</v>
      </c>
      <c r="AG128" s="27">
        <f t="shared" ca="1" si="66"/>
        <v>1576</v>
      </c>
      <c r="AH128" s="27">
        <f t="shared" ca="1" si="67"/>
        <v>1053</v>
      </c>
      <c r="AI128" s="27">
        <f t="shared" ca="1" si="68"/>
        <v>344</v>
      </c>
      <c r="AJ128" s="27">
        <f t="shared" ca="1" si="69"/>
        <v>39</v>
      </c>
      <c r="AK128" s="27">
        <f t="shared" ca="1" si="70"/>
        <v>140</v>
      </c>
      <c r="AL128" s="27">
        <f t="shared" ca="1" si="71"/>
        <v>633</v>
      </c>
      <c r="AM128" s="27">
        <f t="shared" ca="1" si="72"/>
        <v>87</v>
      </c>
      <c r="AN128" s="27">
        <f t="shared" ca="1" si="73"/>
        <v>4174</v>
      </c>
      <c r="AO128">
        <v>4396</v>
      </c>
      <c r="AP128">
        <v>1363</v>
      </c>
      <c r="AQ128">
        <v>169</v>
      </c>
      <c r="AR128">
        <v>545</v>
      </c>
      <c r="AS128">
        <v>1346</v>
      </c>
      <c r="AT128">
        <v>86</v>
      </c>
      <c r="AU128">
        <v>126</v>
      </c>
      <c r="AV128">
        <v>0.98599999999999999</v>
      </c>
      <c r="AW128" s="1"/>
      <c r="AX128" s="29" t="s">
        <v>140</v>
      </c>
      <c r="AY128" s="29">
        <f t="shared" si="74"/>
        <v>29700</v>
      </c>
      <c r="AZ128" s="31">
        <f t="shared" si="75"/>
        <v>167353</v>
      </c>
      <c r="BA128" s="31">
        <f t="shared" ref="BA128" si="132">SUMIF($B$2:$B$571,$B128,$U$2:$U$571)</f>
        <v>104759</v>
      </c>
      <c r="BB128" s="30">
        <f t="shared" si="77"/>
        <v>0.62597622988533219</v>
      </c>
    </row>
    <row r="129" spans="2:54" x14ac:dyDescent="0.5">
      <c r="B129" s="4">
        <v>2004</v>
      </c>
      <c r="C129" t="s">
        <v>52</v>
      </c>
      <c r="D129" t="s">
        <v>53</v>
      </c>
      <c r="E129">
        <v>4</v>
      </c>
      <c r="F129" t="s">
        <v>38</v>
      </c>
      <c r="G129" t="s">
        <v>38</v>
      </c>
      <c r="H129" t="s">
        <v>38</v>
      </c>
      <c r="I129" t="s">
        <v>38</v>
      </c>
      <c r="J129">
        <v>76</v>
      </c>
      <c r="K129">
        <v>86</v>
      </c>
      <c r="L129">
        <v>750</v>
      </c>
      <c r="M129" s="20">
        <v>5518</v>
      </c>
      <c r="N129" s="20">
        <v>1380</v>
      </c>
      <c r="O129" s="20">
        <f t="shared" si="64"/>
        <v>871</v>
      </c>
      <c r="P129" s="20">
        <v>287</v>
      </c>
      <c r="Q129" s="20">
        <v>28</v>
      </c>
      <c r="R129" s="20">
        <v>194</v>
      </c>
      <c r="S129" s="20">
        <v>599</v>
      </c>
      <c r="T129" s="20">
        <v>81</v>
      </c>
      <c r="U129" s="20">
        <f t="shared" si="65"/>
        <v>3458</v>
      </c>
      <c r="V129">
        <v>1335</v>
      </c>
      <c r="W129">
        <v>77</v>
      </c>
      <c r="X129">
        <v>25</v>
      </c>
      <c r="Y129">
        <v>25</v>
      </c>
      <c r="Z129">
        <v>907</v>
      </c>
      <c r="AA129">
        <v>832</v>
      </c>
      <c r="AB129">
        <v>5.19</v>
      </c>
      <c r="AC129">
        <v>5</v>
      </c>
      <c r="AD129">
        <v>8</v>
      </c>
      <c r="AE129">
        <v>47</v>
      </c>
      <c r="AF129" s="27">
        <f t="shared" ca="1" si="122"/>
        <v>6205</v>
      </c>
      <c r="AG129" s="27">
        <f t="shared" ca="1" si="66"/>
        <v>1340</v>
      </c>
      <c r="AH129" s="27">
        <f t="shared" ca="1" si="67"/>
        <v>907</v>
      </c>
      <c r="AI129" s="27">
        <f t="shared" ca="1" si="68"/>
        <v>221</v>
      </c>
      <c r="AJ129" s="27">
        <f t="shared" ca="1" si="69"/>
        <v>28</v>
      </c>
      <c r="AK129" s="27">
        <f t="shared" ca="1" si="70"/>
        <v>184</v>
      </c>
      <c r="AL129" s="27">
        <f t="shared" ca="1" si="71"/>
        <v>563</v>
      </c>
      <c r="AM129" s="27">
        <f t="shared" ca="1" si="72"/>
        <v>35</v>
      </c>
      <c r="AN129" s="27">
        <f t="shared" ca="1" si="73"/>
        <v>4267</v>
      </c>
      <c r="AO129">
        <v>4331</v>
      </c>
      <c r="AP129">
        <v>1595</v>
      </c>
      <c r="AQ129">
        <v>236</v>
      </c>
      <c r="AR129">
        <v>572</v>
      </c>
      <c r="AS129">
        <v>992</v>
      </c>
      <c r="AT129">
        <v>113</v>
      </c>
      <c r="AU129">
        <v>123</v>
      </c>
      <c r="AV129">
        <v>0.98099999999999998</v>
      </c>
      <c r="AW129" s="1"/>
      <c r="AX129" s="29"/>
      <c r="AY129" s="29"/>
      <c r="AZ129" s="31"/>
      <c r="BA129" s="31"/>
      <c r="BB129" s="30"/>
    </row>
    <row r="130" spans="2:54" x14ac:dyDescent="0.5">
      <c r="B130" s="4">
        <v>2004</v>
      </c>
      <c r="C130" t="s">
        <v>54</v>
      </c>
      <c r="D130" t="s">
        <v>55</v>
      </c>
      <c r="E130">
        <v>3</v>
      </c>
      <c r="F130" t="s">
        <v>38</v>
      </c>
      <c r="G130" t="s">
        <v>38</v>
      </c>
      <c r="H130" t="s">
        <v>38</v>
      </c>
      <c r="I130" t="s">
        <v>38</v>
      </c>
      <c r="J130">
        <v>80</v>
      </c>
      <c r="K130">
        <v>82</v>
      </c>
      <c r="L130">
        <v>858</v>
      </c>
      <c r="M130" s="20">
        <v>5676</v>
      </c>
      <c r="N130" s="20">
        <v>1565</v>
      </c>
      <c r="O130" s="20">
        <f t="shared" si="64"/>
        <v>1007</v>
      </c>
      <c r="P130" s="20">
        <v>345</v>
      </c>
      <c r="Q130" s="20">
        <v>29</v>
      </c>
      <c r="R130" s="20">
        <v>184</v>
      </c>
      <c r="S130" s="20">
        <v>606</v>
      </c>
      <c r="T130" s="20">
        <v>78</v>
      </c>
      <c r="U130" s="20">
        <f t="shared" si="65"/>
        <v>3427</v>
      </c>
      <c r="V130">
        <v>1009</v>
      </c>
      <c r="W130">
        <v>94</v>
      </c>
      <c r="X130">
        <v>55</v>
      </c>
      <c r="Y130">
        <v>42</v>
      </c>
      <c r="Z130">
        <v>857</v>
      </c>
      <c r="AA130">
        <v>784</v>
      </c>
      <c r="AB130">
        <v>4.8099999999999996</v>
      </c>
      <c r="AC130">
        <v>8</v>
      </c>
      <c r="AD130">
        <v>8</v>
      </c>
      <c r="AE130">
        <v>32</v>
      </c>
      <c r="AF130" s="27">
        <f t="shared" ca="1" si="122"/>
        <v>6118</v>
      </c>
      <c r="AG130" s="27">
        <f t="shared" ca="1" si="66"/>
        <v>1562</v>
      </c>
      <c r="AH130" s="27">
        <f t="shared" ca="1" si="67"/>
        <v>1020</v>
      </c>
      <c r="AI130" s="27">
        <f t="shared" ca="1" si="68"/>
        <v>327</v>
      </c>
      <c r="AJ130" s="27">
        <f t="shared" ca="1" si="69"/>
        <v>33</v>
      </c>
      <c r="AK130" s="27">
        <f t="shared" ca="1" si="70"/>
        <v>182</v>
      </c>
      <c r="AL130" s="27">
        <f t="shared" ca="1" si="71"/>
        <v>552</v>
      </c>
      <c r="AM130" s="27">
        <f t="shared" ca="1" si="72"/>
        <v>90</v>
      </c>
      <c r="AN130" s="27">
        <f t="shared" ca="1" si="73"/>
        <v>3914</v>
      </c>
      <c r="AO130">
        <v>4400</v>
      </c>
      <c r="AP130">
        <v>1553</v>
      </c>
      <c r="AQ130">
        <v>201</v>
      </c>
      <c r="AR130">
        <v>579</v>
      </c>
      <c r="AS130">
        <v>1115</v>
      </c>
      <c r="AT130">
        <v>106</v>
      </c>
      <c r="AU130">
        <v>152</v>
      </c>
      <c r="AV130">
        <v>0.98299999999999998</v>
      </c>
      <c r="AW130" s="1">
        <v>2016</v>
      </c>
      <c r="AX130" s="29" t="s">
        <v>134</v>
      </c>
      <c r="AY130" s="29">
        <f t="shared" si="74"/>
        <v>29700</v>
      </c>
      <c r="AZ130" s="31">
        <f t="shared" si="75"/>
        <v>167353</v>
      </c>
      <c r="BA130" s="31">
        <f t="shared" ref="BA130" si="133">SUMIF($B$2:$B$571,$B130,$O$2:$O$571)</f>
        <v>29254</v>
      </c>
      <c r="BB130" s="30">
        <f t="shared" si="77"/>
        <v>0.17480415648360054</v>
      </c>
    </row>
    <row r="131" spans="2:54" x14ac:dyDescent="0.5">
      <c r="B131" s="4">
        <v>2004</v>
      </c>
      <c r="C131" t="s">
        <v>56</v>
      </c>
      <c r="D131" t="s">
        <v>57</v>
      </c>
      <c r="E131">
        <v>4</v>
      </c>
      <c r="F131" t="s">
        <v>38</v>
      </c>
      <c r="G131" t="s">
        <v>38</v>
      </c>
      <c r="H131" t="s">
        <v>38</v>
      </c>
      <c r="I131" t="s">
        <v>38</v>
      </c>
      <c r="J131">
        <v>68</v>
      </c>
      <c r="K131">
        <v>94</v>
      </c>
      <c r="L131">
        <v>833</v>
      </c>
      <c r="M131" s="20">
        <v>5577</v>
      </c>
      <c r="N131" s="20">
        <v>1531</v>
      </c>
      <c r="O131" s="20">
        <f t="shared" ref="O131:O194" si="134">N131-(P131+Q131+R131)</f>
        <v>964</v>
      </c>
      <c r="P131" s="20">
        <v>331</v>
      </c>
      <c r="Q131" s="20">
        <v>34</v>
      </c>
      <c r="R131" s="20">
        <v>202</v>
      </c>
      <c r="S131" s="20">
        <v>568</v>
      </c>
      <c r="T131" s="20">
        <v>54</v>
      </c>
      <c r="U131" s="20">
        <f t="shared" ref="U131:U194" si="135">M131-(N131+S131+T131)</f>
        <v>3424</v>
      </c>
      <c r="V131">
        <v>1181</v>
      </c>
      <c r="W131">
        <v>44</v>
      </c>
      <c r="X131">
        <v>33</v>
      </c>
      <c r="Y131">
        <v>37</v>
      </c>
      <c r="Z131">
        <v>923</v>
      </c>
      <c r="AA131">
        <v>883</v>
      </c>
      <c r="AB131">
        <v>5.54</v>
      </c>
      <c r="AC131">
        <v>3</v>
      </c>
      <c r="AD131">
        <v>2</v>
      </c>
      <c r="AE131">
        <v>36</v>
      </c>
      <c r="AF131" s="27">
        <f t="shared" ca="1" si="122"/>
        <v>6418</v>
      </c>
      <c r="AG131" s="27">
        <f t="shared" ref="AG131:AG194" ca="1" si="136">RANDBETWEEN(1300,1700)</f>
        <v>1537</v>
      </c>
      <c r="AH131" s="27">
        <f t="shared" ref="AH131:AH194" ca="1" si="137">AG131-(AI131+AJ131+AK131)</f>
        <v>961</v>
      </c>
      <c r="AI131" s="27">
        <f t="shared" ref="AI131:AI194" ca="1" si="138">RANDBETWEEN(219,400)</f>
        <v>342</v>
      </c>
      <c r="AJ131" s="27">
        <f t="shared" ref="AJ131:AJ194" ca="1" si="139">RANDBETWEEN(20,50)</f>
        <v>36</v>
      </c>
      <c r="AK131" s="27">
        <f t="shared" ref="AK131:AK194" ca="1" si="140">RANDBETWEEN(130,240)</f>
        <v>198</v>
      </c>
      <c r="AL131" s="27">
        <f t="shared" ref="AL131:AL194" ca="1" si="141">RANDBETWEEN(400,700)</f>
        <v>555</v>
      </c>
      <c r="AM131" s="27">
        <f t="shared" ref="AM131:AM194" ca="1" si="142">RANDBETWEEN(30,90)</f>
        <v>52</v>
      </c>
      <c r="AN131" s="27">
        <f t="shared" ref="AN131:AN194" ca="1" si="143">AF131-(AG131+AL131+AM131)</f>
        <v>4274</v>
      </c>
      <c r="AO131">
        <v>4306</v>
      </c>
      <c r="AP131">
        <v>1634</v>
      </c>
      <c r="AQ131">
        <v>198</v>
      </c>
      <c r="AR131">
        <v>697</v>
      </c>
      <c r="AS131">
        <v>947</v>
      </c>
      <c r="AT131">
        <v>89</v>
      </c>
      <c r="AU131">
        <v>161</v>
      </c>
      <c r="AV131">
        <v>0.98599999999999999</v>
      </c>
      <c r="AW131" s="1"/>
      <c r="AX131" s="29" t="s">
        <v>135</v>
      </c>
      <c r="AY131" s="29">
        <f t="shared" ref="AY131:AY194" si="144">SUM(O$2:O$31)</f>
        <v>29700</v>
      </c>
      <c r="AZ131" s="31">
        <f t="shared" ref="AZ131:AZ194" si="145">SUMIF($B$2:$B$571,$B131,$M$2:$M$571)</f>
        <v>167353</v>
      </c>
      <c r="BA131" s="31">
        <f t="shared" ref="BA131" si="146">SUMIF($B$2:$B$571,$B131,$P$2:$P$571)</f>
        <v>8919</v>
      </c>
      <c r="BB131" s="30">
        <f t="shared" ref="BB131:BB194" si="147">BA131/AZ131</f>
        <v>5.3294533112642137E-2</v>
      </c>
    </row>
    <row r="132" spans="2:54" x14ac:dyDescent="0.5">
      <c r="B132" s="4">
        <v>2004</v>
      </c>
      <c r="C132" t="s">
        <v>58</v>
      </c>
      <c r="D132" t="s">
        <v>59</v>
      </c>
      <c r="E132">
        <v>4</v>
      </c>
      <c r="F132" t="s">
        <v>38</v>
      </c>
      <c r="G132" t="s">
        <v>38</v>
      </c>
      <c r="H132" t="s">
        <v>38</v>
      </c>
      <c r="I132" t="s">
        <v>38</v>
      </c>
      <c r="J132">
        <v>72</v>
      </c>
      <c r="K132">
        <v>90</v>
      </c>
      <c r="L132">
        <v>827</v>
      </c>
      <c r="M132" s="20">
        <v>5623</v>
      </c>
      <c r="N132" s="20">
        <v>1531</v>
      </c>
      <c r="O132" s="20">
        <f t="shared" si="134"/>
        <v>992</v>
      </c>
      <c r="P132" s="20">
        <v>284</v>
      </c>
      <c r="Q132" s="20">
        <v>54</v>
      </c>
      <c r="R132" s="20">
        <v>201</v>
      </c>
      <c r="S132" s="20">
        <v>518</v>
      </c>
      <c r="T132" s="20">
        <v>50</v>
      </c>
      <c r="U132" s="20">
        <f t="shared" si="135"/>
        <v>3524</v>
      </c>
      <c r="V132">
        <v>1144</v>
      </c>
      <c r="W132">
        <v>86</v>
      </c>
      <c r="X132">
        <v>50</v>
      </c>
      <c r="Y132">
        <v>43</v>
      </c>
      <c r="Z132">
        <v>844</v>
      </c>
      <c r="AA132">
        <v>788</v>
      </c>
      <c r="AB132">
        <v>4.93</v>
      </c>
      <c r="AC132">
        <v>7</v>
      </c>
      <c r="AD132">
        <v>9</v>
      </c>
      <c r="AE132">
        <v>35</v>
      </c>
      <c r="AF132" s="27">
        <f t="shared" ca="1" si="122"/>
        <v>6114</v>
      </c>
      <c r="AG132" s="27">
        <f t="shared" ca="1" si="136"/>
        <v>1674</v>
      </c>
      <c r="AH132" s="27">
        <f t="shared" ca="1" si="137"/>
        <v>1116</v>
      </c>
      <c r="AI132" s="27">
        <f t="shared" ca="1" si="138"/>
        <v>368</v>
      </c>
      <c r="AJ132" s="27">
        <f t="shared" ca="1" si="139"/>
        <v>42</v>
      </c>
      <c r="AK132" s="27">
        <f t="shared" ca="1" si="140"/>
        <v>148</v>
      </c>
      <c r="AL132" s="27">
        <f t="shared" ca="1" si="141"/>
        <v>551</v>
      </c>
      <c r="AM132" s="27">
        <f t="shared" ca="1" si="142"/>
        <v>79</v>
      </c>
      <c r="AN132" s="27">
        <f t="shared" ca="1" si="143"/>
        <v>3810</v>
      </c>
      <c r="AO132">
        <v>4319</v>
      </c>
      <c r="AP132">
        <v>1542</v>
      </c>
      <c r="AQ132">
        <v>190</v>
      </c>
      <c r="AR132">
        <v>530</v>
      </c>
      <c r="AS132">
        <v>995</v>
      </c>
      <c r="AT132">
        <v>144</v>
      </c>
      <c r="AU132">
        <v>160</v>
      </c>
      <c r="AV132">
        <v>0.97699999999999998</v>
      </c>
      <c r="AW132" s="1"/>
      <c r="AX132" s="29" t="s">
        <v>136</v>
      </c>
      <c r="AY132" s="29">
        <f t="shared" si="144"/>
        <v>29700</v>
      </c>
      <c r="AZ132" s="31">
        <f t="shared" si="145"/>
        <v>167353</v>
      </c>
      <c r="BA132" s="31">
        <f t="shared" ref="BA132" si="148">SUMIF($B$2:$B$571,$B132,$Q$2:$Q$571)</f>
        <v>898</v>
      </c>
      <c r="BB132" s="30">
        <f t="shared" si="147"/>
        <v>5.3659032105788365E-3</v>
      </c>
    </row>
    <row r="133" spans="2:54" x14ac:dyDescent="0.5">
      <c r="B133" s="4">
        <v>2004</v>
      </c>
      <c r="C133" t="s">
        <v>60</v>
      </c>
      <c r="D133" t="s">
        <v>61</v>
      </c>
      <c r="E133">
        <v>3</v>
      </c>
      <c r="F133" t="s">
        <v>38</v>
      </c>
      <c r="G133" t="s">
        <v>38</v>
      </c>
      <c r="H133" t="s">
        <v>38</v>
      </c>
      <c r="I133" t="s">
        <v>38</v>
      </c>
      <c r="J133">
        <v>83</v>
      </c>
      <c r="K133">
        <v>79</v>
      </c>
      <c r="L133">
        <v>718</v>
      </c>
      <c r="M133" s="20">
        <v>5486</v>
      </c>
      <c r="N133" s="20">
        <v>1447</v>
      </c>
      <c r="O133" s="20">
        <f t="shared" si="134"/>
        <v>992</v>
      </c>
      <c r="P133" s="20">
        <v>275</v>
      </c>
      <c r="Q133" s="20">
        <v>32</v>
      </c>
      <c r="R133" s="20">
        <v>148</v>
      </c>
      <c r="S133" s="20">
        <v>499</v>
      </c>
      <c r="T133" s="20">
        <v>58</v>
      </c>
      <c r="U133" s="20">
        <f t="shared" si="135"/>
        <v>3482</v>
      </c>
      <c r="V133">
        <v>968</v>
      </c>
      <c r="W133">
        <v>96</v>
      </c>
      <c r="X133">
        <v>43</v>
      </c>
      <c r="Y133">
        <v>40</v>
      </c>
      <c r="Z133">
        <v>700</v>
      </c>
      <c r="AA133">
        <v>655</v>
      </c>
      <c r="AB133">
        <v>4.0999999999999996</v>
      </c>
      <c r="AC133">
        <v>6</v>
      </c>
      <c r="AD133">
        <v>14</v>
      </c>
      <c r="AE133">
        <v>53</v>
      </c>
      <c r="AF133" s="27">
        <f t="shared" ca="1" si="122"/>
        <v>6374</v>
      </c>
      <c r="AG133" s="27">
        <f t="shared" ca="1" si="136"/>
        <v>1459</v>
      </c>
      <c r="AH133" s="27">
        <f t="shared" ca="1" si="137"/>
        <v>907</v>
      </c>
      <c r="AI133" s="27">
        <f t="shared" ca="1" si="138"/>
        <v>320</v>
      </c>
      <c r="AJ133" s="27">
        <f t="shared" ca="1" si="139"/>
        <v>24</v>
      </c>
      <c r="AK133" s="27">
        <f t="shared" ca="1" si="140"/>
        <v>208</v>
      </c>
      <c r="AL133" s="27">
        <f t="shared" ca="1" si="141"/>
        <v>528</v>
      </c>
      <c r="AM133" s="27">
        <f t="shared" ca="1" si="142"/>
        <v>45</v>
      </c>
      <c r="AN133" s="27">
        <f t="shared" ca="1" si="143"/>
        <v>4342</v>
      </c>
      <c r="AO133">
        <v>4317</v>
      </c>
      <c r="AP133">
        <v>1395</v>
      </c>
      <c r="AQ133">
        <v>166</v>
      </c>
      <c r="AR133">
        <v>513</v>
      </c>
      <c r="AS133">
        <v>1116</v>
      </c>
      <c r="AT133">
        <v>86</v>
      </c>
      <c r="AU133">
        <v>153</v>
      </c>
      <c r="AV133">
        <v>0.98599999999999999</v>
      </c>
      <c r="AW133" s="1"/>
      <c r="AX133" s="29" t="s">
        <v>137</v>
      </c>
      <c r="AY133" s="29">
        <f t="shared" si="144"/>
        <v>29700</v>
      </c>
      <c r="AZ133" s="31">
        <f t="shared" si="145"/>
        <v>167353</v>
      </c>
      <c r="BA133" s="31">
        <f t="shared" ref="BA133" si="149">SUMIF($B$2:$B$571,$B133,$R$2:$R$571)</f>
        <v>5451</v>
      </c>
      <c r="BB133" s="30">
        <f t="shared" si="147"/>
        <v>3.2571869043279772E-2</v>
      </c>
    </row>
    <row r="134" spans="2:54" x14ac:dyDescent="0.5">
      <c r="B134" s="4">
        <v>2004</v>
      </c>
      <c r="C134" t="s">
        <v>62</v>
      </c>
      <c r="D134" t="s">
        <v>63</v>
      </c>
      <c r="E134">
        <v>2</v>
      </c>
      <c r="F134" t="s">
        <v>38</v>
      </c>
      <c r="G134" t="s">
        <v>43</v>
      </c>
      <c r="H134" t="s">
        <v>38</v>
      </c>
      <c r="I134" t="s">
        <v>38</v>
      </c>
      <c r="J134">
        <v>92</v>
      </c>
      <c r="K134">
        <v>70</v>
      </c>
      <c r="L134">
        <v>803</v>
      </c>
      <c r="M134" s="20">
        <v>5468</v>
      </c>
      <c r="N134" s="20">
        <v>1458</v>
      </c>
      <c r="O134" s="20">
        <f t="shared" si="134"/>
        <v>941</v>
      </c>
      <c r="P134" s="20">
        <v>294</v>
      </c>
      <c r="Q134" s="20">
        <v>36</v>
      </c>
      <c r="R134" s="20">
        <v>187</v>
      </c>
      <c r="S134" s="20">
        <v>590</v>
      </c>
      <c r="T134" s="20">
        <v>61</v>
      </c>
      <c r="U134" s="20">
        <f t="shared" si="135"/>
        <v>3359</v>
      </c>
      <c r="V134">
        <v>999</v>
      </c>
      <c r="W134">
        <v>89</v>
      </c>
      <c r="X134">
        <v>30</v>
      </c>
      <c r="Y134">
        <v>52</v>
      </c>
      <c r="Z134">
        <v>698</v>
      </c>
      <c r="AA134">
        <v>650</v>
      </c>
      <c r="AB134">
        <v>4.05</v>
      </c>
      <c r="AC134">
        <v>2</v>
      </c>
      <c r="AD134">
        <v>13</v>
      </c>
      <c r="AE134">
        <v>47</v>
      </c>
      <c r="AF134" s="27">
        <f t="shared" ca="1" si="122"/>
        <v>6345</v>
      </c>
      <c r="AG134" s="27">
        <f t="shared" ca="1" si="136"/>
        <v>1394</v>
      </c>
      <c r="AH134" s="27">
        <f t="shared" ca="1" si="137"/>
        <v>876</v>
      </c>
      <c r="AI134" s="27">
        <f t="shared" ca="1" si="138"/>
        <v>249</v>
      </c>
      <c r="AJ134" s="27">
        <f t="shared" ca="1" si="139"/>
        <v>40</v>
      </c>
      <c r="AK134" s="27">
        <f t="shared" ca="1" si="140"/>
        <v>229</v>
      </c>
      <c r="AL134" s="27">
        <f t="shared" ca="1" si="141"/>
        <v>630</v>
      </c>
      <c r="AM134" s="27">
        <f t="shared" ca="1" si="142"/>
        <v>41</v>
      </c>
      <c r="AN134" s="27">
        <f t="shared" ca="1" si="143"/>
        <v>4280</v>
      </c>
      <c r="AO134">
        <v>4329</v>
      </c>
      <c r="AP134">
        <v>1416</v>
      </c>
      <c r="AQ134">
        <v>174</v>
      </c>
      <c r="AR134">
        <v>525</v>
      </c>
      <c r="AS134">
        <v>1282</v>
      </c>
      <c r="AT134">
        <v>101</v>
      </c>
      <c r="AU134">
        <v>136</v>
      </c>
      <c r="AV134">
        <v>0.98299999999999998</v>
      </c>
      <c r="AW134" s="1"/>
      <c r="AX134" s="29" t="s">
        <v>138</v>
      </c>
      <c r="AY134" s="29">
        <f t="shared" si="144"/>
        <v>29700</v>
      </c>
      <c r="AZ134" s="31">
        <f t="shared" si="145"/>
        <v>167353</v>
      </c>
      <c r="BA134" s="31">
        <f t="shared" ref="BA134" si="150">SUMIF($B$2:$B$571,$B134,$S$2:$S$571)</f>
        <v>16222</v>
      </c>
      <c r="BB134" s="30">
        <f t="shared" si="147"/>
        <v>9.693283060357448E-2</v>
      </c>
    </row>
    <row r="135" spans="2:54" x14ac:dyDescent="0.5">
      <c r="B135" s="4">
        <v>2004</v>
      </c>
      <c r="C135" t="s">
        <v>64</v>
      </c>
      <c r="D135" t="s">
        <v>65</v>
      </c>
      <c r="E135">
        <v>5</v>
      </c>
      <c r="F135" t="s">
        <v>38</v>
      </c>
      <c r="G135" t="s">
        <v>38</v>
      </c>
      <c r="H135" t="s">
        <v>38</v>
      </c>
      <c r="I135" t="s">
        <v>38</v>
      </c>
      <c r="J135">
        <v>58</v>
      </c>
      <c r="K135">
        <v>104</v>
      </c>
      <c r="L135">
        <v>720</v>
      </c>
      <c r="M135" s="20">
        <v>5538</v>
      </c>
      <c r="N135" s="20">
        <v>1432</v>
      </c>
      <c r="O135" s="20">
        <f t="shared" si="134"/>
        <v>992</v>
      </c>
      <c r="P135" s="20">
        <v>261</v>
      </c>
      <c r="Q135" s="20">
        <v>29</v>
      </c>
      <c r="R135" s="20">
        <v>150</v>
      </c>
      <c r="S135" s="20">
        <v>461</v>
      </c>
      <c r="T135" s="20">
        <v>76</v>
      </c>
      <c r="U135" s="20">
        <f t="shared" si="135"/>
        <v>3569</v>
      </c>
      <c r="V135">
        <v>1057</v>
      </c>
      <c r="W135">
        <v>67</v>
      </c>
      <c r="X135">
        <v>48</v>
      </c>
      <c r="Y135">
        <v>38</v>
      </c>
      <c r="Z135">
        <v>905</v>
      </c>
      <c r="AA135">
        <v>813</v>
      </c>
      <c r="AB135">
        <v>5.15</v>
      </c>
      <c r="AC135">
        <v>6</v>
      </c>
      <c r="AD135">
        <v>3</v>
      </c>
      <c r="AE135">
        <v>25</v>
      </c>
      <c r="AF135" s="27">
        <f t="shared" ca="1" si="122"/>
        <v>6407</v>
      </c>
      <c r="AG135" s="27">
        <f t="shared" ca="1" si="136"/>
        <v>1447</v>
      </c>
      <c r="AH135" s="27">
        <f t="shared" ca="1" si="137"/>
        <v>929</v>
      </c>
      <c r="AI135" s="27">
        <f t="shared" ca="1" si="138"/>
        <v>273</v>
      </c>
      <c r="AJ135" s="27">
        <f t="shared" ca="1" si="139"/>
        <v>42</v>
      </c>
      <c r="AK135" s="27">
        <f t="shared" ca="1" si="140"/>
        <v>203</v>
      </c>
      <c r="AL135" s="27">
        <f t="shared" ca="1" si="141"/>
        <v>583</v>
      </c>
      <c r="AM135" s="27">
        <f t="shared" ca="1" si="142"/>
        <v>68</v>
      </c>
      <c r="AN135" s="27">
        <f t="shared" ca="1" si="143"/>
        <v>4309</v>
      </c>
      <c r="AO135">
        <v>4261</v>
      </c>
      <c r="AP135">
        <v>1638</v>
      </c>
      <c r="AQ135">
        <v>208</v>
      </c>
      <c r="AR135">
        <v>518</v>
      </c>
      <c r="AS135">
        <v>887</v>
      </c>
      <c r="AT135">
        <v>131</v>
      </c>
      <c r="AU135">
        <v>169</v>
      </c>
      <c r="AV135">
        <v>0.97799999999999998</v>
      </c>
      <c r="AW135" s="1"/>
      <c r="AX135" s="29" t="s">
        <v>139</v>
      </c>
      <c r="AY135" s="29">
        <f t="shared" si="144"/>
        <v>29700</v>
      </c>
      <c r="AZ135" s="31">
        <f t="shared" si="145"/>
        <v>167353</v>
      </c>
      <c r="BA135" s="31">
        <f t="shared" ref="BA135" si="151">SUMIF($B$2:$B$571,$B135,$T$2:$T$571)</f>
        <v>1850</v>
      </c>
      <c r="BB135" s="30">
        <f t="shared" si="147"/>
        <v>1.1054477660992035E-2</v>
      </c>
    </row>
    <row r="136" spans="2:54" x14ac:dyDescent="0.5">
      <c r="B136" s="4">
        <v>2004</v>
      </c>
      <c r="C136" t="s">
        <v>66</v>
      </c>
      <c r="D136" t="s">
        <v>67</v>
      </c>
      <c r="E136">
        <v>1</v>
      </c>
      <c r="F136" t="s">
        <v>43</v>
      </c>
      <c r="G136" t="s">
        <v>38</v>
      </c>
      <c r="H136" t="s">
        <v>38</v>
      </c>
      <c r="I136" t="s">
        <v>38</v>
      </c>
      <c r="J136">
        <v>93</v>
      </c>
      <c r="K136">
        <v>69</v>
      </c>
      <c r="L136">
        <v>761</v>
      </c>
      <c r="M136" s="20">
        <v>5542</v>
      </c>
      <c r="N136" s="20">
        <v>1450</v>
      </c>
      <c r="O136" s="20">
        <f t="shared" si="134"/>
        <v>991</v>
      </c>
      <c r="P136" s="20">
        <v>226</v>
      </c>
      <c r="Q136" s="20">
        <v>30</v>
      </c>
      <c r="R136" s="20">
        <v>203</v>
      </c>
      <c r="S136" s="20">
        <v>536</v>
      </c>
      <c r="T136" s="20">
        <v>62</v>
      </c>
      <c r="U136" s="20">
        <f t="shared" si="135"/>
        <v>3494</v>
      </c>
      <c r="V136">
        <v>1092</v>
      </c>
      <c r="W136">
        <v>102</v>
      </c>
      <c r="X136">
        <v>41</v>
      </c>
      <c r="Y136">
        <v>35</v>
      </c>
      <c r="Z136">
        <v>684</v>
      </c>
      <c r="AA136">
        <v>647</v>
      </c>
      <c r="AB136">
        <v>4.01</v>
      </c>
      <c r="AC136">
        <v>2</v>
      </c>
      <c r="AD136">
        <v>6</v>
      </c>
      <c r="AE136">
        <v>51</v>
      </c>
      <c r="AF136" s="27">
        <f t="shared" ca="1" si="122"/>
        <v>6462</v>
      </c>
      <c r="AG136" s="27">
        <f t="shared" ca="1" si="136"/>
        <v>1540</v>
      </c>
      <c r="AH136" s="27">
        <f t="shared" ca="1" si="137"/>
        <v>909</v>
      </c>
      <c r="AI136" s="27">
        <f t="shared" ca="1" si="138"/>
        <v>382</v>
      </c>
      <c r="AJ136" s="27">
        <f t="shared" ca="1" si="139"/>
        <v>21</v>
      </c>
      <c r="AK136" s="27">
        <f t="shared" ca="1" si="140"/>
        <v>228</v>
      </c>
      <c r="AL136" s="27">
        <f t="shared" ca="1" si="141"/>
        <v>617</v>
      </c>
      <c r="AM136" s="27">
        <f t="shared" ca="1" si="142"/>
        <v>88</v>
      </c>
      <c r="AN136" s="27">
        <f t="shared" ca="1" si="143"/>
        <v>4217</v>
      </c>
      <c r="AO136">
        <v>4360</v>
      </c>
      <c r="AP136">
        <v>1386</v>
      </c>
      <c r="AQ136">
        <v>178</v>
      </c>
      <c r="AR136">
        <v>521</v>
      </c>
      <c r="AS136">
        <v>1066</v>
      </c>
      <c r="AT136">
        <v>73</v>
      </c>
      <c r="AU136">
        <v>145</v>
      </c>
      <c r="AV136">
        <v>0.98799999999999999</v>
      </c>
      <c r="AW136" s="1"/>
      <c r="AX136" s="29" t="s">
        <v>140</v>
      </c>
      <c r="AY136" s="29">
        <f t="shared" si="144"/>
        <v>29700</v>
      </c>
      <c r="AZ136" s="31">
        <f t="shared" si="145"/>
        <v>167353</v>
      </c>
      <c r="BA136" s="31">
        <f t="shared" ref="BA136" si="152">SUMIF($B$2:$B$571,$B136,$U$2:$U$571)</f>
        <v>104759</v>
      </c>
      <c r="BB136" s="30">
        <f t="shared" si="147"/>
        <v>0.62597622988533219</v>
      </c>
    </row>
    <row r="137" spans="2:54" x14ac:dyDescent="0.5">
      <c r="B137" s="4">
        <v>2004</v>
      </c>
      <c r="C137" t="s">
        <v>68</v>
      </c>
      <c r="D137" t="s">
        <v>69</v>
      </c>
      <c r="E137">
        <v>6</v>
      </c>
      <c r="F137" t="s">
        <v>38</v>
      </c>
      <c r="G137" t="s">
        <v>38</v>
      </c>
      <c r="H137" t="s">
        <v>38</v>
      </c>
      <c r="I137" t="s">
        <v>38</v>
      </c>
      <c r="J137">
        <v>67</v>
      </c>
      <c r="K137">
        <v>94</v>
      </c>
      <c r="L137">
        <v>634</v>
      </c>
      <c r="M137" s="20">
        <v>5483</v>
      </c>
      <c r="N137" s="20">
        <v>1358</v>
      </c>
      <c r="O137" s="20">
        <f t="shared" si="134"/>
        <v>896</v>
      </c>
      <c r="P137" s="20">
        <v>295</v>
      </c>
      <c r="Q137" s="20">
        <v>32</v>
      </c>
      <c r="R137" s="20">
        <v>135</v>
      </c>
      <c r="S137" s="20">
        <v>540</v>
      </c>
      <c r="T137" s="20">
        <v>68</v>
      </c>
      <c r="U137" s="20">
        <f t="shared" si="135"/>
        <v>3517</v>
      </c>
      <c r="V137">
        <v>1312</v>
      </c>
      <c r="W137">
        <v>138</v>
      </c>
      <c r="X137">
        <v>40</v>
      </c>
      <c r="Y137">
        <v>40</v>
      </c>
      <c r="Z137">
        <v>757</v>
      </c>
      <c r="AA137">
        <v>679</v>
      </c>
      <c r="AB137">
        <v>4.24</v>
      </c>
      <c r="AC137">
        <v>6</v>
      </c>
      <c r="AD137">
        <v>10</v>
      </c>
      <c r="AE137">
        <v>42</v>
      </c>
      <c r="AF137" s="27">
        <f t="shared" ca="1" si="122"/>
        <v>6262</v>
      </c>
      <c r="AG137" s="27">
        <f t="shared" ca="1" si="136"/>
        <v>1307</v>
      </c>
      <c r="AH137" s="27">
        <f t="shared" ca="1" si="137"/>
        <v>784</v>
      </c>
      <c r="AI137" s="27">
        <f t="shared" ca="1" si="138"/>
        <v>263</v>
      </c>
      <c r="AJ137" s="27">
        <f t="shared" ca="1" si="139"/>
        <v>25</v>
      </c>
      <c r="AK137" s="27">
        <f t="shared" ca="1" si="140"/>
        <v>235</v>
      </c>
      <c r="AL137" s="27">
        <f t="shared" ca="1" si="141"/>
        <v>449</v>
      </c>
      <c r="AM137" s="27">
        <f t="shared" ca="1" si="142"/>
        <v>38</v>
      </c>
      <c r="AN137" s="27">
        <f t="shared" ca="1" si="143"/>
        <v>4468</v>
      </c>
      <c r="AO137">
        <v>4326</v>
      </c>
      <c r="AP137">
        <v>1440</v>
      </c>
      <c r="AQ137">
        <v>164</v>
      </c>
      <c r="AR137">
        <v>476</v>
      </c>
      <c r="AS137">
        <v>1098</v>
      </c>
      <c r="AT137">
        <v>117</v>
      </c>
      <c r="AU137">
        <v>132</v>
      </c>
      <c r="AV137">
        <v>0.98099999999999998</v>
      </c>
      <c r="AW137" s="1"/>
      <c r="AX137" s="29" t="s">
        <v>141</v>
      </c>
      <c r="AY137" s="29">
        <f t="shared" si="144"/>
        <v>29700</v>
      </c>
      <c r="AZ137" s="31">
        <f t="shared" si="145"/>
        <v>167353</v>
      </c>
      <c r="BA137" s="31"/>
      <c r="BB137" s="30">
        <f t="shared" si="147"/>
        <v>0</v>
      </c>
    </row>
    <row r="138" spans="2:54" x14ac:dyDescent="0.5">
      <c r="B138" s="4">
        <v>2004</v>
      </c>
      <c r="C138" t="s">
        <v>70</v>
      </c>
      <c r="D138" t="s">
        <v>71</v>
      </c>
      <c r="E138">
        <v>1</v>
      </c>
      <c r="F138" t="s">
        <v>43</v>
      </c>
      <c r="G138" t="s">
        <v>38</v>
      </c>
      <c r="H138" t="s">
        <v>38</v>
      </c>
      <c r="I138" t="s">
        <v>38</v>
      </c>
      <c r="J138">
        <v>92</v>
      </c>
      <c r="K138">
        <v>70</v>
      </c>
      <c r="L138">
        <v>780</v>
      </c>
      <c r="M138" s="20">
        <v>5623</v>
      </c>
      <c r="N138" s="20">
        <v>1494</v>
      </c>
      <c r="O138" s="20">
        <f t="shared" si="134"/>
        <v>969</v>
      </c>
      <c r="P138" s="20">
        <v>310</v>
      </c>
      <c r="Q138" s="20">
        <v>24</v>
      </c>
      <c r="R138" s="20">
        <v>191</v>
      </c>
      <c r="S138" s="20">
        <v>513</v>
      </c>
      <c r="T138" s="20">
        <v>64</v>
      </c>
      <c r="U138" s="20">
        <f t="shared" si="135"/>
        <v>3552</v>
      </c>
      <c r="V138">
        <v>982</v>
      </c>
      <c r="W138">
        <v>116</v>
      </c>
      <c r="X138">
        <v>46</v>
      </c>
      <c r="Y138">
        <v>40</v>
      </c>
      <c r="Z138">
        <v>715</v>
      </c>
      <c r="AA138">
        <v>661</v>
      </c>
      <c r="AB138">
        <v>4.03</v>
      </c>
      <c r="AC138">
        <v>4</v>
      </c>
      <c r="AD138">
        <v>9</v>
      </c>
      <c r="AE138">
        <v>48</v>
      </c>
      <c r="AF138" s="27">
        <f t="shared" ca="1" si="122"/>
        <v>6177</v>
      </c>
      <c r="AG138" s="27">
        <f t="shared" ca="1" si="136"/>
        <v>1369</v>
      </c>
      <c r="AH138" s="27">
        <f t="shared" ca="1" si="137"/>
        <v>889</v>
      </c>
      <c r="AI138" s="27">
        <f t="shared" ca="1" si="138"/>
        <v>270</v>
      </c>
      <c r="AJ138" s="27">
        <f t="shared" ca="1" si="139"/>
        <v>25</v>
      </c>
      <c r="AK138" s="27">
        <f t="shared" ca="1" si="140"/>
        <v>185</v>
      </c>
      <c r="AL138" s="27">
        <f t="shared" ca="1" si="141"/>
        <v>468</v>
      </c>
      <c r="AM138" s="27">
        <f t="shared" ca="1" si="142"/>
        <v>87</v>
      </c>
      <c r="AN138" s="27">
        <f t="shared" ca="1" si="143"/>
        <v>4253</v>
      </c>
      <c r="AO138">
        <v>4428</v>
      </c>
      <c r="AP138">
        <v>1523</v>
      </c>
      <c r="AQ138">
        <v>167</v>
      </c>
      <c r="AR138">
        <v>431</v>
      </c>
      <c r="AS138">
        <v>1123</v>
      </c>
      <c r="AT138">
        <v>101</v>
      </c>
      <c r="AU138">
        <v>158</v>
      </c>
      <c r="AV138">
        <v>0.98399999999999999</v>
      </c>
      <c r="AW138" s="1">
        <v>2017</v>
      </c>
      <c r="AX138" s="29" t="s">
        <v>134</v>
      </c>
      <c r="AY138" s="29">
        <f t="shared" si="144"/>
        <v>29700</v>
      </c>
      <c r="AZ138" s="31">
        <f t="shared" si="145"/>
        <v>167353</v>
      </c>
      <c r="BA138" s="31">
        <f t="shared" ref="BA138" si="153">SUMIF($B$2:$B$571,$B138,$O$2:$O$571)</f>
        <v>29254</v>
      </c>
      <c r="BB138" s="30">
        <f t="shared" si="147"/>
        <v>0.17480415648360054</v>
      </c>
    </row>
    <row r="139" spans="2:54" x14ac:dyDescent="0.5">
      <c r="B139" s="4">
        <v>2004</v>
      </c>
      <c r="C139" t="s">
        <v>72</v>
      </c>
      <c r="D139" t="s">
        <v>73</v>
      </c>
      <c r="E139">
        <v>5</v>
      </c>
      <c r="F139" t="s">
        <v>38</v>
      </c>
      <c r="G139" t="s">
        <v>38</v>
      </c>
      <c r="H139" t="s">
        <v>38</v>
      </c>
      <c r="I139" t="s">
        <v>38</v>
      </c>
      <c r="J139">
        <v>67</v>
      </c>
      <c r="K139">
        <v>95</v>
      </c>
      <c r="L139">
        <v>635</v>
      </c>
      <c r="M139" s="20">
        <v>5474</v>
      </c>
      <c r="N139" s="20">
        <v>1361</v>
      </c>
      <c r="O139" s="20">
        <f t="shared" si="134"/>
        <v>907</v>
      </c>
      <c r="P139" s="20">
        <v>276</v>
      </c>
      <c r="Q139" s="20">
        <v>27</v>
      </c>
      <c r="R139" s="20">
        <v>151</v>
      </c>
      <c r="S139" s="20">
        <v>496</v>
      </c>
      <c r="T139" s="20">
        <v>35</v>
      </c>
      <c r="U139" s="20">
        <f t="shared" si="135"/>
        <v>3582</v>
      </c>
      <c r="V139">
        <v>925</v>
      </c>
      <c r="W139">
        <v>109</v>
      </c>
      <c r="X139">
        <v>38</v>
      </c>
      <c r="Y139">
        <v>33</v>
      </c>
      <c r="Z139">
        <v>769</v>
      </c>
      <c r="AA139">
        <v>696</v>
      </c>
      <c r="AB139">
        <v>4.33</v>
      </c>
      <c r="AC139">
        <v>11</v>
      </c>
      <c r="AD139">
        <v>11</v>
      </c>
      <c r="AE139">
        <v>31</v>
      </c>
      <c r="AF139" s="27">
        <f t="shared" ca="1" si="122"/>
        <v>6401</v>
      </c>
      <c r="AG139" s="27">
        <f t="shared" ca="1" si="136"/>
        <v>1384</v>
      </c>
      <c r="AH139" s="27">
        <f t="shared" ca="1" si="137"/>
        <v>804</v>
      </c>
      <c r="AI139" s="27">
        <f t="shared" ca="1" si="138"/>
        <v>321</v>
      </c>
      <c r="AJ139" s="27">
        <f t="shared" ca="1" si="139"/>
        <v>24</v>
      </c>
      <c r="AK139" s="27">
        <f t="shared" ca="1" si="140"/>
        <v>235</v>
      </c>
      <c r="AL139" s="27">
        <f t="shared" ca="1" si="141"/>
        <v>695</v>
      </c>
      <c r="AM139" s="27">
        <f t="shared" ca="1" si="142"/>
        <v>70</v>
      </c>
      <c r="AN139" s="27">
        <f t="shared" ca="1" si="143"/>
        <v>4252</v>
      </c>
      <c r="AO139">
        <v>4341</v>
      </c>
      <c r="AP139">
        <v>1477</v>
      </c>
      <c r="AQ139">
        <v>191</v>
      </c>
      <c r="AR139">
        <v>582</v>
      </c>
      <c r="AS139">
        <v>1032</v>
      </c>
      <c r="AT139">
        <v>99</v>
      </c>
      <c r="AU139">
        <v>172</v>
      </c>
      <c r="AV139">
        <v>0.98399999999999999</v>
      </c>
      <c r="AW139" s="1"/>
      <c r="AX139" s="29" t="s">
        <v>135</v>
      </c>
      <c r="AY139" s="29">
        <f t="shared" si="144"/>
        <v>29700</v>
      </c>
      <c r="AZ139" s="31">
        <f t="shared" si="145"/>
        <v>167353</v>
      </c>
      <c r="BA139" s="31">
        <f t="shared" ref="BA139" si="154">SUMIF($B$2:$B$571,$B139,$P$2:$P$571)</f>
        <v>8919</v>
      </c>
      <c r="BB139" s="30">
        <f t="shared" si="147"/>
        <v>5.3294533112642137E-2</v>
      </c>
    </row>
    <row r="140" spans="2:54" x14ac:dyDescent="0.5">
      <c r="B140" s="4">
        <v>2004</v>
      </c>
      <c r="C140" t="s">
        <v>74</v>
      </c>
      <c r="D140" t="s">
        <v>75</v>
      </c>
      <c r="E140">
        <v>1</v>
      </c>
      <c r="F140" t="s">
        <v>43</v>
      </c>
      <c r="G140" t="s">
        <v>38</v>
      </c>
      <c r="H140" t="s">
        <v>38</v>
      </c>
      <c r="I140" t="s">
        <v>38</v>
      </c>
      <c r="J140">
        <v>101</v>
      </c>
      <c r="K140">
        <v>61</v>
      </c>
      <c r="L140">
        <v>897</v>
      </c>
      <c r="M140" s="20">
        <v>5527</v>
      </c>
      <c r="N140" s="20">
        <v>1483</v>
      </c>
      <c r="O140" s="20">
        <f t="shared" si="134"/>
        <v>940</v>
      </c>
      <c r="P140" s="20">
        <v>281</v>
      </c>
      <c r="Q140" s="20">
        <v>20</v>
      </c>
      <c r="R140" s="20">
        <v>242</v>
      </c>
      <c r="S140" s="20">
        <v>670</v>
      </c>
      <c r="T140" s="20">
        <v>80</v>
      </c>
      <c r="U140" s="20">
        <f t="shared" si="135"/>
        <v>3294</v>
      </c>
      <c r="V140">
        <v>982</v>
      </c>
      <c r="W140">
        <v>84</v>
      </c>
      <c r="X140">
        <v>33</v>
      </c>
      <c r="Y140">
        <v>50</v>
      </c>
      <c r="Z140">
        <v>808</v>
      </c>
      <c r="AA140">
        <v>752</v>
      </c>
      <c r="AB140">
        <v>4.6900000000000004</v>
      </c>
      <c r="AC140">
        <v>1</v>
      </c>
      <c r="AD140">
        <v>5</v>
      </c>
      <c r="AE140">
        <v>59</v>
      </c>
      <c r="AF140" s="27">
        <f t="shared" ca="1" si="122"/>
        <v>6379</v>
      </c>
      <c r="AG140" s="27">
        <f t="shared" ca="1" si="136"/>
        <v>1327</v>
      </c>
      <c r="AH140" s="27">
        <f t="shared" ca="1" si="137"/>
        <v>852</v>
      </c>
      <c r="AI140" s="27">
        <f t="shared" ca="1" si="138"/>
        <v>260</v>
      </c>
      <c r="AJ140" s="27">
        <f t="shared" ca="1" si="139"/>
        <v>43</v>
      </c>
      <c r="AK140" s="27">
        <f t="shared" ca="1" si="140"/>
        <v>172</v>
      </c>
      <c r="AL140" s="27">
        <f t="shared" ca="1" si="141"/>
        <v>522</v>
      </c>
      <c r="AM140" s="27">
        <f t="shared" ca="1" si="142"/>
        <v>49</v>
      </c>
      <c r="AN140" s="27">
        <f t="shared" ca="1" si="143"/>
        <v>4481</v>
      </c>
      <c r="AO140">
        <v>4331</v>
      </c>
      <c r="AP140">
        <v>1532</v>
      </c>
      <c r="AQ140">
        <v>182</v>
      </c>
      <c r="AR140">
        <v>445</v>
      </c>
      <c r="AS140">
        <v>1058</v>
      </c>
      <c r="AT140">
        <v>99</v>
      </c>
      <c r="AU140">
        <v>148</v>
      </c>
      <c r="AV140">
        <v>0.98399999999999999</v>
      </c>
      <c r="AW140" s="1"/>
      <c r="AX140" s="29" t="s">
        <v>136</v>
      </c>
      <c r="AY140" s="29">
        <f t="shared" si="144"/>
        <v>29700</v>
      </c>
      <c r="AZ140" s="31">
        <f t="shared" si="145"/>
        <v>167353</v>
      </c>
      <c r="BA140" s="31">
        <f t="shared" ref="BA140" si="155">SUMIF($B$2:$B$571,$B140,$Q$2:$Q$571)</f>
        <v>898</v>
      </c>
      <c r="BB140" s="30">
        <f t="shared" si="147"/>
        <v>5.3659032105788365E-3</v>
      </c>
    </row>
    <row r="141" spans="2:54" x14ac:dyDescent="0.5">
      <c r="B141" s="4">
        <v>2004</v>
      </c>
      <c r="C141" t="s">
        <v>76</v>
      </c>
      <c r="D141" t="s">
        <v>77</v>
      </c>
      <c r="E141">
        <v>4</v>
      </c>
      <c r="F141" t="s">
        <v>38</v>
      </c>
      <c r="G141" t="s">
        <v>38</v>
      </c>
      <c r="H141" t="s">
        <v>38</v>
      </c>
      <c r="I141" t="s">
        <v>38</v>
      </c>
      <c r="J141">
        <v>71</v>
      </c>
      <c r="K141">
        <v>91</v>
      </c>
      <c r="L141">
        <v>684</v>
      </c>
      <c r="M141" s="20">
        <v>5532</v>
      </c>
      <c r="N141" s="20">
        <v>1376</v>
      </c>
      <c r="O141" s="20">
        <f t="shared" si="134"/>
        <v>882</v>
      </c>
      <c r="P141" s="20">
        <v>289</v>
      </c>
      <c r="Q141" s="20">
        <v>20</v>
      </c>
      <c r="R141" s="20">
        <v>185</v>
      </c>
      <c r="S141" s="20">
        <v>512</v>
      </c>
      <c r="T141" s="20">
        <v>61</v>
      </c>
      <c r="U141" s="20">
        <f t="shared" si="135"/>
        <v>3583</v>
      </c>
      <c r="V141">
        <v>1159</v>
      </c>
      <c r="W141">
        <v>107</v>
      </c>
      <c r="X141">
        <v>23</v>
      </c>
      <c r="Y141">
        <v>34</v>
      </c>
      <c r="Z141">
        <v>731</v>
      </c>
      <c r="AA141">
        <v>658</v>
      </c>
      <c r="AB141">
        <v>4.09</v>
      </c>
      <c r="AC141">
        <v>2</v>
      </c>
      <c r="AD141">
        <v>6</v>
      </c>
      <c r="AE141">
        <v>31</v>
      </c>
      <c r="AF141" s="27">
        <f t="shared" ca="1" si="122"/>
        <v>6331</v>
      </c>
      <c r="AG141" s="27">
        <f t="shared" ca="1" si="136"/>
        <v>1602</v>
      </c>
      <c r="AH141" s="27">
        <f t="shared" ca="1" si="137"/>
        <v>1086</v>
      </c>
      <c r="AI141" s="27">
        <f t="shared" ca="1" si="138"/>
        <v>274</v>
      </c>
      <c r="AJ141" s="27">
        <f t="shared" ca="1" si="139"/>
        <v>46</v>
      </c>
      <c r="AK141" s="27">
        <f t="shared" ca="1" si="140"/>
        <v>196</v>
      </c>
      <c r="AL141" s="27">
        <f t="shared" ca="1" si="141"/>
        <v>504</v>
      </c>
      <c r="AM141" s="27">
        <f t="shared" ca="1" si="142"/>
        <v>76</v>
      </c>
      <c r="AN141" s="27">
        <f t="shared" ca="1" si="143"/>
        <v>4149</v>
      </c>
      <c r="AO141">
        <v>4347</v>
      </c>
      <c r="AP141">
        <v>1452</v>
      </c>
      <c r="AQ141">
        <v>156</v>
      </c>
      <c r="AR141">
        <v>592</v>
      </c>
      <c r="AS141">
        <v>977</v>
      </c>
      <c r="AT141">
        <v>137</v>
      </c>
      <c r="AU141">
        <v>144</v>
      </c>
      <c r="AV141">
        <v>0.97799999999999998</v>
      </c>
      <c r="AW141" s="1"/>
      <c r="AX141" s="29" t="s">
        <v>137</v>
      </c>
      <c r="AY141" s="29">
        <f t="shared" si="144"/>
        <v>29700</v>
      </c>
      <c r="AZ141" s="31">
        <f t="shared" si="145"/>
        <v>167353</v>
      </c>
      <c r="BA141" s="31">
        <f t="shared" ref="BA141" si="156">SUMIF($B$2:$B$571,$B141,$R$2:$R$571)</f>
        <v>5451</v>
      </c>
      <c r="BB141" s="30">
        <f t="shared" si="147"/>
        <v>3.2571869043279772E-2</v>
      </c>
    </row>
    <row r="142" spans="2:54" x14ac:dyDescent="0.5">
      <c r="B142" s="4">
        <v>2004</v>
      </c>
      <c r="C142" t="s">
        <v>78</v>
      </c>
      <c r="D142" t="s">
        <v>79</v>
      </c>
      <c r="E142">
        <v>2</v>
      </c>
      <c r="F142" t="s">
        <v>38</v>
      </c>
      <c r="G142" t="s">
        <v>38</v>
      </c>
      <c r="H142" t="s">
        <v>38</v>
      </c>
      <c r="I142" t="s">
        <v>38</v>
      </c>
      <c r="J142">
        <v>91</v>
      </c>
      <c r="K142">
        <v>71</v>
      </c>
      <c r="L142">
        <v>793</v>
      </c>
      <c r="M142" s="20">
        <v>5728</v>
      </c>
      <c r="N142" s="20">
        <v>1545</v>
      </c>
      <c r="O142" s="20">
        <f t="shared" si="134"/>
        <v>1005</v>
      </c>
      <c r="P142" s="20">
        <v>336</v>
      </c>
      <c r="Q142" s="20">
        <v>15</v>
      </c>
      <c r="R142" s="20">
        <v>189</v>
      </c>
      <c r="S142" s="20">
        <v>608</v>
      </c>
      <c r="T142" s="20">
        <v>55</v>
      </c>
      <c r="U142" s="20">
        <f t="shared" si="135"/>
        <v>3520</v>
      </c>
      <c r="V142">
        <v>1061</v>
      </c>
      <c r="W142">
        <v>47</v>
      </c>
      <c r="X142">
        <v>22</v>
      </c>
      <c r="Y142">
        <v>43</v>
      </c>
      <c r="Z142">
        <v>742</v>
      </c>
      <c r="AA142">
        <v>682</v>
      </c>
      <c r="AB142">
        <v>4.17</v>
      </c>
      <c r="AC142">
        <v>10</v>
      </c>
      <c r="AD142">
        <v>8</v>
      </c>
      <c r="AE142">
        <v>35</v>
      </c>
      <c r="AF142" s="27">
        <f t="shared" ca="1" si="122"/>
        <v>6264</v>
      </c>
      <c r="AG142" s="27">
        <f t="shared" ca="1" si="136"/>
        <v>1626</v>
      </c>
      <c r="AH142" s="27">
        <f t="shared" ca="1" si="137"/>
        <v>1143</v>
      </c>
      <c r="AI142" s="27">
        <f t="shared" ca="1" si="138"/>
        <v>246</v>
      </c>
      <c r="AJ142" s="27">
        <f t="shared" ca="1" si="139"/>
        <v>28</v>
      </c>
      <c r="AK142" s="27">
        <f t="shared" ca="1" si="140"/>
        <v>209</v>
      </c>
      <c r="AL142" s="27">
        <f t="shared" ca="1" si="141"/>
        <v>508</v>
      </c>
      <c r="AM142" s="27">
        <f t="shared" ca="1" si="142"/>
        <v>87</v>
      </c>
      <c r="AN142" s="27">
        <f t="shared" ca="1" si="143"/>
        <v>4043</v>
      </c>
      <c r="AO142">
        <v>4414</v>
      </c>
      <c r="AP142">
        <v>1466</v>
      </c>
      <c r="AQ142">
        <v>164</v>
      </c>
      <c r="AR142">
        <v>544</v>
      </c>
      <c r="AS142">
        <v>1034</v>
      </c>
      <c r="AT142">
        <v>91</v>
      </c>
      <c r="AU142">
        <v>172</v>
      </c>
      <c r="AV142">
        <v>0.98599999999999999</v>
      </c>
      <c r="AW142" s="1"/>
      <c r="AX142" s="29" t="s">
        <v>138</v>
      </c>
      <c r="AY142" s="29">
        <f t="shared" si="144"/>
        <v>29700</v>
      </c>
      <c r="AZ142" s="31">
        <f t="shared" si="145"/>
        <v>167353</v>
      </c>
      <c r="BA142" s="31">
        <f t="shared" ref="BA142" si="157">SUMIF($B$2:$B$571,$B142,$S$2:$S$571)</f>
        <v>16222</v>
      </c>
      <c r="BB142" s="30">
        <f t="shared" si="147"/>
        <v>9.693283060357448E-2</v>
      </c>
    </row>
    <row r="143" spans="2:54" x14ac:dyDescent="0.5">
      <c r="B143" s="4">
        <v>2004</v>
      </c>
      <c r="C143" t="s">
        <v>80</v>
      </c>
      <c r="D143" t="s">
        <v>81</v>
      </c>
      <c r="E143">
        <v>2</v>
      </c>
      <c r="F143" t="s">
        <v>38</v>
      </c>
      <c r="G143" t="s">
        <v>38</v>
      </c>
      <c r="H143" t="s">
        <v>38</v>
      </c>
      <c r="I143" t="s">
        <v>38</v>
      </c>
      <c r="J143">
        <v>86</v>
      </c>
      <c r="K143">
        <v>76</v>
      </c>
      <c r="L143">
        <v>840</v>
      </c>
      <c r="M143" s="20">
        <v>5643</v>
      </c>
      <c r="N143" s="20">
        <v>1505</v>
      </c>
      <c r="O143" s="20">
        <f t="shared" si="134"/>
        <v>964</v>
      </c>
      <c r="P143" s="20">
        <v>303</v>
      </c>
      <c r="Q143" s="20">
        <v>23</v>
      </c>
      <c r="R143" s="20">
        <v>215</v>
      </c>
      <c r="S143" s="20">
        <v>645</v>
      </c>
      <c r="T143" s="20">
        <v>58</v>
      </c>
      <c r="U143" s="20">
        <f t="shared" si="135"/>
        <v>3435</v>
      </c>
      <c r="V143">
        <v>1133</v>
      </c>
      <c r="W143">
        <v>100</v>
      </c>
      <c r="X143">
        <v>27</v>
      </c>
      <c r="Y143">
        <v>46</v>
      </c>
      <c r="Z143">
        <v>781</v>
      </c>
      <c r="AA143">
        <v>724</v>
      </c>
      <c r="AB143">
        <v>4.45</v>
      </c>
      <c r="AC143">
        <v>4</v>
      </c>
      <c r="AD143">
        <v>5</v>
      </c>
      <c r="AE143">
        <v>43</v>
      </c>
      <c r="AF143" s="27">
        <f t="shared" ca="1" si="122"/>
        <v>6373</v>
      </c>
      <c r="AG143" s="27">
        <f t="shared" ca="1" si="136"/>
        <v>1333</v>
      </c>
      <c r="AH143" s="27">
        <f t="shared" ca="1" si="137"/>
        <v>717</v>
      </c>
      <c r="AI143" s="27">
        <f t="shared" ca="1" si="138"/>
        <v>380</v>
      </c>
      <c r="AJ143" s="27">
        <f t="shared" ca="1" si="139"/>
        <v>33</v>
      </c>
      <c r="AK143" s="27">
        <f t="shared" ca="1" si="140"/>
        <v>203</v>
      </c>
      <c r="AL143" s="27">
        <f t="shared" ca="1" si="141"/>
        <v>629</v>
      </c>
      <c r="AM143" s="27">
        <f t="shared" ca="1" si="142"/>
        <v>33</v>
      </c>
      <c r="AN143" s="27">
        <f t="shared" ca="1" si="143"/>
        <v>4378</v>
      </c>
      <c r="AO143">
        <v>4388</v>
      </c>
      <c r="AP143">
        <v>1488</v>
      </c>
      <c r="AQ143">
        <v>214</v>
      </c>
      <c r="AR143">
        <v>502</v>
      </c>
      <c r="AS143">
        <v>1070</v>
      </c>
      <c r="AT143">
        <v>81</v>
      </c>
      <c r="AU143">
        <v>142</v>
      </c>
      <c r="AV143">
        <v>0.98699999999999999</v>
      </c>
      <c r="AW143" s="1"/>
      <c r="AX143" s="29" t="s">
        <v>139</v>
      </c>
      <c r="AY143" s="29">
        <f t="shared" si="144"/>
        <v>29700</v>
      </c>
      <c r="AZ143" s="31">
        <f t="shared" si="145"/>
        <v>167353</v>
      </c>
      <c r="BA143" s="31">
        <f t="shared" ref="BA143" si="158">SUMIF($B$2:$B$571,$B143,$T$2:$T$571)</f>
        <v>1850</v>
      </c>
      <c r="BB143" s="30">
        <f t="shared" si="147"/>
        <v>1.1054477660992035E-2</v>
      </c>
    </row>
    <row r="144" spans="2:54" x14ac:dyDescent="0.5">
      <c r="B144" s="4">
        <v>2004</v>
      </c>
      <c r="C144" t="s">
        <v>82</v>
      </c>
      <c r="D144" t="s">
        <v>83</v>
      </c>
      <c r="E144">
        <v>5</v>
      </c>
      <c r="F144" t="s">
        <v>38</v>
      </c>
      <c r="G144" t="s">
        <v>38</v>
      </c>
      <c r="H144" t="s">
        <v>38</v>
      </c>
      <c r="I144" t="s">
        <v>38</v>
      </c>
      <c r="J144">
        <v>72</v>
      </c>
      <c r="K144">
        <v>89</v>
      </c>
      <c r="L144">
        <v>680</v>
      </c>
      <c r="M144" s="20">
        <v>5483</v>
      </c>
      <c r="N144" s="20">
        <v>1428</v>
      </c>
      <c r="O144" s="20">
        <f t="shared" si="134"/>
        <v>980</v>
      </c>
      <c r="P144" s="20">
        <v>267</v>
      </c>
      <c r="Q144" s="20">
        <v>39</v>
      </c>
      <c r="R144" s="20">
        <v>142</v>
      </c>
      <c r="S144" s="20">
        <v>415</v>
      </c>
      <c r="T144" s="20">
        <v>95</v>
      </c>
      <c r="U144" s="20">
        <f t="shared" si="135"/>
        <v>3545</v>
      </c>
      <c r="V144">
        <v>1066</v>
      </c>
      <c r="W144">
        <v>63</v>
      </c>
      <c r="X144">
        <v>40</v>
      </c>
      <c r="Y144">
        <v>42</v>
      </c>
      <c r="Z144">
        <v>744</v>
      </c>
      <c r="AA144">
        <v>680</v>
      </c>
      <c r="AB144">
        <v>4.29</v>
      </c>
      <c r="AC144">
        <v>3</v>
      </c>
      <c r="AD144">
        <v>8</v>
      </c>
      <c r="AE144">
        <v>46</v>
      </c>
      <c r="AF144" s="27">
        <f t="shared" ca="1" si="122"/>
        <v>6388</v>
      </c>
      <c r="AG144" s="27">
        <f t="shared" ca="1" si="136"/>
        <v>1627</v>
      </c>
      <c r="AH144" s="27">
        <f t="shared" ca="1" si="137"/>
        <v>1205</v>
      </c>
      <c r="AI144" s="27">
        <f t="shared" ca="1" si="138"/>
        <v>257</v>
      </c>
      <c r="AJ144" s="27">
        <f t="shared" ca="1" si="139"/>
        <v>20</v>
      </c>
      <c r="AK144" s="27">
        <f t="shared" ca="1" si="140"/>
        <v>145</v>
      </c>
      <c r="AL144" s="27">
        <f t="shared" ca="1" si="141"/>
        <v>476</v>
      </c>
      <c r="AM144" s="27">
        <f t="shared" ca="1" si="142"/>
        <v>33</v>
      </c>
      <c r="AN144" s="27">
        <f t="shared" ca="1" si="143"/>
        <v>4252</v>
      </c>
      <c r="AO144">
        <v>4284</v>
      </c>
      <c r="AP144">
        <v>1451</v>
      </c>
      <c r="AQ144">
        <v>149</v>
      </c>
      <c r="AR144">
        <v>576</v>
      </c>
      <c r="AS144">
        <v>1079</v>
      </c>
      <c r="AT144">
        <v>103</v>
      </c>
      <c r="AU144">
        <v>189</v>
      </c>
      <c r="AV144">
        <v>0.98299999999999998</v>
      </c>
      <c r="AW144" s="1"/>
      <c r="AX144" s="29" t="s">
        <v>140</v>
      </c>
      <c r="AY144" s="29">
        <f t="shared" si="144"/>
        <v>29700</v>
      </c>
      <c r="AZ144" s="31">
        <f t="shared" si="145"/>
        <v>167353</v>
      </c>
      <c r="BA144" s="31">
        <f t="shared" ref="BA144" si="159">SUMIF($B$2:$B$571,$B144,$U$2:$U$571)</f>
        <v>104759</v>
      </c>
      <c r="BB144" s="30">
        <f t="shared" si="147"/>
        <v>0.62597622988533219</v>
      </c>
    </row>
    <row r="145" spans="2:54" x14ac:dyDescent="0.5">
      <c r="B145" s="4">
        <v>2004</v>
      </c>
      <c r="C145" t="s">
        <v>84</v>
      </c>
      <c r="D145" t="s">
        <v>85</v>
      </c>
      <c r="E145">
        <v>3</v>
      </c>
      <c r="F145" t="s">
        <v>38</v>
      </c>
      <c r="G145" t="s">
        <v>38</v>
      </c>
      <c r="H145" t="s">
        <v>38</v>
      </c>
      <c r="I145" t="s">
        <v>38</v>
      </c>
      <c r="J145">
        <v>87</v>
      </c>
      <c r="K145">
        <v>75</v>
      </c>
      <c r="L145">
        <v>768</v>
      </c>
      <c r="M145" s="20">
        <v>5573</v>
      </c>
      <c r="N145" s="20">
        <v>1521</v>
      </c>
      <c r="O145" s="20">
        <f t="shared" si="134"/>
        <v>1046</v>
      </c>
      <c r="P145" s="20">
        <v>304</v>
      </c>
      <c r="Q145" s="20">
        <v>32</v>
      </c>
      <c r="R145" s="20">
        <v>139</v>
      </c>
      <c r="S145" s="20">
        <v>566</v>
      </c>
      <c r="T145" s="20">
        <v>56</v>
      </c>
      <c r="U145" s="20">
        <f t="shared" si="135"/>
        <v>3430</v>
      </c>
      <c r="V145">
        <v>910</v>
      </c>
      <c r="W145">
        <v>52</v>
      </c>
      <c r="X145">
        <v>25</v>
      </c>
      <c r="Y145">
        <v>66</v>
      </c>
      <c r="Z145">
        <v>705</v>
      </c>
      <c r="AA145">
        <v>645</v>
      </c>
      <c r="AB145">
        <v>4.03</v>
      </c>
      <c r="AC145">
        <v>3</v>
      </c>
      <c r="AD145">
        <v>8</v>
      </c>
      <c r="AE145">
        <v>44</v>
      </c>
      <c r="AF145" s="27">
        <f t="shared" ca="1" si="122"/>
        <v>6098</v>
      </c>
      <c r="AG145" s="27">
        <f t="shared" ca="1" si="136"/>
        <v>1431</v>
      </c>
      <c r="AH145" s="27">
        <f t="shared" ca="1" si="137"/>
        <v>923</v>
      </c>
      <c r="AI145" s="27">
        <f t="shared" ca="1" si="138"/>
        <v>341</v>
      </c>
      <c r="AJ145" s="27">
        <f t="shared" ca="1" si="139"/>
        <v>31</v>
      </c>
      <c r="AK145" s="27">
        <f t="shared" ca="1" si="140"/>
        <v>136</v>
      </c>
      <c r="AL145" s="27">
        <f t="shared" ca="1" si="141"/>
        <v>588</v>
      </c>
      <c r="AM145" s="27">
        <f t="shared" ca="1" si="142"/>
        <v>35</v>
      </c>
      <c r="AN145" s="27">
        <f t="shared" ca="1" si="143"/>
        <v>4044</v>
      </c>
      <c r="AO145">
        <v>4323</v>
      </c>
      <c r="AP145">
        <v>1460</v>
      </c>
      <c r="AQ145">
        <v>184</v>
      </c>
      <c r="AR145">
        <v>422</v>
      </c>
      <c r="AS145">
        <v>1079</v>
      </c>
      <c r="AT145">
        <v>108</v>
      </c>
      <c r="AU145">
        <v>146</v>
      </c>
      <c r="AV145">
        <v>0.98199999999999998</v>
      </c>
      <c r="AW145" s="1"/>
      <c r="AX145" s="29"/>
      <c r="AY145" s="29"/>
      <c r="AZ145" s="31"/>
      <c r="BA145" s="31"/>
      <c r="BB145" s="30"/>
    </row>
    <row r="146" spans="2:54" x14ac:dyDescent="0.5">
      <c r="B146" s="4">
        <v>2004</v>
      </c>
      <c r="C146" t="s">
        <v>86</v>
      </c>
      <c r="D146" t="s">
        <v>87</v>
      </c>
      <c r="E146">
        <v>4</v>
      </c>
      <c r="F146" t="s">
        <v>38</v>
      </c>
      <c r="G146" t="s">
        <v>38</v>
      </c>
      <c r="H146" t="s">
        <v>38</v>
      </c>
      <c r="I146" t="s">
        <v>38</v>
      </c>
      <c r="J146">
        <v>63</v>
      </c>
      <c r="K146">
        <v>99</v>
      </c>
      <c r="L146">
        <v>698</v>
      </c>
      <c r="M146" s="20">
        <v>5722</v>
      </c>
      <c r="N146" s="20">
        <v>1544</v>
      </c>
      <c r="O146" s="20">
        <f t="shared" si="134"/>
        <v>1112</v>
      </c>
      <c r="P146" s="20">
        <v>276</v>
      </c>
      <c r="Q146" s="20">
        <v>20</v>
      </c>
      <c r="R146" s="20">
        <v>136</v>
      </c>
      <c r="S146" s="20">
        <v>492</v>
      </c>
      <c r="T146" s="20">
        <v>54</v>
      </c>
      <c r="U146" s="20">
        <f t="shared" si="135"/>
        <v>3632</v>
      </c>
      <c r="V146">
        <v>1058</v>
      </c>
      <c r="W146">
        <v>110</v>
      </c>
      <c r="X146">
        <v>42</v>
      </c>
      <c r="Y146">
        <v>48</v>
      </c>
      <c r="Z146">
        <v>823</v>
      </c>
      <c r="AA146">
        <v>772</v>
      </c>
      <c r="AB146">
        <v>4.76</v>
      </c>
      <c r="AC146">
        <v>7</v>
      </c>
      <c r="AD146">
        <v>7</v>
      </c>
      <c r="AE146">
        <v>28</v>
      </c>
      <c r="AF146" s="27">
        <f t="shared" ca="1" si="122"/>
        <v>6061</v>
      </c>
      <c r="AG146" s="27">
        <f t="shared" ca="1" si="136"/>
        <v>1411</v>
      </c>
      <c r="AH146" s="27">
        <f t="shared" ca="1" si="137"/>
        <v>793</v>
      </c>
      <c r="AI146" s="27">
        <f t="shared" ca="1" si="138"/>
        <v>372</v>
      </c>
      <c r="AJ146" s="27">
        <f t="shared" ca="1" si="139"/>
        <v>43</v>
      </c>
      <c r="AK146" s="27">
        <f t="shared" ca="1" si="140"/>
        <v>203</v>
      </c>
      <c r="AL146" s="27">
        <f t="shared" ca="1" si="141"/>
        <v>550</v>
      </c>
      <c r="AM146" s="27">
        <f t="shared" ca="1" si="142"/>
        <v>86</v>
      </c>
      <c r="AN146" s="27">
        <f t="shared" ca="1" si="143"/>
        <v>4014</v>
      </c>
      <c r="AO146">
        <v>4378</v>
      </c>
      <c r="AP146">
        <v>1498</v>
      </c>
      <c r="AQ146">
        <v>212</v>
      </c>
      <c r="AR146">
        <v>575</v>
      </c>
      <c r="AS146">
        <v>1036</v>
      </c>
      <c r="AT146">
        <v>103</v>
      </c>
      <c r="AU146">
        <v>140</v>
      </c>
      <c r="AV146">
        <v>0.98299999999999998</v>
      </c>
      <c r="AW146" s="1">
        <v>2018</v>
      </c>
      <c r="AX146" s="29" t="s">
        <v>134</v>
      </c>
      <c r="AY146" s="29">
        <f t="shared" si="144"/>
        <v>29700</v>
      </c>
      <c r="AZ146" s="31">
        <f t="shared" si="145"/>
        <v>167353</v>
      </c>
      <c r="BA146" s="31">
        <f t="shared" ref="BA146" si="160">SUMIF($B$2:$B$571,$B146,$O$2:$O$571)</f>
        <v>29254</v>
      </c>
      <c r="BB146" s="30">
        <f t="shared" si="147"/>
        <v>0.17480415648360054</v>
      </c>
    </row>
    <row r="147" spans="2:54" x14ac:dyDescent="0.5">
      <c r="B147" s="4">
        <v>2004</v>
      </c>
      <c r="C147" t="s">
        <v>88</v>
      </c>
      <c r="D147" t="s">
        <v>89</v>
      </c>
      <c r="E147">
        <v>2</v>
      </c>
      <c r="F147" t="s">
        <v>38</v>
      </c>
      <c r="G147" t="s">
        <v>38</v>
      </c>
      <c r="H147" t="s">
        <v>38</v>
      </c>
      <c r="I147" t="s">
        <v>38</v>
      </c>
      <c r="J147">
        <v>91</v>
      </c>
      <c r="K147">
        <v>71</v>
      </c>
      <c r="L147">
        <v>850</v>
      </c>
      <c r="M147" s="20">
        <v>5546</v>
      </c>
      <c r="N147" s="20">
        <v>1500</v>
      </c>
      <c r="O147" s="20">
        <f t="shared" si="134"/>
        <v>970</v>
      </c>
      <c r="P147" s="20">
        <v>314</v>
      </c>
      <c r="Q147" s="20">
        <v>33</v>
      </c>
      <c r="R147" s="20">
        <v>183</v>
      </c>
      <c r="S147" s="20">
        <v>705</v>
      </c>
      <c r="T147" s="20">
        <v>72</v>
      </c>
      <c r="U147" s="20">
        <f t="shared" si="135"/>
        <v>3269</v>
      </c>
      <c r="V147">
        <v>874</v>
      </c>
      <c r="W147">
        <v>43</v>
      </c>
      <c r="X147">
        <v>23</v>
      </c>
      <c r="Y147">
        <v>51</v>
      </c>
      <c r="Z147">
        <v>770</v>
      </c>
      <c r="AA147">
        <v>695</v>
      </c>
      <c r="AB147">
        <v>4.29</v>
      </c>
      <c r="AC147">
        <v>8</v>
      </c>
      <c r="AD147">
        <v>8</v>
      </c>
      <c r="AE147">
        <v>46</v>
      </c>
      <c r="AF147" s="27">
        <f t="shared" ca="1" si="122"/>
        <v>6388</v>
      </c>
      <c r="AG147" s="27">
        <f t="shared" ca="1" si="136"/>
        <v>1588</v>
      </c>
      <c r="AH147" s="27">
        <f t="shared" ca="1" si="137"/>
        <v>1146</v>
      </c>
      <c r="AI147" s="27">
        <f t="shared" ca="1" si="138"/>
        <v>245</v>
      </c>
      <c r="AJ147" s="27">
        <f t="shared" ca="1" si="139"/>
        <v>20</v>
      </c>
      <c r="AK147" s="27">
        <f t="shared" ca="1" si="140"/>
        <v>177</v>
      </c>
      <c r="AL147" s="27">
        <f t="shared" ca="1" si="141"/>
        <v>696</v>
      </c>
      <c r="AM147" s="27">
        <f t="shared" ca="1" si="142"/>
        <v>38</v>
      </c>
      <c r="AN147" s="27">
        <f t="shared" ca="1" si="143"/>
        <v>4066</v>
      </c>
      <c r="AO147">
        <v>4371</v>
      </c>
      <c r="AP147">
        <v>1481</v>
      </c>
      <c r="AQ147">
        <v>161</v>
      </c>
      <c r="AR147">
        <v>548</v>
      </c>
      <c r="AS147">
        <v>1020</v>
      </c>
      <c r="AT147">
        <v>101</v>
      </c>
      <c r="AU147">
        <v>153</v>
      </c>
      <c r="AV147">
        <v>0.98399999999999999</v>
      </c>
      <c r="AW147" s="1"/>
      <c r="AX147" s="29" t="s">
        <v>135</v>
      </c>
      <c r="AY147" s="29">
        <f t="shared" si="144"/>
        <v>29700</v>
      </c>
      <c r="AZ147" s="31">
        <f t="shared" si="145"/>
        <v>167353</v>
      </c>
      <c r="BA147" s="31">
        <f t="shared" ref="BA147" si="161">SUMIF($B$2:$B$571,$B147,$P$2:$P$571)</f>
        <v>8919</v>
      </c>
      <c r="BB147" s="30">
        <f t="shared" si="147"/>
        <v>5.3294533112642137E-2</v>
      </c>
    </row>
    <row r="148" spans="2:54" x14ac:dyDescent="0.5">
      <c r="B148" s="4">
        <v>2004</v>
      </c>
      <c r="C148" t="s">
        <v>90</v>
      </c>
      <c r="D148" t="s">
        <v>91</v>
      </c>
      <c r="E148">
        <v>1</v>
      </c>
      <c r="F148" t="s">
        <v>43</v>
      </c>
      <c r="G148" t="s">
        <v>38</v>
      </c>
      <c r="H148" t="s">
        <v>43</v>
      </c>
      <c r="I148" t="s">
        <v>38</v>
      </c>
      <c r="J148">
        <v>105</v>
      </c>
      <c r="K148">
        <v>57</v>
      </c>
      <c r="L148">
        <v>855</v>
      </c>
      <c r="M148" s="20">
        <v>5555</v>
      </c>
      <c r="N148" s="20">
        <v>1544</v>
      </c>
      <c r="O148" s="20">
        <f t="shared" si="134"/>
        <v>987</v>
      </c>
      <c r="P148" s="20">
        <v>319</v>
      </c>
      <c r="Q148" s="20">
        <v>24</v>
      </c>
      <c r="R148" s="20">
        <v>214</v>
      </c>
      <c r="S148" s="20">
        <v>548</v>
      </c>
      <c r="T148" s="20">
        <v>51</v>
      </c>
      <c r="U148" s="20">
        <f t="shared" si="135"/>
        <v>3412</v>
      </c>
      <c r="V148">
        <v>1085</v>
      </c>
      <c r="W148">
        <v>111</v>
      </c>
      <c r="X148">
        <v>47</v>
      </c>
      <c r="Y148">
        <v>70</v>
      </c>
      <c r="Z148">
        <v>659</v>
      </c>
      <c r="AA148">
        <v>605</v>
      </c>
      <c r="AB148">
        <v>3.75</v>
      </c>
      <c r="AC148">
        <v>4</v>
      </c>
      <c r="AD148">
        <v>12</v>
      </c>
      <c r="AE148">
        <v>57</v>
      </c>
      <c r="AF148" s="27">
        <f t="shared" ca="1" si="122"/>
        <v>6094</v>
      </c>
      <c r="AG148" s="27">
        <f t="shared" ca="1" si="136"/>
        <v>1393</v>
      </c>
      <c r="AH148" s="27">
        <f t="shared" ca="1" si="137"/>
        <v>836</v>
      </c>
      <c r="AI148" s="27">
        <f t="shared" ca="1" si="138"/>
        <v>288</v>
      </c>
      <c r="AJ148" s="27">
        <f t="shared" ca="1" si="139"/>
        <v>32</v>
      </c>
      <c r="AK148" s="27">
        <f t="shared" ca="1" si="140"/>
        <v>237</v>
      </c>
      <c r="AL148" s="27">
        <f t="shared" ca="1" si="141"/>
        <v>541</v>
      </c>
      <c r="AM148" s="27">
        <f t="shared" ca="1" si="142"/>
        <v>53</v>
      </c>
      <c r="AN148" s="27">
        <f t="shared" ca="1" si="143"/>
        <v>4107</v>
      </c>
      <c r="AO148">
        <v>4361</v>
      </c>
      <c r="AP148">
        <v>1378</v>
      </c>
      <c r="AQ148">
        <v>169</v>
      </c>
      <c r="AR148">
        <v>440</v>
      </c>
      <c r="AS148">
        <v>1041</v>
      </c>
      <c r="AT148">
        <v>97</v>
      </c>
      <c r="AU148">
        <v>154</v>
      </c>
      <c r="AV148">
        <v>0.98499999999999999</v>
      </c>
      <c r="AW148" s="1"/>
      <c r="AX148" s="29" t="s">
        <v>136</v>
      </c>
      <c r="AY148" s="29">
        <f t="shared" si="144"/>
        <v>29700</v>
      </c>
      <c r="AZ148" s="31">
        <f t="shared" si="145"/>
        <v>167353</v>
      </c>
      <c r="BA148" s="31">
        <f t="shared" ref="BA148" si="162">SUMIF($B$2:$B$571,$B148,$Q$2:$Q$571)</f>
        <v>898</v>
      </c>
      <c r="BB148" s="30">
        <f t="shared" si="147"/>
        <v>5.3659032105788365E-3</v>
      </c>
    </row>
    <row r="149" spans="2:54" x14ac:dyDescent="0.5">
      <c r="B149" s="4">
        <v>2004</v>
      </c>
      <c r="C149" t="s">
        <v>92</v>
      </c>
      <c r="D149" t="s">
        <v>93</v>
      </c>
      <c r="E149">
        <v>4</v>
      </c>
      <c r="F149" t="s">
        <v>38</v>
      </c>
      <c r="G149" t="s">
        <v>38</v>
      </c>
      <c r="H149" t="s">
        <v>38</v>
      </c>
      <c r="I149" t="s">
        <v>38</v>
      </c>
      <c r="J149">
        <v>70</v>
      </c>
      <c r="K149">
        <v>91</v>
      </c>
      <c r="L149">
        <v>714</v>
      </c>
      <c r="M149" s="20">
        <v>5483</v>
      </c>
      <c r="N149" s="20">
        <v>1416</v>
      </c>
      <c r="O149" s="20">
        <f t="shared" si="134"/>
        <v>947</v>
      </c>
      <c r="P149" s="20">
        <v>278</v>
      </c>
      <c r="Q149" s="20">
        <v>46</v>
      </c>
      <c r="R149" s="20">
        <v>145</v>
      </c>
      <c r="S149" s="20">
        <v>469</v>
      </c>
      <c r="T149" s="20">
        <v>55</v>
      </c>
      <c r="U149" s="20">
        <f t="shared" si="135"/>
        <v>3543</v>
      </c>
      <c r="V149">
        <v>944</v>
      </c>
      <c r="W149">
        <v>132</v>
      </c>
      <c r="X149">
        <v>42</v>
      </c>
      <c r="Y149">
        <v>56</v>
      </c>
      <c r="Z149">
        <v>842</v>
      </c>
      <c r="AA149">
        <v>757</v>
      </c>
      <c r="AB149">
        <v>4.8099999999999996</v>
      </c>
      <c r="AC149">
        <v>3</v>
      </c>
      <c r="AD149">
        <v>5</v>
      </c>
      <c r="AE149">
        <v>35</v>
      </c>
      <c r="AF149" s="27">
        <f t="shared" ca="1" si="122"/>
        <v>6204</v>
      </c>
      <c r="AG149" s="27">
        <f t="shared" ca="1" si="136"/>
        <v>1622</v>
      </c>
      <c r="AH149" s="27">
        <f t="shared" ca="1" si="137"/>
        <v>1024</v>
      </c>
      <c r="AI149" s="27">
        <f t="shared" ca="1" si="138"/>
        <v>341</v>
      </c>
      <c r="AJ149" s="27">
        <f t="shared" ca="1" si="139"/>
        <v>30</v>
      </c>
      <c r="AK149" s="27">
        <f t="shared" ca="1" si="140"/>
        <v>227</v>
      </c>
      <c r="AL149" s="27">
        <f t="shared" ca="1" si="141"/>
        <v>480</v>
      </c>
      <c r="AM149" s="27">
        <f t="shared" ca="1" si="142"/>
        <v>72</v>
      </c>
      <c r="AN149" s="27">
        <f t="shared" ca="1" si="143"/>
        <v>4030</v>
      </c>
      <c r="AO149">
        <v>4251</v>
      </c>
      <c r="AP149">
        <v>1459</v>
      </c>
      <c r="AQ149">
        <v>192</v>
      </c>
      <c r="AR149">
        <v>580</v>
      </c>
      <c r="AS149">
        <v>923</v>
      </c>
      <c r="AT149">
        <v>119</v>
      </c>
      <c r="AU149">
        <v>139</v>
      </c>
      <c r="AV149">
        <v>0.98</v>
      </c>
      <c r="AW149" s="1"/>
      <c r="AX149" s="29" t="s">
        <v>137</v>
      </c>
      <c r="AY149" s="29">
        <f t="shared" si="144"/>
        <v>29700</v>
      </c>
      <c r="AZ149" s="31">
        <f t="shared" si="145"/>
        <v>167353</v>
      </c>
      <c r="BA149" s="31">
        <f t="shared" ref="BA149" si="163">SUMIF($B$2:$B$571,$B149,$R$2:$R$571)</f>
        <v>5451</v>
      </c>
      <c r="BB149" s="30">
        <f t="shared" si="147"/>
        <v>3.2571869043279772E-2</v>
      </c>
    </row>
    <row r="150" spans="2:54" x14ac:dyDescent="0.5">
      <c r="B150" s="4">
        <v>2004</v>
      </c>
      <c r="C150" t="s">
        <v>94</v>
      </c>
      <c r="D150" t="s">
        <v>95</v>
      </c>
      <c r="E150">
        <v>3</v>
      </c>
      <c r="F150" t="s">
        <v>38</v>
      </c>
      <c r="G150" t="s">
        <v>38</v>
      </c>
      <c r="H150" t="s">
        <v>38</v>
      </c>
      <c r="I150" t="s">
        <v>38</v>
      </c>
      <c r="J150">
        <v>89</v>
      </c>
      <c r="K150">
        <v>73</v>
      </c>
      <c r="L150">
        <v>860</v>
      </c>
      <c r="M150" s="20">
        <v>5615</v>
      </c>
      <c r="N150" s="20">
        <v>1492</v>
      </c>
      <c r="O150" s="20">
        <f t="shared" si="134"/>
        <v>908</v>
      </c>
      <c r="P150" s="20">
        <v>323</v>
      </c>
      <c r="Q150" s="20">
        <v>34</v>
      </c>
      <c r="R150" s="20">
        <v>227</v>
      </c>
      <c r="S150" s="20">
        <v>500</v>
      </c>
      <c r="T150" s="20">
        <v>61</v>
      </c>
      <c r="U150" s="20">
        <f t="shared" si="135"/>
        <v>3562</v>
      </c>
      <c r="V150">
        <v>1099</v>
      </c>
      <c r="W150">
        <v>69</v>
      </c>
      <c r="X150">
        <v>36</v>
      </c>
      <c r="Y150">
        <v>57</v>
      </c>
      <c r="Z150">
        <v>794</v>
      </c>
      <c r="AA150">
        <v>724</v>
      </c>
      <c r="AB150">
        <v>4.53</v>
      </c>
      <c r="AC150">
        <v>5</v>
      </c>
      <c r="AD150">
        <v>9</v>
      </c>
      <c r="AE150">
        <v>52</v>
      </c>
      <c r="AF150" s="27">
        <f t="shared" ca="1" si="122"/>
        <v>6301</v>
      </c>
      <c r="AG150" s="27">
        <f t="shared" ca="1" si="136"/>
        <v>1469</v>
      </c>
      <c r="AH150" s="27">
        <f t="shared" ca="1" si="137"/>
        <v>811</v>
      </c>
      <c r="AI150" s="27">
        <f t="shared" ca="1" si="138"/>
        <v>400</v>
      </c>
      <c r="AJ150" s="27">
        <f t="shared" ca="1" si="139"/>
        <v>37</v>
      </c>
      <c r="AK150" s="27">
        <f t="shared" ca="1" si="140"/>
        <v>221</v>
      </c>
      <c r="AL150" s="27">
        <f t="shared" ca="1" si="141"/>
        <v>559</v>
      </c>
      <c r="AM150" s="27">
        <f t="shared" ca="1" si="142"/>
        <v>54</v>
      </c>
      <c r="AN150" s="27">
        <f t="shared" ca="1" si="143"/>
        <v>4219</v>
      </c>
      <c r="AO150">
        <v>4319</v>
      </c>
      <c r="AP150">
        <v>1536</v>
      </c>
      <c r="AQ150">
        <v>182</v>
      </c>
      <c r="AR150">
        <v>547</v>
      </c>
      <c r="AS150">
        <v>979</v>
      </c>
      <c r="AT150">
        <v>117</v>
      </c>
      <c r="AU150">
        <v>152</v>
      </c>
      <c r="AV150">
        <v>0.98099999999999998</v>
      </c>
      <c r="AW150" s="1"/>
      <c r="AX150" s="29" t="s">
        <v>138</v>
      </c>
      <c r="AY150" s="29">
        <f t="shared" si="144"/>
        <v>29700</v>
      </c>
      <c r="AZ150" s="31">
        <f t="shared" si="145"/>
        <v>167353</v>
      </c>
      <c r="BA150" s="31">
        <f t="shared" ref="BA150" si="164">SUMIF($B$2:$B$571,$B150,$S$2:$S$571)</f>
        <v>16222</v>
      </c>
      <c r="BB150" s="30">
        <f t="shared" si="147"/>
        <v>9.693283060357448E-2</v>
      </c>
    </row>
    <row r="151" spans="2:54" x14ac:dyDescent="0.5">
      <c r="B151" s="4">
        <v>2004</v>
      </c>
      <c r="C151" t="s">
        <v>96</v>
      </c>
      <c r="D151" t="s">
        <v>97</v>
      </c>
      <c r="E151">
        <v>5</v>
      </c>
      <c r="F151" t="s">
        <v>38</v>
      </c>
      <c r="G151" t="s">
        <v>38</v>
      </c>
      <c r="H151" t="s">
        <v>38</v>
      </c>
      <c r="I151" t="s">
        <v>38</v>
      </c>
      <c r="J151">
        <v>67</v>
      </c>
      <c r="K151">
        <v>94</v>
      </c>
      <c r="L151">
        <v>719</v>
      </c>
      <c r="M151" s="20">
        <v>5531</v>
      </c>
      <c r="N151" s="20">
        <v>1438</v>
      </c>
      <c r="O151" s="20">
        <f t="shared" si="134"/>
        <v>969</v>
      </c>
      <c r="P151" s="20">
        <v>290</v>
      </c>
      <c r="Q151" s="20">
        <v>34</v>
      </c>
      <c r="R151" s="20">
        <v>145</v>
      </c>
      <c r="S151" s="20">
        <v>513</v>
      </c>
      <c r="T151" s="20">
        <v>71</v>
      </c>
      <c r="U151" s="20">
        <f t="shared" si="135"/>
        <v>3509</v>
      </c>
      <c r="V151">
        <v>1083</v>
      </c>
      <c r="W151">
        <v>58</v>
      </c>
      <c r="X151">
        <v>31</v>
      </c>
      <c r="Y151">
        <v>42</v>
      </c>
      <c r="Z151">
        <v>823</v>
      </c>
      <c r="AA151">
        <v>775</v>
      </c>
      <c r="AB151">
        <v>4.91</v>
      </c>
      <c r="AC151">
        <v>6</v>
      </c>
      <c r="AD151">
        <v>11</v>
      </c>
      <c r="AE151">
        <v>37</v>
      </c>
      <c r="AF151" s="27">
        <f t="shared" ca="1" si="122"/>
        <v>6449</v>
      </c>
      <c r="AG151" s="27">
        <f t="shared" ca="1" si="136"/>
        <v>1699</v>
      </c>
      <c r="AH151" s="27">
        <f t="shared" ca="1" si="137"/>
        <v>1155</v>
      </c>
      <c r="AI151" s="27">
        <f t="shared" ca="1" si="138"/>
        <v>323</v>
      </c>
      <c r="AJ151" s="27">
        <f t="shared" ca="1" si="139"/>
        <v>31</v>
      </c>
      <c r="AK151" s="27">
        <f t="shared" ca="1" si="140"/>
        <v>190</v>
      </c>
      <c r="AL151" s="27">
        <f t="shared" ca="1" si="141"/>
        <v>659</v>
      </c>
      <c r="AM151" s="27">
        <f t="shared" ca="1" si="142"/>
        <v>78</v>
      </c>
      <c r="AN151" s="27">
        <f t="shared" ca="1" si="143"/>
        <v>4013</v>
      </c>
      <c r="AO151">
        <v>4263</v>
      </c>
      <c r="AP151">
        <v>1505</v>
      </c>
      <c r="AQ151">
        <v>181</v>
      </c>
      <c r="AR151">
        <v>608</v>
      </c>
      <c r="AS151">
        <v>956</v>
      </c>
      <c r="AT151">
        <v>91</v>
      </c>
      <c r="AU151">
        <v>150</v>
      </c>
      <c r="AV151">
        <v>0.98499999999999999</v>
      </c>
      <c r="AW151" s="1"/>
      <c r="AX151" s="29" t="s">
        <v>139</v>
      </c>
      <c r="AY151" s="29">
        <f t="shared" si="144"/>
        <v>29700</v>
      </c>
      <c r="AZ151" s="31">
        <f t="shared" si="145"/>
        <v>167353</v>
      </c>
      <c r="BA151" s="31">
        <f t="shared" ref="BA151" si="165">SUMIF($B$2:$B$571,$B151,$T$2:$T$571)</f>
        <v>1850</v>
      </c>
      <c r="BB151" s="30">
        <f t="shared" si="147"/>
        <v>1.1054477660992035E-2</v>
      </c>
    </row>
    <row r="152" spans="2:54" x14ac:dyDescent="0.5">
      <c r="B152" s="4">
        <v>2005</v>
      </c>
      <c r="C152" t="s">
        <v>39</v>
      </c>
      <c r="D152" t="s">
        <v>40</v>
      </c>
      <c r="E152">
        <v>2</v>
      </c>
      <c r="F152" t="s">
        <v>38</v>
      </c>
      <c r="G152" t="s">
        <v>38</v>
      </c>
      <c r="H152" t="s">
        <v>38</v>
      </c>
      <c r="I152" t="s">
        <v>38</v>
      </c>
      <c r="J152">
        <v>77</v>
      </c>
      <c r="K152">
        <v>85</v>
      </c>
      <c r="L152">
        <v>696</v>
      </c>
      <c r="M152" s="20">
        <v>5550</v>
      </c>
      <c r="N152" s="20">
        <v>1419</v>
      </c>
      <c r="O152" s="20">
        <f t="shared" si="134"/>
        <v>910</v>
      </c>
      <c r="P152" s="20">
        <v>291</v>
      </c>
      <c r="Q152" s="20">
        <v>27</v>
      </c>
      <c r="R152" s="20">
        <v>191</v>
      </c>
      <c r="S152" s="20">
        <v>606</v>
      </c>
      <c r="T152" s="20">
        <v>55</v>
      </c>
      <c r="U152" s="20">
        <f t="shared" si="135"/>
        <v>3470</v>
      </c>
      <c r="V152">
        <v>1094</v>
      </c>
      <c r="W152">
        <v>67</v>
      </c>
      <c r="X152">
        <v>26</v>
      </c>
      <c r="Y152">
        <v>45</v>
      </c>
      <c r="Z152">
        <v>856</v>
      </c>
      <c r="AA152">
        <v>783</v>
      </c>
      <c r="AB152">
        <v>4.84</v>
      </c>
      <c r="AC152">
        <v>6</v>
      </c>
      <c r="AD152">
        <v>10</v>
      </c>
      <c r="AE152">
        <v>45</v>
      </c>
      <c r="AF152" s="27">
        <f t="shared" ca="1" si="122"/>
        <v>6379</v>
      </c>
      <c r="AG152" s="27">
        <f t="shared" ca="1" si="136"/>
        <v>1496</v>
      </c>
      <c r="AH152" s="27">
        <f t="shared" ca="1" si="137"/>
        <v>927</v>
      </c>
      <c r="AI152" s="27">
        <f t="shared" ca="1" si="138"/>
        <v>308</v>
      </c>
      <c r="AJ152" s="27">
        <f t="shared" ca="1" si="139"/>
        <v>27</v>
      </c>
      <c r="AK152" s="27">
        <f t="shared" ca="1" si="140"/>
        <v>234</v>
      </c>
      <c r="AL152" s="27">
        <f t="shared" ca="1" si="141"/>
        <v>581</v>
      </c>
      <c r="AM152" s="27">
        <f t="shared" ca="1" si="142"/>
        <v>75</v>
      </c>
      <c r="AN152" s="27">
        <f t="shared" ca="1" si="143"/>
        <v>4227</v>
      </c>
      <c r="AO152">
        <v>4369</v>
      </c>
      <c r="AP152">
        <v>1580</v>
      </c>
      <c r="AQ152">
        <v>193</v>
      </c>
      <c r="AR152">
        <v>537</v>
      </c>
      <c r="AS152">
        <v>1038</v>
      </c>
      <c r="AT152">
        <v>94</v>
      </c>
      <c r="AU152">
        <v>159</v>
      </c>
      <c r="AV152">
        <v>0.98499999999999999</v>
      </c>
      <c r="AW152" s="1"/>
      <c r="AX152" s="29" t="s">
        <v>140</v>
      </c>
      <c r="AY152" s="29">
        <f t="shared" si="144"/>
        <v>29700</v>
      </c>
      <c r="AZ152" s="31">
        <f t="shared" si="145"/>
        <v>166335</v>
      </c>
      <c r="BA152" s="31">
        <f t="shared" ref="BA152" si="166">SUMIF($B$2:$B$571,$B152,$U$2:$U$571)</f>
        <v>105340</v>
      </c>
      <c r="BB152" s="30">
        <f t="shared" si="147"/>
        <v>0.63330026753238944</v>
      </c>
    </row>
    <row r="153" spans="2:54" x14ac:dyDescent="0.5">
      <c r="B153" s="4">
        <v>2005</v>
      </c>
      <c r="C153" t="s">
        <v>41</v>
      </c>
      <c r="D153" t="s">
        <v>42</v>
      </c>
      <c r="E153">
        <v>1</v>
      </c>
      <c r="F153" t="s">
        <v>43</v>
      </c>
      <c r="G153" t="s">
        <v>38</v>
      </c>
      <c r="H153" t="s">
        <v>38</v>
      </c>
      <c r="I153" t="s">
        <v>38</v>
      </c>
      <c r="J153">
        <v>90</v>
      </c>
      <c r="K153">
        <v>72</v>
      </c>
      <c r="L153">
        <v>769</v>
      </c>
      <c r="M153" s="20">
        <v>5486</v>
      </c>
      <c r="N153" s="20">
        <v>1453</v>
      </c>
      <c r="O153" s="20">
        <f t="shared" si="134"/>
        <v>924</v>
      </c>
      <c r="P153" s="20">
        <v>308</v>
      </c>
      <c r="Q153" s="20">
        <v>37</v>
      </c>
      <c r="R153" s="20">
        <v>184</v>
      </c>
      <c r="S153" s="20">
        <v>534</v>
      </c>
      <c r="T153" s="20">
        <v>45</v>
      </c>
      <c r="U153" s="20">
        <f t="shared" si="135"/>
        <v>3454</v>
      </c>
      <c r="V153">
        <v>1084</v>
      </c>
      <c r="W153">
        <v>92</v>
      </c>
      <c r="X153">
        <v>32</v>
      </c>
      <c r="Y153">
        <v>46</v>
      </c>
      <c r="Z153">
        <v>674</v>
      </c>
      <c r="AA153">
        <v>639</v>
      </c>
      <c r="AB153">
        <v>3.98</v>
      </c>
      <c r="AC153">
        <v>8</v>
      </c>
      <c r="AD153">
        <v>12</v>
      </c>
      <c r="AE153">
        <v>38</v>
      </c>
      <c r="AF153" s="27">
        <f t="shared" ca="1" si="122"/>
        <v>6184</v>
      </c>
      <c r="AG153" s="27">
        <f t="shared" ca="1" si="136"/>
        <v>1434</v>
      </c>
      <c r="AH153" s="27">
        <f t="shared" ca="1" si="137"/>
        <v>900</v>
      </c>
      <c r="AI153" s="27">
        <f t="shared" ca="1" si="138"/>
        <v>297</v>
      </c>
      <c r="AJ153" s="27">
        <f t="shared" ca="1" si="139"/>
        <v>33</v>
      </c>
      <c r="AK153" s="27">
        <f t="shared" ca="1" si="140"/>
        <v>204</v>
      </c>
      <c r="AL153" s="27">
        <f t="shared" ca="1" si="141"/>
        <v>633</v>
      </c>
      <c r="AM153" s="27">
        <f t="shared" ca="1" si="142"/>
        <v>49</v>
      </c>
      <c r="AN153" s="27">
        <f t="shared" ca="1" si="143"/>
        <v>4068</v>
      </c>
      <c r="AO153">
        <v>4331</v>
      </c>
      <c r="AP153">
        <v>1487</v>
      </c>
      <c r="AQ153">
        <v>145</v>
      </c>
      <c r="AR153">
        <v>520</v>
      </c>
      <c r="AS153">
        <v>929</v>
      </c>
      <c r="AT153">
        <v>86</v>
      </c>
      <c r="AU153">
        <v>170</v>
      </c>
      <c r="AV153">
        <v>0.98599999999999999</v>
      </c>
      <c r="AW153" s="1"/>
      <c r="AX153" s="29"/>
      <c r="AY153" s="29"/>
      <c r="AZ153" s="31"/>
      <c r="BA153" s="31"/>
      <c r="BB153" s="30"/>
    </row>
    <row r="154" spans="2:54" x14ac:dyDescent="0.5">
      <c r="B154" s="4">
        <v>2005</v>
      </c>
      <c r="C154" t="s">
        <v>44</v>
      </c>
      <c r="D154" t="s">
        <v>45</v>
      </c>
      <c r="E154">
        <v>4</v>
      </c>
      <c r="F154" t="s">
        <v>38</v>
      </c>
      <c r="G154" t="s">
        <v>38</v>
      </c>
      <c r="H154" t="s">
        <v>38</v>
      </c>
      <c r="I154" t="s">
        <v>38</v>
      </c>
      <c r="J154">
        <v>74</v>
      </c>
      <c r="K154">
        <v>88</v>
      </c>
      <c r="L154">
        <v>729</v>
      </c>
      <c r="M154" s="20">
        <v>5551</v>
      </c>
      <c r="N154" s="20">
        <v>1492</v>
      </c>
      <c r="O154" s="20">
        <f t="shared" si="134"/>
        <v>980</v>
      </c>
      <c r="P154" s="20">
        <v>296</v>
      </c>
      <c r="Q154" s="20">
        <v>27</v>
      </c>
      <c r="R154" s="20">
        <v>189</v>
      </c>
      <c r="S154" s="20">
        <v>447</v>
      </c>
      <c r="T154" s="20">
        <v>54</v>
      </c>
      <c r="U154" s="20">
        <f t="shared" si="135"/>
        <v>3558</v>
      </c>
      <c r="V154">
        <v>902</v>
      </c>
      <c r="W154">
        <v>83</v>
      </c>
      <c r="X154">
        <v>37</v>
      </c>
      <c r="Y154">
        <v>42</v>
      </c>
      <c r="Z154">
        <v>800</v>
      </c>
      <c r="AA154">
        <v>724</v>
      </c>
      <c r="AB154">
        <v>4.5599999999999996</v>
      </c>
      <c r="AC154">
        <v>2</v>
      </c>
      <c r="AD154">
        <v>9</v>
      </c>
      <c r="AE154">
        <v>38</v>
      </c>
      <c r="AF154" s="27">
        <f t="shared" ca="1" si="122"/>
        <v>6166</v>
      </c>
      <c r="AG154" s="27">
        <f t="shared" ca="1" si="136"/>
        <v>1333</v>
      </c>
      <c r="AH154" s="27">
        <f t="shared" ca="1" si="137"/>
        <v>829</v>
      </c>
      <c r="AI154" s="27">
        <f t="shared" ca="1" si="138"/>
        <v>256</v>
      </c>
      <c r="AJ154" s="27">
        <f t="shared" ca="1" si="139"/>
        <v>26</v>
      </c>
      <c r="AK154" s="27">
        <f t="shared" ca="1" si="140"/>
        <v>222</v>
      </c>
      <c r="AL154" s="27">
        <f t="shared" ca="1" si="141"/>
        <v>525</v>
      </c>
      <c r="AM154" s="27">
        <f t="shared" ca="1" si="142"/>
        <v>73</v>
      </c>
      <c r="AN154" s="27">
        <f t="shared" ca="1" si="143"/>
        <v>4235</v>
      </c>
      <c r="AO154">
        <v>4283</v>
      </c>
      <c r="AP154">
        <v>1458</v>
      </c>
      <c r="AQ154">
        <v>180</v>
      </c>
      <c r="AR154">
        <v>580</v>
      </c>
      <c r="AS154">
        <v>1052</v>
      </c>
      <c r="AT154">
        <v>107</v>
      </c>
      <c r="AU154">
        <v>154</v>
      </c>
      <c r="AV154">
        <v>0.98199999999999998</v>
      </c>
      <c r="AW154" s="1"/>
      <c r="AX154" s="1"/>
      <c r="AY154" s="29">
        <f t="shared" si="144"/>
        <v>29700</v>
      </c>
      <c r="AZ154" s="31">
        <f t="shared" si="145"/>
        <v>166335</v>
      </c>
      <c r="BA154" s="31">
        <f t="shared" ref="BA154" si="167">SUMIF($B$2:$B$571,$B154,$O$2:$O$571)</f>
        <v>29223</v>
      </c>
      <c r="BB154" s="30">
        <f t="shared" si="147"/>
        <v>0.17568761836053748</v>
      </c>
    </row>
    <row r="155" spans="2:54" x14ac:dyDescent="0.5">
      <c r="B155" s="4">
        <v>2005</v>
      </c>
      <c r="C155" t="s">
        <v>46</v>
      </c>
      <c r="D155" t="s">
        <v>47</v>
      </c>
      <c r="E155">
        <v>2</v>
      </c>
      <c r="F155" t="s">
        <v>38</v>
      </c>
      <c r="G155" t="s">
        <v>43</v>
      </c>
      <c r="H155" t="s">
        <v>38</v>
      </c>
      <c r="I155" t="s">
        <v>38</v>
      </c>
      <c r="J155">
        <v>95</v>
      </c>
      <c r="K155">
        <v>67</v>
      </c>
      <c r="L155">
        <v>910</v>
      </c>
      <c r="M155" s="20">
        <v>5626</v>
      </c>
      <c r="N155" s="20">
        <v>1579</v>
      </c>
      <c r="O155" s="20">
        <f t="shared" si="134"/>
        <v>1020</v>
      </c>
      <c r="P155" s="20">
        <v>339</v>
      </c>
      <c r="Q155" s="20">
        <v>21</v>
      </c>
      <c r="R155" s="20">
        <v>199</v>
      </c>
      <c r="S155" s="20">
        <v>653</v>
      </c>
      <c r="T155" s="20">
        <v>47</v>
      </c>
      <c r="U155" s="20">
        <f t="shared" si="135"/>
        <v>3347</v>
      </c>
      <c r="V155">
        <v>1044</v>
      </c>
      <c r="W155">
        <v>45</v>
      </c>
      <c r="X155">
        <v>12</v>
      </c>
      <c r="Y155">
        <v>63</v>
      </c>
      <c r="Z155">
        <v>805</v>
      </c>
      <c r="AA155">
        <v>752</v>
      </c>
      <c r="AB155">
        <v>4.74</v>
      </c>
      <c r="AC155">
        <v>6</v>
      </c>
      <c r="AD155">
        <v>8</v>
      </c>
      <c r="AE155">
        <v>38</v>
      </c>
      <c r="AF155" s="27">
        <f t="shared" ca="1" si="122"/>
        <v>6319</v>
      </c>
      <c r="AG155" s="27">
        <f t="shared" ca="1" si="136"/>
        <v>1451</v>
      </c>
      <c r="AH155" s="27">
        <f t="shared" ca="1" si="137"/>
        <v>949</v>
      </c>
      <c r="AI155" s="27">
        <f t="shared" ca="1" si="138"/>
        <v>272</v>
      </c>
      <c r="AJ155" s="27">
        <f t="shared" ca="1" si="139"/>
        <v>30</v>
      </c>
      <c r="AK155" s="27">
        <f t="shared" ca="1" si="140"/>
        <v>200</v>
      </c>
      <c r="AL155" s="27">
        <f t="shared" ca="1" si="141"/>
        <v>478</v>
      </c>
      <c r="AM155" s="27">
        <f t="shared" ca="1" si="142"/>
        <v>43</v>
      </c>
      <c r="AN155" s="27">
        <f t="shared" ca="1" si="143"/>
        <v>4347</v>
      </c>
      <c r="AO155">
        <v>4287</v>
      </c>
      <c r="AP155">
        <v>1550</v>
      </c>
      <c r="AQ155">
        <v>164</v>
      </c>
      <c r="AR155">
        <v>440</v>
      </c>
      <c r="AS155">
        <v>959</v>
      </c>
      <c r="AT155">
        <v>109</v>
      </c>
      <c r="AU155">
        <v>135</v>
      </c>
      <c r="AV155">
        <v>0.98199999999999998</v>
      </c>
      <c r="AW155" s="1"/>
      <c r="AX155" s="1"/>
      <c r="AY155" s="29">
        <f t="shared" si="144"/>
        <v>29700</v>
      </c>
      <c r="AZ155" s="31">
        <f t="shared" si="145"/>
        <v>166335</v>
      </c>
      <c r="BA155" s="31">
        <f t="shared" ref="BA155" si="168">SUMIF($B$2:$B$571,$B155,$P$2:$P$571)</f>
        <v>8863</v>
      </c>
      <c r="BB155" s="30">
        <f t="shared" si="147"/>
        <v>5.3284035230107912E-2</v>
      </c>
    </row>
    <row r="156" spans="2:54" x14ac:dyDescent="0.5">
      <c r="B156" s="4">
        <v>2005</v>
      </c>
      <c r="C156" t="s">
        <v>48</v>
      </c>
      <c r="D156" t="s">
        <v>49</v>
      </c>
      <c r="E156">
        <v>1</v>
      </c>
      <c r="F156" t="s">
        <v>43</v>
      </c>
      <c r="G156" t="s">
        <v>38</v>
      </c>
      <c r="H156" t="s">
        <v>43</v>
      </c>
      <c r="I156" t="s">
        <v>43</v>
      </c>
      <c r="J156">
        <v>99</v>
      </c>
      <c r="K156">
        <v>63</v>
      </c>
      <c r="L156">
        <v>741</v>
      </c>
      <c r="M156" s="20">
        <v>5529</v>
      </c>
      <c r="N156" s="20">
        <v>1450</v>
      </c>
      <c r="O156" s="20">
        <f t="shared" si="134"/>
        <v>974</v>
      </c>
      <c r="P156" s="20">
        <v>253</v>
      </c>
      <c r="Q156" s="20">
        <v>23</v>
      </c>
      <c r="R156" s="20">
        <v>200</v>
      </c>
      <c r="S156" s="20">
        <v>435</v>
      </c>
      <c r="T156" s="20">
        <v>79</v>
      </c>
      <c r="U156" s="20">
        <f t="shared" si="135"/>
        <v>3565</v>
      </c>
      <c r="V156">
        <v>1002</v>
      </c>
      <c r="W156">
        <v>137</v>
      </c>
      <c r="X156">
        <v>67</v>
      </c>
      <c r="Y156">
        <v>49</v>
      </c>
      <c r="Z156">
        <v>645</v>
      </c>
      <c r="AA156">
        <v>592</v>
      </c>
      <c r="AB156">
        <v>3.61</v>
      </c>
      <c r="AC156">
        <v>9</v>
      </c>
      <c r="AD156">
        <v>10</v>
      </c>
      <c r="AE156">
        <v>54</v>
      </c>
      <c r="AF156" s="27">
        <f t="shared" ca="1" si="122"/>
        <v>6364</v>
      </c>
      <c r="AG156" s="27">
        <f t="shared" ca="1" si="136"/>
        <v>1531</v>
      </c>
      <c r="AH156" s="27">
        <f t="shared" ca="1" si="137"/>
        <v>1069</v>
      </c>
      <c r="AI156" s="27">
        <f t="shared" ca="1" si="138"/>
        <v>254</v>
      </c>
      <c r="AJ156" s="27">
        <f t="shared" ca="1" si="139"/>
        <v>38</v>
      </c>
      <c r="AK156" s="27">
        <f t="shared" ca="1" si="140"/>
        <v>170</v>
      </c>
      <c r="AL156" s="27">
        <f t="shared" ca="1" si="141"/>
        <v>422</v>
      </c>
      <c r="AM156" s="27">
        <f t="shared" ca="1" si="142"/>
        <v>66</v>
      </c>
      <c r="AN156" s="27">
        <f t="shared" ca="1" si="143"/>
        <v>4345</v>
      </c>
      <c r="AO156">
        <v>4427</v>
      </c>
      <c r="AP156">
        <v>1392</v>
      </c>
      <c r="AQ156">
        <v>167</v>
      </c>
      <c r="AR156">
        <v>459</v>
      </c>
      <c r="AS156">
        <v>1040</v>
      </c>
      <c r="AT156">
        <v>94</v>
      </c>
      <c r="AU156">
        <v>166</v>
      </c>
      <c r="AV156">
        <v>0.98499999999999999</v>
      </c>
      <c r="AW156" s="1"/>
      <c r="AX156" s="1"/>
      <c r="AY156" s="29">
        <f t="shared" si="144"/>
        <v>29700</v>
      </c>
      <c r="AZ156" s="31">
        <f t="shared" si="145"/>
        <v>166335</v>
      </c>
      <c r="BA156" s="31">
        <f t="shared" ref="BA156" si="169">SUMIF($B$2:$B$571,$B156,$Q$2:$Q$571)</f>
        <v>888</v>
      </c>
      <c r="BB156" s="30">
        <f t="shared" si="147"/>
        <v>5.3386238614843541E-3</v>
      </c>
    </row>
    <row r="157" spans="2:54" x14ac:dyDescent="0.5">
      <c r="B157" s="4">
        <v>2005</v>
      </c>
      <c r="C157" t="s">
        <v>50</v>
      </c>
      <c r="D157" t="s">
        <v>51</v>
      </c>
      <c r="E157">
        <v>4</v>
      </c>
      <c r="F157" t="s">
        <v>38</v>
      </c>
      <c r="G157" t="s">
        <v>38</v>
      </c>
      <c r="H157" t="s">
        <v>38</v>
      </c>
      <c r="I157" t="s">
        <v>38</v>
      </c>
      <c r="J157">
        <v>79</v>
      </c>
      <c r="K157">
        <v>83</v>
      </c>
      <c r="L157">
        <v>703</v>
      </c>
      <c r="M157" s="20">
        <v>5584</v>
      </c>
      <c r="N157" s="20">
        <v>1506</v>
      </c>
      <c r="O157" s="20">
        <f t="shared" si="134"/>
        <v>966</v>
      </c>
      <c r="P157" s="20">
        <v>323</v>
      </c>
      <c r="Q157" s="20">
        <v>23</v>
      </c>
      <c r="R157" s="20">
        <v>194</v>
      </c>
      <c r="S157" s="20">
        <v>419</v>
      </c>
      <c r="T157" s="20">
        <v>50</v>
      </c>
      <c r="U157" s="20">
        <f t="shared" si="135"/>
        <v>3609</v>
      </c>
      <c r="V157">
        <v>920</v>
      </c>
      <c r="W157">
        <v>65</v>
      </c>
      <c r="X157">
        <v>39</v>
      </c>
      <c r="Y157">
        <v>37</v>
      </c>
      <c r="Z157">
        <v>714</v>
      </c>
      <c r="AA157">
        <v>671</v>
      </c>
      <c r="AB157">
        <v>4.1900000000000004</v>
      </c>
      <c r="AC157">
        <v>8</v>
      </c>
      <c r="AD157">
        <v>10</v>
      </c>
      <c r="AE157">
        <v>39</v>
      </c>
      <c r="AF157" s="27">
        <f t="shared" ca="1" si="122"/>
        <v>6341</v>
      </c>
      <c r="AG157" s="27">
        <f t="shared" ca="1" si="136"/>
        <v>1402</v>
      </c>
      <c r="AH157" s="27">
        <f t="shared" ca="1" si="137"/>
        <v>921</v>
      </c>
      <c r="AI157" s="27">
        <f t="shared" ca="1" si="138"/>
        <v>250</v>
      </c>
      <c r="AJ157" s="27">
        <f t="shared" ca="1" si="139"/>
        <v>28</v>
      </c>
      <c r="AK157" s="27">
        <f t="shared" ca="1" si="140"/>
        <v>203</v>
      </c>
      <c r="AL157" s="27">
        <f t="shared" ca="1" si="141"/>
        <v>462</v>
      </c>
      <c r="AM157" s="27">
        <f t="shared" ca="1" si="142"/>
        <v>73</v>
      </c>
      <c r="AN157" s="27">
        <f t="shared" ca="1" si="143"/>
        <v>4404</v>
      </c>
      <c r="AO157">
        <v>4320</v>
      </c>
      <c r="AP157">
        <v>1357</v>
      </c>
      <c r="AQ157">
        <v>186</v>
      </c>
      <c r="AR157">
        <v>576</v>
      </c>
      <c r="AS157">
        <v>1256</v>
      </c>
      <c r="AT157">
        <v>101</v>
      </c>
      <c r="AU157">
        <v>136</v>
      </c>
      <c r="AV157">
        <v>0.98299999999999998</v>
      </c>
      <c r="AW157" s="1"/>
      <c r="AX157" s="1"/>
      <c r="AY157" s="29">
        <f t="shared" si="144"/>
        <v>29700</v>
      </c>
      <c r="AZ157" s="31">
        <f t="shared" si="145"/>
        <v>166335</v>
      </c>
      <c r="BA157" s="31">
        <f t="shared" ref="BA157" si="170">SUMIF($B$2:$B$571,$B157,$R$2:$R$571)</f>
        <v>5017</v>
      </c>
      <c r="BB157" s="30">
        <f t="shared" si="147"/>
        <v>3.0162022424625005E-2</v>
      </c>
    </row>
    <row r="158" spans="2:54" x14ac:dyDescent="0.5">
      <c r="B158" s="4">
        <v>2005</v>
      </c>
      <c r="C158" t="s">
        <v>52</v>
      </c>
      <c r="D158" t="s">
        <v>53</v>
      </c>
      <c r="E158">
        <v>5</v>
      </c>
      <c r="F158" t="s">
        <v>38</v>
      </c>
      <c r="G158" t="s">
        <v>38</v>
      </c>
      <c r="H158" t="s">
        <v>38</v>
      </c>
      <c r="I158" t="s">
        <v>38</v>
      </c>
      <c r="J158">
        <v>73</v>
      </c>
      <c r="K158">
        <v>89</v>
      </c>
      <c r="L158">
        <v>820</v>
      </c>
      <c r="M158" s="20">
        <v>5565</v>
      </c>
      <c r="N158" s="20">
        <v>1453</v>
      </c>
      <c r="O158" s="20">
        <f t="shared" si="134"/>
        <v>881</v>
      </c>
      <c r="P158" s="20">
        <v>335</v>
      </c>
      <c r="Q158" s="20">
        <v>15</v>
      </c>
      <c r="R158" s="20">
        <v>222</v>
      </c>
      <c r="S158" s="20">
        <v>611</v>
      </c>
      <c r="T158" s="20">
        <v>62</v>
      </c>
      <c r="U158" s="20">
        <f t="shared" si="135"/>
        <v>3439</v>
      </c>
      <c r="V158">
        <v>1303</v>
      </c>
      <c r="W158">
        <v>72</v>
      </c>
      <c r="X158">
        <v>23</v>
      </c>
      <c r="Y158">
        <v>39</v>
      </c>
      <c r="Z158">
        <v>889</v>
      </c>
      <c r="AA158">
        <v>820</v>
      </c>
      <c r="AB158">
        <v>5.15</v>
      </c>
      <c r="AC158">
        <v>2</v>
      </c>
      <c r="AD158">
        <v>1</v>
      </c>
      <c r="AE158">
        <v>31</v>
      </c>
      <c r="AF158" s="27">
        <f t="shared" ca="1" si="122"/>
        <v>6219</v>
      </c>
      <c r="AG158" s="27">
        <f t="shared" ca="1" si="136"/>
        <v>1632</v>
      </c>
      <c r="AH158" s="27">
        <f t="shared" ca="1" si="137"/>
        <v>1156</v>
      </c>
      <c r="AI158" s="27">
        <f t="shared" ca="1" si="138"/>
        <v>271</v>
      </c>
      <c r="AJ158" s="27">
        <f t="shared" ca="1" si="139"/>
        <v>49</v>
      </c>
      <c r="AK158" s="27">
        <f t="shared" ca="1" si="140"/>
        <v>156</v>
      </c>
      <c r="AL158" s="27">
        <f t="shared" ca="1" si="141"/>
        <v>411</v>
      </c>
      <c r="AM158" s="27">
        <f t="shared" ca="1" si="142"/>
        <v>35</v>
      </c>
      <c r="AN158" s="27">
        <f t="shared" ca="1" si="143"/>
        <v>4141</v>
      </c>
      <c r="AO158">
        <v>4299</v>
      </c>
      <c r="AP158">
        <v>1657</v>
      </c>
      <c r="AQ158">
        <v>219</v>
      </c>
      <c r="AR158">
        <v>492</v>
      </c>
      <c r="AS158">
        <v>955</v>
      </c>
      <c r="AT158">
        <v>104</v>
      </c>
      <c r="AU158">
        <v>133</v>
      </c>
      <c r="AV158">
        <v>0.98299999999999998</v>
      </c>
      <c r="AW158" s="1"/>
      <c r="AX158" s="1"/>
      <c r="AY158" s="29">
        <f t="shared" si="144"/>
        <v>29700</v>
      </c>
      <c r="AZ158" s="31">
        <f t="shared" si="145"/>
        <v>166335</v>
      </c>
      <c r="BA158" s="31">
        <f t="shared" ref="BA158" si="171">SUMIF($B$2:$B$571,$B158,$S$2:$S$571)</f>
        <v>15207</v>
      </c>
      <c r="BB158" s="30">
        <f t="shared" si="147"/>
        <v>9.1423933627919562E-2</v>
      </c>
    </row>
    <row r="159" spans="2:54" x14ac:dyDescent="0.5">
      <c r="B159" s="4">
        <v>2005</v>
      </c>
      <c r="C159" t="s">
        <v>54</v>
      </c>
      <c r="D159" t="s">
        <v>55</v>
      </c>
      <c r="E159">
        <v>2</v>
      </c>
      <c r="F159" t="s">
        <v>38</v>
      </c>
      <c r="G159" t="s">
        <v>38</v>
      </c>
      <c r="H159" t="s">
        <v>38</v>
      </c>
      <c r="I159" t="s">
        <v>38</v>
      </c>
      <c r="J159">
        <v>93</v>
      </c>
      <c r="K159">
        <v>69</v>
      </c>
      <c r="L159">
        <v>790</v>
      </c>
      <c r="M159" s="20">
        <v>5609</v>
      </c>
      <c r="N159" s="20">
        <v>1522</v>
      </c>
      <c r="O159" s="20">
        <f t="shared" si="134"/>
        <v>948</v>
      </c>
      <c r="P159" s="20">
        <v>337</v>
      </c>
      <c r="Q159" s="20">
        <v>30</v>
      </c>
      <c r="R159" s="20">
        <v>207</v>
      </c>
      <c r="S159" s="20">
        <v>503</v>
      </c>
      <c r="T159" s="20">
        <v>54</v>
      </c>
      <c r="U159" s="20">
        <f t="shared" si="135"/>
        <v>3530</v>
      </c>
      <c r="V159">
        <v>1093</v>
      </c>
      <c r="W159">
        <v>62</v>
      </c>
      <c r="X159">
        <v>36</v>
      </c>
      <c r="Y159">
        <v>50</v>
      </c>
      <c r="Z159">
        <v>642</v>
      </c>
      <c r="AA159">
        <v>582</v>
      </c>
      <c r="AB159">
        <v>3.61</v>
      </c>
      <c r="AC159">
        <v>6</v>
      </c>
      <c r="AD159">
        <v>10</v>
      </c>
      <c r="AE159">
        <v>51</v>
      </c>
      <c r="AF159" s="27">
        <f t="shared" ca="1" si="122"/>
        <v>6050</v>
      </c>
      <c r="AG159" s="27">
        <f t="shared" ca="1" si="136"/>
        <v>1398</v>
      </c>
      <c r="AH159" s="27">
        <f t="shared" ca="1" si="137"/>
        <v>777</v>
      </c>
      <c r="AI159" s="27">
        <f t="shared" ca="1" si="138"/>
        <v>365</v>
      </c>
      <c r="AJ159" s="27">
        <f t="shared" ca="1" si="139"/>
        <v>33</v>
      </c>
      <c r="AK159" s="27">
        <f t="shared" ca="1" si="140"/>
        <v>223</v>
      </c>
      <c r="AL159" s="27">
        <f t="shared" ca="1" si="141"/>
        <v>514</v>
      </c>
      <c r="AM159" s="27">
        <f t="shared" ca="1" si="142"/>
        <v>31</v>
      </c>
      <c r="AN159" s="27">
        <f t="shared" ca="1" si="143"/>
        <v>4107</v>
      </c>
      <c r="AO159">
        <v>4358</v>
      </c>
      <c r="AP159">
        <v>1363</v>
      </c>
      <c r="AQ159">
        <v>157</v>
      </c>
      <c r="AR159">
        <v>413</v>
      </c>
      <c r="AS159">
        <v>1050</v>
      </c>
      <c r="AT159">
        <v>106</v>
      </c>
      <c r="AU159">
        <v>156</v>
      </c>
      <c r="AV159">
        <v>0.98299999999999998</v>
      </c>
      <c r="AW159" s="1"/>
      <c r="AX159" s="1"/>
      <c r="AY159" s="29">
        <f t="shared" si="144"/>
        <v>29700</v>
      </c>
      <c r="AZ159" s="31">
        <f t="shared" si="145"/>
        <v>166335</v>
      </c>
      <c r="BA159" s="31">
        <f t="shared" ref="BA159" si="172">SUMIF($B$2:$B$571,$B159,$T$2:$T$571)</f>
        <v>1797</v>
      </c>
      <c r="BB159" s="30">
        <f t="shared" si="147"/>
        <v>1.0803498962936243E-2</v>
      </c>
    </row>
    <row r="160" spans="2:54" x14ac:dyDescent="0.5">
      <c r="B160" s="4">
        <v>2005</v>
      </c>
      <c r="C160" t="s">
        <v>56</v>
      </c>
      <c r="D160" t="s">
        <v>57</v>
      </c>
      <c r="E160">
        <v>5</v>
      </c>
      <c r="F160" t="s">
        <v>38</v>
      </c>
      <c r="G160" t="s">
        <v>38</v>
      </c>
      <c r="H160" t="s">
        <v>38</v>
      </c>
      <c r="I160" t="s">
        <v>38</v>
      </c>
      <c r="J160">
        <v>67</v>
      </c>
      <c r="K160">
        <v>95</v>
      </c>
      <c r="L160">
        <v>740</v>
      </c>
      <c r="M160" s="20">
        <v>5542</v>
      </c>
      <c r="N160" s="20">
        <v>1477</v>
      </c>
      <c r="O160" s="20">
        <f t="shared" si="134"/>
        <v>1013</v>
      </c>
      <c r="P160" s="20">
        <v>280</v>
      </c>
      <c r="Q160" s="20">
        <v>34</v>
      </c>
      <c r="R160" s="20">
        <v>150</v>
      </c>
      <c r="S160" s="20">
        <v>509</v>
      </c>
      <c r="T160" s="20">
        <v>64</v>
      </c>
      <c r="U160" s="20">
        <f t="shared" si="135"/>
        <v>3492</v>
      </c>
      <c r="V160">
        <v>1103</v>
      </c>
      <c r="W160">
        <v>65</v>
      </c>
      <c r="X160">
        <v>32</v>
      </c>
      <c r="Y160">
        <v>34</v>
      </c>
      <c r="Z160">
        <v>862</v>
      </c>
      <c r="AA160">
        <v>808</v>
      </c>
      <c r="AB160">
        <v>5.13</v>
      </c>
      <c r="AC160">
        <v>4</v>
      </c>
      <c r="AD160">
        <v>4</v>
      </c>
      <c r="AE160">
        <v>37</v>
      </c>
      <c r="AF160" s="27">
        <f t="shared" ca="1" si="122"/>
        <v>6133</v>
      </c>
      <c r="AG160" s="27">
        <f t="shared" ca="1" si="136"/>
        <v>1352</v>
      </c>
      <c r="AH160" s="27">
        <f t="shared" ca="1" si="137"/>
        <v>750</v>
      </c>
      <c r="AI160" s="27">
        <f t="shared" ca="1" si="138"/>
        <v>384</v>
      </c>
      <c r="AJ160" s="27">
        <f t="shared" ca="1" si="139"/>
        <v>22</v>
      </c>
      <c r="AK160" s="27">
        <f t="shared" ca="1" si="140"/>
        <v>196</v>
      </c>
      <c r="AL160" s="27">
        <f t="shared" ca="1" si="141"/>
        <v>684</v>
      </c>
      <c r="AM160" s="27">
        <f t="shared" ca="1" si="142"/>
        <v>60</v>
      </c>
      <c r="AN160" s="27">
        <f t="shared" ca="1" si="143"/>
        <v>4037</v>
      </c>
      <c r="AO160">
        <v>4256</v>
      </c>
      <c r="AP160">
        <v>1600</v>
      </c>
      <c r="AQ160">
        <v>175</v>
      </c>
      <c r="AR160">
        <v>604</v>
      </c>
      <c r="AS160">
        <v>981</v>
      </c>
      <c r="AT160">
        <v>118</v>
      </c>
      <c r="AU160">
        <v>158</v>
      </c>
      <c r="AV160">
        <v>0.98099999999999998</v>
      </c>
      <c r="AW160" s="1"/>
      <c r="AX160" s="1"/>
      <c r="AY160" s="29">
        <f t="shared" si="144"/>
        <v>29700</v>
      </c>
      <c r="AZ160" s="31">
        <f t="shared" si="145"/>
        <v>166335</v>
      </c>
      <c r="BA160" s="31">
        <f t="shared" ref="BA160" si="173">SUMIF($B$2:$B$571,$B160,$U$2:$U$571)</f>
        <v>105340</v>
      </c>
      <c r="BB160" s="30">
        <f t="shared" si="147"/>
        <v>0.63330026753238944</v>
      </c>
    </row>
    <row r="161" spans="1:54" x14ac:dyDescent="0.5">
      <c r="B161" s="4">
        <v>2005</v>
      </c>
      <c r="C161" t="s">
        <v>58</v>
      </c>
      <c r="D161" t="s">
        <v>59</v>
      </c>
      <c r="E161">
        <v>4</v>
      </c>
      <c r="F161" t="s">
        <v>38</v>
      </c>
      <c r="G161" t="s">
        <v>38</v>
      </c>
      <c r="H161" t="s">
        <v>38</v>
      </c>
      <c r="I161" t="s">
        <v>38</v>
      </c>
      <c r="J161">
        <v>71</v>
      </c>
      <c r="K161">
        <v>91</v>
      </c>
      <c r="L161">
        <v>723</v>
      </c>
      <c r="M161" s="20">
        <v>5602</v>
      </c>
      <c r="N161" s="20">
        <v>1521</v>
      </c>
      <c r="O161" s="20">
        <f t="shared" si="134"/>
        <v>1025</v>
      </c>
      <c r="P161" s="20">
        <v>283</v>
      </c>
      <c r="Q161" s="20">
        <v>45</v>
      </c>
      <c r="R161" s="20">
        <v>168</v>
      </c>
      <c r="S161" s="20">
        <v>384</v>
      </c>
      <c r="T161" s="20">
        <v>53</v>
      </c>
      <c r="U161" s="20">
        <f t="shared" si="135"/>
        <v>3644</v>
      </c>
      <c r="V161">
        <v>1038</v>
      </c>
      <c r="W161">
        <v>66</v>
      </c>
      <c r="X161">
        <v>28</v>
      </c>
      <c r="Y161">
        <v>52</v>
      </c>
      <c r="Z161">
        <v>787</v>
      </c>
      <c r="AA161">
        <v>719</v>
      </c>
      <c r="AB161">
        <v>4.51</v>
      </c>
      <c r="AC161">
        <v>7</v>
      </c>
      <c r="AD161">
        <v>2</v>
      </c>
      <c r="AE161">
        <v>37</v>
      </c>
      <c r="AF161" s="27">
        <f t="shared" ca="1" si="122"/>
        <v>6415</v>
      </c>
      <c r="AG161" s="27">
        <f t="shared" ca="1" si="136"/>
        <v>1354</v>
      </c>
      <c r="AH161" s="27">
        <f t="shared" ca="1" si="137"/>
        <v>809</v>
      </c>
      <c r="AI161" s="27">
        <f t="shared" ca="1" si="138"/>
        <v>374</v>
      </c>
      <c r="AJ161" s="27">
        <f t="shared" ca="1" si="139"/>
        <v>27</v>
      </c>
      <c r="AK161" s="27">
        <f t="shared" ca="1" si="140"/>
        <v>144</v>
      </c>
      <c r="AL161" s="27">
        <f t="shared" ca="1" si="141"/>
        <v>488</v>
      </c>
      <c r="AM161" s="27">
        <f t="shared" ca="1" si="142"/>
        <v>40</v>
      </c>
      <c r="AN161" s="27">
        <f t="shared" ca="1" si="143"/>
        <v>4533</v>
      </c>
      <c r="AO161">
        <v>4307</v>
      </c>
      <c r="AP161">
        <v>1504</v>
      </c>
      <c r="AQ161">
        <v>193</v>
      </c>
      <c r="AR161">
        <v>461</v>
      </c>
      <c r="AS161">
        <v>907</v>
      </c>
      <c r="AT161">
        <v>110</v>
      </c>
      <c r="AU161">
        <v>171</v>
      </c>
      <c r="AV161">
        <v>0.98199999999999998</v>
      </c>
      <c r="AW161" s="1"/>
      <c r="AX161" s="1"/>
      <c r="AY161" s="29">
        <f t="shared" si="144"/>
        <v>29700</v>
      </c>
      <c r="AZ161" s="31">
        <f t="shared" si="145"/>
        <v>166335</v>
      </c>
      <c r="BA161" s="31"/>
      <c r="BB161" s="30">
        <f t="shared" si="147"/>
        <v>0</v>
      </c>
    </row>
    <row r="162" spans="1:54" x14ac:dyDescent="0.5">
      <c r="B162" s="4">
        <v>2005</v>
      </c>
      <c r="C162" t="s">
        <v>60</v>
      </c>
      <c r="D162" t="s">
        <v>61</v>
      </c>
      <c r="E162">
        <v>3</v>
      </c>
      <c r="F162" t="s">
        <v>38</v>
      </c>
      <c r="G162" t="s">
        <v>38</v>
      </c>
      <c r="H162" t="s">
        <v>38</v>
      </c>
      <c r="I162" t="s">
        <v>38</v>
      </c>
      <c r="J162">
        <v>83</v>
      </c>
      <c r="K162">
        <v>79</v>
      </c>
      <c r="L162">
        <v>717</v>
      </c>
      <c r="M162" s="20">
        <v>5502</v>
      </c>
      <c r="N162" s="20">
        <v>1499</v>
      </c>
      <c r="O162" s="20">
        <f t="shared" si="134"/>
        <v>1033</v>
      </c>
      <c r="P162" s="20">
        <v>306</v>
      </c>
      <c r="Q162" s="20">
        <v>32</v>
      </c>
      <c r="R162" s="20">
        <v>128</v>
      </c>
      <c r="S162" s="20">
        <v>512</v>
      </c>
      <c r="T162" s="20">
        <v>67</v>
      </c>
      <c r="U162" s="20">
        <f t="shared" si="135"/>
        <v>3424</v>
      </c>
      <c r="V162">
        <v>918</v>
      </c>
      <c r="W162">
        <v>96</v>
      </c>
      <c r="X162">
        <v>38</v>
      </c>
      <c r="Y162">
        <v>50</v>
      </c>
      <c r="Z162">
        <v>732</v>
      </c>
      <c r="AA162">
        <v>666</v>
      </c>
      <c r="AB162">
        <v>4.16</v>
      </c>
      <c r="AC162">
        <v>14</v>
      </c>
      <c r="AD162">
        <v>15</v>
      </c>
      <c r="AE162">
        <v>42</v>
      </c>
      <c r="AF162" s="27">
        <f t="shared" ca="1" si="122"/>
        <v>6114</v>
      </c>
      <c r="AG162" s="27">
        <f t="shared" ca="1" si="136"/>
        <v>1401</v>
      </c>
      <c r="AH162" s="27">
        <f t="shared" ca="1" si="137"/>
        <v>917</v>
      </c>
      <c r="AI162" s="27">
        <f t="shared" ca="1" si="138"/>
        <v>240</v>
      </c>
      <c r="AJ162" s="27">
        <f t="shared" ca="1" si="139"/>
        <v>23</v>
      </c>
      <c r="AK162" s="27">
        <f t="shared" ca="1" si="140"/>
        <v>221</v>
      </c>
      <c r="AL162" s="27">
        <f t="shared" ca="1" si="141"/>
        <v>510</v>
      </c>
      <c r="AM162" s="27">
        <f t="shared" ca="1" si="142"/>
        <v>48</v>
      </c>
      <c r="AN162" s="27">
        <f t="shared" ca="1" si="143"/>
        <v>4155</v>
      </c>
      <c r="AO162">
        <v>4327</v>
      </c>
      <c r="AP162">
        <v>1459</v>
      </c>
      <c r="AQ162">
        <v>116</v>
      </c>
      <c r="AR162">
        <v>563</v>
      </c>
      <c r="AS162">
        <v>1125</v>
      </c>
      <c r="AT162">
        <v>103</v>
      </c>
      <c r="AU162">
        <v>177</v>
      </c>
      <c r="AV162">
        <v>0.98299999999999998</v>
      </c>
      <c r="AW162" s="1"/>
      <c r="AX162" s="1"/>
      <c r="AY162" s="29">
        <f t="shared" si="144"/>
        <v>29700</v>
      </c>
      <c r="AZ162" s="31">
        <f t="shared" si="145"/>
        <v>166335</v>
      </c>
      <c r="BA162" s="31">
        <f t="shared" ref="BA162" si="174">SUMIF($B$2:$B$571,$B162,$O$2:$O$571)</f>
        <v>29223</v>
      </c>
      <c r="BB162" s="30">
        <f t="shared" si="147"/>
        <v>0.17568761836053748</v>
      </c>
    </row>
    <row r="163" spans="1:54" x14ac:dyDescent="0.5">
      <c r="B163" s="4">
        <v>2005</v>
      </c>
      <c r="C163" t="s">
        <v>62</v>
      </c>
      <c r="D163" t="s">
        <v>63</v>
      </c>
      <c r="E163">
        <v>2</v>
      </c>
      <c r="F163" t="s">
        <v>38</v>
      </c>
      <c r="G163" t="s">
        <v>43</v>
      </c>
      <c r="H163" t="s">
        <v>43</v>
      </c>
      <c r="I163" t="s">
        <v>38</v>
      </c>
      <c r="J163">
        <v>89</v>
      </c>
      <c r="K163">
        <v>73</v>
      </c>
      <c r="L163">
        <v>693</v>
      </c>
      <c r="M163" s="20">
        <v>5462</v>
      </c>
      <c r="N163" s="20">
        <v>1400</v>
      </c>
      <c r="O163" s="20">
        <f t="shared" si="134"/>
        <v>926</v>
      </c>
      <c r="P163" s="20">
        <v>281</v>
      </c>
      <c r="Q163" s="20">
        <v>32</v>
      </c>
      <c r="R163" s="20">
        <v>161</v>
      </c>
      <c r="S163" s="20">
        <v>481</v>
      </c>
      <c r="T163" s="20">
        <v>72</v>
      </c>
      <c r="U163" s="20">
        <f t="shared" si="135"/>
        <v>3509</v>
      </c>
      <c r="V163">
        <v>1037</v>
      </c>
      <c r="W163">
        <v>115</v>
      </c>
      <c r="X163">
        <v>44</v>
      </c>
      <c r="Y163">
        <v>42</v>
      </c>
      <c r="Z163">
        <v>609</v>
      </c>
      <c r="AA163">
        <v>563</v>
      </c>
      <c r="AB163">
        <v>3.51</v>
      </c>
      <c r="AC163">
        <v>6</v>
      </c>
      <c r="AD163">
        <v>11</v>
      </c>
      <c r="AE163">
        <v>45</v>
      </c>
      <c r="AF163" s="27">
        <f t="shared" ca="1" si="122"/>
        <v>6228</v>
      </c>
      <c r="AG163" s="27">
        <f t="shared" ca="1" si="136"/>
        <v>1559</v>
      </c>
      <c r="AH163" s="27">
        <f t="shared" ca="1" si="137"/>
        <v>1023</v>
      </c>
      <c r="AI163" s="27">
        <f t="shared" ca="1" si="138"/>
        <v>372</v>
      </c>
      <c r="AJ163" s="27">
        <f t="shared" ca="1" si="139"/>
        <v>30</v>
      </c>
      <c r="AK163" s="27">
        <f t="shared" ca="1" si="140"/>
        <v>134</v>
      </c>
      <c r="AL163" s="27">
        <f t="shared" ca="1" si="141"/>
        <v>578</v>
      </c>
      <c r="AM163" s="27">
        <f t="shared" ca="1" si="142"/>
        <v>69</v>
      </c>
      <c r="AN163" s="27">
        <f t="shared" ca="1" si="143"/>
        <v>4022</v>
      </c>
      <c r="AO163">
        <v>4329</v>
      </c>
      <c r="AP163">
        <v>1336</v>
      </c>
      <c r="AQ163">
        <v>155</v>
      </c>
      <c r="AR163">
        <v>440</v>
      </c>
      <c r="AS163">
        <v>1164</v>
      </c>
      <c r="AT163">
        <v>89</v>
      </c>
      <c r="AU163">
        <v>146</v>
      </c>
      <c r="AV163">
        <v>0.98499999999999999</v>
      </c>
      <c r="AW163" s="1"/>
      <c r="AX163" s="1"/>
      <c r="AY163" s="29">
        <f t="shared" si="144"/>
        <v>29700</v>
      </c>
      <c r="AZ163" s="31">
        <f t="shared" si="145"/>
        <v>166335</v>
      </c>
      <c r="BA163" s="31">
        <f t="shared" ref="BA163" si="175">SUMIF($B$2:$B$571,$B163,$P$2:$P$571)</f>
        <v>8863</v>
      </c>
      <c r="BB163" s="30">
        <f t="shared" si="147"/>
        <v>5.3284035230107912E-2</v>
      </c>
    </row>
    <row r="164" spans="1:54" x14ac:dyDescent="0.5">
      <c r="B164" s="4">
        <v>2005</v>
      </c>
      <c r="C164" t="s">
        <v>64</v>
      </c>
      <c r="D164" t="s">
        <v>65</v>
      </c>
      <c r="E164">
        <v>5</v>
      </c>
      <c r="F164" t="s">
        <v>38</v>
      </c>
      <c r="G164" t="s">
        <v>38</v>
      </c>
      <c r="H164" t="s">
        <v>38</v>
      </c>
      <c r="I164" t="s">
        <v>38</v>
      </c>
      <c r="J164">
        <v>56</v>
      </c>
      <c r="K164">
        <v>106</v>
      </c>
      <c r="L164">
        <v>701</v>
      </c>
      <c r="M164" s="20">
        <v>5503</v>
      </c>
      <c r="N164" s="20">
        <v>1445</v>
      </c>
      <c r="O164" s="20">
        <f t="shared" si="134"/>
        <v>996</v>
      </c>
      <c r="P164" s="20">
        <v>289</v>
      </c>
      <c r="Q164" s="20">
        <v>34</v>
      </c>
      <c r="R164" s="20">
        <v>126</v>
      </c>
      <c r="S164" s="20">
        <v>424</v>
      </c>
      <c r="T164" s="20">
        <v>63</v>
      </c>
      <c r="U164" s="20">
        <f t="shared" si="135"/>
        <v>3571</v>
      </c>
      <c r="V164">
        <v>1008</v>
      </c>
      <c r="W164">
        <v>53</v>
      </c>
      <c r="X164">
        <v>33</v>
      </c>
      <c r="Y164">
        <v>50</v>
      </c>
      <c r="Z164">
        <v>935</v>
      </c>
      <c r="AA164">
        <v>862</v>
      </c>
      <c r="AB164">
        <v>5.49</v>
      </c>
      <c r="AC164">
        <v>4</v>
      </c>
      <c r="AD164">
        <v>4</v>
      </c>
      <c r="AE164">
        <v>25</v>
      </c>
      <c r="AF164" s="27">
        <f t="shared" ca="1" si="122"/>
        <v>6204</v>
      </c>
      <c r="AG164" s="27">
        <f t="shared" ca="1" si="136"/>
        <v>1610</v>
      </c>
      <c r="AH164" s="27">
        <f t="shared" ca="1" si="137"/>
        <v>1048</v>
      </c>
      <c r="AI164" s="27">
        <f t="shared" ca="1" si="138"/>
        <v>282</v>
      </c>
      <c r="AJ164" s="27">
        <f t="shared" ca="1" si="139"/>
        <v>44</v>
      </c>
      <c r="AK164" s="27">
        <f t="shared" ca="1" si="140"/>
        <v>236</v>
      </c>
      <c r="AL164" s="27">
        <f t="shared" ca="1" si="141"/>
        <v>635</v>
      </c>
      <c r="AM164" s="27">
        <f t="shared" ca="1" si="142"/>
        <v>66</v>
      </c>
      <c r="AN164" s="27">
        <f t="shared" ca="1" si="143"/>
        <v>3893</v>
      </c>
      <c r="AO164">
        <v>4240</v>
      </c>
      <c r="AP164">
        <v>1640</v>
      </c>
      <c r="AQ164">
        <v>178</v>
      </c>
      <c r="AR164">
        <v>580</v>
      </c>
      <c r="AS164">
        <v>924</v>
      </c>
      <c r="AT164">
        <v>125</v>
      </c>
      <c r="AU164">
        <v>163</v>
      </c>
      <c r="AV164">
        <v>0.97899999999999998</v>
      </c>
      <c r="AW164" s="1"/>
      <c r="AX164" s="1"/>
      <c r="AY164" s="29">
        <f t="shared" si="144"/>
        <v>29700</v>
      </c>
      <c r="AZ164" s="31">
        <f t="shared" si="145"/>
        <v>166335</v>
      </c>
      <c r="BA164" s="31">
        <f t="shared" ref="BA164" si="176">SUMIF($B$2:$B$571,$B164,$Q$2:$Q$571)</f>
        <v>888</v>
      </c>
      <c r="BB164" s="30">
        <f t="shared" si="147"/>
        <v>5.3386238614843541E-3</v>
      </c>
    </row>
    <row r="165" spans="1:54" x14ac:dyDescent="0.5">
      <c r="A165">
        <v>31</v>
      </c>
      <c r="B165" s="4">
        <v>2005</v>
      </c>
      <c r="C165" t="s">
        <v>98</v>
      </c>
      <c r="D165" t="s">
        <v>99</v>
      </c>
      <c r="E165">
        <v>1</v>
      </c>
      <c r="F165" t="s">
        <v>43</v>
      </c>
      <c r="G165" t="s">
        <v>38</v>
      </c>
      <c r="H165" t="s">
        <v>38</v>
      </c>
      <c r="I165" t="s">
        <v>38</v>
      </c>
      <c r="J165">
        <v>95</v>
      </c>
      <c r="K165">
        <v>67</v>
      </c>
      <c r="L165">
        <v>761</v>
      </c>
      <c r="M165" s="20">
        <v>5624</v>
      </c>
      <c r="N165" s="20">
        <v>1520</v>
      </c>
      <c r="O165" s="20">
        <f t="shared" si="134"/>
        <v>1065</v>
      </c>
      <c r="P165" s="20">
        <v>278</v>
      </c>
      <c r="Q165" s="20">
        <v>30</v>
      </c>
      <c r="R165" s="20">
        <v>147</v>
      </c>
      <c r="S165" s="20">
        <v>447</v>
      </c>
      <c r="T165" s="20">
        <v>29</v>
      </c>
      <c r="U165" s="20">
        <f t="shared" si="135"/>
        <v>3628</v>
      </c>
      <c r="V165">
        <v>848</v>
      </c>
      <c r="W165">
        <v>161</v>
      </c>
      <c r="X165">
        <v>57</v>
      </c>
      <c r="Y165">
        <v>39</v>
      </c>
      <c r="Z165">
        <v>643</v>
      </c>
      <c r="AA165">
        <v>598</v>
      </c>
      <c r="AB165">
        <v>3.68</v>
      </c>
      <c r="AC165">
        <v>7</v>
      </c>
      <c r="AD165">
        <v>11</v>
      </c>
      <c r="AE165">
        <v>54</v>
      </c>
      <c r="AF165" s="27">
        <f t="shared" ca="1" si="122"/>
        <v>6117</v>
      </c>
      <c r="AG165" s="27">
        <f t="shared" ca="1" si="136"/>
        <v>1547</v>
      </c>
      <c r="AH165" s="27">
        <f t="shared" ca="1" si="137"/>
        <v>995</v>
      </c>
      <c r="AI165" s="27">
        <f t="shared" ca="1" si="138"/>
        <v>377</v>
      </c>
      <c r="AJ165" s="27">
        <f t="shared" ca="1" si="139"/>
        <v>26</v>
      </c>
      <c r="AK165" s="27">
        <f t="shared" ca="1" si="140"/>
        <v>149</v>
      </c>
      <c r="AL165" s="27">
        <f t="shared" ca="1" si="141"/>
        <v>629</v>
      </c>
      <c r="AM165" s="27">
        <f t="shared" ca="1" si="142"/>
        <v>40</v>
      </c>
      <c r="AN165" s="27">
        <f t="shared" ca="1" si="143"/>
        <v>3901</v>
      </c>
      <c r="AO165">
        <v>4393</v>
      </c>
      <c r="AP165">
        <v>1419</v>
      </c>
      <c r="AQ165">
        <v>158</v>
      </c>
      <c r="AR165">
        <v>443</v>
      </c>
      <c r="AS165">
        <v>1126</v>
      </c>
      <c r="AT165">
        <v>87</v>
      </c>
      <c r="AU165">
        <v>139</v>
      </c>
      <c r="AV165">
        <v>0.98599999999999999</v>
      </c>
      <c r="AW165" s="1"/>
      <c r="AX165" s="1"/>
      <c r="AY165" s="29">
        <f t="shared" si="144"/>
        <v>29700</v>
      </c>
      <c r="AZ165" s="31">
        <f t="shared" si="145"/>
        <v>166335</v>
      </c>
      <c r="BA165" s="31">
        <f t="shared" ref="BA165" si="177">SUMIF($B$2:$B$571,$B165,$R$2:$R$571)</f>
        <v>5017</v>
      </c>
      <c r="BB165" s="30">
        <f t="shared" si="147"/>
        <v>3.0162022424625005E-2</v>
      </c>
    </row>
    <row r="166" spans="1:54" x14ac:dyDescent="0.5">
      <c r="B166" s="4">
        <v>2005</v>
      </c>
      <c r="C166" t="s">
        <v>66</v>
      </c>
      <c r="D166" t="s">
        <v>67</v>
      </c>
      <c r="E166">
        <v>4</v>
      </c>
      <c r="F166" t="s">
        <v>38</v>
      </c>
      <c r="G166" t="s">
        <v>38</v>
      </c>
      <c r="H166" t="s">
        <v>38</v>
      </c>
      <c r="I166" t="s">
        <v>38</v>
      </c>
      <c r="J166">
        <v>71</v>
      </c>
      <c r="K166">
        <v>91</v>
      </c>
      <c r="L166">
        <v>685</v>
      </c>
      <c r="M166" s="20">
        <v>5433</v>
      </c>
      <c r="N166" s="20">
        <v>1374</v>
      </c>
      <c r="O166" s="20">
        <f t="shared" si="134"/>
        <v>920</v>
      </c>
      <c r="P166" s="20">
        <v>284</v>
      </c>
      <c r="Q166" s="20">
        <v>21</v>
      </c>
      <c r="R166" s="20">
        <v>149</v>
      </c>
      <c r="S166" s="20">
        <v>541</v>
      </c>
      <c r="T166" s="20">
        <v>67</v>
      </c>
      <c r="U166" s="20">
        <f t="shared" si="135"/>
        <v>3451</v>
      </c>
      <c r="V166">
        <v>1094</v>
      </c>
      <c r="W166">
        <v>58</v>
      </c>
      <c r="X166">
        <v>35</v>
      </c>
      <c r="Y166">
        <v>33</v>
      </c>
      <c r="Z166">
        <v>755</v>
      </c>
      <c r="AA166">
        <v>695</v>
      </c>
      <c r="AB166">
        <v>4.38</v>
      </c>
      <c r="AC166">
        <v>6</v>
      </c>
      <c r="AD166">
        <v>9</v>
      </c>
      <c r="AE166">
        <v>40</v>
      </c>
      <c r="AF166" s="27">
        <f t="shared" ca="1" si="122"/>
        <v>6375</v>
      </c>
      <c r="AG166" s="27">
        <f t="shared" ca="1" si="136"/>
        <v>1333</v>
      </c>
      <c r="AH166" s="27">
        <f t="shared" ca="1" si="137"/>
        <v>835</v>
      </c>
      <c r="AI166" s="27">
        <f t="shared" ca="1" si="138"/>
        <v>264</v>
      </c>
      <c r="AJ166" s="27">
        <f t="shared" ca="1" si="139"/>
        <v>33</v>
      </c>
      <c r="AK166" s="27">
        <f t="shared" ca="1" si="140"/>
        <v>201</v>
      </c>
      <c r="AL166" s="27">
        <f t="shared" ca="1" si="141"/>
        <v>503</v>
      </c>
      <c r="AM166" s="27">
        <f t="shared" ca="1" si="142"/>
        <v>52</v>
      </c>
      <c r="AN166" s="27">
        <f t="shared" ca="1" si="143"/>
        <v>4487</v>
      </c>
      <c r="AO166">
        <v>4282</v>
      </c>
      <c r="AP166">
        <v>1434</v>
      </c>
      <c r="AQ166">
        <v>182</v>
      </c>
      <c r="AR166">
        <v>471</v>
      </c>
      <c r="AS166">
        <v>1004</v>
      </c>
      <c r="AT166">
        <v>106</v>
      </c>
      <c r="AU166">
        <v>141</v>
      </c>
      <c r="AV166">
        <v>0.98299999999999998</v>
      </c>
      <c r="AW166" s="1"/>
      <c r="AX166" s="1"/>
      <c r="AY166" s="29">
        <f t="shared" si="144"/>
        <v>29700</v>
      </c>
      <c r="AZ166" s="31">
        <f t="shared" si="145"/>
        <v>166335</v>
      </c>
      <c r="BA166" s="31">
        <f t="shared" ref="BA166" si="178">SUMIF($B$2:$B$571,$B166,$S$2:$S$571)</f>
        <v>15207</v>
      </c>
      <c r="BB166" s="30">
        <f t="shared" si="147"/>
        <v>9.1423933627919562E-2</v>
      </c>
    </row>
    <row r="167" spans="1:54" x14ac:dyDescent="0.5">
      <c r="B167" s="4">
        <v>2005</v>
      </c>
      <c r="C167" t="s">
        <v>68</v>
      </c>
      <c r="D167" t="s">
        <v>69</v>
      </c>
      <c r="E167">
        <v>3</v>
      </c>
      <c r="F167" t="s">
        <v>38</v>
      </c>
      <c r="G167" t="s">
        <v>38</v>
      </c>
      <c r="H167" t="s">
        <v>38</v>
      </c>
      <c r="I167" t="s">
        <v>38</v>
      </c>
      <c r="J167">
        <v>81</v>
      </c>
      <c r="K167">
        <v>81</v>
      </c>
      <c r="L167">
        <v>726</v>
      </c>
      <c r="M167" s="20">
        <v>5448</v>
      </c>
      <c r="N167" s="20">
        <v>1413</v>
      </c>
      <c r="O167" s="20">
        <f t="shared" si="134"/>
        <v>892</v>
      </c>
      <c r="P167" s="20">
        <v>327</v>
      </c>
      <c r="Q167" s="20">
        <v>19</v>
      </c>
      <c r="R167" s="20">
        <v>175</v>
      </c>
      <c r="S167" s="20">
        <v>531</v>
      </c>
      <c r="T167" s="20">
        <v>73</v>
      </c>
      <c r="U167" s="20">
        <f t="shared" si="135"/>
        <v>3431</v>
      </c>
      <c r="V167">
        <v>1162</v>
      </c>
      <c r="W167">
        <v>79</v>
      </c>
      <c r="X167">
        <v>34</v>
      </c>
      <c r="Y167">
        <v>38</v>
      </c>
      <c r="Z167">
        <v>697</v>
      </c>
      <c r="AA167">
        <v>635</v>
      </c>
      <c r="AB167">
        <v>3.97</v>
      </c>
      <c r="AC167">
        <v>7</v>
      </c>
      <c r="AD167">
        <v>6</v>
      </c>
      <c r="AE167">
        <v>46</v>
      </c>
      <c r="AF167" s="27">
        <f t="shared" ca="1" si="122"/>
        <v>6392</v>
      </c>
      <c r="AG167" s="27">
        <f t="shared" ca="1" si="136"/>
        <v>1390</v>
      </c>
      <c r="AH167" s="27">
        <f t="shared" ca="1" si="137"/>
        <v>973</v>
      </c>
      <c r="AI167" s="27">
        <f t="shared" ca="1" si="138"/>
        <v>245</v>
      </c>
      <c r="AJ167" s="27">
        <f t="shared" ca="1" si="139"/>
        <v>41</v>
      </c>
      <c r="AK167" s="27">
        <f t="shared" ca="1" si="140"/>
        <v>131</v>
      </c>
      <c r="AL167" s="27">
        <f t="shared" ca="1" si="141"/>
        <v>531</v>
      </c>
      <c r="AM167" s="27">
        <f t="shared" ca="1" si="142"/>
        <v>79</v>
      </c>
      <c r="AN167" s="27">
        <f t="shared" ca="1" si="143"/>
        <v>4392</v>
      </c>
      <c r="AO167">
        <v>4314</v>
      </c>
      <c r="AP167">
        <v>1382</v>
      </c>
      <c r="AQ167">
        <v>169</v>
      </c>
      <c r="AR167">
        <v>569</v>
      </c>
      <c r="AS167">
        <v>1173</v>
      </c>
      <c r="AT167">
        <v>119</v>
      </c>
      <c r="AU167">
        <v>139</v>
      </c>
      <c r="AV167">
        <v>0.98</v>
      </c>
      <c r="AW167" s="1"/>
      <c r="AX167" s="1"/>
      <c r="AY167" s="29">
        <f t="shared" si="144"/>
        <v>29700</v>
      </c>
      <c r="AZ167" s="31">
        <f t="shared" si="145"/>
        <v>166335</v>
      </c>
      <c r="BA167" s="31">
        <f t="shared" ref="BA167" si="179">SUMIF($B$2:$B$571,$B167,$T$2:$T$571)</f>
        <v>1797</v>
      </c>
      <c r="BB167" s="30">
        <f t="shared" si="147"/>
        <v>1.0803498962936243E-2</v>
      </c>
    </row>
    <row r="168" spans="1:54" x14ac:dyDescent="0.5">
      <c r="B168" s="4">
        <v>2005</v>
      </c>
      <c r="C168" t="s">
        <v>70</v>
      </c>
      <c r="D168" t="s">
        <v>71</v>
      </c>
      <c r="E168">
        <v>3</v>
      </c>
      <c r="F168" t="s">
        <v>38</v>
      </c>
      <c r="G168" t="s">
        <v>38</v>
      </c>
      <c r="H168" t="s">
        <v>38</v>
      </c>
      <c r="I168" t="s">
        <v>38</v>
      </c>
      <c r="J168">
        <v>83</v>
      </c>
      <c r="K168">
        <v>79</v>
      </c>
      <c r="L168">
        <v>688</v>
      </c>
      <c r="M168" s="20">
        <v>5564</v>
      </c>
      <c r="N168" s="20">
        <v>1441</v>
      </c>
      <c r="O168" s="20">
        <f t="shared" si="134"/>
        <v>1006</v>
      </c>
      <c r="P168" s="20">
        <v>269</v>
      </c>
      <c r="Q168" s="20">
        <v>32</v>
      </c>
      <c r="R168" s="20">
        <v>134</v>
      </c>
      <c r="S168" s="20">
        <v>485</v>
      </c>
      <c r="T168" s="20">
        <v>59</v>
      </c>
      <c r="U168" s="20">
        <f t="shared" si="135"/>
        <v>3579</v>
      </c>
      <c r="V168">
        <v>978</v>
      </c>
      <c r="W168">
        <v>102</v>
      </c>
      <c r="X168">
        <v>44</v>
      </c>
      <c r="Y168">
        <v>42</v>
      </c>
      <c r="Z168">
        <v>662</v>
      </c>
      <c r="AA168">
        <v>604</v>
      </c>
      <c r="AB168">
        <v>3.71</v>
      </c>
      <c r="AC168">
        <v>9</v>
      </c>
      <c r="AD168">
        <v>8</v>
      </c>
      <c r="AE168">
        <v>44</v>
      </c>
      <c r="AF168" s="27">
        <f t="shared" ca="1" si="122"/>
        <v>6287</v>
      </c>
      <c r="AG168" s="27">
        <f t="shared" ca="1" si="136"/>
        <v>1668</v>
      </c>
      <c r="AH168" s="27">
        <f t="shared" ca="1" si="137"/>
        <v>1080</v>
      </c>
      <c r="AI168" s="27">
        <f t="shared" ca="1" si="138"/>
        <v>392</v>
      </c>
      <c r="AJ168" s="27">
        <f t="shared" ca="1" si="139"/>
        <v>41</v>
      </c>
      <c r="AK168" s="27">
        <f t="shared" ca="1" si="140"/>
        <v>155</v>
      </c>
      <c r="AL168" s="27">
        <f t="shared" ca="1" si="141"/>
        <v>672</v>
      </c>
      <c r="AM168" s="27">
        <f t="shared" ca="1" si="142"/>
        <v>61</v>
      </c>
      <c r="AN168" s="27">
        <f t="shared" ca="1" si="143"/>
        <v>3886</v>
      </c>
      <c r="AO168">
        <v>4393</v>
      </c>
      <c r="AP168">
        <v>1458</v>
      </c>
      <c r="AQ168">
        <v>169</v>
      </c>
      <c r="AR168">
        <v>348</v>
      </c>
      <c r="AS168">
        <v>965</v>
      </c>
      <c r="AT168">
        <v>102</v>
      </c>
      <c r="AU168">
        <v>171</v>
      </c>
      <c r="AV168">
        <v>0.98399999999999999</v>
      </c>
      <c r="AW168" s="1"/>
      <c r="AX168" s="1"/>
      <c r="AY168" s="29">
        <f t="shared" si="144"/>
        <v>29700</v>
      </c>
      <c r="AZ168" s="31">
        <f t="shared" si="145"/>
        <v>166335</v>
      </c>
      <c r="BA168" s="31">
        <f t="shared" ref="BA168" si="180">SUMIF($B$2:$B$571,$B168,$U$2:$U$571)</f>
        <v>105340</v>
      </c>
      <c r="BB168" s="30">
        <f t="shared" si="147"/>
        <v>0.63330026753238944</v>
      </c>
    </row>
    <row r="169" spans="1:54" x14ac:dyDescent="0.5">
      <c r="B169" s="4">
        <v>2005</v>
      </c>
      <c r="C169" t="s">
        <v>74</v>
      </c>
      <c r="D169" t="s">
        <v>75</v>
      </c>
      <c r="E169">
        <v>1</v>
      </c>
      <c r="F169" t="s">
        <v>43</v>
      </c>
      <c r="G169" t="s">
        <v>38</v>
      </c>
      <c r="H169" t="s">
        <v>38</v>
      </c>
      <c r="I169" t="s">
        <v>38</v>
      </c>
      <c r="J169">
        <v>95</v>
      </c>
      <c r="K169">
        <v>67</v>
      </c>
      <c r="L169">
        <v>886</v>
      </c>
      <c r="M169" s="20">
        <v>5624</v>
      </c>
      <c r="N169" s="20">
        <v>1552</v>
      </c>
      <c r="O169" s="20">
        <f t="shared" si="134"/>
        <v>1048</v>
      </c>
      <c r="P169" s="20">
        <v>259</v>
      </c>
      <c r="Q169" s="20">
        <v>16</v>
      </c>
      <c r="R169" s="20">
        <v>229</v>
      </c>
      <c r="S169" s="20">
        <v>637</v>
      </c>
      <c r="T169" s="20">
        <v>73</v>
      </c>
      <c r="U169" s="20">
        <f t="shared" si="135"/>
        <v>3362</v>
      </c>
      <c r="V169">
        <v>989</v>
      </c>
      <c r="W169">
        <v>84</v>
      </c>
      <c r="X169">
        <v>27</v>
      </c>
      <c r="Y169">
        <v>43</v>
      </c>
      <c r="Z169">
        <v>789</v>
      </c>
      <c r="AA169">
        <v>718</v>
      </c>
      <c r="AB169">
        <v>4.5199999999999996</v>
      </c>
      <c r="AC169">
        <v>8</v>
      </c>
      <c r="AD169">
        <v>14</v>
      </c>
      <c r="AE169">
        <v>46</v>
      </c>
      <c r="AF169" s="27">
        <f t="shared" ca="1" si="122"/>
        <v>6049</v>
      </c>
      <c r="AG169" s="27">
        <f t="shared" ca="1" si="136"/>
        <v>1382</v>
      </c>
      <c r="AH169" s="27">
        <f t="shared" ca="1" si="137"/>
        <v>904</v>
      </c>
      <c r="AI169" s="27">
        <f t="shared" ca="1" si="138"/>
        <v>283</v>
      </c>
      <c r="AJ169" s="27">
        <f t="shared" ca="1" si="139"/>
        <v>24</v>
      </c>
      <c r="AK169" s="27">
        <f t="shared" ca="1" si="140"/>
        <v>171</v>
      </c>
      <c r="AL169" s="27">
        <f t="shared" ca="1" si="141"/>
        <v>516</v>
      </c>
      <c r="AM169" s="27">
        <f t="shared" ca="1" si="142"/>
        <v>67</v>
      </c>
      <c r="AN169" s="27">
        <f t="shared" ca="1" si="143"/>
        <v>4084</v>
      </c>
      <c r="AO169">
        <v>4292</v>
      </c>
      <c r="AP169">
        <v>1495</v>
      </c>
      <c r="AQ169">
        <v>164</v>
      </c>
      <c r="AR169">
        <v>463</v>
      </c>
      <c r="AS169">
        <v>985</v>
      </c>
      <c r="AT169">
        <v>95</v>
      </c>
      <c r="AU169">
        <v>151</v>
      </c>
      <c r="AV169">
        <v>0.98399999999999999</v>
      </c>
      <c r="AW169" s="1"/>
      <c r="AX169" s="1"/>
      <c r="AY169" s="29">
        <f t="shared" si="144"/>
        <v>29700</v>
      </c>
      <c r="AZ169" s="31">
        <f t="shared" si="145"/>
        <v>166335</v>
      </c>
      <c r="BA169" s="31"/>
      <c r="BB169" s="30">
        <f t="shared" si="147"/>
        <v>0</v>
      </c>
    </row>
    <row r="170" spans="1:54" x14ac:dyDescent="0.5">
      <c r="B170" s="4">
        <v>2005</v>
      </c>
      <c r="C170" t="s">
        <v>76</v>
      </c>
      <c r="D170" t="s">
        <v>77</v>
      </c>
      <c r="E170">
        <v>3</v>
      </c>
      <c r="F170" t="s">
        <v>38</v>
      </c>
      <c r="G170" t="s">
        <v>38</v>
      </c>
      <c r="H170" t="s">
        <v>38</v>
      </c>
      <c r="I170" t="s">
        <v>38</v>
      </c>
      <c r="J170">
        <v>83</v>
      </c>
      <c r="K170">
        <v>79</v>
      </c>
      <c r="L170">
        <v>722</v>
      </c>
      <c r="M170" s="20">
        <v>5505</v>
      </c>
      <c r="N170" s="20">
        <v>1421</v>
      </c>
      <c r="O170" s="20">
        <f t="shared" si="134"/>
        <v>935</v>
      </c>
      <c r="P170" s="20">
        <v>279</v>
      </c>
      <c r="Q170" s="20">
        <v>32</v>
      </c>
      <c r="R170" s="20">
        <v>175</v>
      </c>
      <c r="S170" s="20">
        <v>486</v>
      </c>
      <c r="T170" s="20">
        <v>48</v>
      </c>
      <c r="U170" s="20">
        <f t="shared" si="135"/>
        <v>3550</v>
      </c>
      <c r="V170">
        <v>1075</v>
      </c>
      <c r="W170">
        <v>153</v>
      </c>
      <c r="X170">
        <v>40</v>
      </c>
      <c r="Y170">
        <v>38</v>
      </c>
      <c r="Z170">
        <v>648</v>
      </c>
      <c r="AA170">
        <v>599</v>
      </c>
      <c r="AB170">
        <v>3.76</v>
      </c>
      <c r="AC170">
        <v>8</v>
      </c>
      <c r="AD170">
        <v>11</v>
      </c>
      <c r="AE170">
        <v>38</v>
      </c>
      <c r="AF170" s="27">
        <f t="shared" ca="1" si="122"/>
        <v>6267</v>
      </c>
      <c r="AG170" s="27">
        <f t="shared" ca="1" si="136"/>
        <v>1333</v>
      </c>
      <c r="AH170" s="27">
        <f t="shared" ca="1" si="137"/>
        <v>703</v>
      </c>
      <c r="AI170" s="27">
        <f t="shared" ca="1" si="138"/>
        <v>364</v>
      </c>
      <c r="AJ170" s="27">
        <f t="shared" ca="1" si="139"/>
        <v>32</v>
      </c>
      <c r="AK170" s="27">
        <f t="shared" ca="1" si="140"/>
        <v>234</v>
      </c>
      <c r="AL170" s="27">
        <f t="shared" ca="1" si="141"/>
        <v>430</v>
      </c>
      <c r="AM170" s="27">
        <f t="shared" ca="1" si="142"/>
        <v>85</v>
      </c>
      <c r="AN170" s="27">
        <f t="shared" ca="1" si="143"/>
        <v>4419</v>
      </c>
      <c r="AO170">
        <v>4307</v>
      </c>
      <c r="AP170">
        <v>1390</v>
      </c>
      <c r="AQ170">
        <v>135</v>
      </c>
      <c r="AR170">
        <v>491</v>
      </c>
      <c r="AS170">
        <v>1012</v>
      </c>
      <c r="AT170">
        <v>106</v>
      </c>
      <c r="AU170">
        <v>146</v>
      </c>
      <c r="AV170">
        <v>0.98299999999999998</v>
      </c>
      <c r="AW170" s="1"/>
      <c r="AX170" s="1"/>
      <c r="AY170" s="29">
        <f t="shared" si="144"/>
        <v>29700</v>
      </c>
      <c r="AZ170" s="31">
        <f t="shared" si="145"/>
        <v>166335</v>
      </c>
      <c r="BA170" s="31">
        <f t="shared" ref="BA170" si="181">SUMIF($B$2:$B$571,$B170,$O$2:$O$571)</f>
        <v>29223</v>
      </c>
      <c r="BB170" s="30">
        <f t="shared" si="147"/>
        <v>0.17568761836053748</v>
      </c>
    </row>
    <row r="171" spans="1:54" x14ac:dyDescent="0.5">
      <c r="B171" s="4">
        <v>2005</v>
      </c>
      <c r="C171" t="s">
        <v>78</v>
      </c>
      <c r="D171" t="s">
        <v>79</v>
      </c>
      <c r="E171">
        <v>2</v>
      </c>
      <c r="F171" t="s">
        <v>38</v>
      </c>
      <c r="G171" t="s">
        <v>38</v>
      </c>
      <c r="H171" t="s">
        <v>38</v>
      </c>
      <c r="I171" t="s">
        <v>38</v>
      </c>
      <c r="J171">
        <v>88</v>
      </c>
      <c r="K171">
        <v>74</v>
      </c>
      <c r="L171">
        <v>772</v>
      </c>
      <c r="M171" s="20">
        <v>5627</v>
      </c>
      <c r="N171" s="20">
        <v>1476</v>
      </c>
      <c r="O171" s="20">
        <f t="shared" si="134"/>
        <v>991</v>
      </c>
      <c r="P171" s="20">
        <v>310</v>
      </c>
      <c r="Q171" s="20">
        <v>20</v>
      </c>
      <c r="R171" s="20">
        <v>155</v>
      </c>
      <c r="S171" s="20">
        <v>537</v>
      </c>
      <c r="T171" s="20">
        <v>52</v>
      </c>
      <c r="U171" s="20">
        <f t="shared" si="135"/>
        <v>3562</v>
      </c>
      <c r="V171">
        <v>819</v>
      </c>
      <c r="W171">
        <v>31</v>
      </c>
      <c r="X171">
        <v>22</v>
      </c>
      <c r="Y171">
        <v>40</v>
      </c>
      <c r="Z171">
        <v>658</v>
      </c>
      <c r="AA171">
        <v>594</v>
      </c>
      <c r="AB171">
        <v>3.69</v>
      </c>
      <c r="AC171">
        <v>9</v>
      </c>
      <c r="AD171">
        <v>12</v>
      </c>
      <c r="AE171">
        <v>38</v>
      </c>
      <c r="AF171" s="27">
        <f t="shared" ca="1" si="122"/>
        <v>6205</v>
      </c>
      <c r="AG171" s="27">
        <f t="shared" ca="1" si="136"/>
        <v>1529</v>
      </c>
      <c r="AH171" s="27">
        <f t="shared" ca="1" si="137"/>
        <v>1036</v>
      </c>
      <c r="AI171" s="27">
        <f t="shared" ca="1" si="138"/>
        <v>341</v>
      </c>
      <c r="AJ171" s="27">
        <f t="shared" ca="1" si="139"/>
        <v>21</v>
      </c>
      <c r="AK171" s="27">
        <f t="shared" ca="1" si="140"/>
        <v>131</v>
      </c>
      <c r="AL171" s="27">
        <f t="shared" ca="1" si="141"/>
        <v>659</v>
      </c>
      <c r="AM171" s="27">
        <f t="shared" ca="1" si="142"/>
        <v>83</v>
      </c>
      <c r="AN171" s="27">
        <f t="shared" ca="1" si="143"/>
        <v>3934</v>
      </c>
      <c r="AO171">
        <v>4351</v>
      </c>
      <c r="AP171">
        <v>1315</v>
      </c>
      <c r="AQ171">
        <v>154</v>
      </c>
      <c r="AR171">
        <v>504</v>
      </c>
      <c r="AS171">
        <v>1075</v>
      </c>
      <c r="AT171">
        <v>88</v>
      </c>
      <c r="AU171">
        <v>166</v>
      </c>
      <c r="AV171">
        <v>0.98599999999999999</v>
      </c>
      <c r="AW171" s="1"/>
      <c r="AX171" s="1"/>
      <c r="AY171" s="29">
        <f t="shared" si="144"/>
        <v>29700</v>
      </c>
      <c r="AZ171" s="31">
        <f t="shared" si="145"/>
        <v>166335</v>
      </c>
      <c r="BA171" s="31">
        <f t="shared" ref="BA171" si="182">SUMIF($B$2:$B$571,$B171,$P$2:$P$571)</f>
        <v>8863</v>
      </c>
      <c r="BB171" s="30">
        <f t="shared" si="147"/>
        <v>5.3284035230107912E-2</v>
      </c>
    </row>
    <row r="172" spans="1:54" x14ac:dyDescent="0.5">
      <c r="B172" s="4">
        <v>2005</v>
      </c>
      <c r="C172" t="s">
        <v>80</v>
      </c>
      <c r="D172" t="s">
        <v>81</v>
      </c>
      <c r="E172">
        <v>2</v>
      </c>
      <c r="F172" t="s">
        <v>38</v>
      </c>
      <c r="G172" t="s">
        <v>38</v>
      </c>
      <c r="H172" t="s">
        <v>38</v>
      </c>
      <c r="I172" t="s">
        <v>38</v>
      </c>
      <c r="J172">
        <v>88</v>
      </c>
      <c r="K172">
        <v>74</v>
      </c>
      <c r="L172">
        <v>807</v>
      </c>
      <c r="M172" s="20">
        <v>5542</v>
      </c>
      <c r="N172" s="20">
        <v>1494</v>
      </c>
      <c r="O172" s="20">
        <f t="shared" si="134"/>
        <v>1010</v>
      </c>
      <c r="P172" s="20">
        <v>282</v>
      </c>
      <c r="Q172" s="20">
        <v>35</v>
      </c>
      <c r="R172" s="20">
        <v>167</v>
      </c>
      <c r="S172" s="20">
        <v>639</v>
      </c>
      <c r="T172" s="20">
        <v>56</v>
      </c>
      <c r="U172" s="20">
        <f t="shared" si="135"/>
        <v>3353</v>
      </c>
      <c r="V172">
        <v>1083</v>
      </c>
      <c r="W172">
        <v>116</v>
      </c>
      <c r="X172">
        <v>27</v>
      </c>
      <c r="Y172">
        <v>46</v>
      </c>
      <c r="Z172">
        <v>726</v>
      </c>
      <c r="AA172">
        <v>672</v>
      </c>
      <c r="AB172">
        <v>4.21</v>
      </c>
      <c r="AC172">
        <v>4</v>
      </c>
      <c r="AD172">
        <v>6</v>
      </c>
      <c r="AE172">
        <v>40</v>
      </c>
      <c r="AF172" s="27">
        <f t="shared" ca="1" si="122"/>
        <v>6283</v>
      </c>
      <c r="AG172" s="27">
        <f t="shared" ca="1" si="136"/>
        <v>1363</v>
      </c>
      <c r="AH172" s="27">
        <f t="shared" ca="1" si="137"/>
        <v>901</v>
      </c>
      <c r="AI172" s="27">
        <f t="shared" ca="1" si="138"/>
        <v>225</v>
      </c>
      <c r="AJ172" s="27">
        <f t="shared" ca="1" si="139"/>
        <v>50</v>
      </c>
      <c r="AK172" s="27">
        <f t="shared" ca="1" si="140"/>
        <v>187</v>
      </c>
      <c r="AL172" s="27">
        <f t="shared" ca="1" si="141"/>
        <v>665</v>
      </c>
      <c r="AM172" s="27">
        <f t="shared" ca="1" si="142"/>
        <v>32</v>
      </c>
      <c r="AN172" s="27">
        <f t="shared" ca="1" si="143"/>
        <v>4223</v>
      </c>
      <c r="AO172">
        <v>4305</v>
      </c>
      <c r="AP172">
        <v>1379</v>
      </c>
      <c r="AQ172">
        <v>189</v>
      </c>
      <c r="AR172">
        <v>487</v>
      </c>
      <c r="AS172">
        <v>1159</v>
      </c>
      <c r="AT172">
        <v>90</v>
      </c>
      <c r="AU172">
        <v>132</v>
      </c>
      <c r="AV172">
        <v>0.98499999999999999</v>
      </c>
      <c r="AW172" s="1"/>
      <c r="AX172" s="1"/>
      <c r="AY172" s="29">
        <f t="shared" si="144"/>
        <v>29700</v>
      </c>
      <c r="AZ172" s="31">
        <f t="shared" si="145"/>
        <v>166335</v>
      </c>
      <c r="BA172" s="31">
        <f t="shared" ref="BA172" si="183">SUMIF($B$2:$B$571,$B172,$Q$2:$Q$571)</f>
        <v>888</v>
      </c>
      <c r="BB172" s="30">
        <f t="shared" si="147"/>
        <v>5.3386238614843541E-3</v>
      </c>
    </row>
    <row r="173" spans="1:54" x14ac:dyDescent="0.5">
      <c r="B173" s="4">
        <v>2005</v>
      </c>
      <c r="C173" t="s">
        <v>82</v>
      </c>
      <c r="D173" t="s">
        <v>83</v>
      </c>
      <c r="E173">
        <v>6</v>
      </c>
      <c r="F173" t="s">
        <v>38</v>
      </c>
      <c r="G173" t="s">
        <v>38</v>
      </c>
      <c r="H173" t="s">
        <v>38</v>
      </c>
      <c r="I173" t="s">
        <v>38</v>
      </c>
      <c r="J173">
        <v>67</v>
      </c>
      <c r="K173">
        <v>95</v>
      </c>
      <c r="L173">
        <v>680</v>
      </c>
      <c r="M173" s="20">
        <v>5573</v>
      </c>
      <c r="N173" s="20">
        <v>1445</v>
      </c>
      <c r="O173" s="20">
        <f t="shared" si="134"/>
        <v>976</v>
      </c>
      <c r="P173" s="20">
        <v>292</v>
      </c>
      <c r="Q173" s="20">
        <v>38</v>
      </c>
      <c r="R173" s="20">
        <v>139</v>
      </c>
      <c r="S173" s="20">
        <v>471</v>
      </c>
      <c r="T173" s="20">
        <v>72</v>
      </c>
      <c r="U173" s="20">
        <f t="shared" si="135"/>
        <v>3585</v>
      </c>
      <c r="V173">
        <v>1092</v>
      </c>
      <c r="W173">
        <v>73</v>
      </c>
      <c r="X173">
        <v>30</v>
      </c>
      <c r="Y173">
        <v>49</v>
      </c>
      <c r="Z173">
        <v>769</v>
      </c>
      <c r="AA173">
        <v>706</v>
      </c>
      <c r="AB173">
        <v>4.42</v>
      </c>
      <c r="AC173">
        <v>4</v>
      </c>
      <c r="AD173">
        <v>14</v>
      </c>
      <c r="AE173">
        <v>35</v>
      </c>
      <c r="AF173" s="27">
        <f t="shared" ca="1" si="122"/>
        <v>6423</v>
      </c>
      <c r="AG173" s="27">
        <f t="shared" ca="1" si="136"/>
        <v>1356</v>
      </c>
      <c r="AH173" s="27">
        <f t="shared" ca="1" si="137"/>
        <v>875</v>
      </c>
      <c r="AI173" s="27">
        <f t="shared" ca="1" si="138"/>
        <v>249</v>
      </c>
      <c r="AJ173" s="27">
        <f t="shared" ca="1" si="139"/>
        <v>40</v>
      </c>
      <c r="AK173" s="27">
        <f t="shared" ca="1" si="140"/>
        <v>192</v>
      </c>
      <c r="AL173" s="27">
        <f t="shared" ca="1" si="141"/>
        <v>529</v>
      </c>
      <c r="AM173" s="27">
        <f t="shared" ca="1" si="142"/>
        <v>86</v>
      </c>
      <c r="AN173" s="27">
        <f t="shared" ca="1" si="143"/>
        <v>4452</v>
      </c>
      <c r="AO173">
        <v>4308</v>
      </c>
      <c r="AP173">
        <v>1456</v>
      </c>
      <c r="AQ173">
        <v>162</v>
      </c>
      <c r="AR173">
        <v>612</v>
      </c>
      <c r="AS173">
        <v>958</v>
      </c>
      <c r="AT173">
        <v>117</v>
      </c>
      <c r="AU173">
        <v>193</v>
      </c>
      <c r="AV173">
        <v>0.98099999999999998</v>
      </c>
      <c r="AW173" s="1"/>
      <c r="AX173" s="1"/>
      <c r="AY173" s="29">
        <f t="shared" si="144"/>
        <v>29700</v>
      </c>
      <c r="AZ173" s="31">
        <f t="shared" si="145"/>
        <v>166335</v>
      </c>
      <c r="BA173" s="31">
        <f t="shared" ref="BA173" si="184">SUMIF($B$2:$B$571,$B173,$R$2:$R$571)</f>
        <v>5017</v>
      </c>
      <c r="BB173" s="30">
        <f t="shared" si="147"/>
        <v>3.0162022424625005E-2</v>
      </c>
    </row>
    <row r="174" spans="1:54" x14ac:dyDescent="0.5">
      <c r="B174" s="4">
        <v>2005</v>
      </c>
      <c r="C174" t="s">
        <v>84</v>
      </c>
      <c r="D174" t="s">
        <v>85</v>
      </c>
      <c r="E174">
        <v>1</v>
      </c>
      <c r="F174" t="s">
        <v>43</v>
      </c>
      <c r="G174" t="s">
        <v>38</v>
      </c>
      <c r="H174" t="s">
        <v>38</v>
      </c>
      <c r="I174" t="s">
        <v>38</v>
      </c>
      <c r="J174">
        <v>82</v>
      </c>
      <c r="K174">
        <v>80</v>
      </c>
      <c r="L174">
        <v>684</v>
      </c>
      <c r="M174" s="20">
        <v>5502</v>
      </c>
      <c r="N174" s="20">
        <v>1416</v>
      </c>
      <c r="O174" s="20">
        <f t="shared" si="134"/>
        <v>978</v>
      </c>
      <c r="P174" s="20">
        <v>269</v>
      </c>
      <c r="Q174" s="20">
        <v>39</v>
      </c>
      <c r="R174" s="20">
        <v>130</v>
      </c>
      <c r="S174" s="20">
        <v>600</v>
      </c>
      <c r="T174" s="20">
        <v>49</v>
      </c>
      <c r="U174" s="20">
        <f t="shared" si="135"/>
        <v>3437</v>
      </c>
      <c r="V174">
        <v>977</v>
      </c>
      <c r="W174">
        <v>99</v>
      </c>
      <c r="X174">
        <v>44</v>
      </c>
      <c r="Y174">
        <v>48</v>
      </c>
      <c r="Z174">
        <v>726</v>
      </c>
      <c r="AA174">
        <v>668</v>
      </c>
      <c r="AB174">
        <v>4.13</v>
      </c>
      <c r="AC174">
        <v>4</v>
      </c>
      <c r="AD174">
        <v>8</v>
      </c>
      <c r="AE174">
        <v>45</v>
      </c>
      <c r="AF174" s="27">
        <f t="shared" ca="1" si="122"/>
        <v>6236</v>
      </c>
      <c r="AG174" s="27">
        <f t="shared" ca="1" si="136"/>
        <v>1450</v>
      </c>
      <c r="AH174" s="27">
        <f t="shared" ca="1" si="137"/>
        <v>915</v>
      </c>
      <c r="AI174" s="27">
        <f t="shared" ca="1" si="138"/>
        <v>324</v>
      </c>
      <c r="AJ174" s="27">
        <f t="shared" ca="1" si="139"/>
        <v>49</v>
      </c>
      <c r="AK174" s="27">
        <f t="shared" ca="1" si="140"/>
        <v>162</v>
      </c>
      <c r="AL174" s="27">
        <f t="shared" ca="1" si="141"/>
        <v>410</v>
      </c>
      <c r="AM174" s="27">
        <f t="shared" ca="1" si="142"/>
        <v>49</v>
      </c>
      <c r="AN174" s="27">
        <f t="shared" ca="1" si="143"/>
        <v>4327</v>
      </c>
      <c r="AO174">
        <v>4366</v>
      </c>
      <c r="AP174">
        <v>1452</v>
      </c>
      <c r="AQ174">
        <v>146</v>
      </c>
      <c r="AR174">
        <v>503</v>
      </c>
      <c r="AS174">
        <v>1133</v>
      </c>
      <c r="AT174">
        <v>109</v>
      </c>
      <c r="AU174">
        <v>136</v>
      </c>
      <c r="AV174">
        <v>0.98199999999999998</v>
      </c>
      <c r="AW174" s="1"/>
      <c r="AX174" s="1"/>
      <c r="AY174" s="29">
        <f t="shared" si="144"/>
        <v>29700</v>
      </c>
      <c r="AZ174" s="31">
        <f t="shared" si="145"/>
        <v>166335</v>
      </c>
      <c r="BA174" s="31">
        <f t="shared" ref="BA174" si="185">SUMIF($B$2:$B$571,$B174,$S$2:$S$571)</f>
        <v>15207</v>
      </c>
      <c r="BB174" s="30">
        <f t="shared" si="147"/>
        <v>9.1423933627919562E-2</v>
      </c>
    </row>
    <row r="175" spans="1:54" x14ac:dyDescent="0.5">
      <c r="B175" s="4">
        <v>2005</v>
      </c>
      <c r="C175" t="s">
        <v>86</v>
      </c>
      <c r="D175" t="s">
        <v>87</v>
      </c>
      <c r="E175">
        <v>4</v>
      </c>
      <c r="F175" t="s">
        <v>38</v>
      </c>
      <c r="G175" t="s">
        <v>38</v>
      </c>
      <c r="H175" t="s">
        <v>38</v>
      </c>
      <c r="I175" t="s">
        <v>38</v>
      </c>
      <c r="J175">
        <v>69</v>
      </c>
      <c r="K175">
        <v>93</v>
      </c>
      <c r="L175">
        <v>699</v>
      </c>
      <c r="M175" s="20">
        <v>5507</v>
      </c>
      <c r="N175" s="20">
        <v>1408</v>
      </c>
      <c r="O175" s="20">
        <f t="shared" si="134"/>
        <v>955</v>
      </c>
      <c r="P175" s="20">
        <v>289</v>
      </c>
      <c r="Q175" s="20">
        <v>34</v>
      </c>
      <c r="R175" s="20">
        <v>130</v>
      </c>
      <c r="S175" s="20">
        <v>466</v>
      </c>
      <c r="T175" s="20">
        <v>48</v>
      </c>
      <c r="U175" s="20">
        <f t="shared" si="135"/>
        <v>3585</v>
      </c>
      <c r="V175">
        <v>986</v>
      </c>
      <c r="W175">
        <v>102</v>
      </c>
      <c r="X175">
        <v>47</v>
      </c>
      <c r="Y175">
        <v>37</v>
      </c>
      <c r="Z175">
        <v>751</v>
      </c>
      <c r="AA175">
        <v>712</v>
      </c>
      <c r="AB175">
        <v>4.49</v>
      </c>
      <c r="AC175">
        <v>6</v>
      </c>
      <c r="AD175">
        <v>7</v>
      </c>
      <c r="AE175">
        <v>39</v>
      </c>
      <c r="AF175" s="27">
        <f t="shared" ca="1" si="122"/>
        <v>6238</v>
      </c>
      <c r="AG175" s="27">
        <f t="shared" ca="1" si="136"/>
        <v>1343</v>
      </c>
      <c r="AH175" s="27">
        <f t="shared" ca="1" si="137"/>
        <v>788</v>
      </c>
      <c r="AI175" s="27">
        <f t="shared" ca="1" si="138"/>
        <v>370</v>
      </c>
      <c r="AJ175" s="27">
        <f t="shared" ca="1" si="139"/>
        <v>37</v>
      </c>
      <c r="AK175" s="27">
        <f t="shared" ca="1" si="140"/>
        <v>148</v>
      </c>
      <c r="AL175" s="27">
        <f t="shared" ca="1" si="141"/>
        <v>492</v>
      </c>
      <c r="AM175" s="27">
        <f t="shared" ca="1" si="142"/>
        <v>41</v>
      </c>
      <c r="AN175" s="27">
        <f t="shared" ca="1" si="143"/>
        <v>4362</v>
      </c>
      <c r="AO175">
        <v>4283</v>
      </c>
      <c r="AP175">
        <v>1483</v>
      </c>
      <c r="AQ175">
        <v>179</v>
      </c>
      <c r="AR175">
        <v>496</v>
      </c>
      <c r="AS175">
        <v>892</v>
      </c>
      <c r="AT175">
        <v>86</v>
      </c>
      <c r="AU175">
        <v>144</v>
      </c>
      <c r="AV175">
        <v>0.98599999999999999</v>
      </c>
      <c r="AW175" s="1"/>
      <c r="AX175" s="1"/>
      <c r="AY175" s="29">
        <f t="shared" si="144"/>
        <v>29700</v>
      </c>
      <c r="AZ175" s="31">
        <f t="shared" si="145"/>
        <v>166335</v>
      </c>
      <c r="BA175" s="31">
        <f t="shared" ref="BA175" si="186">SUMIF($B$2:$B$571,$B175,$T$2:$T$571)</f>
        <v>1797</v>
      </c>
      <c r="BB175" s="30">
        <f t="shared" si="147"/>
        <v>1.0803498962936243E-2</v>
      </c>
    </row>
    <row r="176" spans="1:54" x14ac:dyDescent="0.5">
      <c r="B176" s="4">
        <v>2005</v>
      </c>
      <c r="C176" t="s">
        <v>88</v>
      </c>
      <c r="D176" t="s">
        <v>89</v>
      </c>
      <c r="E176">
        <v>3</v>
      </c>
      <c r="F176" t="s">
        <v>38</v>
      </c>
      <c r="G176" t="s">
        <v>38</v>
      </c>
      <c r="H176" t="s">
        <v>38</v>
      </c>
      <c r="I176" t="s">
        <v>38</v>
      </c>
      <c r="J176">
        <v>75</v>
      </c>
      <c r="K176">
        <v>87</v>
      </c>
      <c r="L176">
        <v>649</v>
      </c>
      <c r="M176" s="20">
        <v>5462</v>
      </c>
      <c r="N176" s="20">
        <v>1427</v>
      </c>
      <c r="O176" s="20">
        <f t="shared" si="134"/>
        <v>974</v>
      </c>
      <c r="P176" s="20">
        <v>299</v>
      </c>
      <c r="Q176" s="20">
        <v>26</v>
      </c>
      <c r="R176" s="20">
        <v>128</v>
      </c>
      <c r="S176" s="20">
        <v>431</v>
      </c>
      <c r="T176" s="20">
        <v>49</v>
      </c>
      <c r="U176" s="20">
        <f t="shared" si="135"/>
        <v>3555</v>
      </c>
      <c r="V176">
        <v>901</v>
      </c>
      <c r="W176">
        <v>71</v>
      </c>
      <c r="X176">
        <v>35</v>
      </c>
      <c r="Y176">
        <v>44</v>
      </c>
      <c r="Z176">
        <v>745</v>
      </c>
      <c r="AA176">
        <v>695</v>
      </c>
      <c r="AB176">
        <v>4.33</v>
      </c>
      <c r="AC176">
        <v>4</v>
      </c>
      <c r="AD176">
        <v>8</v>
      </c>
      <c r="AE176">
        <v>46</v>
      </c>
      <c r="AF176" s="27">
        <f t="shared" ca="1" si="122"/>
        <v>6202</v>
      </c>
      <c r="AG176" s="27">
        <f t="shared" ca="1" si="136"/>
        <v>1582</v>
      </c>
      <c r="AH176" s="27">
        <f t="shared" ca="1" si="137"/>
        <v>1179</v>
      </c>
      <c r="AI176" s="27">
        <f t="shared" ca="1" si="138"/>
        <v>234</v>
      </c>
      <c r="AJ176" s="27">
        <f t="shared" ca="1" si="139"/>
        <v>34</v>
      </c>
      <c r="AK176" s="27">
        <f t="shared" ca="1" si="140"/>
        <v>135</v>
      </c>
      <c r="AL176" s="27">
        <f t="shared" ca="1" si="141"/>
        <v>518</v>
      </c>
      <c r="AM176" s="27">
        <f t="shared" ca="1" si="142"/>
        <v>71</v>
      </c>
      <c r="AN176" s="27">
        <f t="shared" ca="1" si="143"/>
        <v>4031</v>
      </c>
      <c r="AO176">
        <v>4333</v>
      </c>
      <c r="AP176">
        <v>1456</v>
      </c>
      <c r="AQ176">
        <v>151</v>
      </c>
      <c r="AR176">
        <v>592</v>
      </c>
      <c r="AS176">
        <v>972</v>
      </c>
      <c r="AT176">
        <v>90</v>
      </c>
      <c r="AU176">
        <v>146</v>
      </c>
      <c r="AV176">
        <v>0.98499999999999999</v>
      </c>
      <c r="AW176" s="1"/>
      <c r="AX176" s="1"/>
      <c r="AY176" s="29">
        <f t="shared" si="144"/>
        <v>29700</v>
      </c>
      <c r="AZ176" s="31">
        <f t="shared" si="145"/>
        <v>166335</v>
      </c>
      <c r="BA176" s="31">
        <f t="shared" ref="BA176" si="187">SUMIF($B$2:$B$571,$B176,$U$2:$U$571)</f>
        <v>105340</v>
      </c>
      <c r="BB176" s="30">
        <f t="shared" si="147"/>
        <v>0.63330026753238944</v>
      </c>
    </row>
    <row r="177" spans="1:54" x14ac:dyDescent="0.5">
      <c r="B177" s="4">
        <v>2005</v>
      </c>
      <c r="C177" t="s">
        <v>90</v>
      </c>
      <c r="D177" t="s">
        <v>91</v>
      </c>
      <c r="E177">
        <v>1</v>
      </c>
      <c r="F177" t="s">
        <v>43</v>
      </c>
      <c r="G177" t="s">
        <v>38</v>
      </c>
      <c r="H177" t="s">
        <v>38</v>
      </c>
      <c r="I177" t="s">
        <v>38</v>
      </c>
      <c r="J177">
        <v>100</v>
      </c>
      <c r="K177">
        <v>62</v>
      </c>
      <c r="L177">
        <v>805</v>
      </c>
      <c r="M177" s="20">
        <v>5538</v>
      </c>
      <c r="N177" s="20">
        <v>1494</v>
      </c>
      <c r="O177" s="20">
        <f t="shared" si="134"/>
        <v>1011</v>
      </c>
      <c r="P177" s="20">
        <v>287</v>
      </c>
      <c r="Q177" s="20">
        <v>26</v>
      </c>
      <c r="R177" s="20">
        <v>170</v>
      </c>
      <c r="S177" s="20">
        <v>534</v>
      </c>
      <c r="T177" s="20">
        <v>62</v>
      </c>
      <c r="U177" s="20">
        <f t="shared" si="135"/>
        <v>3448</v>
      </c>
      <c r="V177">
        <v>947</v>
      </c>
      <c r="W177">
        <v>83</v>
      </c>
      <c r="X177">
        <v>36</v>
      </c>
      <c r="Y177">
        <v>35</v>
      </c>
      <c r="Z177">
        <v>634</v>
      </c>
      <c r="AA177">
        <v>560</v>
      </c>
      <c r="AB177">
        <v>3.49</v>
      </c>
      <c r="AC177">
        <v>15</v>
      </c>
      <c r="AD177">
        <v>14</v>
      </c>
      <c r="AE177">
        <v>48</v>
      </c>
      <c r="AF177" s="27">
        <f t="shared" ca="1" si="122"/>
        <v>6329</v>
      </c>
      <c r="AG177" s="27">
        <f t="shared" ca="1" si="136"/>
        <v>1590</v>
      </c>
      <c r="AH177" s="27">
        <f t="shared" ca="1" si="137"/>
        <v>1088</v>
      </c>
      <c r="AI177" s="27">
        <f t="shared" ca="1" si="138"/>
        <v>267</v>
      </c>
      <c r="AJ177" s="27">
        <f t="shared" ca="1" si="139"/>
        <v>45</v>
      </c>
      <c r="AK177" s="27">
        <f t="shared" ca="1" si="140"/>
        <v>190</v>
      </c>
      <c r="AL177" s="27">
        <f t="shared" ca="1" si="141"/>
        <v>597</v>
      </c>
      <c r="AM177" s="27">
        <f t="shared" ca="1" si="142"/>
        <v>78</v>
      </c>
      <c r="AN177" s="27">
        <f t="shared" ca="1" si="143"/>
        <v>4064</v>
      </c>
      <c r="AO177">
        <v>4337</v>
      </c>
      <c r="AP177">
        <v>1399</v>
      </c>
      <c r="AQ177">
        <v>153</v>
      </c>
      <c r="AR177">
        <v>443</v>
      </c>
      <c r="AS177">
        <v>974</v>
      </c>
      <c r="AT177">
        <v>100</v>
      </c>
      <c r="AU177">
        <v>196</v>
      </c>
      <c r="AV177">
        <v>0.98399999999999999</v>
      </c>
      <c r="AW177" s="1"/>
      <c r="AX177" s="1"/>
      <c r="AY177" s="29">
        <f t="shared" si="144"/>
        <v>29700</v>
      </c>
      <c r="AZ177" s="31">
        <f t="shared" si="145"/>
        <v>166335</v>
      </c>
      <c r="BA177" s="31"/>
      <c r="BB177" s="30">
        <f t="shared" si="147"/>
        <v>0</v>
      </c>
    </row>
    <row r="178" spans="1:54" x14ac:dyDescent="0.5">
      <c r="B178" s="4">
        <v>2005</v>
      </c>
      <c r="C178" t="s">
        <v>92</v>
      </c>
      <c r="D178" t="s">
        <v>93</v>
      </c>
      <c r="E178">
        <v>5</v>
      </c>
      <c r="F178" t="s">
        <v>38</v>
      </c>
      <c r="G178" t="s">
        <v>38</v>
      </c>
      <c r="H178" t="s">
        <v>38</v>
      </c>
      <c r="I178" t="s">
        <v>38</v>
      </c>
      <c r="J178">
        <v>67</v>
      </c>
      <c r="K178">
        <v>95</v>
      </c>
      <c r="L178">
        <v>750</v>
      </c>
      <c r="M178" s="20">
        <v>5552</v>
      </c>
      <c r="N178" s="20">
        <v>1519</v>
      </c>
      <c r="O178" s="20">
        <f t="shared" si="134"/>
        <v>1033</v>
      </c>
      <c r="P178" s="20">
        <v>289</v>
      </c>
      <c r="Q178" s="20">
        <v>40</v>
      </c>
      <c r="R178" s="20">
        <v>157</v>
      </c>
      <c r="S178" s="20">
        <v>412</v>
      </c>
      <c r="T178" s="20">
        <v>69</v>
      </c>
      <c r="U178" s="20">
        <f t="shared" si="135"/>
        <v>3552</v>
      </c>
      <c r="V178">
        <v>990</v>
      </c>
      <c r="W178">
        <v>151</v>
      </c>
      <c r="X178">
        <v>49</v>
      </c>
      <c r="Y178">
        <v>51</v>
      </c>
      <c r="Z178">
        <v>936</v>
      </c>
      <c r="AA178">
        <v>851</v>
      </c>
      <c r="AB178">
        <v>5.39</v>
      </c>
      <c r="AC178">
        <v>1</v>
      </c>
      <c r="AD178">
        <v>4</v>
      </c>
      <c r="AE178">
        <v>43</v>
      </c>
      <c r="AF178" s="27">
        <f t="shared" ca="1" si="122"/>
        <v>6297</v>
      </c>
      <c r="AG178" s="27">
        <f t="shared" ca="1" si="136"/>
        <v>1343</v>
      </c>
      <c r="AH178" s="27">
        <f t="shared" ca="1" si="137"/>
        <v>748</v>
      </c>
      <c r="AI178" s="27">
        <f t="shared" ca="1" si="138"/>
        <v>327</v>
      </c>
      <c r="AJ178" s="27">
        <f t="shared" ca="1" si="139"/>
        <v>40</v>
      </c>
      <c r="AK178" s="27">
        <f t="shared" ca="1" si="140"/>
        <v>228</v>
      </c>
      <c r="AL178" s="27">
        <f t="shared" ca="1" si="141"/>
        <v>612</v>
      </c>
      <c r="AM178" s="27">
        <f t="shared" ca="1" si="142"/>
        <v>45</v>
      </c>
      <c r="AN178" s="27">
        <f t="shared" ca="1" si="143"/>
        <v>4297</v>
      </c>
      <c r="AO178">
        <v>4265</v>
      </c>
      <c r="AP178">
        <v>1570</v>
      </c>
      <c r="AQ178">
        <v>194</v>
      </c>
      <c r="AR178">
        <v>615</v>
      </c>
      <c r="AS178">
        <v>949</v>
      </c>
      <c r="AT178">
        <v>124</v>
      </c>
      <c r="AU178">
        <v>139</v>
      </c>
      <c r="AV178">
        <v>0.97899999999999998</v>
      </c>
      <c r="AW178" s="1"/>
      <c r="AX178" s="1"/>
      <c r="AY178" s="29">
        <f t="shared" si="144"/>
        <v>29700</v>
      </c>
      <c r="AZ178" s="31">
        <f t="shared" si="145"/>
        <v>166335</v>
      </c>
      <c r="BA178" s="31">
        <f t="shared" ref="BA178" si="188">SUMIF($B$2:$B$571,$B178,$O$2:$O$571)</f>
        <v>29223</v>
      </c>
      <c r="BB178" s="30">
        <f t="shared" si="147"/>
        <v>0.17568761836053748</v>
      </c>
    </row>
    <row r="179" spans="1:54" x14ac:dyDescent="0.5">
      <c r="B179" s="4">
        <v>2005</v>
      </c>
      <c r="C179" t="s">
        <v>94</v>
      </c>
      <c r="D179" t="s">
        <v>95</v>
      </c>
      <c r="E179">
        <v>3</v>
      </c>
      <c r="F179" t="s">
        <v>38</v>
      </c>
      <c r="G179" t="s">
        <v>38</v>
      </c>
      <c r="H179" t="s">
        <v>38</v>
      </c>
      <c r="I179" t="s">
        <v>38</v>
      </c>
      <c r="J179">
        <v>79</v>
      </c>
      <c r="K179">
        <v>83</v>
      </c>
      <c r="L179">
        <v>865</v>
      </c>
      <c r="M179" s="20">
        <v>5716</v>
      </c>
      <c r="N179" s="20">
        <v>1528</v>
      </c>
      <c r="O179" s="20">
        <f t="shared" si="134"/>
        <v>928</v>
      </c>
      <c r="P179" s="20">
        <v>311</v>
      </c>
      <c r="Q179" s="20">
        <v>29</v>
      </c>
      <c r="R179" s="20">
        <v>260</v>
      </c>
      <c r="S179" s="20">
        <v>495</v>
      </c>
      <c r="T179" s="20">
        <v>48</v>
      </c>
      <c r="U179" s="20">
        <f t="shared" si="135"/>
        <v>3645</v>
      </c>
      <c r="V179">
        <v>1112</v>
      </c>
      <c r="W179">
        <v>67</v>
      </c>
      <c r="X179">
        <v>15</v>
      </c>
      <c r="Y179">
        <v>32</v>
      </c>
      <c r="Z179">
        <v>858</v>
      </c>
      <c r="AA179">
        <v>794</v>
      </c>
      <c r="AB179">
        <v>4.96</v>
      </c>
      <c r="AC179">
        <v>2</v>
      </c>
      <c r="AD179">
        <v>6</v>
      </c>
      <c r="AE179">
        <v>46</v>
      </c>
      <c r="AF179" s="27">
        <f t="shared" ca="1" si="122"/>
        <v>6060</v>
      </c>
      <c r="AG179" s="27">
        <f t="shared" ca="1" si="136"/>
        <v>1312</v>
      </c>
      <c r="AH179" s="27">
        <f t="shared" ca="1" si="137"/>
        <v>780</v>
      </c>
      <c r="AI179" s="27">
        <f t="shared" ca="1" si="138"/>
        <v>359</v>
      </c>
      <c r="AJ179" s="27">
        <f t="shared" ca="1" si="139"/>
        <v>29</v>
      </c>
      <c r="AK179" s="27">
        <f t="shared" ca="1" si="140"/>
        <v>144</v>
      </c>
      <c r="AL179" s="27">
        <f t="shared" ca="1" si="141"/>
        <v>424</v>
      </c>
      <c r="AM179" s="27">
        <f t="shared" ca="1" si="142"/>
        <v>89</v>
      </c>
      <c r="AN179" s="27">
        <f t="shared" ca="1" si="143"/>
        <v>4235</v>
      </c>
      <c r="AO179">
        <v>4320</v>
      </c>
      <c r="AP179">
        <v>1589</v>
      </c>
      <c r="AQ179">
        <v>159</v>
      </c>
      <c r="AR179">
        <v>522</v>
      </c>
      <c r="AS179">
        <v>932</v>
      </c>
      <c r="AT179">
        <v>108</v>
      </c>
      <c r="AU179">
        <v>149</v>
      </c>
      <c r="AV179">
        <v>0.98199999999999998</v>
      </c>
      <c r="AW179" s="1"/>
      <c r="AX179" s="1"/>
      <c r="AY179" s="29">
        <f t="shared" si="144"/>
        <v>29700</v>
      </c>
      <c r="AZ179" s="31">
        <f t="shared" si="145"/>
        <v>166335</v>
      </c>
      <c r="BA179" s="31">
        <f t="shared" ref="BA179" si="189">SUMIF($B$2:$B$571,$B179,$P$2:$P$571)</f>
        <v>8863</v>
      </c>
      <c r="BB179" s="30">
        <f t="shared" si="147"/>
        <v>5.3284035230107912E-2</v>
      </c>
    </row>
    <row r="180" spans="1:54" x14ac:dyDescent="0.5">
      <c r="B180" s="4">
        <v>2005</v>
      </c>
      <c r="C180" t="s">
        <v>96</v>
      </c>
      <c r="D180" t="s">
        <v>97</v>
      </c>
      <c r="E180">
        <v>3</v>
      </c>
      <c r="F180" t="s">
        <v>38</v>
      </c>
      <c r="G180" t="s">
        <v>38</v>
      </c>
      <c r="H180" t="s">
        <v>38</v>
      </c>
      <c r="I180" t="s">
        <v>38</v>
      </c>
      <c r="J180">
        <v>80</v>
      </c>
      <c r="K180">
        <v>82</v>
      </c>
      <c r="L180">
        <v>775</v>
      </c>
      <c r="M180" s="20">
        <v>5581</v>
      </c>
      <c r="N180" s="20">
        <v>1480</v>
      </c>
      <c r="O180" s="20">
        <f t="shared" si="134"/>
        <v>998</v>
      </c>
      <c r="P180" s="20">
        <v>307</v>
      </c>
      <c r="Q180" s="20">
        <v>39</v>
      </c>
      <c r="R180" s="20">
        <v>136</v>
      </c>
      <c r="S180" s="20">
        <v>486</v>
      </c>
      <c r="T180" s="20">
        <v>89</v>
      </c>
      <c r="U180" s="20">
        <f t="shared" si="135"/>
        <v>3526</v>
      </c>
      <c r="V180">
        <v>955</v>
      </c>
      <c r="W180">
        <v>72</v>
      </c>
      <c r="X180">
        <v>35</v>
      </c>
      <c r="Y180">
        <v>56</v>
      </c>
      <c r="Z180">
        <v>705</v>
      </c>
      <c r="AA180">
        <v>653</v>
      </c>
      <c r="AB180">
        <v>4.0599999999999996</v>
      </c>
      <c r="AC180">
        <v>9</v>
      </c>
      <c r="AD180">
        <v>8</v>
      </c>
      <c r="AE180">
        <v>35</v>
      </c>
      <c r="AF180" s="27">
        <f t="shared" ca="1" si="122"/>
        <v>6434</v>
      </c>
      <c r="AG180" s="27">
        <f t="shared" ca="1" si="136"/>
        <v>1305</v>
      </c>
      <c r="AH180" s="27">
        <f t="shared" ca="1" si="137"/>
        <v>865</v>
      </c>
      <c r="AI180" s="27">
        <f t="shared" ca="1" si="138"/>
        <v>231</v>
      </c>
      <c r="AJ180" s="27">
        <f t="shared" ca="1" si="139"/>
        <v>45</v>
      </c>
      <c r="AK180" s="27">
        <f t="shared" ca="1" si="140"/>
        <v>164</v>
      </c>
      <c r="AL180" s="27">
        <f t="shared" ca="1" si="141"/>
        <v>517</v>
      </c>
      <c r="AM180" s="27">
        <f t="shared" ca="1" si="142"/>
        <v>72</v>
      </c>
      <c r="AN180" s="27">
        <f t="shared" ca="1" si="143"/>
        <v>4540</v>
      </c>
      <c r="AO180">
        <v>4341</v>
      </c>
      <c r="AP180">
        <v>1475</v>
      </c>
      <c r="AQ180">
        <v>185</v>
      </c>
      <c r="AR180">
        <v>444</v>
      </c>
      <c r="AS180">
        <v>958</v>
      </c>
      <c r="AT180">
        <v>95</v>
      </c>
      <c r="AU180">
        <v>154</v>
      </c>
      <c r="AV180">
        <v>0.98499999999999999</v>
      </c>
      <c r="AW180" s="1"/>
      <c r="AX180" s="1"/>
      <c r="AY180" s="29">
        <f t="shared" si="144"/>
        <v>29700</v>
      </c>
      <c r="AZ180" s="31">
        <f t="shared" si="145"/>
        <v>166335</v>
      </c>
      <c r="BA180" s="31">
        <f t="shared" ref="BA180" si="190">SUMIF($B$2:$B$571,$B180,$Q$2:$Q$571)</f>
        <v>888</v>
      </c>
      <c r="BB180" s="30">
        <f t="shared" si="147"/>
        <v>5.3386238614843541E-3</v>
      </c>
    </row>
    <row r="181" spans="1:54" x14ac:dyDescent="0.5">
      <c r="A181">
        <v>32</v>
      </c>
      <c r="B181" s="4">
        <v>2005</v>
      </c>
      <c r="C181" t="s">
        <v>100</v>
      </c>
      <c r="D181" t="s">
        <v>101</v>
      </c>
      <c r="E181">
        <v>5</v>
      </c>
      <c r="F181" t="s">
        <v>38</v>
      </c>
      <c r="G181" t="s">
        <v>38</v>
      </c>
      <c r="H181" t="s">
        <v>38</v>
      </c>
      <c r="I181" t="s">
        <v>38</v>
      </c>
      <c r="J181">
        <v>81</v>
      </c>
      <c r="K181">
        <v>81</v>
      </c>
      <c r="L181">
        <v>639</v>
      </c>
      <c r="M181" s="20">
        <v>5426</v>
      </c>
      <c r="N181" s="20">
        <v>1367</v>
      </c>
      <c r="O181" s="20">
        <f t="shared" si="134"/>
        <v>907</v>
      </c>
      <c r="P181" s="20">
        <v>311</v>
      </c>
      <c r="Q181" s="20">
        <v>32</v>
      </c>
      <c r="R181" s="20">
        <v>117</v>
      </c>
      <c r="S181" s="20">
        <v>491</v>
      </c>
      <c r="T181" s="20">
        <v>89</v>
      </c>
      <c r="U181" s="20">
        <f t="shared" si="135"/>
        <v>3479</v>
      </c>
      <c r="V181">
        <v>1090</v>
      </c>
      <c r="W181">
        <v>45</v>
      </c>
      <c r="X181">
        <v>45</v>
      </c>
      <c r="Y181">
        <v>45</v>
      </c>
      <c r="Z181">
        <v>673</v>
      </c>
      <c r="AA181">
        <v>627</v>
      </c>
      <c r="AB181">
        <v>3.87</v>
      </c>
      <c r="AC181">
        <v>4</v>
      </c>
      <c r="AD181">
        <v>9</v>
      </c>
      <c r="AE181">
        <v>51</v>
      </c>
      <c r="AF181" s="27">
        <f t="shared" ca="1" si="122"/>
        <v>6476</v>
      </c>
      <c r="AG181" s="27">
        <f t="shared" ca="1" si="136"/>
        <v>1301</v>
      </c>
      <c r="AH181" s="27">
        <f t="shared" ca="1" si="137"/>
        <v>716</v>
      </c>
      <c r="AI181" s="27">
        <f t="shared" ca="1" si="138"/>
        <v>320</v>
      </c>
      <c r="AJ181" s="27">
        <f t="shared" ca="1" si="139"/>
        <v>50</v>
      </c>
      <c r="AK181" s="27">
        <f t="shared" ca="1" si="140"/>
        <v>215</v>
      </c>
      <c r="AL181" s="27">
        <f t="shared" ca="1" si="141"/>
        <v>435</v>
      </c>
      <c r="AM181" s="27">
        <f t="shared" ca="1" si="142"/>
        <v>54</v>
      </c>
      <c r="AN181" s="27">
        <f t="shared" ca="1" si="143"/>
        <v>4686</v>
      </c>
      <c r="AO181">
        <v>4374</v>
      </c>
      <c r="AP181">
        <v>1456</v>
      </c>
      <c r="AQ181">
        <v>140</v>
      </c>
      <c r="AR181">
        <v>539</v>
      </c>
      <c r="AS181">
        <v>997</v>
      </c>
      <c r="AT181">
        <v>92</v>
      </c>
      <c r="AU181">
        <v>156</v>
      </c>
      <c r="AV181">
        <v>0.98499999999999999</v>
      </c>
      <c r="AW181" s="1"/>
      <c r="AX181" s="1"/>
      <c r="AY181" s="29">
        <f t="shared" si="144"/>
        <v>29700</v>
      </c>
      <c r="AZ181" s="31">
        <f t="shared" si="145"/>
        <v>166335</v>
      </c>
      <c r="BA181" s="31">
        <f t="shared" ref="BA181" si="191">SUMIF($B$2:$B$571,$B181,$R$2:$R$571)</f>
        <v>5017</v>
      </c>
      <c r="BB181" s="30">
        <f t="shared" si="147"/>
        <v>3.0162022424625005E-2</v>
      </c>
    </row>
    <row r="182" spans="1:54" x14ac:dyDescent="0.5">
      <c r="B182" s="4">
        <v>2006</v>
      </c>
      <c r="C182" t="s">
        <v>39</v>
      </c>
      <c r="D182" t="s">
        <v>40</v>
      </c>
      <c r="E182">
        <v>4</v>
      </c>
      <c r="F182" t="s">
        <v>38</v>
      </c>
      <c r="G182" t="s">
        <v>38</v>
      </c>
      <c r="H182" t="s">
        <v>38</v>
      </c>
      <c r="I182" t="s">
        <v>38</v>
      </c>
      <c r="J182">
        <v>76</v>
      </c>
      <c r="K182">
        <v>86</v>
      </c>
      <c r="L182">
        <v>773</v>
      </c>
      <c r="M182" s="20">
        <v>5645</v>
      </c>
      <c r="N182" s="20">
        <v>1506</v>
      </c>
      <c r="O182" s="20">
        <f t="shared" si="134"/>
        <v>977</v>
      </c>
      <c r="P182" s="20">
        <v>331</v>
      </c>
      <c r="Q182" s="20">
        <v>38</v>
      </c>
      <c r="R182" s="20">
        <v>160</v>
      </c>
      <c r="S182" s="20">
        <v>504</v>
      </c>
      <c r="T182" s="20">
        <v>67</v>
      </c>
      <c r="U182" s="20">
        <f t="shared" si="135"/>
        <v>3568</v>
      </c>
      <c r="V182">
        <v>965</v>
      </c>
      <c r="W182">
        <v>76</v>
      </c>
      <c r="X182">
        <v>30</v>
      </c>
      <c r="Y182">
        <v>53</v>
      </c>
      <c r="Z182">
        <v>788</v>
      </c>
      <c r="AA182">
        <v>727</v>
      </c>
      <c r="AB182">
        <v>4.4800000000000004</v>
      </c>
      <c r="AC182">
        <v>8</v>
      </c>
      <c r="AD182">
        <v>9</v>
      </c>
      <c r="AE182">
        <v>34</v>
      </c>
      <c r="AF182" s="27">
        <f t="shared" ref="AF182:AF245" ca="1" si="192">RANDBETWEEN(6049,6490)</f>
        <v>6431</v>
      </c>
      <c r="AG182" s="27">
        <f t="shared" ca="1" si="136"/>
        <v>1501</v>
      </c>
      <c r="AH182" s="27">
        <f t="shared" ca="1" si="137"/>
        <v>1033</v>
      </c>
      <c r="AI182" s="27">
        <f t="shared" ca="1" si="138"/>
        <v>280</v>
      </c>
      <c r="AJ182" s="27">
        <f t="shared" ca="1" si="139"/>
        <v>25</v>
      </c>
      <c r="AK182" s="27">
        <f t="shared" ca="1" si="140"/>
        <v>163</v>
      </c>
      <c r="AL182" s="27">
        <f t="shared" ca="1" si="141"/>
        <v>472</v>
      </c>
      <c r="AM182" s="27">
        <f t="shared" ca="1" si="142"/>
        <v>44</v>
      </c>
      <c r="AN182" s="27">
        <f t="shared" ca="1" si="143"/>
        <v>4414</v>
      </c>
      <c r="AO182">
        <v>4379</v>
      </c>
      <c r="AP182">
        <v>1503</v>
      </c>
      <c r="AQ182">
        <v>168</v>
      </c>
      <c r="AR182">
        <v>536</v>
      </c>
      <c r="AS182">
        <v>1115</v>
      </c>
      <c r="AT182">
        <v>104</v>
      </c>
      <c r="AU182">
        <v>172</v>
      </c>
      <c r="AV182">
        <v>0.98299999999999998</v>
      </c>
      <c r="AW182" s="1"/>
      <c r="AX182" s="1"/>
      <c r="AY182" s="29">
        <f t="shared" si="144"/>
        <v>29700</v>
      </c>
      <c r="AZ182" s="31">
        <f t="shared" si="145"/>
        <v>167341</v>
      </c>
      <c r="BA182" s="31">
        <f t="shared" ref="BA182" si="193">SUMIF($B$2:$B$571,$B182,$S$2:$S$571)</f>
        <v>15847</v>
      </c>
      <c r="BB182" s="30">
        <f t="shared" si="147"/>
        <v>9.4698848459134344E-2</v>
      </c>
    </row>
    <row r="183" spans="1:54" x14ac:dyDescent="0.5">
      <c r="B183" s="4">
        <v>2006</v>
      </c>
      <c r="C183" t="s">
        <v>41</v>
      </c>
      <c r="D183" t="s">
        <v>42</v>
      </c>
      <c r="E183">
        <v>3</v>
      </c>
      <c r="F183" t="s">
        <v>38</v>
      </c>
      <c r="G183" t="s">
        <v>38</v>
      </c>
      <c r="H183" t="s">
        <v>38</v>
      </c>
      <c r="I183" t="s">
        <v>38</v>
      </c>
      <c r="J183">
        <v>79</v>
      </c>
      <c r="K183">
        <v>83</v>
      </c>
      <c r="L183">
        <v>849</v>
      </c>
      <c r="M183" s="20">
        <v>5583</v>
      </c>
      <c r="N183" s="20">
        <v>1510</v>
      </c>
      <c r="O183" s="20">
        <f t="shared" si="134"/>
        <v>950</v>
      </c>
      <c r="P183" s="20">
        <v>312</v>
      </c>
      <c r="Q183" s="20">
        <v>26</v>
      </c>
      <c r="R183" s="20">
        <v>222</v>
      </c>
      <c r="S183" s="20">
        <v>526</v>
      </c>
      <c r="T183" s="20">
        <v>52</v>
      </c>
      <c r="U183" s="20">
        <f t="shared" si="135"/>
        <v>3495</v>
      </c>
      <c r="V183">
        <v>1169</v>
      </c>
      <c r="W183">
        <v>52</v>
      </c>
      <c r="X183">
        <v>35</v>
      </c>
      <c r="Y183">
        <v>44</v>
      </c>
      <c r="Z183">
        <v>805</v>
      </c>
      <c r="AA183">
        <v>736</v>
      </c>
      <c r="AB183">
        <v>4.5999999999999996</v>
      </c>
      <c r="AC183">
        <v>6</v>
      </c>
      <c r="AD183">
        <v>6</v>
      </c>
      <c r="AE183">
        <v>38</v>
      </c>
      <c r="AF183" s="27">
        <f t="shared" ca="1" si="192"/>
        <v>6091</v>
      </c>
      <c r="AG183" s="27">
        <f t="shared" ca="1" si="136"/>
        <v>1424</v>
      </c>
      <c r="AH183" s="27">
        <f t="shared" ca="1" si="137"/>
        <v>956</v>
      </c>
      <c r="AI183" s="27">
        <f t="shared" ca="1" si="138"/>
        <v>224</v>
      </c>
      <c r="AJ183" s="27">
        <f t="shared" ca="1" si="139"/>
        <v>27</v>
      </c>
      <c r="AK183" s="27">
        <f t="shared" ca="1" si="140"/>
        <v>217</v>
      </c>
      <c r="AL183" s="27">
        <f t="shared" ca="1" si="141"/>
        <v>590</v>
      </c>
      <c r="AM183" s="27">
        <f t="shared" ca="1" si="142"/>
        <v>31</v>
      </c>
      <c r="AN183" s="27">
        <f t="shared" ca="1" si="143"/>
        <v>4046</v>
      </c>
      <c r="AO183">
        <v>4324</v>
      </c>
      <c r="AP183">
        <v>1529</v>
      </c>
      <c r="AQ183">
        <v>183</v>
      </c>
      <c r="AR183">
        <v>572</v>
      </c>
      <c r="AS183">
        <v>1049</v>
      </c>
      <c r="AT183">
        <v>99</v>
      </c>
      <c r="AU183">
        <v>146</v>
      </c>
      <c r="AV183">
        <v>0.98399999999999999</v>
      </c>
      <c r="AW183" s="1"/>
      <c r="AX183" s="1"/>
      <c r="AY183" s="29">
        <f t="shared" si="144"/>
        <v>29700</v>
      </c>
      <c r="AZ183" s="31">
        <f t="shared" si="145"/>
        <v>167341</v>
      </c>
      <c r="BA183" s="31">
        <f t="shared" ref="BA183" si="194">SUMIF($B$2:$B$571,$B183,$T$2:$T$571)</f>
        <v>1817</v>
      </c>
      <c r="BB183" s="30">
        <f t="shared" si="147"/>
        <v>1.0858068255836883E-2</v>
      </c>
    </row>
    <row r="184" spans="1:54" x14ac:dyDescent="0.5">
      <c r="B184" s="4">
        <v>2006</v>
      </c>
      <c r="C184" t="s">
        <v>44</v>
      </c>
      <c r="D184" t="s">
        <v>45</v>
      </c>
      <c r="E184">
        <v>4</v>
      </c>
      <c r="F184" t="s">
        <v>38</v>
      </c>
      <c r="G184" t="s">
        <v>38</v>
      </c>
      <c r="H184" t="s">
        <v>38</v>
      </c>
      <c r="I184" t="s">
        <v>38</v>
      </c>
      <c r="J184">
        <v>70</v>
      </c>
      <c r="K184">
        <v>92</v>
      </c>
      <c r="L184">
        <v>768</v>
      </c>
      <c r="M184" s="20">
        <v>5610</v>
      </c>
      <c r="N184" s="20">
        <v>1556</v>
      </c>
      <c r="O184" s="20">
        <f t="shared" si="134"/>
        <v>1084</v>
      </c>
      <c r="P184" s="20">
        <v>288</v>
      </c>
      <c r="Q184" s="20">
        <v>20</v>
      </c>
      <c r="R184" s="20">
        <v>164</v>
      </c>
      <c r="S184" s="20">
        <v>474</v>
      </c>
      <c r="T184" s="20">
        <v>73</v>
      </c>
      <c r="U184" s="20">
        <f t="shared" si="135"/>
        <v>3507</v>
      </c>
      <c r="V184">
        <v>878</v>
      </c>
      <c r="W184">
        <v>121</v>
      </c>
      <c r="X184">
        <v>32</v>
      </c>
      <c r="Y184">
        <v>41</v>
      </c>
      <c r="Z184">
        <v>899</v>
      </c>
      <c r="AA184">
        <v>843</v>
      </c>
      <c r="AB184">
        <v>5.35</v>
      </c>
      <c r="AC184">
        <v>5</v>
      </c>
      <c r="AD184">
        <v>9</v>
      </c>
      <c r="AE184">
        <v>35</v>
      </c>
      <c r="AF184" s="27">
        <f t="shared" ca="1" si="192"/>
        <v>6084</v>
      </c>
      <c r="AG184" s="27">
        <f t="shared" ca="1" si="136"/>
        <v>1377</v>
      </c>
      <c r="AH184" s="27">
        <f t="shared" ca="1" si="137"/>
        <v>927</v>
      </c>
      <c r="AI184" s="27">
        <f t="shared" ca="1" si="138"/>
        <v>248</v>
      </c>
      <c r="AJ184" s="27">
        <f t="shared" ca="1" si="139"/>
        <v>21</v>
      </c>
      <c r="AK184" s="27">
        <f t="shared" ca="1" si="140"/>
        <v>181</v>
      </c>
      <c r="AL184" s="27">
        <f t="shared" ca="1" si="141"/>
        <v>680</v>
      </c>
      <c r="AM184" s="27">
        <f t="shared" ca="1" si="142"/>
        <v>50</v>
      </c>
      <c r="AN184" s="27">
        <f t="shared" ca="1" si="143"/>
        <v>3977</v>
      </c>
      <c r="AO184">
        <v>4257</v>
      </c>
      <c r="AP184">
        <v>1579</v>
      </c>
      <c r="AQ184">
        <v>216</v>
      </c>
      <c r="AR184">
        <v>613</v>
      </c>
      <c r="AS184">
        <v>1016</v>
      </c>
      <c r="AT184">
        <v>102</v>
      </c>
      <c r="AU184">
        <v>156</v>
      </c>
      <c r="AV184">
        <v>0.98299999999999998</v>
      </c>
      <c r="AW184" s="1"/>
      <c r="AX184" s="1"/>
      <c r="AY184" s="29">
        <f t="shared" si="144"/>
        <v>29700</v>
      </c>
      <c r="AZ184" s="31">
        <f t="shared" si="145"/>
        <v>167341</v>
      </c>
      <c r="BA184" s="31">
        <f t="shared" ref="BA184" si="195">SUMIF($B$2:$B$571,$B184,$U$2:$U$571)</f>
        <v>104604</v>
      </c>
      <c r="BB184" s="30">
        <f t="shared" si="147"/>
        <v>0.62509486617147025</v>
      </c>
    </row>
    <row r="185" spans="1:54" x14ac:dyDescent="0.5">
      <c r="B185" s="4">
        <v>2006</v>
      </c>
      <c r="C185" t="s">
        <v>46</v>
      </c>
      <c r="D185" t="s">
        <v>47</v>
      </c>
      <c r="E185">
        <v>3</v>
      </c>
      <c r="F185" t="s">
        <v>38</v>
      </c>
      <c r="G185" t="s">
        <v>38</v>
      </c>
      <c r="H185" t="s">
        <v>38</v>
      </c>
      <c r="I185" t="s">
        <v>38</v>
      </c>
      <c r="J185">
        <v>86</v>
      </c>
      <c r="K185">
        <v>76</v>
      </c>
      <c r="L185">
        <v>820</v>
      </c>
      <c r="M185" s="20">
        <v>5619</v>
      </c>
      <c r="N185" s="20">
        <v>1510</v>
      </c>
      <c r="O185" s="20">
        <f t="shared" si="134"/>
        <v>975</v>
      </c>
      <c r="P185" s="20">
        <v>327</v>
      </c>
      <c r="Q185" s="20">
        <v>16</v>
      </c>
      <c r="R185" s="20">
        <v>192</v>
      </c>
      <c r="S185" s="20">
        <v>672</v>
      </c>
      <c r="T185" s="20">
        <v>66</v>
      </c>
      <c r="U185" s="20">
        <f t="shared" si="135"/>
        <v>3371</v>
      </c>
      <c r="V185">
        <v>1056</v>
      </c>
      <c r="W185">
        <v>51</v>
      </c>
      <c r="X185">
        <v>23</v>
      </c>
      <c r="Y185">
        <v>56</v>
      </c>
      <c r="Z185">
        <v>825</v>
      </c>
      <c r="AA185">
        <v>773</v>
      </c>
      <c r="AB185">
        <v>4.83</v>
      </c>
      <c r="AC185">
        <v>3</v>
      </c>
      <c r="AD185">
        <v>6</v>
      </c>
      <c r="AE185">
        <v>46</v>
      </c>
      <c r="AF185" s="27">
        <f t="shared" ca="1" si="192"/>
        <v>6222</v>
      </c>
      <c r="AG185" s="27">
        <f t="shared" ca="1" si="136"/>
        <v>1648</v>
      </c>
      <c r="AH185" s="27">
        <f t="shared" ca="1" si="137"/>
        <v>1180</v>
      </c>
      <c r="AI185" s="27">
        <f t="shared" ca="1" si="138"/>
        <v>247</v>
      </c>
      <c r="AJ185" s="27">
        <f t="shared" ca="1" si="139"/>
        <v>48</v>
      </c>
      <c r="AK185" s="27">
        <f t="shared" ca="1" si="140"/>
        <v>173</v>
      </c>
      <c r="AL185" s="27">
        <f t="shared" ca="1" si="141"/>
        <v>412</v>
      </c>
      <c r="AM185" s="27">
        <f t="shared" ca="1" si="142"/>
        <v>67</v>
      </c>
      <c r="AN185" s="27">
        <f t="shared" ca="1" si="143"/>
        <v>4095</v>
      </c>
      <c r="AO185">
        <v>4324</v>
      </c>
      <c r="AP185">
        <v>1570</v>
      </c>
      <c r="AQ185">
        <v>181</v>
      </c>
      <c r="AR185">
        <v>509</v>
      </c>
      <c r="AS185">
        <v>1070</v>
      </c>
      <c r="AT185">
        <v>66</v>
      </c>
      <c r="AU185">
        <v>174</v>
      </c>
      <c r="AV185">
        <v>0.98899999999999999</v>
      </c>
      <c r="AW185" s="1"/>
      <c r="AX185" s="1"/>
      <c r="AY185" s="29">
        <f t="shared" si="144"/>
        <v>29700</v>
      </c>
      <c r="AZ185" s="31">
        <f t="shared" si="145"/>
        <v>167341</v>
      </c>
      <c r="BA185" s="31"/>
      <c r="BB185" s="30">
        <f t="shared" si="147"/>
        <v>0</v>
      </c>
    </row>
    <row r="186" spans="1:54" x14ac:dyDescent="0.5">
      <c r="B186" s="4">
        <v>2006</v>
      </c>
      <c r="C186" t="s">
        <v>48</v>
      </c>
      <c r="D186" t="s">
        <v>49</v>
      </c>
      <c r="E186">
        <v>3</v>
      </c>
      <c r="F186" t="s">
        <v>38</v>
      </c>
      <c r="G186" t="s">
        <v>38</v>
      </c>
      <c r="H186" t="s">
        <v>38</v>
      </c>
      <c r="I186" t="s">
        <v>38</v>
      </c>
      <c r="J186">
        <v>90</v>
      </c>
      <c r="K186">
        <v>72</v>
      </c>
      <c r="L186">
        <v>868</v>
      </c>
      <c r="M186" s="20">
        <v>5657</v>
      </c>
      <c r="N186" s="20">
        <v>1586</v>
      </c>
      <c r="O186" s="20">
        <f t="shared" si="134"/>
        <v>1039</v>
      </c>
      <c r="P186" s="20">
        <v>291</v>
      </c>
      <c r="Q186" s="20">
        <v>20</v>
      </c>
      <c r="R186" s="20">
        <v>236</v>
      </c>
      <c r="S186" s="20">
        <v>502</v>
      </c>
      <c r="T186" s="20">
        <v>58</v>
      </c>
      <c r="U186" s="20">
        <f t="shared" si="135"/>
        <v>3511</v>
      </c>
      <c r="V186">
        <v>1056</v>
      </c>
      <c r="W186">
        <v>93</v>
      </c>
      <c r="X186">
        <v>48</v>
      </c>
      <c r="Y186">
        <v>57</v>
      </c>
      <c r="Z186">
        <v>794</v>
      </c>
      <c r="AA186">
        <v>743</v>
      </c>
      <c r="AB186">
        <v>4.6100000000000003</v>
      </c>
      <c r="AC186">
        <v>5</v>
      </c>
      <c r="AD186">
        <v>11</v>
      </c>
      <c r="AE186">
        <v>46</v>
      </c>
      <c r="AF186" s="27">
        <f t="shared" ca="1" si="192"/>
        <v>6110</v>
      </c>
      <c r="AG186" s="27">
        <f t="shared" ca="1" si="136"/>
        <v>1635</v>
      </c>
      <c r="AH186" s="27">
        <f t="shared" ca="1" si="137"/>
        <v>1144</v>
      </c>
      <c r="AI186" s="27">
        <f t="shared" ca="1" si="138"/>
        <v>299</v>
      </c>
      <c r="AJ186" s="27">
        <f t="shared" ca="1" si="139"/>
        <v>31</v>
      </c>
      <c r="AK186" s="27">
        <f t="shared" ca="1" si="140"/>
        <v>161</v>
      </c>
      <c r="AL186" s="27">
        <f t="shared" ca="1" si="141"/>
        <v>559</v>
      </c>
      <c r="AM186" s="27">
        <f t="shared" ca="1" si="142"/>
        <v>34</v>
      </c>
      <c r="AN186" s="27">
        <f t="shared" ca="1" si="143"/>
        <v>3882</v>
      </c>
      <c r="AO186">
        <v>4347</v>
      </c>
      <c r="AP186">
        <v>1534</v>
      </c>
      <c r="AQ186">
        <v>200</v>
      </c>
      <c r="AR186">
        <v>433</v>
      </c>
      <c r="AS186">
        <v>1012</v>
      </c>
      <c r="AT186">
        <v>90</v>
      </c>
      <c r="AU186">
        <v>145</v>
      </c>
      <c r="AV186">
        <v>0.98499999999999999</v>
      </c>
      <c r="AW186" s="1"/>
      <c r="AX186" s="1"/>
      <c r="AY186" s="29">
        <f t="shared" si="144"/>
        <v>29700</v>
      </c>
      <c r="AZ186" s="31">
        <f t="shared" si="145"/>
        <v>167341</v>
      </c>
      <c r="BA186" s="31">
        <f t="shared" ref="BA186" si="196">SUMIF($B$2:$B$571,$B186,$O$2:$O$571)</f>
        <v>29600</v>
      </c>
      <c r="BB186" s="30">
        <f t="shared" si="147"/>
        <v>0.17688432601693549</v>
      </c>
    </row>
    <row r="187" spans="1:54" x14ac:dyDescent="0.5">
      <c r="B187" s="4">
        <v>2006</v>
      </c>
      <c r="C187" t="s">
        <v>50</v>
      </c>
      <c r="D187" t="s">
        <v>51</v>
      </c>
      <c r="E187">
        <v>6</v>
      </c>
      <c r="F187" t="s">
        <v>38</v>
      </c>
      <c r="G187" t="s">
        <v>38</v>
      </c>
      <c r="H187" t="s">
        <v>38</v>
      </c>
      <c r="I187" t="s">
        <v>38</v>
      </c>
      <c r="J187">
        <v>66</v>
      </c>
      <c r="K187">
        <v>96</v>
      </c>
      <c r="L187">
        <v>716</v>
      </c>
      <c r="M187" s="20">
        <v>5587</v>
      </c>
      <c r="N187" s="20">
        <v>1496</v>
      </c>
      <c r="O187" s="20">
        <f t="shared" si="134"/>
        <v>1013</v>
      </c>
      <c r="P187" s="20">
        <v>271</v>
      </c>
      <c r="Q187" s="20">
        <v>46</v>
      </c>
      <c r="R187" s="20">
        <v>166</v>
      </c>
      <c r="S187" s="20">
        <v>395</v>
      </c>
      <c r="T187" s="20">
        <v>43</v>
      </c>
      <c r="U187" s="20">
        <f t="shared" si="135"/>
        <v>3653</v>
      </c>
      <c r="V187">
        <v>928</v>
      </c>
      <c r="W187">
        <v>121</v>
      </c>
      <c r="X187">
        <v>49</v>
      </c>
      <c r="Y187">
        <v>37</v>
      </c>
      <c r="Z187">
        <v>834</v>
      </c>
      <c r="AA187">
        <v>758</v>
      </c>
      <c r="AB187">
        <v>4.74</v>
      </c>
      <c r="AC187">
        <v>2</v>
      </c>
      <c r="AD187">
        <v>7</v>
      </c>
      <c r="AE187">
        <v>29</v>
      </c>
      <c r="AF187" s="27">
        <f t="shared" ca="1" si="192"/>
        <v>6288</v>
      </c>
      <c r="AG187" s="27">
        <f t="shared" ca="1" si="136"/>
        <v>1697</v>
      </c>
      <c r="AH187" s="27">
        <f t="shared" ca="1" si="137"/>
        <v>1164</v>
      </c>
      <c r="AI187" s="27">
        <f t="shared" ca="1" si="138"/>
        <v>258</v>
      </c>
      <c r="AJ187" s="27">
        <f t="shared" ca="1" si="139"/>
        <v>37</v>
      </c>
      <c r="AK187" s="27">
        <f t="shared" ca="1" si="140"/>
        <v>238</v>
      </c>
      <c r="AL187" s="27">
        <f t="shared" ca="1" si="141"/>
        <v>479</v>
      </c>
      <c r="AM187" s="27">
        <f t="shared" ca="1" si="142"/>
        <v>40</v>
      </c>
      <c r="AN187" s="27">
        <f t="shared" ca="1" si="143"/>
        <v>4072</v>
      </c>
      <c r="AO187">
        <v>4317</v>
      </c>
      <c r="AP187">
        <v>1396</v>
      </c>
      <c r="AQ187">
        <v>210</v>
      </c>
      <c r="AR187">
        <v>687</v>
      </c>
      <c r="AS187">
        <v>1250</v>
      </c>
      <c r="AT187">
        <v>106</v>
      </c>
      <c r="AU187">
        <v>122</v>
      </c>
      <c r="AV187">
        <v>0.98199999999999998</v>
      </c>
      <c r="AW187" s="1"/>
      <c r="AX187" s="1"/>
      <c r="AY187" s="29">
        <f t="shared" si="144"/>
        <v>29700</v>
      </c>
      <c r="AZ187" s="31">
        <f t="shared" si="145"/>
        <v>167341</v>
      </c>
      <c r="BA187" s="31">
        <f t="shared" ref="BA187" si="197">SUMIF($B$2:$B$571,$B187,$P$2:$P$571)</f>
        <v>9135</v>
      </c>
      <c r="BB187" s="30">
        <f t="shared" si="147"/>
        <v>5.4589132370429241E-2</v>
      </c>
    </row>
    <row r="188" spans="1:54" x14ac:dyDescent="0.5">
      <c r="B188" s="4">
        <v>2006</v>
      </c>
      <c r="C188" t="s">
        <v>52</v>
      </c>
      <c r="D188" t="s">
        <v>53</v>
      </c>
      <c r="E188">
        <v>3</v>
      </c>
      <c r="F188" t="s">
        <v>38</v>
      </c>
      <c r="G188" t="s">
        <v>38</v>
      </c>
      <c r="H188" t="s">
        <v>38</v>
      </c>
      <c r="I188" t="s">
        <v>38</v>
      </c>
      <c r="J188">
        <v>80</v>
      </c>
      <c r="K188">
        <v>82</v>
      </c>
      <c r="L188">
        <v>749</v>
      </c>
      <c r="M188" s="20">
        <v>5515</v>
      </c>
      <c r="N188" s="20">
        <v>1419</v>
      </c>
      <c r="O188" s="20">
        <f t="shared" si="134"/>
        <v>899</v>
      </c>
      <c r="P188" s="20">
        <v>291</v>
      </c>
      <c r="Q188" s="20">
        <v>12</v>
      </c>
      <c r="R188" s="20">
        <v>217</v>
      </c>
      <c r="S188" s="20">
        <v>614</v>
      </c>
      <c r="T188" s="20">
        <v>59</v>
      </c>
      <c r="U188" s="20">
        <f t="shared" si="135"/>
        <v>3423</v>
      </c>
      <c r="V188">
        <v>1192</v>
      </c>
      <c r="W188">
        <v>124</v>
      </c>
      <c r="X188">
        <v>33</v>
      </c>
      <c r="Y188">
        <v>38</v>
      </c>
      <c r="Z188">
        <v>801</v>
      </c>
      <c r="AA188">
        <v>725</v>
      </c>
      <c r="AB188">
        <v>4.51</v>
      </c>
      <c r="AC188">
        <v>9</v>
      </c>
      <c r="AD188">
        <v>10</v>
      </c>
      <c r="AE188">
        <v>36</v>
      </c>
      <c r="AF188" s="27">
        <f t="shared" ca="1" si="192"/>
        <v>6296</v>
      </c>
      <c r="AG188" s="27">
        <f t="shared" ca="1" si="136"/>
        <v>1389</v>
      </c>
      <c r="AH188" s="27">
        <f t="shared" ca="1" si="137"/>
        <v>773</v>
      </c>
      <c r="AI188" s="27">
        <f t="shared" ca="1" si="138"/>
        <v>392</v>
      </c>
      <c r="AJ188" s="27">
        <f t="shared" ca="1" si="139"/>
        <v>25</v>
      </c>
      <c r="AK188" s="27">
        <f t="shared" ca="1" si="140"/>
        <v>199</v>
      </c>
      <c r="AL188" s="27">
        <f t="shared" ca="1" si="141"/>
        <v>506</v>
      </c>
      <c r="AM188" s="27">
        <f t="shared" ca="1" si="142"/>
        <v>48</v>
      </c>
      <c r="AN188" s="27">
        <f t="shared" ca="1" si="143"/>
        <v>4353</v>
      </c>
      <c r="AO188">
        <v>4337</v>
      </c>
      <c r="AP188">
        <v>1576</v>
      </c>
      <c r="AQ188">
        <v>213</v>
      </c>
      <c r="AR188">
        <v>464</v>
      </c>
      <c r="AS188">
        <v>1053</v>
      </c>
      <c r="AT188">
        <v>128</v>
      </c>
      <c r="AU188">
        <v>139</v>
      </c>
      <c r="AV188">
        <v>0.97899999999999998</v>
      </c>
      <c r="AW188" s="1"/>
      <c r="AX188" s="1"/>
      <c r="AY188" s="29">
        <f t="shared" si="144"/>
        <v>29700</v>
      </c>
      <c r="AZ188" s="31">
        <f t="shared" si="145"/>
        <v>167341</v>
      </c>
      <c r="BA188" s="31">
        <f t="shared" ref="BA188" si="198">SUMIF($B$2:$B$571,$B188,$Q$2:$Q$571)</f>
        <v>952</v>
      </c>
      <c r="BB188" s="30">
        <f t="shared" si="147"/>
        <v>5.6889823773014388E-3</v>
      </c>
    </row>
    <row r="189" spans="1:54" x14ac:dyDescent="0.5">
      <c r="B189" s="4">
        <v>2006</v>
      </c>
      <c r="C189" t="s">
        <v>54</v>
      </c>
      <c r="D189" t="s">
        <v>55</v>
      </c>
      <c r="E189">
        <v>4</v>
      </c>
      <c r="F189" t="s">
        <v>38</v>
      </c>
      <c r="G189" t="s">
        <v>38</v>
      </c>
      <c r="H189" t="s">
        <v>38</v>
      </c>
      <c r="I189" t="s">
        <v>38</v>
      </c>
      <c r="J189">
        <v>78</v>
      </c>
      <c r="K189">
        <v>84</v>
      </c>
      <c r="L189">
        <v>870</v>
      </c>
      <c r="M189" s="20">
        <v>5619</v>
      </c>
      <c r="N189" s="20">
        <v>1576</v>
      </c>
      <c r="O189" s="20">
        <f t="shared" si="134"/>
        <v>1002</v>
      </c>
      <c r="P189" s="20">
        <v>351</v>
      </c>
      <c r="Q189" s="20">
        <v>27</v>
      </c>
      <c r="R189" s="20">
        <v>196</v>
      </c>
      <c r="S189" s="20">
        <v>556</v>
      </c>
      <c r="T189" s="20">
        <v>54</v>
      </c>
      <c r="U189" s="20">
        <f t="shared" si="135"/>
        <v>3433</v>
      </c>
      <c r="V189">
        <v>1204</v>
      </c>
      <c r="W189">
        <v>55</v>
      </c>
      <c r="X189">
        <v>23</v>
      </c>
      <c r="Y189">
        <v>43</v>
      </c>
      <c r="Z189">
        <v>782</v>
      </c>
      <c r="AA189">
        <v>698</v>
      </c>
      <c r="AB189">
        <v>4.41</v>
      </c>
      <c r="AC189">
        <v>13</v>
      </c>
      <c r="AD189">
        <v>13</v>
      </c>
      <c r="AE189">
        <v>24</v>
      </c>
      <c r="AF189" s="27">
        <f t="shared" ca="1" si="192"/>
        <v>6318</v>
      </c>
      <c r="AG189" s="27">
        <f t="shared" ca="1" si="136"/>
        <v>1665</v>
      </c>
      <c r="AH189" s="27">
        <f t="shared" ca="1" si="137"/>
        <v>1237</v>
      </c>
      <c r="AI189" s="27">
        <f t="shared" ca="1" si="138"/>
        <v>249</v>
      </c>
      <c r="AJ189" s="27">
        <f t="shared" ca="1" si="139"/>
        <v>21</v>
      </c>
      <c r="AK189" s="27">
        <f t="shared" ca="1" si="140"/>
        <v>158</v>
      </c>
      <c r="AL189" s="27">
        <f t="shared" ca="1" si="141"/>
        <v>578</v>
      </c>
      <c r="AM189" s="27">
        <f t="shared" ca="1" si="142"/>
        <v>86</v>
      </c>
      <c r="AN189" s="27">
        <f t="shared" ca="1" si="143"/>
        <v>3989</v>
      </c>
      <c r="AO189">
        <v>4270</v>
      </c>
      <c r="AP189">
        <v>1583</v>
      </c>
      <c r="AQ189">
        <v>166</v>
      </c>
      <c r="AR189">
        <v>429</v>
      </c>
      <c r="AS189">
        <v>948</v>
      </c>
      <c r="AT189">
        <v>118</v>
      </c>
      <c r="AU189">
        <v>165</v>
      </c>
      <c r="AV189">
        <v>0.98099999999999998</v>
      </c>
      <c r="AW189" s="1"/>
      <c r="AX189" s="1"/>
      <c r="AY189" s="29">
        <f t="shared" si="144"/>
        <v>29700</v>
      </c>
      <c r="AZ189" s="31">
        <f t="shared" si="145"/>
        <v>167341</v>
      </c>
      <c r="BA189" s="31">
        <f t="shared" ref="BA189" si="199">SUMIF($B$2:$B$571,$B189,$R$2:$R$571)</f>
        <v>5386</v>
      </c>
      <c r="BB189" s="30">
        <f t="shared" si="147"/>
        <v>3.218577634889238E-2</v>
      </c>
    </row>
    <row r="190" spans="1:54" x14ac:dyDescent="0.5">
      <c r="B190" s="4">
        <v>2006</v>
      </c>
      <c r="C190" t="s">
        <v>56</v>
      </c>
      <c r="D190" t="s">
        <v>57</v>
      </c>
      <c r="E190">
        <v>4</v>
      </c>
      <c r="F190" t="s">
        <v>38</v>
      </c>
      <c r="G190" t="s">
        <v>38</v>
      </c>
      <c r="H190" t="s">
        <v>38</v>
      </c>
      <c r="I190" t="s">
        <v>38</v>
      </c>
      <c r="J190">
        <v>76</v>
      </c>
      <c r="K190">
        <v>86</v>
      </c>
      <c r="L190">
        <v>813</v>
      </c>
      <c r="M190" s="20">
        <v>5562</v>
      </c>
      <c r="N190" s="20">
        <v>1504</v>
      </c>
      <c r="O190" s="20">
        <f t="shared" si="134"/>
        <v>968</v>
      </c>
      <c r="P190" s="20">
        <v>325</v>
      </c>
      <c r="Q190" s="20">
        <v>54</v>
      </c>
      <c r="R190" s="20">
        <v>157</v>
      </c>
      <c r="S190" s="20">
        <v>561</v>
      </c>
      <c r="T190" s="20">
        <v>60</v>
      </c>
      <c r="U190" s="20">
        <f t="shared" si="135"/>
        <v>3437</v>
      </c>
      <c r="V190">
        <v>1108</v>
      </c>
      <c r="W190">
        <v>85</v>
      </c>
      <c r="X190">
        <v>50</v>
      </c>
      <c r="Y190">
        <v>45</v>
      </c>
      <c r="Z190">
        <v>812</v>
      </c>
      <c r="AA190">
        <v>749</v>
      </c>
      <c r="AB190">
        <v>4.66</v>
      </c>
      <c r="AC190">
        <v>5</v>
      </c>
      <c r="AD190">
        <v>8</v>
      </c>
      <c r="AE190">
        <v>34</v>
      </c>
      <c r="AF190" s="27">
        <f t="shared" ca="1" si="192"/>
        <v>6112</v>
      </c>
      <c r="AG190" s="27">
        <f t="shared" ca="1" si="136"/>
        <v>1438</v>
      </c>
      <c r="AH190" s="27">
        <f t="shared" ca="1" si="137"/>
        <v>766</v>
      </c>
      <c r="AI190" s="27">
        <f t="shared" ca="1" si="138"/>
        <v>397</v>
      </c>
      <c r="AJ190" s="27">
        <f t="shared" ca="1" si="139"/>
        <v>46</v>
      </c>
      <c r="AK190" s="27">
        <f t="shared" ca="1" si="140"/>
        <v>229</v>
      </c>
      <c r="AL190" s="27">
        <f t="shared" ca="1" si="141"/>
        <v>447</v>
      </c>
      <c r="AM190" s="27">
        <f t="shared" ca="1" si="142"/>
        <v>49</v>
      </c>
      <c r="AN190" s="27">
        <f t="shared" ca="1" si="143"/>
        <v>4178</v>
      </c>
      <c r="AO190">
        <v>4342</v>
      </c>
      <c r="AP190">
        <v>1549</v>
      </c>
      <c r="AQ190">
        <v>155</v>
      </c>
      <c r="AR190">
        <v>553</v>
      </c>
      <c r="AS190">
        <v>952</v>
      </c>
      <c r="AT190">
        <v>91</v>
      </c>
      <c r="AU190">
        <v>190</v>
      </c>
      <c r="AV190">
        <v>0.98499999999999999</v>
      </c>
      <c r="AW190" s="1"/>
      <c r="AX190" s="1"/>
      <c r="AY190" s="29">
        <f t="shared" si="144"/>
        <v>29700</v>
      </c>
      <c r="AZ190" s="31">
        <f t="shared" si="145"/>
        <v>167341</v>
      </c>
      <c r="BA190" s="31">
        <f t="shared" ref="BA190" si="200">SUMIF($B$2:$B$571,$B190,$S$2:$S$571)</f>
        <v>15847</v>
      </c>
      <c r="BB190" s="30">
        <f t="shared" si="147"/>
        <v>9.4698848459134344E-2</v>
      </c>
    </row>
    <row r="191" spans="1:54" x14ac:dyDescent="0.5">
      <c r="B191" s="4">
        <v>2006</v>
      </c>
      <c r="C191" t="s">
        <v>58</v>
      </c>
      <c r="D191" t="s">
        <v>59</v>
      </c>
      <c r="E191">
        <v>2</v>
      </c>
      <c r="F191" t="s">
        <v>38</v>
      </c>
      <c r="G191" t="s">
        <v>43</v>
      </c>
      <c r="H191" t="s">
        <v>43</v>
      </c>
      <c r="I191" t="s">
        <v>38</v>
      </c>
      <c r="J191">
        <v>95</v>
      </c>
      <c r="K191">
        <v>67</v>
      </c>
      <c r="L191">
        <v>822</v>
      </c>
      <c r="M191" s="20">
        <v>5642</v>
      </c>
      <c r="N191" s="20">
        <v>1548</v>
      </c>
      <c r="O191" s="20">
        <f t="shared" si="134"/>
        <v>1011</v>
      </c>
      <c r="P191" s="20">
        <v>294</v>
      </c>
      <c r="Q191" s="20">
        <v>40</v>
      </c>
      <c r="R191" s="20">
        <v>203</v>
      </c>
      <c r="S191" s="20">
        <v>430</v>
      </c>
      <c r="T191" s="20">
        <v>45</v>
      </c>
      <c r="U191" s="20">
        <f t="shared" si="135"/>
        <v>3619</v>
      </c>
      <c r="V191">
        <v>1133</v>
      </c>
      <c r="W191">
        <v>60</v>
      </c>
      <c r="X191">
        <v>40</v>
      </c>
      <c r="Y191">
        <v>36</v>
      </c>
      <c r="Z191">
        <v>675</v>
      </c>
      <c r="AA191">
        <v>618</v>
      </c>
      <c r="AB191">
        <v>3.84</v>
      </c>
      <c r="AC191">
        <v>3</v>
      </c>
      <c r="AD191">
        <v>16</v>
      </c>
      <c r="AE191">
        <v>46</v>
      </c>
      <c r="AF191" s="27">
        <f t="shared" ca="1" si="192"/>
        <v>6439</v>
      </c>
      <c r="AG191" s="27">
        <f t="shared" ca="1" si="136"/>
        <v>1407</v>
      </c>
      <c r="AH191" s="27">
        <f t="shared" ca="1" si="137"/>
        <v>808</v>
      </c>
      <c r="AI191" s="27">
        <f t="shared" ca="1" si="138"/>
        <v>347</v>
      </c>
      <c r="AJ191" s="27">
        <f t="shared" ca="1" si="139"/>
        <v>47</v>
      </c>
      <c r="AK191" s="27">
        <f t="shared" ca="1" si="140"/>
        <v>205</v>
      </c>
      <c r="AL191" s="27">
        <f t="shared" ca="1" si="141"/>
        <v>484</v>
      </c>
      <c r="AM191" s="27">
        <f t="shared" ca="1" si="142"/>
        <v>49</v>
      </c>
      <c r="AN191" s="27">
        <f t="shared" ca="1" si="143"/>
        <v>4499</v>
      </c>
      <c r="AO191">
        <v>4344</v>
      </c>
      <c r="AP191">
        <v>1420</v>
      </c>
      <c r="AQ191">
        <v>160</v>
      </c>
      <c r="AR191">
        <v>489</v>
      </c>
      <c r="AS191">
        <v>1003</v>
      </c>
      <c r="AT191">
        <v>106</v>
      </c>
      <c r="AU191">
        <v>162</v>
      </c>
      <c r="AV191">
        <v>0.98299999999999998</v>
      </c>
      <c r="AW191" s="1"/>
      <c r="AX191" s="1"/>
      <c r="AY191" s="29">
        <f t="shared" si="144"/>
        <v>29700</v>
      </c>
      <c r="AZ191" s="31">
        <f t="shared" si="145"/>
        <v>167341</v>
      </c>
      <c r="BA191" s="31">
        <f t="shared" ref="BA191" si="201">SUMIF($B$2:$B$571,$B191,$T$2:$T$571)</f>
        <v>1817</v>
      </c>
      <c r="BB191" s="30">
        <f t="shared" si="147"/>
        <v>1.0858068255836883E-2</v>
      </c>
    </row>
    <row r="192" spans="1:54" x14ac:dyDescent="0.5">
      <c r="B192" s="4">
        <v>2006</v>
      </c>
      <c r="C192" t="s">
        <v>60</v>
      </c>
      <c r="D192" t="s">
        <v>61</v>
      </c>
      <c r="E192">
        <v>4</v>
      </c>
      <c r="F192" t="s">
        <v>38</v>
      </c>
      <c r="G192" t="s">
        <v>38</v>
      </c>
      <c r="H192" t="s">
        <v>38</v>
      </c>
      <c r="I192" t="s">
        <v>38</v>
      </c>
      <c r="J192">
        <v>78</v>
      </c>
      <c r="K192">
        <v>84</v>
      </c>
      <c r="L192">
        <v>758</v>
      </c>
      <c r="M192" s="20">
        <v>5502</v>
      </c>
      <c r="N192" s="20">
        <v>1454</v>
      </c>
      <c r="O192" s="20">
        <f t="shared" si="134"/>
        <v>921</v>
      </c>
      <c r="P192" s="20">
        <v>309</v>
      </c>
      <c r="Q192" s="20">
        <v>42</v>
      </c>
      <c r="R192" s="20">
        <v>182</v>
      </c>
      <c r="S192" s="20">
        <v>497</v>
      </c>
      <c r="T192" s="20">
        <v>74</v>
      </c>
      <c r="U192" s="20">
        <f t="shared" si="135"/>
        <v>3477</v>
      </c>
      <c r="V192">
        <v>1249</v>
      </c>
      <c r="W192">
        <v>110</v>
      </c>
      <c r="X192">
        <v>58</v>
      </c>
      <c r="Y192">
        <v>42</v>
      </c>
      <c r="Z192">
        <v>772</v>
      </c>
      <c r="AA192">
        <v>696</v>
      </c>
      <c r="AB192">
        <v>4.37</v>
      </c>
      <c r="AC192">
        <v>6</v>
      </c>
      <c r="AD192">
        <v>6</v>
      </c>
      <c r="AE192">
        <v>41</v>
      </c>
      <c r="AF192" s="27">
        <f t="shared" ca="1" si="192"/>
        <v>6471</v>
      </c>
      <c r="AG192" s="27">
        <f t="shared" ca="1" si="136"/>
        <v>1385</v>
      </c>
      <c r="AH192" s="27">
        <f t="shared" ca="1" si="137"/>
        <v>760</v>
      </c>
      <c r="AI192" s="27">
        <f t="shared" ca="1" si="138"/>
        <v>353</v>
      </c>
      <c r="AJ192" s="27">
        <f t="shared" ca="1" si="139"/>
        <v>32</v>
      </c>
      <c r="AK192" s="27">
        <f t="shared" ca="1" si="140"/>
        <v>240</v>
      </c>
      <c r="AL192" s="27">
        <f t="shared" ca="1" si="141"/>
        <v>650</v>
      </c>
      <c r="AM192" s="27">
        <f t="shared" ca="1" si="142"/>
        <v>50</v>
      </c>
      <c r="AN192" s="27">
        <f t="shared" ca="1" si="143"/>
        <v>4386</v>
      </c>
      <c r="AO192">
        <v>4300</v>
      </c>
      <c r="AP192">
        <v>1465</v>
      </c>
      <c r="AQ192">
        <v>166</v>
      </c>
      <c r="AR192">
        <v>622</v>
      </c>
      <c r="AS192">
        <v>1088</v>
      </c>
      <c r="AT192">
        <v>126</v>
      </c>
      <c r="AU192">
        <v>166</v>
      </c>
      <c r="AV192">
        <v>0.97899999999999998</v>
      </c>
      <c r="AW192" s="1"/>
      <c r="AX192" s="1"/>
      <c r="AY192" s="29">
        <f t="shared" si="144"/>
        <v>29700</v>
      </c>
      <c r="AZ192" s="31">
        <f t="shared" si="145"/>
        <v>167341</v>
      </c>
      <c r="BA192" s="31">
        <f t="shared" ref="BA192" si="202">SUMIF($B$2:$B$571,$B192,$U$2:$U$571)</f>
        <v>104604</v>
      </c>
      <c r="BB192" s="30">
        <f t="shared" si="147"/>
        <v>0.62509486617147025</v>
      </c>
    </row>
    <row r="193" spans="2:54" x14ac:dyDescent="0.5">
      <c r="B193" s="4">
        <v>2006</v>
      </c>
      <c r="C193" t="s">
        <v>62</v>
      </c>
      <c r="D193" t="s">
        <v>63</v>
      </c>
      <c r="E193">
        <v>2</v>
      </c>
      <c r="F193" t="s">
        <v>38</v>
      </c>
      <c r="G193" t="s">
        <v>38</v>
      </c>
      <c r="H193" t="s">
        <v>38</v>
      </c>
      <c r="I193" t="s">
        <v>38</v>
      </c>
      <c r="J193">
        <v>82</v>
      </c>
      <c r="K193">
        <v>80</v>
      </c>
      <c r="L193">
        <v>735</v>
      </c>
      <c r="M193" s="20">
        <v>5521</v>
      </c>
      <c r="N193" s="20">
        <v>1407</v>
      </c>
      <c r="O193" s="20">
        <f t="shared" si="134"/>
        <v>931</v>
      </c>
      <c r="P193" s="20">
        <v>275</v>
      </c>
      <c r="Q193" s="20">
        <v>27</v>
      </c>
      <c r="R193" s="20">
        <v>174</v>
      </c>
      <c r="S193" s="20">
        <v>585</v>
      </c>
      <c r="T193" s="20">
        <v>73</v>
      </c>
      <c r="U193" s="20">
        <f t="shared" si="135"/>
        <v>3456</v>
      </c>
      <c r="V193">
        <v>1076</v>
      </c>
      <c r="W193">
        <v>79</v>
      </c>
      <c r="X193">
        <v>36</v>
      </c>
      <c r="Y193">
        <v>46</v>
      </c>
      <c r="Z193">
        <v>719</v>
      </c>
      <c r="AA193">
        <v>666</v>
      </c>
      <c r="AB193">
        <v>4.08</v>
      </c>
      <c r="AC193">
        <v>5</v>
      </c>
      <c r="AD193">
        <v>12</v>
      </c>
      <c r="AE193">
        <v>42</v>
      </c>
      <c r="AF193" s="27">
        <f t="shared" ca="1" si="192"/>
        <v>6178</v>
      </c>
      <c r="AG193" s="27">
        <f t="shared" ca="1" si="136"/>
        <v>1616</v>
      </c>
      <c r="AH193" s="27">
        <f t="shared" ca="1" si="137"/>
        <v>1030</v>
      </c>
      <c r="AI193" s="27">
        <f t="shared" ca="1" si="138"/>
        <v>364</v>
      </c>
      <c r="AJ193" s="27">
        <f t="shared" ca="1" si="139"/>
        <v>29</v>
      </c>
      <c r="AK193" s="27">
        <f t="shared" ca="1" si="140"/>
        <v>193</v>
      </c>
      <c r="AL193" s="27">
        <f t="shared" ca="1" si="141"/>
        <v>555</v>
      </c>
      <c r="AM193" s="27">
        <f t="shared" ca="1" si="142"/>
        <v>77</v>
      </c>
      <c r="AN193" s="27">
        <f t="shared" ca="1" si="143"/>
        <v>3930</v>
      </c>
      <c r="AO193">
        <v>4406</v>
      </c>
      <c r="AP193">
        <v>1425</v>
      </c>
      <c r="AQ193">
        <v>182</v>
      </c>
      <c r="AR193">
        <v>480</v>
      </c>
      <c r="AS193">
        <v>1160</v>
      </c>
      <c r="AT193">
        <v>80</v>
      </c>
      <c r="AU193">
        <v>164</v>
      </c>
      <c r="AV193">
        <v>0.98699999999999999</v>
      </c>
      <c r="AW193" s="1"/>
      <c r="AX193" s="1"/>
      <c r="AY193" s="29">
        <f t="shared" si="144"/>
        <v>29700</v>
      </c>
      <c r="AZ193" s="31">
        <f t="shared" si="145"/>
        <v>167341</v>
      </c>
      <c r="BA193" s="31"/>
      <c r="BB193" s="30">
        <f t="shared" si="147"/>
        <v>0</v>
      </c>
    </row>
    <row r="194" spans="2:54" x14ac:dyDescent="0.5">
      <c r="B194" s="4">
        <v>2006</v>
      </c>
      <c r="C194" t="s">
        <v>64</v>
      </c>
      <c r="D194" t="s">
        <v>65</v>
      </c>
      <c r="E194">
        <v>5</v>
      </c>
      <c r="F194" t="s">
        <v>38</v>
      </c>
      <c r="G194" t="s">
        <v>38</v>
      </c>
      <c r="H194" t="s">
        <v>38</v>
      </c>
      <c r="I194" t="s">
        <v>38</v>
      </c>
      <c r="J194">
        <v>62</v>
      </c>
      <c r="K194">
        <v>100</v>
      </c>
      <c r="L194">
        <v>757</v>
      </c>
      <c r="M194" s="20">
        <v>5589</v>
      </c>
      <c r="N194" s="20">
        <v>1515</v>
      </c>
      <c r="O194" s="20">
        <f t="shared" si="134"/>
        <v>1019</v>
      </c>
      <c r="P194" s="20">
        <v>335</v>
      </c>
      <c r="Q194" s="20">
        <v>37</v>
      </c>
      <c r="R194" s="20">
        <v>124</v>
      </c>
      <c r="S194" s="20">
        <v>474</v>
      </c>
      <c r="T194" s="20">
        <v>64</v>
      </c>
      <c r="U194" s="20">
        <f t="shared" si="135"/>
        <v>3536</v>
      </c>
      <c r="V194">
        <v>1040</v>
      </c>
      <c r="W194">
        <v>65</v>
      </c>
      <c r="X194">
        <v>34</v>
      </c>
      <c r="Y194">
        <v>48</v>
      </c>
      <c r="Z194">
        <v>971</v>
      </c>
      <c r="AA194">
        <v>896</v>
      </c>
      <c r="AB194">
        <v>5.65</v>
      </c>
      <c r="AC194">
        <v>3</v>
      </c>
      <c r="AD194">
        <v>5</v>
      </c>
      <c r="AE194">
        <v>35</v>
      </c>
      <c r="AF194" s="27">
        <f t="shared" ca="1" si="192"/>
        <v>6078</v>
      </c>
      <c r="AG194" s="27">
        <f t="shared" ca="1" si="136"/>
        <v>1315</v>
      </c>
      <c r="AH194" s="27">
        <f t="shared" ca="1" si="137"/>
        <v>798</v>
      </c>
      <c r="AI194" s="27">
        <f t="shared" ca="1" si="138"/>
        <v>314</v>
      </c>
      <c r="AJ194" s="27">
        <f t="shared" ca="1" si="139"/>
        <v>44</v>
      </c>
      <c r="AK194" s="27">
        <f t="shared" ca="1" si="140"/>
        <v>159</v>
      </c>
      <c r="AL194" s="27">
        <f t="shared" ca="1" si="141"/>
        <v>684</v>
      </c>
      <c r="AM194" s="27">
        <f t="shared" ca="1" si="142"/>
        <v>69</v>
      </c>
      <c r="AN194" s="27">
        <f t="shared" ca="1" si="143"/>
        <v>4010</v>
      </c>
      <c r="AO194">
        <v>4279</v>
      </c>
      <c r="AP194">
        <v>1648</v>
      </c>
      <c r="AQ194">
        <v>213</v>
      </c>
      <c r="AR194">
        <v>637</v>
      </c>
      <c r="AS194">
        <v>904</v>
      </c>
      <c r="AT194">
        <v>98</v>
      </c>
      <c r="AU194">
        <v>189</v>
      </c>
      <c r="AV194">
        <v>0.98399999999999999</v>
      </c>
      <c r="AW194" s="1"/>
      <c r="AX194" s="1"/>
      <c r="AY194" s="29">
        <f t="shared" si="144"/>
        <v>29700</v>
      </c>
      <c r="AZ194" s="31">
        <f t="shared" si="145"/>
        <v>167341</v>
      </c>
      <c r="BA194" s="31">
        <f t="shared" ref="BA194" si="203">SUMIF($B$2:$B$571,$B194,$O$2:$O$571)</f>
        <v>29600</v>
      </c>
      <c r="BB194" s="30">
        <f t="shared" si="147"/>
        <v>0.17688432601693549</v>
      </c>
    </row>
    <row r="195" spans="2:54" x14ac:dyDescent="0.5">
      <c r="B195" s="4">
        <v>2006</v>
      </c>
      <c r="C195" t="s">
        <v>98</v>
      </c>
      <c r="D195" t="s">
        <v>99</v>
      </c>
      <c r="E195">
        <v>2</v>
      </c>
      <c r="F195" t="s">
        <v>38</v>
      </c>
      <c r="G195" t="s">
        <v>38</v>
      </c>
      <c r="H195" t="s">
        <v>38</v>
      </c>
      <c r="I195" t="s">
        <v>38</v>
      </c>
      <c r="J195">
        <v>89</v>
      </c>
      <c r="K195">
        <v>73</v>
      </c>
      <c r="L195">
        <v>766</v>
      </c>
      <c r="M195" s="20">
        <v>5609</v>
      </c>
      <c r="N195" s="20">
        <v>1539</v>
      </c>
      <c r="O195" s="20">
        <f t="shared" ref="O195:O258" si="204">N195-(P195+Q195+R195)</f>
        <v>1042</v>
      </c>
      <c r="P195" s="20">
        <v>309</v>
      </c>
      <c r="Q195" s="20">
        <v>29</v>
      </c>
      <c r="R195" s="20">
        <v>159</v>
      </c>
      <c r="S195" s="20">
        <v>486</v>
      </c>
      <c r="T195" s="20">
        <v>42</v>
      </c>
      <c r="U195" s="20">
        <f t="shared" ref="U195:U258" si="205">M195-(N195+S195+T195)</f>
        <v>3542</v>
      </c>
      <c r="V195">
        <v>914</v>
      </c>
      <c r="W195">
        <v>148</v>
      </c>
      <c r="X195">
        <v>57</v>
      </c>
      <c r="Y195">
        <v>53</v>
      </c>
      <c r="Z195">
        <v>732</v>
      </c>
      <c r="AA195">
        <v>652</v>
      </c>
      <c r="AB195">
        <v>4.04</v>
      </c>
      <c r="AC195">
        <v>5</v>
      </c>
      <c r="AD195">
        <v>12</v>
      </c>
      <c r="AE195">
        <v>50</v>
      </c>
      <c r="AF195" s="27">
        <f t="shared" ca="1" si="192"/>
        <v>6317</v>
      </c>
      <c r="AG195" s="27">
        <f t="shared" ref="AG195:AG258" ca="1" si="206">RANDBETWEEN(1300,1700)</f>
        <v>1420</v>
      </c>
      <c r="AH195" s="27">
        <f t="shared" ref="AH195:AH258" ca="1" si="207">AG195-(AI195+AJ195+AK195)</f>
        <v>805</v>
      </c>
      <c r="AI195" s="27">
        <f t="shared" ref="AI195:AI258" ca="1" si="208">RANDBETWEEN(219,400)</f>
        <v>365</v>
      </c>
      <c r="AJ195" s="27">
        <f t="shared" ref="AJ195:AJ258" ca="1" si="209">RANDBETWEEN(20,50)</f>
        <v>50</v>
      </c>
      <c r="AK195" s="27">
        <f t="shared" ref="AK195:AK258" ca="1" si="210">RANDBETWEEN(130,240)</f>
        <v>200</v>
      </c>
      <c r="AL195" s="27">
        <f t="shared" ref="AL195:AL258" ca="1" si="211">RANDBETWEEN(400,700)</f>
        <v>460</v>
      </c>
      <c r="AM195" s="27">
        <f t="shared" ref="AM195:AM258" ca="1" si="212">RANDBETWEEN(30,90)</f>
        <v>51</v>
      </c>
      <c r="AN195" s="27">
        <f t="shared" ref="AN195:AN258" ca="1" si="213">AF195-(AG195+AL195+AM195)</f>
        <v>4386</v>
      </c>
      <c r="AO195">
        <v>4358</v>
      </c>
      <c r="AP195">
        <v>1410</v>
      </c>
      <c r="AQ195">
        <v>158</v>
      </c>
      <c r="AR195">
        <v>471</v>
      </c>
      <c r="AS195">
        <v>1164</v>
      </c>
      <c r="AT195">
        <v>124</v>
      </c>
      <c r="AU195">
        <v>154</v>
      </c>
      <c r="AV195">
        <v>0.97899999999999998</v>
      </c>
      <c r="AW195" s="1"/>
      <c r="AX195" s="1"/>
      <c r="AY195" s="29">
        <f t="shared" ref="AY195:AY258" si="214">SUM(O$2:O$31)</f>
        <v>29700</v>
      </c>
      <c r="AZ195" s="31">
        <f t="shared" ref="AZ195:AZ258" si="215">SUMIF($B$2:$B$571,$B195,$M$2:$M$571)</f>
        <v>167341</v>
      </c>
      <c r="BA195" s="31">
        <f t="shared" ref="BA195" si="216">SUMIF($B$2:$B$571,$B195,$P$2:$P$571)</f>
        <v>9135</v>
      </c>
      <c r="BB195" s="30">
        <f t="shared" ref="BB195:BB258" si="217">BA195/AZ195</f>
        <v>5.4589132370429241E-2</v>
      </c>
    </row>
    <row r="196" spans="2:54" x14ac:dyDescent="0.5">
      <c r="B196" s="4">
        <v>2006</v>
      </c>
      <c r="C196" t="s">
        <v>66</v>
      </c>
      <c r="D196" t="s">
        <v>67</v>
      </c>
      <c r="E196">
        <v>2</v>
      </c>
      <c r="F196" t="s">
        <v>38</v>
      </c>
      <c r="G196" t="s">
        <v>43</v>
      </c>
      <c r="H196" t="s">
        <v>38</v>
      </c>
      <c r="I196" t="s">
        <v>38</v>
      </c>
      <c r="J196">
        <v>88</v>
      </c>
      <c r="K196">
        <v>74</v>
      </c>
      <c r="L196">
        <v>820</v>
      </c>
      <c r="M196" s="20">
        <v>5628</v>
      </c>
      <c r="N196" s="20">
        <v>1552</v>
      </c>
      <c r="O196" s="20">
        <f t="shared" si="204"/>
        <v>1034</v>
      </c>
      <c r="P196" s="20">
        <v>307</v>
      </c>
      <c r="Q196" s="20">
        <v>58</v>
      </c>
      <c r="R196" s="20">
        <v>153</v>
      </c>
      <c r="S196" s="20">
        <v>601</v>
      </c>
      <c r="T196" s="20">
        <v>51</v>
      </c>
      <c r="U196" s="20">
        <f t="shared" si="205"/>
        <v>3424</v>
      </c>
      <c r="V196">
        <v>959</v>
      </c>
      <c r="W196">
        <v>128</v>
      </c>
      <c r="X196">
        <v>49</v>
      </c>
      <c r="Y196">
        <v>48</v>
      </c>
      <c r="Z196">
        <v>751</v>
      </c>
      <c r="AA196">
        <v>686</v>
      </c>
      <c r="AB196">
        <v>4.2300000000000004</v>
      </c>
      <c r="AC196">
        <v>1</v>
      </c>
      <c r="AD196">
        <v>10</v>
      </c>
      <c r="AE196">
        <v>40</v>
      </c>
      <c r="AF196" s="27">
        <f t="shared" ca="1" si="192"/>
        <v>6252</v>
      </c>
      <c r="AG196" s="27">
        <f t="shared" ca="1" si="206"/>
        <v>1490</v>
      </c>
      <c r="AH196" s="27">
        <f t="shared" ca="1" si="207"/>
        <v>865</v>
      </c>
      <c r="AI196" s="27">
        <f t="shared" ca="1" si="208"/>
        <v>377</v>
      </c>
      <c r="AJ196" s="27">
        <f t="shared" ca="1" si="209"/>
        <v>39</v>
      </c>
      <c r="AK196" s="27">
        <f t="shared" ca="1" si="210"/>
        <v>209</v>
      </c>
      <c r="AL196" s="27">
        <f t="shared" ca="1" si="211"/>
        <v>560</v>
      </c>
      <c r="AM196" s="27">
        <f t="shared" ca="1" si="212"/>
        <v>66</v>
      </c>
      <c r="AN196" s="27">
        <f t="shared" ca="1" si="213"/>
        <v>4136</v>
      </c>
      <c r="AO196">
        <v>4381</v>
      </c>
      <c r="AP196">
        <v>1524</v>
      </c>
      <c r="AQ196">
        <v>152</v>
      </c>
      <c r="AR196">
        <v>492</v>
      </c>
      <c r="AS196">
        <v>1068</v>
      </c>
      <c r="AT196">
        <v>115</v>
      </c>
      <c r="AU196">
        <v>174</v>
      </c>
      <c r="AV196">
        <v>0.98199999999999998</v>
      </c>
      <c r="AW196" s="1"/>
      <c r="AX196" s="1"/>
      <c r="AY196" s="29">
        <f t="shared" si="214"/>
        <v>29700</v>
      </c>
      <c r="AZ196" s="31">
        <f t="shared" si="215"/>
        <v>167341</v>
      </c>
      <c r="BA196" s="31">
        <f t="shared" ref="BA196" si="218">SUMIF($B$2:$B$571,$B196,$Q$2:$Q$571)</f>
        <v>952</v>
      </c>
      <c r="BB196" s="30">
        <f t="shared" si="217"/>
        <v>5.6889823773014388E-3</v>
      </c>
    </row>
    <row r="197" spans="2:54" x14ac:dyDescent="0.5">
      <c r="B197" s="4">
        <v>2006</v>
      </c>
      <c r="C197" t="s">
        <v>68</v>
      </c>
      <c r="D197" t="s">
        <v>69</v>
      </c>
      <c r="E197">
        <v>4</v>
      </c>
      <c r="F197" t="s">
        <v>38</v>
      </c>
      <c r="G197" t="s">
        <v>38</v>
      </c>
      <c r="H197" t="s">
        <v>38</v>
      </c>
      <c r="I197" t="s">
        <v>38</v>
      </c>
      <c r="J197">
        <v>75</v>
      </c>
      <c r="K197">
        <v>87</v>
      </c>
      <c r="L197">
        <v>730</v>
      </c>
      <c r="M197" s="20">
        <v>5433</v>
      </c>
      <c r="N197" s="20">
        <v>1400</v>
      </c>
      <c r="O197" s="20">
        <f t="shared" si="204"/>
        <v>899</v>
      </c>
      <c r="P197" s="20">
        <v>301</v>
      </c>
      <c r="Q197" s="20">
        <v>20</v>
      </c>
      <c r="R197" s="20">
        <v>180</v>
      </c>
      <c r="S197" s="20">
        <v>502</v>
      </c>
      <c r="T197" s="20">
        <v>82</v>
      </c>
      <c r="U197" s="20">
        <f t="shared" si="205"/>
        <v>3449</v>
      </c>
      <c r="V197">
        <v>1233</v>
      </c>
      <c r="W197">
        <v>71</v>
      </c>
      <c r="X197">
        <v>37</v>
      </c>
      <c r="Y197">
        <v>53</v>
      </c>
      <c r="Z197">
        <v>833</v>
      </c>
      <c r="AA197">
        <v>763</v>
      </c>
      <c r="AB197">
        <v>4.82</v>
      </c>
      <c r="AC197">
        <v>7</v>
      </c>
      <c r="AD197">
        <v>8</v>
      </c>
      <c r="AE197">
        <v>43</v>
      </c>
      <c r="AF197" s="27">
        <f t="shared" ca="1" si="192"/>
        <v>6092</v>
      </c>
      <c r="AG197" s="27">
        <f t="shared" ca="1" si="206"/>
        <v>1422</v>
      </c>
      <c r="AH197" s="27">
        <f t="shared" ca="1" si="207"/>
        <v>1012</v>
      </c>
      <c r="AI197" s="27">
        <f t="shared" ca="1" si="208"/>
        <v>220</v>
      </c>
      <c r="AJ197" s="27">
        <f t="shared" ca="1" si="209"/>
        <v>32</v>
      </c>
      <c r="AK197" s="27">
        <f t="shared" ca="1" si="210"/>
        <v>158</v>
      </c>
      <c r="AL197" s="27">
        <f t="shared" ca="1" si="211"/>
        <v>659</v>
      </c>
      <c r="AM197" s="27">
        <f t="shared" ca="1" si="212"/>
        <v>76</v>
      </c>
      <c r="AN197" s="27">
        <f t="shared" ca="1" si="213"/>
        <v>3935</v>
      </c>
      <c r="AO197">
        <v>4277</v>
      </c>
      <c r="AP197">
        <v>1454</v>
      </c>
      <c r="AQ197">
        <v>177</v>
      </c>
      <c r="AR197">
        <v>514</v>
      </c>
      <c r="AS197">
        <v>1145</v>
      </c>
      <c r="AT197">
        <v>117</v>
      </c>
      <c r="AU197">
        <v>126</v>
      </c>
      <c r="AV197">
        <v>0.98</v>
      </c>
      <c r="AW197" s="1"/>
      <c r="AX197" s="1"/>
      <c r="AY197" s="29">
        <f t="shared" si="214"/>
        <v>29700</v>
      </c>
      <c r="AZ197" s="31">
        <f t="shared" si="215"/>
        <v>167341</v>
      </c>
      <c r="BA197" s="31">
        <f t="shared" ref="BA197" si="219">SUMIF($B$2:$B$571,$B197,$R$2:$R$571)</f>
        <v>5386</v>
      </c>
      <c r="BB197" s="30">
        <f t="shared" si="217"/>
        <v>3.218577634889238E-2</v>
      </c>
    </row>
    <row r="198" spans="2:54" x14ac:dyDescent="0.5">
      <c r="B198" s="4">
        <v>2006</v>
      </c>
      <c r="C198" t="s">
        <v>70</v>
      </c>
      <c r="D198" t="s">
        <v>71</v>
      </c>
      <c r="E198">
        <v>1</v>
      </c>
      <c r="F198" t="s">
        <v>43</v>
      </c>
      <c r="G198" t="s">
        <v>38</v>
      </c>
      <c r="H198" t="s">
        <v>38</v>
      </c>
      <c r="I198" t="s">
        <v>38</v>
      </c>
      <c r="J198">
        <v>96</v>
      </c>
      <c r="K198">
        <v>66</v>
      </c>
      <c r="L198">
        <v>801</v>
      </c>
      <c r="M198" s="20">
        <v>5602</v>
      </c>
      <c r="N198" s="20">
        <v>1608</v>
      </c>
      <c r="O198" s="20">
        <f t="shared" si="204"/>
        <v>1156</v>
      </c>
      <c r="P198" s="20">
        <v>275</v>
      </c>
      <c r="Q198" s="20">
        <v>34</v>
      </c>
      <c r="R198" s="20">
        <v>143</v>
      </c>
      <c r="S198" s="20">
        <v>490</v>
      </c>
      <c r="T198" s="20">
        <v>50</v>
      </c>
      <c r="U198" s="20">
        <f t="shared" si="205"/>
        <v>3454</v>
      </c>
      <c r="V198">
        <v>872</v>
      </c>
      <c r="W198">
        <v>101</v>
      </c>
      <c r="X198">
        <v>42</v>
      </c>
      <c r="Y198">
        <v>55</v>
      </c>
      <c r="Z198">
        <v>683</v>
      </c>
      <c r="AA198">
        <v>632</v>
      </c>
      <c r="AB198">
        <v>3.95</v>
      </c>
      <c r="AC198">
        <v>1</v>
      </c>
      <c r="AD198">
        <v>6</v>
      </c>
      <c r="AE198">
        <v>40</v>
      </c>
      <c r="AF198" s="27">
        <f t="shared" ca="1" si="192"/>
        <v>6450</v>
      </c>
      <c r="AG198" s="27">
        <f t="shared" ca="1" si="206"/>
        <v>1415</v>
      </c>
      <c r="AH198" s="27">
        <f t="shared" ca="1" si="207"/>
        <v>767</v>
      </c>
      <c r="AI198" s="27">
        <f t="shared" ca="1" si="208"/>
        <v>374</v>
      </c>
      <c r="AJ198" s="27">
        <f t="shared" ca="1" si="209"/>
        <v>34</v>
      </c>
      <c r="AK198" s="27">
        <f t="shared" ca="1" si="210"/>
        <v>240</v>
      </c>
      <c r="AL198" s="27">
        <f t="shared" ca="1" si="211"/>
        <v>489</v>
      </c>
      <c r="AM198" s="27">
        <f t="shared" ca="1" si="212"/>
        <v>83</v>
      </c>
      <c r="AN198" s="27">
        <f t="shared" ca="1" si="213"/>
        <v>4463</v>
      </c>
      <c r="AO198">
        <v>4318</v>
      </c>
      <c r="AP198">
        <v>1490</v>
      </c>
      <c r="AQ198">
        <v>182</v>
      </c>
      <c r="AR198">
        <v>356</v>
      </c>
      <c r="AS198">
        <v>1164</v>
      </c>
      <c r="AT198">
        <v>84</v>
      </c>
      <c r="AU198">
        <v>135</v>
      </c>
      <c r="AV198">
        <v>0.98599999999999999</v>
      </c>
      <c r="AW198" s="1"/>
      <c r="AX198" s="1"/>
      <c r="AY198" s="29">
        <f t="shared" si="214"/>
        <v>29700</v>
      </c>
      <c r="AZ198" s="31">
        <f t="shared" si="215"/>
        <v>167341</v>
      </c>
      <c r="BA198" s="31">
        <f t="shared" ref="BA198" si="220">SUMIF($B$2:$B$571,$B198,$S$2:$S$571)</f>
        <v>15847</v>
      </c>
      <c r="BB198" s="30">
        <f t="shared" si="217"/>
        <v>9.4698848459134344E-2</v>
      </c>
    </row>
    <row r="199" spans="2:54" x14ac:dyDescent="0.5">
      <c r="B199" s="4">
        <v>2006</v>
      </c>
      <c r="C199" t="s">
        <v>74</v>
      </c>
      <c r="D199" t="s">
        <v>75</v>
      </c>
      <c r="E199">
        <v>1</v>
      </c>
      <c r="F199" t="s">
        <v>43</v>
      </c>
      <c r="G199" t="s">
        <v>38</v>
      </c>
      <c r="H199" t="s">
        <v>38</v>
      </c>
      <c r="I199" t="s">
        <v>38</v>
      </c>
      <c r="J199">
        <v>97</v>
      </c>
      <c r="K199">
        <v>65</v>
      </c>
      <c r="L199">
        <v>930</v>
      </c>
      <c r="M199" s="20">
        <v>5651</v>
      </c>
      <c r="N199" s="20">
        <v>1608</v>
      </c>
      <c r="O199" s="20">
        <f t="shared" si="204"/>
        <v>1050</v>
      </c>
      <c r="P199" s="20">
        <v>327</v>
      </c>
      <c r="Q199" s="20">
        <v>21</v>
      </c>
      <c r="R199" s="20">
        <v>210</v>
      </c>
      <c r="S199" s="20">
        <v>649</v>
      </c>
      <c r="T199" s="20">
        <v>72</v>
      </c>
      <c r="U199" s="20">
        <f t="shared" si="205"/>
        <v>3322</v>
      </c>
      <c r="V199">
        <v>1053</v>
      </c>
      <c r="W199">
        <v>139</v>
      </c>
      <c r="X199">
        <v>35</v>
      </c>
      <c r="Y199">
        <v>49</v>
      </c>
      <c r="Z199">
        <v>767</v>
      </c>
      <c r="AA199">
        <v>708</v>
      </c>
      <c r="AB199">
        <v>4.41</v>
      </c>
      <c r="AC199">
        <v>5</v>
      </c>
      <c r="AD199">
        <v>8</v>
      </c>
      <c r="AE199">
        <v>43</v>
      </c>
      <c r="AF199" s="27">
        <f t="shared" ca="1" si="192"/>
        <v>6421</v>
      </c>
      <c r="AG199" s="27">
        <f t="shared" ca="1" si="206"/>
        <v>1498</v>
      </c>
      <c r="AH199" s="27">
        <f t="shared" ca="1" si="207"/>
        <v>1004</v>
      </c>
      <c r="AI199" s="27">
        <f t="shared" ca="1" si="208"/>
        <v>274</v>
      </c>
      <c r="AJ199" s="27">
        <f t="shared" ca="1" si="209"/>
        <v>37</v>
      </c>
      <c r="AK199" s="27">
        <f t="shared" ca="1" si="210"/>
        <v>183</v>
      </c>
      <c r="AL199" s="27">
        <f t="shared" ca="1" si="211"/>
        <v>608</v>
      </c>
      <c r="AM199" s="27">
        <f t="shared" ca="1" si="212"/>
        <v>39</v>
      </c>
      <c r="AN199" s="27">
        <f t="shared" ca="1" si="213"/>
        <v>4276</v>
      </c>
      <c r="AO199">
        <v>4331</v>
      </c>
      <c r="AP199">
        <v>1463</v>
      </c>
      <c r="AQ199">
        <v>170</v>
      </c>
      <c r="AR199">
        <v>496</v>
      </c>
      <c r="AS199">
        <v>1019</v>
      </c>
      <c r="AT199">
        <v>104</v>
      </c>
      <c r="AU199">
        <v>145</v>
      </c>
      <c r="AV199">
        <v>0.98299999999999998</v>
      </c>
      <c r="AW199" s="1"/>
      <c r="AX199" s="1"/>
      <c r="AY199" s="29">
        <f t="shared" si="214"/>
        <v>29700</v>
      </c>
      <c r="AZ199" s="31">
        <f t="shared" si="215"/>
        <v>167341</v>
      </c>
      <c r="BA199" s="31">
        <f t="shared" ref="BA199" si="221">SUMIF($B$2:$B$571,$B199,$T$2:$T$571)</f>
        <v>1817</v>
      </c>
      <c r="BB199" s="30">
        <f t="shared" si="217"/>
        <v>1.0858068255836883E-2</v>
      </c>
    </row>
    <row r="200" spans="2:54" x14ac:dyDescent="0.5">
      <c r="B200" s="4">
        <v>2006</v>
      </c>
      <c r="C200" t="s">
        <v>76</v>
      </c>
      <c r="D200" t="s">
        <v>77</v>
      </c>
      <c r="E200">
        <v>1</v>
      </c>
      <c r="F200" t="s">
        <v>43</v>
      </c>
      <c r="G200" t="s">
        <v>38</v>
      </c>
      <c r="H200" t="s">
        <v>38</v>
      </c>
      <c r="I200" t="s">
        <v>38</v>
      </c>
      <c r="J200">
        <v>97</v>
      </c>
      <c r="K200">
        <v>65</v>
      </c>
      <c r="L200">
        <v>834</v>
      </c>
      <c r="M200" s="20">
        <v>5558</v>
      </c>
      <c r="N200" s="20">
        <v>1469</v>
      </c>
      <c r="O200" s="20">
        <f t="shared" si="204"/>
        <v>905</v>
      </c>
      <c r="P200" s="20">
        <v>323</v>
      </c>
      <c r="Q200" s="20">
        <v>41</v>
      </c>
      <c r="R200" s="20">
        <v>200</v>
      </c>
      <c r="S200" s="20">
        <v>547</v>
      </c>
      <c r="T200" s="20">
        <v>62</v>
      </c>
      <c r="U200" s="20">
        <f t="shared" si="205"/>
        <v>3480</v>
      </c>
      <c r="V200">
        <v>1071</v>
      </c>
      <c r="W200">
        <v>146</v>
      </c>
      <c r="X200">
        <v>35</v>
      </c>
      <c r="Y200">
        <v>47</v>
      </c>
      <c r="Z200">
        <v>731</v>
      </c>
      <c r="AA200">
        <v>673</v>
      </c>
      <c r="AB200">
        <v>4.1399999999999997</v>
      </c>
      <c r="AC200">
        <v>5</v>
      </c>
      <c r="AD200">
        <v>12</v>
      </c>
      <c r="AE200">
        <v>43</v>
      </c>
      <c r="AF200" s="27">
        <f t="shared" ca="1" si="192"/>
        <v>6323</v>
      </c>
      <c r="AG200" s="27">
        <f t="shared" ca="1" si="206"/>
        <v>1431</v>
      </c>
      <c r="AH200" s="27">
        <f t="shared" ca="1" si="207"/>
        <v>898</v>
      </c>
      <c r="AI200" s="27">
        <f t="shared" ca="1" si="208"/>
        <v>300</v>
      </c>
      <c r="AJ200" s="27">
        <f t="shared" ca="1" si="209"/>
        <v>38</v>
      </c>
      <c r="AK200" s="27">
        <f t="shared" ca="1" si="210"/>
        <v>195</v>
      </c>
      <c r="AL200" s="27">
        <f t="shared" ca="1" si="211"/>
        <v>548</v>
      </c>
      <c r="AM200" s="27">
        <f t="shared" ca="1" si="212"/>
        <v>38</v>
      </c>
      <c r="AN200" s="27">
        <f t="shared" ca="1" si="213"/>
        <v>4306</v>
      </c>
      <c r="AO200">
        <v>4384</v>
      </c>
      <c r="AP200">
        <v>1402</v>
      </c>
      <c r="AQ200">
        <v>180</v>
      </c>
      <c r="AR200">
        <v>527</v>
      </c>
      <c r="AS200">
        <v>1161</v>
      </c>
      <c r="AT200">
        <v>104</v>
      </c>
      <c r="AU200">
        <v>131</v>
      </c>
      <c r="AV200">
        <v>0.98299999999999998</v>
      </c>
      <c r="AW200" s="1"/>
      <c r="AX200" s="1"/>
      <c r="AY200" s="29">
        <f t="shared" si="214"/>
        <v>29700</v>
      </c>
      <c r="AZ200" s="31">
        <f t="shared" si="215"/>
        <v>167341</v>
      </c>
      <c r="BA200" s="31">
        <f t="shared" ref="BA200" si="222">SUMIF($B$2:$B$571,$B200,$U$2:$U$571)</f>
        <v>104604</v>
      </c>
      <c r="BB200" s="30">
        <f t="shared" si="217"/>
        <v>0.62509486617147025</v>
      </c>
    </row>
    <row r="201" spans="2:54" x14ac:dyDescent="0.5">
      <c r="B201" s="4">
        <v>2006</v>
      </c>
      <c r="C201" t="s">
        <v>78</v>
      </c>
      <c r="D201" t="s">
        <v>79</v>
      </c>
      <c r="E201">
        <v>1</v>
      </c>
      <c r="F201" t="s">
        <v>43</v>
      </c>
      <c r="G201" t="s">
        <v>38</v>
      </c>
      <c r="H201" t="s">
        <v>38</v>
      </c>
      <c r="I201" t="s">
        <v>38</v>
      </c>
      <c r="J201">
        <v>93</v>
      </c>
      <c r="K201">
        <v>69</v>
      </c>
      <c r="L201">
        <v>771</v>
      </c>
      <c r="M201" s="20">
        <v>5500</v>
      </c>
      <c r="N201" s="20">
        <v>1429</v>
      </c>
      <c r="O201" s="20">
        <f t="shared" si="204"/>
        <v>966</v>
      </c>
      <c r="P201" s="20">
        <v>266</v>
      </c>
      <c r="Q201" s="20">
        <v>22</v>
      </c>
      <c r="R201" s="20">
        <v>175</v>
      </c>
      <c r="S201" s="20">
        <v>650</v>
      </c>
      <c r="T201" s="20">
        <v>50</v>
      </c>
      <c r="U201" s="20">
        <f t="shared" si="205"/>
        <v>3371</v>
      </c>
      <c r="V201">
        <v>976</v>
      </c>
      <c r="W201">
        <v>61</v>
      </c>
      <c r="X201">
        <v>20</v>
      </c>
      <c r="Y201">
        <v>56</v>
      </c>
      <c r="Z201">
        <v>727</v>
      </c>
      <c r="AA201">
        <v>679</v>
      </c>
      <c r="AB201">
        <v>4.21</v>
      </c>
      <c r="AC201">
        <v>5</v>
      </c>
      <c r="AD201">
        <v>11</v>
      </c>
      <c r="AE201">
        <v>54</v>
      </c>
      <c r="AF201" s="27">
        <f t="shared" ca="1" si="192"/>
        <v>6291</v>
      </c>
      <c r="AG201" s="27">
        <f t="shared" ca="1" si="206"/>
        <v>1381</v>
      </c>
      <c r="AH201" s="27">
        <f t="shared" ca="1" si="207"/>
        <v>951</v>
      </c>
      <c r="AI201" s="27">
        <f t="shared" ca="1" si="208"/>
        <v>222</v>
      </c>
      <c r="AJ201" s="27">
        <f t="shared" ca="1" si="209"/>
        <v>46</v>
      </c>
      <c r="AK201" s="27">
        <f t="shared" ca="1" si="210"/>
        <v>162</v>
      </c>
      <c r="AL201" s="27">
        <f t="shared" ca="1" si="211"/>
        <v>436</v>
      </c>
      <c r="AM201" s="27">
        <f t="shared" ca="1" si="212"/>
        <v>35</v>
      </c>
      <c r="AN201" s="27">
        <f t="shared" ca="1" si="213"/>
        <v>4439</v>
      </c>
      <c r="AO201">
        <v>4355</v>
      </c>
      <c r="AP201">
        <v>1525</v>
      </c>
      <c r="AQ201">
        <v>162</v>
      </c>
      <c r="AR201">
        <v>529</v>
      </c>
      <c r="AS201">
        <v>1003</v>
      </c>
      <c r="AT201">
        <v>84</v>
      </c>
      <c r="AU201">
        <v>173</v>
      </c>
      <c r="AV201">
        <v>0.98599999999999999</v>
      </c>
      <c r="AW201" s="1"/>
      <c r="AX201" s="1"/>
      <c r="AY201" s="29">
        <f t="shared" si="214"/>
        <v>29700</v>
      </c>
      <c r="AZ201" s="31">
        <f t="shared" si="215"/>
        <v>167341</v>
      </c>
      <c r="BA201" s="31"/>
      <c r="BB201" s="30">
        <f t="shared" si="217"/>
        <v>0</v>
      </c>
    </row>
    <row r="202" spans="2:54" x14ac:dyDescent="0.5">
      <c r="B202" s="4">
        <v>2006</v>
      </c>
      <c r="C202" t="s">
        <v>80</v>
      </c>
      <c r="D202" t="s">
        <v>81</v>
      </c>
      <c r="E202">
        <v>2</v>
      </c>
      <c r="F202" t="s">
        <v>38</v>
      </c>
      <c r="G202" t="s">
        <v>38</v>
      </c>
      <c r="H202" t="s">
        <v>38</v>
      </c>
      <c r="I202" t="s">
        <v>38</v>
      </c>
      <c r="J202">
        <v>85</v>
      </c>
      <c r="K202">
        <v>77</v>
      </c>
      <c r="L202">
        <v>865</v>
      </c>
      <c r="M202" s="20">
        <v>5687</v>
      </c>
      <c r="N202" s="20">
        <v>1518</v>
      </c>
      <c r="O202" s="20">
        <f t="shared" si="204"/>
        <v>967</v>
      </c>
      <c r="P202" s="20">
        <v>294</v>
      </c>
      <c r="Q202" s="20">
        <v>41</v>
      </c>
      <c r="R202" s="20">
        <v>216</v>
      </c>
      <c r="S202" s="20">
        <v>626</v>
      </c>
      <c r="T202" s="20">
        <v>95</v>
      </c>
      <c r="U202" s="20">
        <f t="shared" si="205"/>
        <v>3448</v>
      </c>
      <c r="V202">
        <v>1203</v>
      </c>
      <c r="W202">
        <v>92</v>
      </c>
      <c r="X202">
        <v>25</v>
      </c>
      <c r="Y202">
        <v>44</v>
      </c>
      <c r="Z202">
        <v>812</v>
      </c>
      <c r="AA202">
        <v>747</v>
      </c>
      <c r="AB202">
        <v>4.5999999999999996</v>
      </c>
      <c r="AC202">
        <v>4</v>
      </c>
      <c r="AD202">
        <v>6</v>
      </c>
      <c r="AE202">
        <v>42</v>
      </c>
      <c r="AF202" s="27">
        <f t="shared" ca="1" si="192"/>
        <v>6205</v>
      </c>
      <c r="AG202" s="27">
        <f t="shared" ca="1" si="206"/>
        <v>1541</v>
      </c>
      <c r="AH202" s="27">
        <f t="shared" ca="1" si="207"/>
        <v>1039</v>
      </c>
      <c r="AI202" s="27">
        <f t="shared" ca="1" si="208"/>
        <v>271</v>
      </c>
      <c r="AJ202" s="27">
        <f t="shared" ca="1" si="209"/>
        <v>32</v>
      </c>
      <c r="AK202" s="27">
        <f t="shared" ca="1" si="210"/>
        <v>199</v>
      </c>
      <c r="AL202" s="27">
        <f t="shared" ca="1" si="211"/>
        <v>565</v>
      </c>
      <c r="AM202" s="27">
        <f t="shared" ca="1" si="212"/>
        <v>49</v>
      </c>
      <c r="AN202" s="27">
        <f t="shared" ca="1" si="213"/>
        <v>4050</v>
      </c>
      <c r="AO202">
        <v>4381</v>
      </c>
      <c r="AP202">
        <v>1561</v>
      </c>
      <c r="AQ202">
        <v>211</v>
      </c>
      <c r="AR202">
        <v>512</v>
      </c>
      <c r="AS202">
        <v>1138</v>
      </c>
      <c r="AT202">
        <v>104</v>
      </c>
      <c r="AU202">
        <v>153</v>
      </c>
      <c r="AV202">
        <v>0.98299999999999998</v>
      </c>
      <c r="AW202" s="1"/>
      <c r="AX202" s="1"/>
      <c r="AY202" s="29">
        <f t="shared" si="214"/>
        <v>29700</v>
      </c>
      <c r="AZ202" s="31">
        <f t="shared" si="215"/>
        <v>167341</v>
      </c>
      <c r="BA202" s="31">
        <f t="shared" ref="BA202" si="223">SUMIF($B$2:$B$571,$B202,$O$2:$O$571)</f>
        <v>29600</v>
      </c>
      <c r="BB202" s="30">
        <f t="shared" si="217"/>
        <v>0.17688432601693549</v>
      </c>
    </row>
    <row r="203" spans="2:54" x14ac:dyDescent="0.5">
      <c r="B203" s="4">
        <v>2006</v>
      </c>
      <c r="C203" t="s">
        <v>82</v>
      </c>
      <c r="D203" t="s">
        <v>83</v>
      </c>
      <c r="E203">
        <v>5</v>
      </c>
      <c r="F203" t="s">
        <v>38</v>
      </c>
      <c r="G203" t="s">
        <v>38</v>
      </c>
      <c r="H203" t="s">
        <v>38</v>
      </c>
      <c r="I203" t="s">
        <v>38</v>
      </c>
      <c r="J203">
        <v>67</v>
      </c>
      <c r="K203">
        <v>95</v>
      </c>
      <c r="L203">
        <v>691</v>
      </c>
      <c r="M203" s="20">
        <v>5558</v>
      </c>
      <c r="N203" s="20">
        <v>1462</v>
      </c>
      <c r="O203" s="20">
        <f t="shared" si="204"/>
        <v>1018</v>
      </c>
      <c r="P203" s="20">
        <v>286</v>
      </c>
      <c r="Q203" s="20">
        <v>17</v>
      </c>
      <c r="R203" s="20">
        <v>141</v>
      </c>
      <c r="S203" s="20">
        <v>459</v>
      </c>
      <c r="T203" s="20">
        <v>89</v>
      </c>
      <c r="U203" s="20">
        <f t="shared" si="205"/>
        <v>3548</v>
      </c>
      <c r="V203">
        <v>1200</v>
      </c>
      <c r="W203">
        <v>68</v>
      </c>
      <c r="X203">
        <v>23</v>
      </c>
      <c r="Y203">
        <v>49</v>
      </c>
      <c r="Z203">
        <v>797</v>
      </c>
      <c r="AA203">
        <v>720</v>
      </c>
      <c r="AB203">
        <v>4.5199999999999996</v>
      </c>
      <c r="AC203">
        <v>2</v>
      </c>
      <c r="AD203">
        <v>10</v>
      </c>
      <c r="AE203">
        <v>39</v>
      </c>
      <c r="AF203" s="27">
        <f t="shared" ca="1" si="192"/>
        <v>6458</v>
      </c>
      <c r="AG203" s="27">
        <f t="shared" ca="1" si="206"/>
        <v>1651</v>
      </c>
      <c r="AH203" s="27">
        <f t="shared" ca="1" si="207"/>
        <v>1217</v>
      </c>
      <c r="AI203" s="27">
        <f t="shared" ca="1" si="208"/>
        <v>244</v>
      </c>
      <c r="AJ203" s="27">
        <f t="shared" ca="1" si="209"/>
        <v>35</v>
      </c>
      <c r="AK203" s="27">
        <f t="shared" ca="1" si="210"/>
        <v>155</v>
      </c>
      <c r="AL203" s="27">
        <f t="shared" ca="1" si="211"/>
        <v>401</v>
      </c>
      <c r="AM203" s="27">
        <f t="shared" ca="1" si="212"/>
        <v>40</v>
      </c>
      <c r="AN203" s="27">
        <f t="shared" ca="1" si="213"/>
        <v>4366</v>
      </c>
      <c r="AO203">
        <v>4305</v>
      </c>
      <c r="AP203">
        <v>1545</v>
      </c>
      <c r="AQ203">
        <v>156</v>
      </c>
      <c r="AR203">
        <v>620</v>
      </c>
      <c r="AS203">
        <v>1060</v>
      </c>
      <c r="AT203">
        <v>104</v>
      </c>
      <c r="AU203">
        <v>168</v>
      </c>
      <c r="AV203">
        <v>0.98299999999999998</v>
      </c>
      <c r="AW203" s="1"/>
      <c r="AX203" s="1"/>
      <c r="AY203" s="29">
        <f t="shared" si="214"/>
        <v>29700</v>
      </c>
      <c r="AZ203" s="31">
        <f t="shared" si="215"/>
        <v>167341</v>
      </c>
      <c r="BA203" s="31">
        <f t="shared" ref="BA203" si="224">SUMIF($B$2:$B$571,$B203,$P$2:$P$571)</f>
        <v>9135</v>
      </c>
      <c r="BB203" s="30">
        <f t="shared" si="217"/>
        <v>5.4589132370429241E-2</v>
      </c>
    </row>
    <row r="204" spans="2:54" x14ac:dyDescent="0.5">
      <c r="B204" s="4">
        <v>2006</v>
      </c>
      <c r="C204" t="s">
        <v>84</v>
      </c>
      <c r="D204" t="s">
        <v>85</v>
      </c>
      <c r="E204">
        <v>1</v>
      </c>
      <c r="F204" t="s">
        <v>43</v>
      </c>
      <c r="G204" t="s">
        <v>38</v>
      </c>
      <c r="H204" t="s">
        <v>38</v>
      </c>
      <c r="I204" t="s">
        <v>38</v>
      </c>
      <c r="J204">
        <v>88</v>
      </c>
      <c r="K204">
        <v>74</v>
      </c>
      <c r="L204">
        <v>731</v>
      </c>
      <c r="M204" s="20">
        <v>5576</v>
      </c>
      <c r="N204" s="20">
        <v>1465</v>
      </c>
      <c r="O204" s="20">
        <f t="shared" si="204"/>
        <v>968</v>
      </c>
      <c r="P204" s="20">
        <v>298</v>
      </c>
      <c r="Q204" s="20">
        <v>38</v>
      </c>
      <c r="R204" s="20">
        <v>161</v>
      </c>
      <c r="S204" s="20">
        <v>564</v>
      </c>
      <c r="T204" s="20">
        <v>40</v>
      </c>
      <c r="U204" s="20">
        <f t="shared" si="205"/>
        <v>3507</v>
      </c>
      <c r="V204">
        <v>1104</v>
      </c>
      <c r="W204">
        <v>123</v>
      </c>
      <c r="X204">
        <v>31</v>
      </c>
      <c r="Y204">
        <v>47</v>
      </c>
      <c r="Z204">
        <v>679</v>
      </c>
      <c r="AA204">
        <v>629</v>
      </c>
      <c r="AB204">
        <v>3.87</v>
      </c>
      <c r="AC204">
        <v>4</v>
      </c>
      <c r="AD204">
        <v>11</v>
      </c>
      <c r="AE204">
        <v>50</v>
      </c>
      <c r="AF204" s="27">
        <f t="shared" ca="1" si="192"/>
        <v>6160</v>
      </c>
      <c r="AG204" s="27">
        <f t="shared" ca="1" si="206"/>
        <v>1531</v>
      </c>
      <c r="AH204" s="27">
        <f t="shared" ca="1" si="207"/>
        <v>1078</v>
      </c>
      <c r="AI204" s="27">
        <f t="shared" ca="1" si="208"/>
        <v>231</v>
      </c>
      <c r="AJ204" s="27">
        <f t="shared" ca="1" si="209"/>
        <v>45</v>
      </c>
      <c r="AK204" s="27">
        <f t="shared" ca="1" si="210"/>
        <v>177</v>
      </c>
      <c r="AL204" s="27">
        <f t="shared" ca="1" si="211"/>
        <v>666</v>
      </c>
      <c r="AM204" s="27">
        <f t="shared" ca="1" si="212"/>
        <v>71</v>
      </c>
      <c r="AN204" s="27">
        <f t="shared" ca="1" si="213"/>
        <v>3892</v>
      </c>
      <c r="AO204">
        <v>4391</v>
      </c>
      <c r="AP204">
        <v>1385</v>
      </c>
      <c r="AQ204">
        <v>176</v>
      </c>
      <c r="AR204">
        <v>468</v>
      </c>
      <c r="AS204">
        <v>1097</v>
      </c>
      <c r="AT204">
        <v>92</v>
      </c>
      <c r="AU204">
        <v>138</v>
      </c>
      <c r="AV204">
        <v>0.98499999999999999</v>
      </c>
      <c r="AW204" s="1"/>
      <c r="AX204" s="1"/>
      <c r="AY204" s="29">
        <f t="shared" si="214"/>
        <v>29700</v>
      </c>
      <c r="AZ204" s="31">
        <f t="shared" si="215"/>
        <v>167341</v>
      </c>
      <c r="BA204" s="31">
        <f t="shared" ref="BA204" si="225">SUMIF($B$2:$B$571,$B204,$Q$2:$Q$571)</f>
        <v>952</v>
      </c>
      <c r="BB204" s="30">
        <f t="shared" si="217"/>
        <v>5.6889823773014388E-3</v>
      </c>
    </row>
    <row r="205" spans="2:54" x14ac:dyDescent="0.5">
      <c r="B205" s="4">
        <v>2006</v>
      </c>
      <c r="C205" t="s">
        <v>86</v>
      </c>
      <c r="D205" t="s">
        <v>87</v>
      </c>
      <c r="E205">
        <v>4</v>
      </c>
      <c r="F205" t="s">
        <v>38</v>
      </c>
      <c r="G205" t="s">
        <v>38</v>
      </c>
      <c r="H205" t="s">
        <v>38</v>
      </c>
      <c r="I205" t="s">
        <v>38</v>
      </c>
      <c r="J205">
        <v>78</v>
      </c>
      <c r="K205">
        <v>84</v>
      </c>
      <c r="L205">
        <v>756</v>
      </c>
      <c r="M205" s="20">
        <v>5670</v>
      </c>
      <c r="N205" s="20">
        <v>1540</v>
      </c>
      <c r="O205" s="20">
        <f t="shared" si="204"/>
        <v>1060</v>
      </c>
      <c r="P205" s="20">
        <v>266</v>
      </c>
      <c r="Q205" s="20">
        <v>42</v>
      </c>
      <c r="R205" s="20">
        <v>172</v>
      </c>
      <c r="S205" s="20">
        <v>404</v>
      </c>
      <c r="T205" s="20">
        <v>63</v>
      </c>
      <c r="U205" s="20">
        <f t="shared" si="205"/>
        <v>3663</v>
      </c>
      <c r="V205">
        <v>974</v>
      </c>
      <c r="W205">
        <v>106</v>
      </c>
      <c r="X205">
        <v>37</v>
      </c>
      <c r="Y205">
        <v>38</v>
      </c>
      <c r="Z205">
        <v>792</v>
      </c>
      <c r="AA205">
        <v>739</v>
      </c>
      <c r="AB205">
        <v>4.5999999999999996</v>
      </c>
      <c r="AC205">
        <v>6</v>
      </c>
      <c r="AD205">
        <v>6</v>
      </c>
      <c r="AE205">
        <v>47</v>
      </c>
      <c r="AF205" s="27">
        <f t="shared" ca="1" si="192"/>
        <v>6457</v>
      </c>
      <c r="AG205" s="27">
        <f t="shared" ca="1" si="206"/>
        <v>1559</v>
      </c>
      <c r="AH205" s="27">
        <f t="shared" ca="1" si="207"/>
        <v>1111</v>
      </c>
      <c r="AI205" s="27">
        <f t="shared" ca="1" si="208"/>
        <v>241</v>
      </c>
      <c r="AJ205" s="27">
        <f t="shared" ca="1" si="209"/>
        <v>33</v>
      </c>
      <c r="AK205" s="27">
        <f t="shared" ca="1" si="210"/>
        <v>174</v>
      </c>
      <c r="AL205" s="27">
        <f t="shared" ca="1" si="211"/>
        <v>655</v>
      </c>
      <c r="AM205" s="27">
        <f t="shared" ca="1" si="212"/>
        <v>40</v>
      </c>
      <c r="AN205" s="27">
        <f t="shared" ca="1" si="213"/>
        <v>4203</v>
      </c>
      <c r="AO205">
        <v>4340</v>
      </c>
      <c r="AP205">
        <v>1500</v>
      </c>
      <c r="AQ205">
        <v>183</v>
      </c>
      <c r="AR205">
        <v>560</v>
      </c>
      <c r="AS205">
        <v>1067</v>
      </c>
      <c r="AT205">
        <v>88</v>
      </c>
      <c r="AU205">
        <v>150</v>
      </c>
      <c r="AV205">
        <v>0.98499999999999999</v>
      </c>
      <c r="AW205" s="1"/>
      <c r="AX205" s="1"/>
      <c r="AY205" s="29">
        <f t="shared" si="214"/>
        <v>29700</v>
      </c>
      <c r="AZ205" s="31">
        <f t="shared" si="215"/>
        <v>167341</v>
      </c>
      <c r="BA205" s="31">
        <f t="shared" ref="BA205" si="226">SUMIF($B$2:$B$571,$B205,$R$2:$R$571)</f>
        <v>5386</v>
      </c>
      <c r="BB205" s="30">
        <f t="shared" si="217"/>
        <v>3.218577634889238E-2</v>
      </c>
    </row>
    <row r="206" spans="2:54" x14ac:dyDescent="0.5">
      <c r="B206" s="4">
        <v>2006</v>
      </c>
      <c r="C206" t="s">
        <v>88</v>
      </c>
      <c r="D206" t="s">
        <v>89</v>
      </c>
      <c r="E206">
        <v>3</v>
      </c>
      <c r="F206" t="s">
        <v>38</v>
      </c>
      <c r="G206" t="s">
        <v>38</v>
      </c>
      <c r="H206" t="s">
        <v>38</v>
      </c>
      <c r="I206" t="s">
        <v>38</v>
      </c>
      <c r="J206">
        <v>76</v>
      </c>
      <c r="K206">
        <v>85</v>
      </c>
      <c r="L206">
        <v>746</v>
      </c>
      <c r="M206" s="20">
        <v>5472</v>
      </c>
      <c r="N206" s="20">
        <v>1418</v>
      </c>
      <c r="O206" s="20">
        <f t="shared" si="204"/>
        <v>906</v>
      </c>
      <c r="P206" s="20">
        <v>297</v>
      </c>
      <c r="Q206" s="20">
        <v>52</v>
      </c>
      <c r="R206" s="20">
        <v>163</v>
      </c>
      <c r="S206" s="20">
        <v>494</v>
      </c>
      <c r="T206" s="20">
        <v>53</v>
      </c>
      <c r="U206" s="20">
        <f t="shared" si="205"/>
        <v>3507</v>
      </c>
      <c r="V206">
        <v>891</v>
      </c>
      <c r="W206">
        <v>58</v>
      </c>
      <c r="X206">
        <v>25</v>
      </c>
      <c r="Y206">
        <v>37</v>
      </c>
      <c r="Z206">
        <v>790</v>
      </c>
      <c r="AA206">
        <v>735</v>
      </c>
      <c r="AB206">
        <v>4.63</v>
      </c>
      <c r="AC206">
        <v>7</v>
      </c>
      <c r="AD206">
        <v>9</v>
      </c>
      <c r="AE206">
        <v>37</v>
      </c>
      <c r="AF206" s="27">
        <f t="shared" ca="1" si="192"/>
        <v>6437</v>
      </c>
      <c r="AG206" s="27">
        <f t="shared" ca="1" si="206"/>
        <v>1377</v>
      </c>
      <c r="AH206" s="27">
        <f t="shared" ca="1" si="207"/>
        <v>829</v>
      </c>
      <c r="AI206" s="27">
        <f t="shared" ca="1" si="208"/>
        <v>390</v>
      </c>
      <c r="AJ206" s="27">
        <f t="shared" ca="1" si="209"/>
        <v>23</v>
      </c>
      <c r="AK206" s="27">
        <f t="shared" ca="1" si="210"/>
        <v>135</v>
      </c>
      <c r="AL206" s="27">
        <f t="shared" ca="1" si="211"/>
        <v>513</v>
      </c>
      <c r="AM206" s="27">
        <f t="shared" ca="1" si="212"/>
        <v>52</v>
      </c>
      <c r="AN206" s="27">
        <f t="shared" ca="1" si="213"/>
        <v>4495</v>
      </c>
      <c r="AO206">
        <v>4289</v>
      </c>
      <c r="AP206">
        <v>1422</v>
      </c>
      <c r="AQ206">
        <v>153</v>
      </c>
      <c r="AR206">
        <v>584</v>
      </c>
      <c r="AS206">
        <v>992</v>
      </c>
      <c r="AT206">
        <v>91</v>
      </c>
      <c r="AU206">
        <v>132</v>
      </c>
      <c r="AV206">
        <v>0.98499999999999999</v>
      </c>
      <c r="AW206" s="1"/>
      <c r="AX206" s="1"/>
      <c r="AY206" s="29">
        <f t="shared" si="214"/>
        <v>29700</v>
      </c>
      <c r="AZ206" s="31">
        <f t="shared" si="215"/>
        <v>167341</v>
      </c>
      <c r="BA206" s="31">
        <f t="shared" ref="BA206" si="227">SUMIF($B$2:$B$571,$B206,$S$2:$S$571)</f>
        <v>15847</v>
      </c>
      <c r="BB206" s="30">
        <f t="shared" si="217"/>
        <v>9.4698848459134344E-2</v>
      </c>
    </row>
    <row r="207" spans="2:54" x14ac:dyDescent="0.5">
      <c r="B207" s="4">
        <v>2006</v>
      </c>
      <c r="C207" t="s">
        <v>90</v>
      </c>
      <c r="D207" t="s">
        <v>91</v>
      </c>
      <c r="E207">
        <v>1</v>
      </c>
      <c r="F207" t="s">
        <v>43</v>
      </c>
      <c r="G207" t="s">
        <v>38</v>
      </c>
      <c r="H207" t="s">
        <v>43</v>
      </c>
      <c r="I207" t="s">
        <v>43</v>
      </c>
      <c r="J207">
        <v>83</v>
      </c>
      <c r="K207">
        <v>78</v>
      </c>
      <c r="L207">
        <v>781</v>
      </c>
      <c r="M207" s="20">
        <v>5522</v>
      </c>
      <c r="N207" s="20">
        <v>1484</v>
      </c>
      <c r="O207" s="20">
        <f t="shared" si="204"/>
        <v>981</v>
      </c>
      <c r="P207" s="20">
        <v>292</v>
      </c>
      <c r="Q207" s="20">
        <v>27</v>
      </c>
      <c r="R207" s="20">
        <v>184</v>
      </c>
      <c r="S207" s="20">
        <v>531</v>
      </c>
      <c r="T207" s="20">
        <v>61</v>
      </c>
      <c r="U207" s="20">
        <f t="shared" si="205"/>
        <v>3446</v>
      </c>
      <c r="V207">
        <v>922</v>
      </c>
      <c r="W207">
        <v>59</v>
      </c>
      <c r="X207">
        <v>32</v>
      </c>
      <c r="Y207">
        <v>40</v>
      </c>
      <c r="Z207">
        <v>762</v>
      </c>
      <c r="AA207">
        <v>721</v>
      </c>
      <c r="AB207">
        <v>4.54</v>
      </c>
      <c r="AC207">
        <v>6</v>
      </c>
      <c r="AD207">
        <v>9</v>
      </c>
      <c r="AE207">
        <v>38</v>
      </c>
      <c r="AF207" s="27">
        <f t="shared" ca="1" si="192"/>
        <v>6245</v>
      </c>
      <c r="AG207" s="27">
        <f t="shared" ca="1" si="206"/>
        <v>1335</v>
      </c>
      <c r="AH207" s="27">
        <f t="shared" ca="1" si="207"/>
        <v>756</v>
      </c>
      <c r="AI207" s="27">
        <f t="shared" ca="1" si="208"/>
        <v>397</v>
      </c>
      <c r="AJ207" s="27">
        <f t="shared" ca="1" si="209"/>
        <v>42</v>
      </c>
      <c r="AK207" s="27">
        <f t="shared" ca="1" si="210"/>
        <v>140</v>
      </c>
      <c r="AL207" s="27">
        <f t="shared" ca="1" si="211"/>
        <v>529</v>
      </c>
      <c r="AM207" s="27">
        <f t="shared" ca="1" si="212"/>
        <v>48</v>
      </c>
      <c r="AN207" s="27">
        <f t="shared" ca="1" si="213"/>
        <v>4333</v>
      </c>
      <c r="AO207">
        <v>4289</v>
      </c>
      <c r="AP207">
        <v>1475</v>
      </c>
      <c r="AQ207">
        <v>193</v>
      </c>
      <c r="AR207">
        <v>504</v>
      </c>
      <c r="AS207">
        <v>970</v>
      </c>
      <c r="AT207">
        <v>98</v>
      </c>
      <c r="AU207">
        <v>170</v>
      </c>
      <c r="AV207">
        <v>0.98399999999999999</v>
      </c>
      <c r="AW207" s="1"/>
      <c r="AX207" s="1"/>
      <c r="AY207" s="29">
        <f t="shared" si="214"/>
        <v>29700</v>
      </c>
      <c r="AZ207" s="31">
        <f t="shared" si="215"/>
        <v>167341</v>
      </c>
      <c r="BA207" s="31">
        <f t="shared" ref="BA207" si="228">SUMIF($B$2:$B$571,$B207,$T$2:$T$571)</f>
        <v>1817</v>
      </c>
      <c r="BB207" s="30">
        <f t="shared" si="217"/>
        <v>1.0858068255836883E-2</v>
      </c>
    </row>
    <row r="208" spans="2:54" x14ac:dyDescent="0.5">
      <c r="B208" s="4">
        <v>2006</v>
      </c>
      <c r="C208" t="s">
        <v>92</v>
      </c>
      <c r="D208" t="s">
        <v>93</v>
      </c>
      <c r="E208">
        <v>5</v>
      </c>
      <c r="F208" t="s">
        <v>38</v>
      </c>
      <c r="G208" t="s">
        <v>38</v>
      </c>
      <c r="H208" t="s">
        <v>38</v>
      </c>
      <c r="I208" t="s">
        <v>38</v>
      </c>
      <c r="J208">
        <v>61</v>
      </c>
      <c r="K208">
        <v>101</v>
      </c>
      <c r="L208">
        <v>689</v>
      </c>
      <c r="M208" s="20">
        <v>5474</v>
      </c>
      <c r="N208" s="20">
        <v>1395</v>
      </c>
      <c r="O208" s="20">
        <f t="shared" si="204"/>
        <v>905</v>
      </c>
      <c r="P208" s="20">
        <v>267</v>
      </c>
      <c r="Q208" s="20">
        <v>33</v>
      </c>
      <c r="R208" s="20">
        <v>190</v>
      </c>
      <c r="S208" s="20">
        <v>441</v>
      </c>
      <c r="T208" s="20">
        <v>47</v>
      </c>
      <c r="U208" s="20">
        <f t="shared" si="205"/>
        <v>3591</v>
      </c>
      <c r="V208">
        <v>1106</v>
      </c>
      <c r="W208">
        <v>134</v>
      </c>
      <c r="X208">
        <v>52</v>
      </c>
      <c r="Y208">
        <v>43</v>
      </c>
      <c r="Z208">
        <v>856</v>
      </c>
      <c r="AA208">
        <v>782</v>
      </c>
      <c r="AB208">
        <v>4.96</v>
      </c>
      <c r="AC208">
        <v>3</v>
      </c>
      <c r="AD208">
        <v>7</v>
      </c>
      <c r="AE208">
        <v>33</v>
      </c>
      <c r="AF208" s="27">
        <f t="shared" ca="1" si="192"/>
        <v>6349</v>
      </c>
      <c r="AG208" s="27">
        <f t="shared" ca="1" si="206"/>
        <v>1441</v>
      </c>
      <c r="AH208" s="27">
        <f t="shared" ca="1" si="207"/>
        <v>941</v>
      </c>
      <c r="AI208" s="27">
        <f t="shared" ca="1" si="208"/>
        <v>259</v>
      </c>
      <c r="AJ208" s="27">
        <f t="shared" ca="1" si="209"/>
        <v>39</v>
      </c>
      <c r="AK208" s="27">
        <f t="shared" ca="1" si="210"/>
        <v>202</v>
      </c>
      <c r="AL208" s="27">
        <f t="shared" ca="1" si="211"/>
        <v>685</v>
      </c>
      <c r="AM208" s="27">
        <f t="shared" ca="1" si="212"/>
        <v>30</v>
      </c>
      <c r="AN208" s="27">
        <f t="shared" ca="1" si="213"/>
        <v>4193</v>
      </c>
      <c r="AO208">
        <v>4261</v>
      </c>
      <c r="AP208">
        <v>1600</v>
      </c>
      <c r="AQ208">
        <v>180</v>
      </c>
      <c r="AR208">
        <v>606</v>
      </c>
      <c r="AS208">
        <v>979</v>
      </c>
      <c r="AT208">
        <v>116</v>
      </c>
      <c r="AU208">
        <v>156</v>
      </c>
      <c r="AV208">
        <v>0.98099999999999998</v>
      </c>
      <c r="AW208" s="1"/>
      <c r="AX208" s="1"/>
      <c r="AY208" s="29">
        <f t="shared" si="214"/>
        <v>29700</v>
      </c>
      <c r="AZ208" s="31">
        <f t="shared" si="215"/>
        <v>167341</v>
      </c>
      <c r="BA208" s="31">
        <f t="shared" ref="BA208" si="229">SUMIF($B$2:$B$571,$B208,$U$2:$U$571)</f>
        <v>104604</v>
      </c>
      <c r="BB208" s="30">
        <f t="shared" si="217"/>
        <v>0.62509486617147025</v>
      </c>
    </row>
    <row r="209" spans="2:54" x14ac:dyDescent="0.5">
      <c r="B209" s="4">
        <v>2006</v>
      </c>
      <c r="C209" t="s">
        <v>94</v>
      </c>
      <c r="D209" t="s">
        <v>95</v>
      </c>
      <c r="E209">
        <v>3</v>
      </c>
      <c r="F209" t="s">
        <v>38</v>
      </c>
      <c r="G209" t="s">
        <v>38</v>
      </c>
      <c r="H209" t="s">
        <v>38</v>
      </c>
      <c r="I209" t="s">
        <v>38</v>
      </c>
      <c r="J209">
        <v>80</v>
      </c>
      <c r="K209">
        <v>82</v>
      </c>
      <c r="L209">
        <v>835</v>
      </c>
      <c r="M209" s="20">
        <v>5659</v>
      </c>
      <c r="N209" s="20">
        <v>1571</v>
      </c>
      <c r="O209" s="20">
        <f t="shared" si="204"/>
        <v>1008</v>
      </c>
      <c r="P209" s="20">
        <v>357</v>
      </c>
      <c r="Q209" s="20">
        <v>23</v>
      </c>
      <c r="R209" s="20">
        <v>183</v>
      </c>
      <c r="S209" s="20">
        <v>505</v>
      </c>
      <c r="T209" s="20">
        <v>40</v>
      </c>
      <c r="U209" s="20">
        <f t="shared" si="205"/>
        <v>3543</v>
      </c>
      <c r="V209">
        <v>1061</v>
      </c>
      <c r="W209">
        <v>53</v>
      </c>
      <c r="X209">
        <v>24</v>
      </c>
      <c r="Y209">
        <v>50</v>
      </c>
      <c r="Z209">
        <v>784</v>
      </c>
      <c r="AA209">
        <v>731</v>
      </c>
      <c r="AB209">
        <v>4.5999999999999996</v>
      </c>
      <c r="AC209">
        <v>3</v>
      </c>
      <c r="AD209">
        <v>8</v>
      </c>
      <c r="AE209">
        <v>42</v>
      </c>
      <c r="AF209" s="27">
        <f t="shared" ca="1" si="192"/>
        <v>6437</v>
      </c>
      <c r="AG209" s="27">
        <f t="shared" ca="1" si="206"/>
        <v>1598</v>
      </c>
      <c r="AH209" s="27">
        <f t="shared" ca="1" si="207"/>
        <v>1192</v>
      </c>
      <c r="AI209" s="27">
        <f t="shared" ca="1" si="208"/>
        <v>228</v>
      </c>
      <c r="AJ209" s="27">
        <f t="shared" ca="1" si="209"/>
        <v>29</v>
      </c>
      <c r="AK209" s="27">
        <f t="shared" ca="1" si="210"/>
        <v>149</v>
      </c>
      <c r="AL209" s="27">
        <f t="shared" ca="1" si="211"/>
        <v>602</v>
      </c>
      <c r="AM209" s="27">
        <f t="shared" ca="1" si="212"/>
        <v>64</v>
      </c>
      <c r="AN209" s="27">
        <f t="shared" ca="1" si="213"/>
        <v>4173</v>
      </c>
      <c r="AO209">
        <v>4294</v>
      </c>
      <c r="AP209">
        <v>1558</v>
      </c>
      <c r="AQ209">
        <v>162</v>
      </c>
      <c r="AR209">
        <v>496</v>
      </c>
      <c r="AS209">
        <v>972</v>
      </c>
      <c r="AT209">
        <v>98</v>
      </c>
      <c r="AU209">
        <v>174</v>
      </c>
      <c r="AV209">
        <v>0.98399999999999999</v>
      </c>
      <c r="AW209" s="1"/>
      <c r="AX209" s="1"/>
      <c r="AY209" s="29">
        <f t="shared" si="214"/>
        <v>29700</v>
      </c>
      <c r="AZ209" s="31">
        <f t="shared" si="215"/>
        <v>167341</v>
      </c>
      <c r="BA209" s="31"/>
      <c r="BB209" s="30">
        <f t="shared" si="217"/>
        <v>0</v>
      </c>
    </row>
    <row r="210" spans="2:54" x14ac:dyDescent="0.5">
      <c r="B210" s="4">
        <v>2006</v>
      </c>
      <c r="C210" t="s">
        <v>96</v>
      </c>
      <c r="D210" t="s">
        <v>97</v>
      </c>
      <c r="E210">
        <v>2</v>
      </c>
      <c r="F210" t="s">
        <v>38</v>
      </c>
      <c r="G210" t="s">
        <v>38</v>
      </c>
      <c r="H210" t="s">
        <v>38</v>
      </c>
      <c r="I210" t="s">
        <v>38</v>
      </c>
      <c r="J210">
        <v>87</v>
      </c>
      <c r="K210">
        <v>75</v>
      </c>
      <c r="L210">
        <v>809</v>
      </c>
      <c r="M210" s="20">
        <v>5596</v>
      </c>
      <c r="N210" s="20">
        <v>1591</v>
      </c>
      <c r="O210" s="20">
        <f t="shared" si="204"/>
        <v>1017</v>
      </c>
      <c r="P210" s="20">
        <v>348</v>
      </c>
      <c r="Q210" s="20">
        <v>27</v>
      </c>
      <c r="R210" s="20">
        <v>199</v>
      </c>
      <c r="S210" s="20">
        <v>514</v>
      </c>
      <c r="T210" s="20">
        <v>63</v>
      </c>
      <c r="U210" s="20">
        <f t="shared" si="205"/>
        <v>3428</v>
      </c>
      <c r="V210">
        <v>906</v>
      </c>
      <c r="W210">
        <v>65</v>
      </c>
      <c r="X210">
        <v>33</v>
      </c>
      <c r="Y210">
        <v>52</v>
      </c>
      <c r="Z210">
        <v>754</v>
      </c>
      <c r="AA210">
        <v>694</v>
      </c>
      <c r="AB210">
        <v>4.37</v>
      </c>
      <c r="AC210">
        <v>6</v>
      </c>
      <c r="AD210">
        <v>6</v>
      </c>
      <c r="AE210">
        <v>42</v>
      </c>
      <c r="AF210" s="27">
        <f t="shared" ca="1" si="192"/>
        <v>6426</v>
      </c>
      <c r="AG210" s="27">
        <f t="shared" ca="1" si="206"/>
        <v>1310</v>
      </c>
      <c r="AH210" s="27">
        <f t="shared" ca="1" si="207"/>
        <v>731</v>
      </c>
      <c r="AI210" s="27">
        <f t="shared" ca="1" si="208"/>
        <v>374</v>
      </c>
      <c r="AJ210" s="27">
        <f t="shared" ca="1" si="209"/>
        <v>43</v>
      </c>
      <c r="AK210" s="27">
        <f t="shared" ca="1" si="210"/>
        <v>162</v>
      </c>
      <c r="AL210" s="27">
        <f t="shared" ca="1" si="211"/>
        <v>475</v>
      </c>
      <c r="AM210" s="27">
        <f t="shared" ca="1" si="212"/>
        <v>37</v>
      </c>
      <c r="AN210" s="27">
        <f t="shared" ca="1" si="213"/>
        <v>4604</v>
      </c>
      <c r="AO210">
        <v>4285</v>
      </c>
      <c r="AP210">
        <v>1447</v>
      </c>
      <c r="AQ210">
        <v>185</v>
      </c>
      <c r="AR210">
        <v>504</v>
      </c>
      <c r="AS210">
        <v>1076</v>
      </c>
      <c r="AT210">
        <v>99</v>
      </c>
      <c r="AU210">
        <v>157</v>
      </c>
      <c r="AV210">
        <v>0.98399999999999999</v>
      </c>
      <c r="AW210" s="1"/>
      <c r="AX210" s="1"/>
      <c r="AY210" s="29">
        <f t="shared" si="214"/>
        <v>29700</v>
      </c>
      <c r="AZ210" s="31">
        <f t="shared" si="215"/>
        <v>167341</v>
      </c>
      <c r="BA210" s="31">
        <f t="shared" ref="BA210" si="230">SUMIF($B$2:$B$571,$B210,$O$2:$O$571)</f>
        <v>29600</v>
      </c>
      <c r="BB210" s="30">
        <f t="shared" si="217"/>
        <v>0.17688432601693549</v>
      </c>
    </row>
    <row r="211" spans="2:54" x14ac:dyDescent="0.5">
      <c r="B211" s="4">
        <v>2006</v>
      </c>
      <c r="C211" t="s">
        <v>100</v>
      </c>
      <c r="D211" t="s">
        <v>101</v>
      </c>
      <c r="E211">
        <v>5</v>
      </c>
      <c r="F211" t="s">
        <v>38</v>
      </c>
      <c r="G211" t="s">
        <v>38</v>
      </c>
      <c r="H211" t="s">
        <v>38</v>
      </c>
      <c r="I211" t="s">
        <v>38</v>
      </c>
      <c r="J211">
        <v>71</v>
      </c>
      <c r="K211">
        <v>91</v>
      </c>
      <c r="L211">
        <v>746</v>
      </c>
      <c r="M211" s="20">
        <v>5495</v>
      </c>
      <c r="N211" s="20">
        <v>1437</v>
      </c>
      <c r="O211" s="20">
        <f t="shared" si="204"/>
        <v>929</v>
      </c>
      <c r="P211" s="20">
        <v>322</v>
      </c>
      <c r="Q211" s="20">
        <v>22</v>
      </c>
      <c r="R211" s="20">
        <v>164</v>
      </c>
      <c r="S211" s="20">
        <v>594</v>
      </c>
      <c r="T211" s="20">
        <v>69</v>
      </c>
      <c r="U211" s="20">
        <f t="shared" si="205"/>
        <v>3395</v>
      </c>
      <c r="V211">
        <v>1156</v>
      </c>
      <c r="W211">
        <v>123</v>
      </c>
      <c r="X211">
        <v>62</v>
      </c>
      <c r="Y211">
        <v>49</v>
      </c>
      <c r="Z211">
        <v>872</v>
      </c>
      <c r="AA211">
        <v>803</v>
      </c>
      <c r="AB211">
        <v>5.03</v>
      </c>
      <c r="AC211">
        <v>1</v>
      </c>
      <c r="AD211">
        <v>3</v>
      </c>
      <c r="AE211">
        <v>32</v>
      </c>
      <c r="AF211" s="27">
        <f t="shared" ca="1" si="192"/>
        <v>6302</v>
      </c>
      <c r="AG211" s="27">
        <f t="shared" ca="1" si="206"/>
        <v>1658</v>
      </c>
      <c r="AH211" s="27">
        <f t="shared" ca="1" si="207"/>
        <v>1101</v>
      </c>
      <c r="AI211" s="27">
        <f t="shared" ca="1" si="208"/>
        <v>279</v>
      </c>
      <c r="AJ211" s="27">
        <f t="shared" ca="1" si="209"/>
        <v>46</v>
      </c>
      <c r="AK211" s="27">
        <f t="shared" ca="1" si="210"/>
        <v>232</v>
      </c>
      <c r="AL211" s="27">
        <f t="shared" ca="1" si="211"/>
        <v>421</v>
      </c>
      <c r="AM211" s="27">
        <f t="shared" ca="1" si="212"/>
        <v>48</v>
      </c>
      <c r="AN211" s="27">
        <f t="shared" ca="1" si="213"/>
        <v>4175</v>
      </c>
      <c r="AO211">
        <v>4309</v>
      </c>
      <c r="AP211">
        <v>1535</v>
      </c>
      <c r="AQ211">
        <v>193</v>
      </c>
      <c r="AR211">
        <v>584</v>
      </c>
      <c r="AS211">
        <v>960</v>
      </c>
      <c r="AT211">
        <v>131</v>
      </c>
      <c r="AU211">
        <v>123</v>
      </c>
      <c r="AV211">
        <v>0.97799999999999998</v>
      </c>
      <c r="AW211" s="1"/>
      <c r="AX211" s="1"/>
      <c r="AY211" s="29">
        <f t="shared" si="214"/>
        <v>29700</v>
      </c>
      <c r="AZ211" s="31">
        <f t="shared" si="215"/>
        <v>167341</v>
      </c>
      <c r="BA211" s="31">
        <f t="shared" ref="BA211" si="231">SUMIF($B$2:$B$571,$B211,$P$2:$P$571)</f>
        <v>9135</v>
      </c>
      <c r="BB211" s="30">
        <f t="shared" si="217"/>
        <v>5.4589132370429241E-2</v>
      </c>
    </row>
    <row r="212" spans="2:54" x14ac:dyDescent="0.5">
      <c r="B212" s="4">
        <v>2007</v>
      </c>
      <c r="C212" t="s">
        <v>39</v>
      </c>
      <c r="D212" t="s">
        <v>40</v>
      </c>
      <c r="E212">
        <v>1</v>
      </c>
      <c r="F212" t="s">
        <v>43</v>
      </c>
      <c r="G212" t="s">
        <v>38</v>
      </c>
      <c r="H212" t="s">
        <v>38</v>
      </c>
      <c r="I212" t="s">
        <v>38</v>
      </c>
      <c r="J212">
        <v>90</v>
      </c>
      <c r="K212">
        <v>72</v>
      </c>
      <c r="L212">
        <v>712</v>
      </c>
      <c r="M212" s="20">
        <v>5398</v>
      </c>
      <c r="N212" s="20">
        <v>1350</v>
      </c>
      <c r="O212" s="20">
        <f t="shared" si="204"/>
        <v>853</v>
      </c>
      <c r="P212" s="20">
        <v>286</v>
      </c>
      <c r="Q212" s="20">
        <v>40</v>
      </c>
      <c r="R212" s="20">
        <v>171</v>
      </c>
      <c r="S212" s="20">
        <v>532</v>
      </c>
      <c r="T212" s="20">
        <v>57</v>
      </c>
      <c r="U212" s="20">
        <f t="shared" si="205"/>
        <v>3459</v>
      </c>
      <c r="V212">
        <v>1111</v>
      </c>
      <c r="W212">
        <v>109</v>
      </c>
      <c r="X212">
        <v>24</v>
      </c>
      <c r="Y212">
        <v>58</v>
      </c>
      <c r="Z212">
        <v>732</v>
      </c>
      <c r="AA212">
        <v>662</v>
      </c>
      <c r="AB212">
        <v>4.13</v>
      </c>
      <c r="AC212">
        <v>7</v>
      </c>
      <c r="AD212">
        <v>12</v>
      </c>
      <c r="AE212">
        <v>51</v>
      </c>
      <c r="AF212" s="27">
        <f t="shared" ca="1" si="192"/>
        <v>6265</v>
      </c>
      <c r="AG212" s="27">
        <f t="shared" ca="1" si="206"/>
        <v>1663</v>
      </c>
      <c r="AH212" s="27">
        <f t="shared" ca="1" si="207"/>
        <v>1026</v>
      </c>
      <c r="AI212" s="27">
        <f t="shared" ca="1" si="208"/>
        <v>395</v>
      </c>
      <c r="AJ212" s="27">
        <f t="shared" ca="1" si="209"/>
        <v>30</v>
      </c>
      <c r="AK212" s="27">
        <f t="shared" ca="1" si="210"/>
        <v>212</v>
      </c>
      <c r="AL212" s="27">
        <f t="shared" ca="1" si="211"/>
        <v>598</v>
      </c>
      <c r="AM212" s="27">
        <f t="shared" ca="1" si="212"/>
        <v>43</v>
      </c>
      <c r="AN212" s="27">
        <f t="shared" ca="1" si="213"/>
        <v>3961</v>
      </c>
      <c r="AO212">
        <v>4323</v>
      </c>
      <c r="AP212">
        <v>1446</v>
      </c>
      <c r="AQ212">
        <v>169</v>
      </c>
      <c r="AR212">
        <v>546</v>
      </c>
      <c r="AS212">
        <v>1088</v>
      </c>
      <c r="AT212">
        <v>106</v>
      </c>
      <c r="AU212">
        <v>157</v>
      </c>
      <c r="AV212">
        <v>0.98299999999999998</v>
      </c>
      <c r="AW212" s="1"/>
      <c r="AX212" s="1"/>
      <c r="AY212" s="29">
        <f t="shared" si="214"/>
        <v>29700</v>
      </c>
      <c r="AZ212" s="31">
        <f t="shared" si="215"/>
        <v>167783</v>
      </c>
      <c r="BA212" s="31">
        <f t="shared" ref="BA212" si="232">SUMIF($B$2:$B$571,$B212,$Q$2:$Q$571)</f>
        <v>938</v>
      </c>
      <c r="BB212" s="30">
        <f t="shared" si="217"/>
        <v>5.5905544661854897E-3</v>
      </c>
    </row>
    <row r="213" spans="2:54" x14ac:dyDescent="0.5">
      <c r="B213" s="4">
        <v>2007</v>
      </c>
      <c r="C213" t="s">
        <v>41</v>
      </c>
      <c r="D213" t="s">
        <v>42</v>
      </c>
      <c r="E213">
        <v>3</v>
      </c>
      <c r="F213" t="s">
        <v>38</v>
      </c>
      <c r="G213" t="s">
        <v>38</v>
      </c>
      <c r="H213" t="s">
        <v>38</v>
      </c>
      <c r="I213" t="s">
        <v>38</v>
      </c>
      <c r="J213">
        <v>84</v>
      </c>
      <c r="K213">
        <v>78</v>
      </c>
      <c r="L213">
        <v>810</v>
      </c>
      <c r="M213" s="20">
        <v>5689</v>
      </c>
      <c r="N213" s="20">
        <v>1562</v>
      </c>
      <c r="O213" s="20">
        <f t="shared" si="204"/>
        <v>1031</v>
      </c>
      <c r="P213" s="20">
        <v>328</v>
      </c>
      <c r="Q213" s="20">
        <v>27</v>
      </c>
      <c r="R213" s="20">
        <v>176</v>
      </c>
      <c r="S213" s="20">
        <v>534</v>
      </c>
      <c r="T213" s="20">
        <v>49</v>
      </c>
      <c r="U213" s="20">
        <f t="shared" si="205"/>
        <v>3544</v>
      </c>
      <c r="V213">
        <v>1149</v>
      </c>
      <c r="W213">
        <v>64</v>
      </c>
      <c r="X213">
        <v>30</v>
      </c>
      <c r="Y213">
        <v>47</v>
      </c>
      <c r="Z213">
        <v>733</v>
      </c>
      <c r="AA213">
        <v>665</v>
      </c>
      <c r="AB213">
        <v>4.1100000000000003</v>
      </c>
      <c r="AC213">
        <v>1</v>
      </c>
      <c r="AD213">
        <v>6</v>
      </c>
      <c r="AE213">
        <v>36</v>
      </c>
      <c r="AF213" s="27">
        <f t="shared" ca="1" si="192"/>
        <v>6443</v>
      </c>
      <c r="AG213" s="27">
        <f t="shared" ca="1" si="206"/>
        <v>1574</v>
      </c>
      <c r="AH213" s="27">
        <f t="shared" ca="1" si="207"/>
        <v>1096</v>
      </c>
      <c r="AI213" s="27">
        <f t="shared" ca="1" si="208"/>
        <v>279</v>
      </c>
      <c r="AJ213" s="27">
        <f t="shared" ca="1" si="209"/>
        <v>42</v>
      </c>
      <c r="AK213" s="27">
        <f t="shared" ca="1" si="210"/>
        <v>157</v>
      </c>
      <c r="AL213" s="27">
        <f t="shared" ca="1" si="211"/>
        <v>642</v>
      </c>
      <c r="AM213" s="27">
        <f t="shared" ca="1" si="212"/>
        <v>46</v>
      </c>
      <c r="AN213" s="27">
        <f t="shared" ca="1" si="213"/>
        <v>4181</v>
      </c>
      <c r="AO213">
        <v>4369</v>
      </c>
      <c r="AP213">
        <v>1442</v>
      </c>
      <c r="AQ213">
        <v>172</v>
      </c>
      <c r="AR213">
        <v>537</v>
      </c>
      <c r="AS213">
        <v>1106</v>
      </c>
      <c r="AT213">
        <v>107</v>
      </c>
      <c r="AU213">
        <v>141</v>
      </c>
      <c r="AV213">
        <v>0.98299999999999998</v>
      </c>
      <c r="AW213" s="1"/>
      <c r="AX213" s="1"/>
      <c r="AY213" s="29">
        <f t="shared" si="214"/>
        <v>29700</v>
      </c>
      <c r="AZ213" s="31">
        <f t="shared" si="215"/>
        <v>167783</v>
      </c>
      <c r="BA213" s="31">
        <f t="shared" ref="BA213" si="233">SUMIF($B$2:$B$571,$B213,$R$2:$R$571)</f>
        <v>4957</v>
      </c>
      <c r="BB213" s="30">
        <f t="shared" si="217"/>
        <v>2.9544113527592189E-2</v>
      </c>
    </row>
    <row r="214" spans="2:54" x14ac:dyDescent="0.5">
      <c r="B214" s="4">
        <v>2007</v>
      </c>
      <c r="C214" t="s">
        <v>44</v>
      </c>
      <c r="D214" t="s">
        <v>45</v>
      </c>
      <c r="E214">
        <v>4</v>
      </c>
      <c r="F214" t="s">
        <v>38</v>
      </c>
      <c r="G214" t="s">
        <v>38</v>
      </c>
      <c r="H214" t="s">
        <v>38</v>
      </c>
      <c r="I214" t="s">
        <v>38</v>
      </c>
      <c r="J214">
        <v>69</v>
      </c>
      <c r="K214">
        <v>93</v>
      </c>
      <c r="L214">
        <v>756</v>
      </c>
      <c r="M214" s="20">
        <v>5631</v>
      </c>
      <c r="N214" s="20">
        <v>1529</v>
      </c>
      <c r="O214" s="20">
        <f t="shared" si="204"/>
        <v>1051</v>
      </c>
      <c r="P214" s="20">
        <v>306</v>
      </c>
      <c r="Q214" s="20">
        <v>30</v>
      </c>
      <c r="R214" s="20">
        <v>142</v>
      </c>
      <c r="S214" s="20">
        <v>500</v>
      </c>
      <c r="T214" s="20">
        <v>47</v>
      </c>
      <c r="U214" s="20">
        <f t="shared" si="205"/>
        <v>3555</v>
      </c>
      <c r="V214">
        <v>939</v>
      </c>
      <c r="W214">
        <v>144</v>
      </c>
      <c r="X214">
        <v>42</v>
      </c>
      <c r="Y214">
        <v>47</v>
      </c>
      <c r="Z214">
        <v>868</v>
      </c>
      <c r="AA214">
        <v>827</v>
      </c>
      <c r="AB214">
        <v>5.17</v>
      </c>
      <c r="AC214">
        <v>4</v>
      </c>
      <c r="AD214">
        <v>9</v>
      </c>
      <c r="AE214">
        <v>30</v>
      </c>
      <c r="AF214" s="27">
        <f t="shared" ca="1" si="192"/>
        <v>6295</v>
      </c>
      <c r="AG214" s="27">
        <f t="shared" ca="1" si="206"/>
        <v>1677</v>
      </c>
      <c r="AH214" s="27">
        <f t="shared" ca="1" si="207"/>
        <v>1137</v>
      </c>
      <c r="AI214" s="27">
        <f t="shared" ca="1" si="208"/>
        <v>328</v>
      </c>
      <c r="AJ214" s="27">
        <f t="shared" ca="1" si="209"/>
        <v>44</v>
      </c>
      <c r="AK214" s="27">
        <f t="shared" ca="1" si="210"/>
        <v>168</v>
      </c>
      <c r="AL214" s="27">
        <f t="shared" ca="1" si="211"/>
        <v>443</v>
      </c>
      <c r="AM214" s="27">
        <f t="shared" ca="1" si="212"/>
        <v>77</v>
      </c>
      <c r="AN214" s="27">
        <f t="shared" ca="1" si="213"/>
        <v>4098</v>
      </c>
      <c r="AO214">
        <v>4316</v>
      </c>
      <c r="AP214">
        <v>1491</v>
      </c>
      <c r="AQ214">
        <v>161</v>
      </c>
      <c r="AR214">
        <v>696</v>
      </c>
      <c r="AS214">
        <v>1087</v>
      </c>
      <c r="AT214">
        <v>79</v>
      </c>
      <c r="AU214">
        <v>155</v>
      </c>
      <c r="AV214">
        <v>0.98699999999999999</v>
      </c>
      <c r="AW214" s="1"/>
      <c r="AX214" s="1"/>
      <c r="AY214" s="29">
        <f t="shared" si="214"/>
        <v>29700</v>
      </c>
      <c r="AZ214" s="31">
        <f t="shared" si="215"/>
        <v>167783</v>
      </c>
      <c r="BA214" s="31">
        <f t="shared" ref="BA214" si="234">SUMIF($B$2:$B$571,$B214,$S$2:$S$571)</f>
        <v>16079</v>
      </c>
      <c r="BB214" s="30">
        <f t="shared" si="217"/>
        <v>9.5832116483791557E-2</v>
      </c>
    </row>
    <row r="215" spans="2:54" x14ac:dyDescent="0.5">
      <c r="B215" s="4">
        <v>2007</v>
      </c>
      <c r="C215" t="s">
        <v>46</v>
      </c>
      <c r="D215" t="s">
        <v>47</v>
      </c>
      <c r="E215">
        <v>1</v>
      </c>
      <c r="F215" t="s">
        <v>43</v>
      </c>
      <c r="G215" t="s">
        <v>38</v>
      </c>
      <c r="H215" t="s">
        <v>43</v>
      </c>
      <c r="I215" t="s">
        <v>43</v>
      </c>
      <c r="J215">
        <v>96</v>
      </c>
      <c r="K215">
        <v>66</v>
      </c>
      <c r="L215">
        <v>867</v>
      </c>
      <c r="M215" s="20">
        <v>5589</v>
      </c>
      <c r="N215" s="20">
        <v>1561</v>
      </c>
      <c r="O215" s="20">
        <f t="shared" si="204"/>
        <v>1008</v>
      </c>
      <c r="P215" s="20">
        <v>352</v>
      </c>
      <c r="Q215" s="20">
        <v>35</v>
      </c>
      <c r="R215" s="20">
        <v>166</v>
      </c>
      <c r="S215" s="20">
        <v>689</v>
      </c>
      <c r="T215" s="20">
        <v>64</v>
      </c>
      <c r="U215" s="20">
        <f t="shared" si="205"/>
        <v>3275</v>
      </c>
      <c r="V215">
        <v>1042</v>
      </c>
      <c r="W215">
        <v>96</v>
      </c>
      <c r="X215">
        <v>24</v>
      </c>
      <c r="Y215">
        <v>54</v>
      </c>
      <c r="Z215">
        <v>657</v>
      </c>
      <c r="AA215">
        <v>618</v>
      </c>
      <c r="AB215">
        <v>3.87</v>
      </c>
      <c r="AC215">
        <v>5</v>
      </c>
      <c r="AD215">
        <v>13</v>
      </c>
      <c r="AE215">
        <v>45</v>
      </c>
      <c r="AF215" s="27">
        <f t="shared" ca="1" si="192"/>
        <v>6147</v>
      </c>
      <c r="AG215" s="27">
        <f t="shared" ca="1" si="206"/>
        <v>1604</v>
      </c>
      <c r="AH215" s="27">
        <f t="shared" ca="1" si="207"/>
        <v>1033</v>
      </c>
      <c r="AI215" s="27">
        <f t="shared" ca="1" si="208"/>
        <v>307</v>
      </c>
      <c r="AJ215" s="27">
        <f t="shared" ca="1" si="209"/>
        <v>50</v>
      </c>
      <c r="AK215" s="27">
        <f t="shared" ca="1" si="210"/>
        <v>214</v>
      </c>
      <c r="AL215" s="27">
        <f t="shared" ca="1" si="211"/>
        <v>430</v>
      </c>
      <c r="AM215" s="27">
        <f t="shared" ca="1" si="212"/>
        <v>88</v>
      </c>
      <c r="AN215" s="27">
        <f t="shared" ca="1" si="213"/>
        <v>4025</v>
      </c>
      <c r="AO215">
        <v>4316</v>
      </c>
      <c r="AP215">
        <v>1350</v>
      </c>
      <c r="AQ215">
        <v>151</v>
      </c>
      <c r="AR215">
        <v>482</v>
      </c>
      <c r="AS215">
        <v>1149</v>
      </c>
      <c r="AT215">
        <v>81</v>
      </c>
      <c r="AU215">
        <v>145</v>
      </c>
      <c r="AV215">
        <v>0.98599999999999999</v>
      </c>
      <c r="AW215" s="1"/>
      <c r="AX215" s="1"/>
      <c r="AY215" s="29">
        <f t="shared" si="214"/>
        <v>29700</v>
      </c>
      <c r="AZ215" s="31">
        <f t="shared" si="215"/>
        <v>167783</v>
      </c>
      <c r="BA215" s="31">
        <f t="shared" ref="BA215" si="235">SUMIF($B$2:$B$571,$B215,$T$2:$T$571)</f>
        <v>1755</v>
      </c>
      <c r="BB215" s="30">
        <f t="shared" si="217"/>
        <v>1.0459939326391828E-2</v>
      </c>
    </row>
    <row r="216" spans="2:54" x14ac:dyDescent="0.5">
      <c r="B216" s="4">
        <v>2007</v>
      </c>
      <c r="C216" t="s">
        <v>48</v>
      </c>
      <c r="D216" t="s">
        <v>49</v>
      </c>
      <c r="E216">
        <v>4</v>
      </c>
      <c r="F216" t="s">
        <v>38</v>
      </c>
      <c r="G216" t="s">
        <v>38</v>
      </c>
      <c r="H216" t="s">
        <v>38</v>
      </c>
      <c r="I216" t="s">
        <v>38</v>
      </c>
      <c r="J216">
        <v>72</v>
      </c>
      <c r="K216">
        <v>90</v>
      </c>
      <c r="L216">
        <v>693</v>
      </c>
      <c r="M216" s="20">
        <v>5441</v>
      </c>
      <c r="N216" s="20">
        <v>1341</v>
      </c>
      <c r="O216" s="20">
        <f t="shared" si="204"/>
        <v>882</v>
      </c>
      <c r="P216" s="20">
        <v>249</v>
      </c>
      <c r="Q216" s="20">
        <v>20</v>
      </c>
      <c r="R216" s="20">
        <v>190</v>
      </c>
      <c r="S216" s="20">
        <v>532</v>
      </c>
      <c r="T216" s="20">
        <v>52</v>
      </c>
      <c r="U216" s="20">
        <f t="shared" si="205"/>
        <v>3516</v>
      </c>
      <c r="V216">
        <v>1149</v>
      </c>
      <c r="W216">
        <v>78</v>
      </c>
      <c r="X216">
        <v>45</v>
      </c>
      <c r="Y216">
        <v>35</v>
      </c>
      <c r="Z216">
        <v>839</v>
      </c>
      <c r="AA216">
        <v>763</v>
      </c>
      <c r="AB216">
        <v>4.7699999999999996</v>
      </c>
      <c r="AC216">
        <v>9</v>
      </c>
      <c r="AD216">
        <v>9</v>
      </c>
      <c r="AE216">
        <v>42</v>
      </c>
      <c r="AF216" s="27">
        <f t="shared" ca="1" si="192"/>
        <v>6372</v>
      </c>
      <c r="AG216" s="27">
        <f t="shared" ca="1" si="206"/>
        <v>1696</v>
      </c>
      <c r="AH216" s="27">
        <f t="shared" ca="1" si="207"/>
        <v>1179</v>
      </c>
      <c r="AI216" s="27">
        <f t="shared" ca="1" si="208"/>
        <v>337</v>
      </c>
      <c r="AJ216" s="27">
        <f t="shared" ca="1" si="209"/>
        <v>24</v>
      </c>
      <c r="AK216" s="27">
        <f t="shared" ca="1" si="210"/>
        <v>156</v>
      </c>
      <c r="AL216" s="27">
        <f t="shared" ca="1" si="211"/>
        <v>502</v>
      </c>
      <c r="AM216" s="27">
        <f t="shared" ca="1" si="212"/>
        <v>69</v>
      </c>
      <c r="AN216" s="27">
        <f t="shared" ca="1" si="213"/>
        <v>4105</v>
      </c>
      <c r="AO216">
        <v>4322</v>
      </c>
      <c r="AP216">
        <v>1556</v>
      </c>
      <c r="AQ216">
        <v>174</v>
      </c>
      <c r="AR216">
        <v>499</v>
      </c>
      <c r="AS216">
        <v>1015</v>
      </c>
      <c r="AT216">
        <v>108</v>
      </c>
      <c r="AU216">
        <v>168</v>
      </c>
      <c r="AV216">
        <v>0.98199999999999998</v>
      </c>
      <c r="AW216" s="1"/>
      <c r="AX216" s="1"/>
      <c r="AY216" s="29">
        <f t="shared" si="214"/>
        <v>29700</v>
      </c>
      <c r="AZ216" s="31">
        <f t="shared" si="215"/>
        <v>167783</v>
      </c>
      <c r="BA216" s="31">
        <f t="shared" ref="BA216" si="236">SUMIF($B$2:$B$571,$B216,$U$2:$U$571)</f>
        <v>104972</v>
      </c>
      <c r="BB216" s="30">
        <f t="shared" si="217"/>
        <v>0.62564145354416123</v>
      </c>
    </row>
    <row r="217" spans="2:54" x14ac:dyDescent="0.5">
      <c r="B217" s="4">
        <v>2007</v>
      </c>
      <c r="C217" t="s">
        <v>50</v>
      </c>
      <c r="D217" t="s">
        <v>51</v>
      </c>
      <c r="E217">
        <v>1</v>
      </c>
      <c r="F217" t="s">
        <v>43</v>
      </c>
      <c r="G217" t="s">
        <v>38</v>
      </c>
      <c r="H217" t="s">
        <v>38</v>
      </c>
      <c r="I217" t="s">
        <v>38</v>
      </c>
      <c r="J217">
        <v>85</v>
      </c>
      <c r="K217">
        <v>77</v>
      </c>
      <c r="L217">
        <v>752</v>
      </c>
      <c r="M217" s="20">
        <v>5643</v>
      </c>
      <c r="N217" s="20">
        <v>1530</v>
      </c>
      <c r="O217" s="20">
        <f t="shared" si="204"/>
        <v>1011</v>
      </c>
      <c r="P217" s="20">
        <v>340</v>
      </c>
      <c r="Q217" s="20">
        <v>28</v>
      </c>
      <c r="R217" s="20">
        <v>151</v>
      </c>
      <c r="S217" s="20">
        <v>500</v>
      </c>
      <c r="T217" s="20">
        <v>40</v>
      </c>
      <c r="U217" s="20">
        <f t="shared" si="205"/>
        <v>3573</v>
      </c>
      <c r="V217">
        <v>1054</v>
      </c>
      <c r="W217">
        <v>86</v>
      </c>
      <c r="X217">
        <v>33</v>
      </c>
      <c r="Y217">
        <v>37</v>
      </c>
      <c r="Z217">
        <v>690</v>
      </c>
      <c r="AA217">
        <v>650</v>
      </c>
      <c r="AB217">
        <v>4.04</v>
      </c>
      <c r="AC217">
        <v>2</v>
      </c>
      <c r="AD217">
        <v>10</v>
      </c>
      <c r="AE217">
        <v>39</v>
      </c>
      <c r="AF217" s="27">
        <f t="shared" ca="1" si="192"/>
        <v>6064</v>
      </c>
      <c r="AG217" s="27">
        <f t="shared" ca="1" si="206"/>
        <v>1565</v>
      </c>
      <c r="AH217" s="27">
        <f t="shared" ca="1" si="207"/>
        <v>1016</v>
      </c>
      <c r="AI217" s="27">
        <f t="shared" ca="1" si="208"/>
        <v>338</v>
      </c>
      <c r="AJ217" s="27">
        <f t="shared" ca="1" si="209"/>
        <v>35</v>
      </c>
      <c r="AK217" s="27">
        <f t="shared" ca="1" si="210"/>
        <v>176</v>
      </c>
      <c r="AL217" s="27">
        <f t="shared" ca="1" si="211"/>
        <v>674</v>
      </c>
      <c r="AM217" s="27">
        <f t="shared" ca="1" si="212"/>
        <v>36</v>
      </c>
      <c r="AN217" s="27">
        <f t="shared" ca="1" si="213"/>
        <v>3789</v>
      </c>
      <c r="AO217">
        <v>4340</v>
      </c>
      <c r="AP217">
        <v>1340</v>
      </c>
      <c r="AQ217">
        <v>165</v>
      </c>
      <c r="AR217">
        <v>573</v>
      </c>
      <c r="AS217">
        <v>1211</v>
      </c>
      <c r="AT217">
        <v>94</v>
      </c>
      <c r="AU217">
        <v>134</v>
      </c>
      <c r="AV217">
        <v>0.98399999999999999</v>
      </c>
      <c r="AW217" s="1"/>
      <c r="AX217" s="1"/>
      <c r="AY217" s="29">
        <f t="shared" si="214"/>
        <v>29700</v>
      </c>
      <c r="AZ217" s="31">
        <f t="shared" si="215"/>
        <v>167783</v>
      </c>
      <c r="BA217" s="31"/>
      <c r="BB217" s="30">
        <f t="shared" si="217"/>
        <v>0</v>
      </c>
    </row>
    <row r="218" spans="2:54" x14ac:dyDescent="0.5">
      <c r="B218" s="4">
        <v>2007</v>
      </c>
      <c r="C218" t="s">
        <v>52</v>
      </c>
      <c r="D218" t="s">
        <v>53</v>
      </c>
      <c r="E218">
        <v>5</v>
      </c>
      <c r="F218" t="s">
        <v>38</v>
      </c>
      <c r="G218" t="s">
        <v>38</v>
      </c>
      <c r="H218" t="s">
        <v>38</v>
      </c>
      <c r="I218" t="s">
        <v>38</v>
      </c>
      <c r="J218">
        <v>72</v>
      </c>
      <c r="K218">
        <v>90</v>
      </c>
      <c r="L218">
        <v>783</v>
      </c>
      <c r="M218" s="20">
        <v>5607</v>
      </c>
      <c r="N218" s="20">
        <v>1496</v>
      </c>
      <c r="O218" s="20">
        <f t="shared" si="204"/>
        <v>976</v>
      </c>
      <c r="P218" s="20">
        <v>293</v>
      </c>
      <c r="Q218" s="20">
        <v>23</v>
      </c>
      <c r="R218" s="20">
        <v>204</v>
      </c>
      <c r="S218" s="20">
        <v>536</v>
      </c>
      <c r="T218" s="20">
        <v>66</v>
      </c>
      <c r="U218" s="20">
        <f t="shared" si="205"/>
        <v>3509</v>
      </c>
      <c r="V218">
        <v>1113</v>
      </c>
      <c r="W218">
        <v>97</v>
      </c>
      <c r="X218">
        <v>31</v>
      </c>
      <c r="Y218">
        <v>46</v>
      </c>
      <c r="Z218">
        <v>853</v>
      </c>
      <c r="AA218">
        <v>796</v>
      </c>
      <c r="AB218">
        <v>4.9400000000000004</v>
      </c>
      <c r="AC218">
        <v>6</v>
      </c>
      <c r="AD218">
        <v>7</v>
      </c>
      <c r="AE218">
        <v>34</v>
      </c>
      <c r="AF218" s="27">
        <f t="shared" ca="1" si="192"/>
        <v>6241</v>
      </c>
      <c r="AG218" s="27">
        <f t="shared" ca="1" si="206"/>
        <v>1353</v>
      </c>
      <c r="AH218" s="27">
        <f t="shared" ca="1" si="207"/>
        <v>853</v>
      </c>
      <c r="AI218" s="27">
        <f t="shared" ca="1" si="208"/>
        <v>240</v>
      </c>
      <c r="AJ218" s="27">
        <f t="shared" ca="1" si="209"/>
        <v>23</v>
      </c>
      <c r="AK218" s="27">
        <f t="shared" ca="1" si="210"/>
        <v>237</v>
      </c>
      <c r="AL218" s="27">
        <f t="shared" ca="1" si="211"/>
        <v>464</v>
      </c>
      <c r="AM218" s="27">
        <f t="shared" ca="1" si="212"/>
        <v>51</v>
      </c>
      <c r="AN218" s="27">
        <f t="shared" ca="1" si="213"/>
        <v>4373</v>
      </c>
      <c r="AO218">
        <v>4349</v>
      </c>
      <c r="AP218">
        <v>1605</v>
      </c>
      <c r="AQ218">
        <v>198</v>
      </c>
      <c r="AR218">
        <v>482</v>
      </c>
      <c r="AS218">
        <v>1068</v>
      </c>
      <c r="AT218">
        <v>95</v>
      </c>
      <c r="AU218">
        <v>155</v>
      </c>
      <c r="AV218">
        <v>0.98399999999999999</v>
      </c>
      <c r="AW218" s="1"/>
      <c r="AX218" s="1"/>
      <c r="AY218" s="29">
        <f t="shared" si="214"/>
        <v>29700</v>
      </c>
      <c r="AZ218" s="31">
        <f t="shared" si="215"/>
        <v>167783</v>
      </c>
      <c r="BA218" s="31">
        <f t="shared" ref="BA218" si="237">SUMIF($B$2:$B$571,$B218,$O$2:$O$571)</f>
        <v>29885</v>
      </c>
      <c r="BB218" s="30">
        <f t="shared" si="217"/>
        <v>0.17811697251807393</v>
      </c>
    </row>
    <row r="219" spans="2:54" x14ac:dyDescent="0.5">
      <c r="B219" s="4">
        <v>2007</v>
      </c>
      <c r="C219" t="s">
        <v>54</v>
      </c>
      <c r="D219" t="s">
        <v>55</v>
      </c>
      <c r="E219">
        <v>1</v>
      </c>
      <c r="F219" t="s">
        <v>43</v>
      </c>
      <c r="G219" t="s">
        <v>38</v>
      </c>
      <c r="H219" t="s">
        <v>38</v>
      </c>
      <c r="I219" t="s">
        <v>38</v>
      </c>
      <c r="J219">
        <v>96</v>
      </c>
      <c r="K219">
        <v>66</v>
      </c>
      <c r="L219">
        <v>811</v>
      </c>
      <c r="M219" s="20">
        <v>5604</v>
      </c>
      <c r="N219" s="20">
        <v>1504</v>
      </c>
      <c r="O219" s="20">
        <f t="shared" si="204"/>
        <v>994</v>
      </c>
      <c r="P219" s="20">
        <v>305</v>
      </c>
      <c r="Q219" s="20">
        <v>27</v>
      </c>
      <c r="R219" s="20">
        <v>178</v>
      </c>
      <c r="S219" s="20">
        <v>590</v>
      </c>
      <c r="T219" s="20">
        <v>80</v>
      </c>
      <c r="U219" s="20">
        <f t="shared" si="205"/>
        <v>3430</v>
      </c>
      <c r="V219">
        <v>1202</v>
      </c>
      <c r="W219">
        <v>72</v>
      </c>
      <c r="X219">
        <v>41</v>
      </c>
      <c r="Y219">
        <v>59</v>
      </c>
      <c r="Z219">
        <v>704</v>
      </c>
      <c r="AA219">
        <v>658</v>
      </c>
      <c r="AB219">
        <v>4.05</v>
      </c>
      <c r="AC219">
        <v>9</v>
      </c>
      <c r="AD219">
        <v>9</v>
      </c>
      <c r="AE219">
        <v>49</v>
      </c>
      <c r="AF219" s="27">
        <f t="shared" ca="1" si="192"/>
        <v>6139</v>
      </c>
      <c r="AG219" s="27">
        <f t="shared" ca="1" si="206"/>
        <v>1381</v>
      </c>
      <c r="AH219" s="27">
        <f t="shared" ca="1" si="207"/>
        <v>786</v>
      </c>
      <c r="AI219" s="27">
        <f t="shared" ca="1" si="208"/>
        <v>346</v>
      </c>
      <c r="AJ219" s="27">
        <f t="shared" ca="1" si="209"/>
        <v>21</v>
      </c>
      <c r="AK219" s="27">
        <f t="shared" ca="1" si="210"/>
        <v>228</v>
      </c>
      <c r="AL219" s="27">
        <f t="shared" ca="1" si="211"/>
        <v>688</v>
      </c>
      <c r="AM219" s="27">
        <f t="shared" ca="1" si="212"/>
        <v>59</v>
      </c>
      <c r="AN219" s="27">
        <f t="shared" ca="1" si="213"/>
        <v>4011</v>
      </c>
      <c r="AO219">
        <v>4388</v>
      </c>
      <c r="AP219">
        <v>1519</v>
      </c>
      <c r="AQ219">
        <v>146</v>
      </c>
      <c r="AR219">
        <v>410</v>
      </c>
      <c r="AS219">
        <v>1047</v>
      </c>
      <c r="AT219">
        <v>92</v>
      </c>
      <c r="AU219">
        <v>167</v>
      </c>
      <c r="AV219">
        <v>0.98499999999999999</v>
      </c>
      <c r="AW219" s="1"/>
      <c r="AX219" s="1"/>
      <c r="AY219" s="29">
        <f t="shared" si="214"/>
        <v>29700</v>
      </c>
      <c r="AZ219" s="31">
        <f t="shared" si="215"/>
        <v>167783</v>
      </c>
      <c r="BA219" s="31">
        <f t="shared" ref="BA219" si="238">SUMIF($B$2:$B$571,$B219,$P$2:$P$571)</f>
        <v>9197</v>
      </c>
      <c r="BB219" s="30">
        <f t="shared" si="217"/>
        <v>5.4814850133803779E-2</v>
      </c>
    </row>
    <row r="220" spans="2:54" x14ac:dyDescent="0.5">
      <c r="B220" s="4">
        <v>2007</v>
      </c>
      <c r="C220" t="s">
        <v>56</v>
      </c>
      <c r="D220" t="s">
        <v>57</v>
      </c>
      <c r="E220">
        <v>2</v>
      </c>
      <c r="F220" t="s">
        <v>38</v>
      </c>
      <c r="G220" t="s">
        <v>43</v>
      </c>
      <c r="H220" t="s">
        <v>43</v>
      </c>
      <c r="I220" t="s">
        <v>38</v>
      </c>
      <c r="J220">
        <v>90</v>
      </c>
      <c r="K220">
        <v>73</v>
      </c>
      <c r="L220">
        <v>860</v>
      </c>
      <c r="M220" s="20">
        <v>5691</v>
      </c>
      <c r="N220" s="20">
        <v>1591</v>
      </c>
      <c r="O220" s="20">
        <f t="shared" si="204"/>
        <v>1071</v>
      </c>
      <c r="P220" s="20">
        <v>313</v>
      </c>
      <c r="Q220" s="20">
        <v>36</v>
      </c>
      <c r="R220" s="20">
        <v>171</v>
      </c>
      <c r="S220" s="20">
        <v>622</v>
      </c>
      <c r="T220" s="20">
        <v>58</v>
      </c>
      <c r="U220" s="20">
        <f t="shared" si="205"/>
        <v>3420</v>
      </c>
      <c r="V220">
        <v>1152</v>
      </c>
      <c r="W220">
        <v>100</v>
      </c>
      <c r="X220">
        <v>31</v>
      </c>
      <c r="Y220">
        <v>44</v>
      </c>
      <c r="Z220">
        <v>758</v>
      </c>
      <c r="AA220">
        <v>706</v>
      </c>
      <c r="AB220">
        <v>4.32</v>
      </c>
      <c r="AC220">
        <v>4</v>
      </c>
      <c r="AD220">
        <v>7</v>
      </c>
      <c r="AE220">
        <v>39</v>
      </c>
      <c r="AF220" s="27">
        <f t="shared" ca="1" si="192"/>
        <v>6210</v>
      </c>
      <c r="AG220" s="27">
        <f t="shared" ca="1" si="206"/>
        <v>1663</v>
      </c>
      <c r="AH220" s="27">
        <f t="shared" ca="1" si="207"/>
        <v>1176</v>
      </c>
      <c r="AI220" s="27">
        <f t="shared" ca="1" si="208"/>
        <v>287</v>
      </c>
      <c r="AJ220" s="27">
        <f t="shared" ca="1" si="209"/>
        <v>35</v>
      </c>
      <c r="AK220" s="27">
        <f t="shared" ca="1" si="210"/>
        <v>165</v>
      </c>
      <c r="AL220" s="27">
        <f t="shared" ca="1" si="211"/>
        <v>544</v>
      </c>
      <c r="AM220" s="27">
        <f t="shared" ca="1" si="212"/>
        <v>73</v>
      </c>
      <c r="AN220" s="27">
        <f t="shared" ca="1" si="213"/>
        <v>3930</v>
      </c>
      <c r="AO220">
        <v>4416</v>
      </c>
      <c r="AP220">
        <v>1497</v>
      </c>
      <c r="AQ220">
        <v>164</v>
      </c>
      <c r="AR220">
        <v>504</v>
      </c>
      <c r="AS220">
        <v>967</v>
      </c>
      <c r="AT220">
        <v>68</v>
      </c>
      <c r="AU220">
        <v>180</v>
      </c>
      <c r="AV220">
        <v>0.98899999999999999</v>
      </c>
      <c r="AW220" s="1"/>
      <c r="AX220" s="1"/>
      <c r="AY220" s="29">
        <f t="shared" si="214"/>
        <v>29700</v>
      </c>
      <c r="AZ220" s="31">
        <f t="shared" si="215"/>
        <v>167783</v>
      </c>
      <c r="BA220" s="31">
        <f t="shared" ref="BA220" si="239">SUMIF($B$2:$B$571,$B220,$Q$2:$Q$571)</f>
        <v>938</v>
      </c>
      <c r="BB220" s="30">
        <f t="shared" si="217"/>
        <v>5.5905544661854897E-3</v>
      </c>
    </row>
    <row r="221" spans="2:54" x14ac:dyDescent="0.5">
      <c r="B221" s="4">
        <v>2007</v>
      </c>
      <c r="C221" t="s">
        <v>58</v>
      </c>
      <c r="D221" t="s">
        <v>59</v>
      </c>
      <c r="E221">
        <v>2</v>
      </c>
      <c r="F221" t="s">
        <v>38</v>
      </c>
      <c r="G221" t="s">
        <v>38</v>
      </c>
      <c r="H221" t="s">
        <v>38</v>
      </c>
      <c r="I221" t="s">
        <v>38</v>
      </c>
      <c r="J221">
        <v>88</v>
      </c>
      <c r="K221">
        <v>74</v>
      </c>
      <c r="L221">
        <v>887</v>
      </c>
      <c r="M221" s="20">
        <v>5757</v>
      </c>
      <c r="N221" s="20">
        <v>1652</v>
      </c>
      <c r="O221" s="20">
        <f t="shared" si="204"/>
        <v>1073</v>
      </c>
      <c r="P221" s="20">
        <v>352</v>
      </c>
      <c r="Q221" s="20">
        <v>50</v>
      </c>
      <c r="R221" s="20">
        <v>177</v>
      </c>
      <c r="S221" s="20">
        <v>474</v>
      </c>
      <c r="T221" s="20">
        <v>56</v>
      </c>
      <c r="U221" s="20">
        <f t="shared" si="205"/>
        <v>3575</v>
      </c>
      <c r="V221">
        <v>1054</v>
      </c>
      <c r="W221">
        <v>103</v>
      </c>
      <c r="X221">
        <v>30</v>
      </c>
      <c r="Y221">
        <v>45</v>
      </c>
      <c r="Z221">
        <v>797</v>
      </c>
      <c r="AA221">
        <v>735</v>
      </c>
      <c r="AB221">
        <v>4.57</v>
      </c>
      <c r="AC221">
        <v>1</v>
      </c>
      <c r="AD221">
        <v>9</v>
      </c>
      <c r="AE221">
        <v>44</v>
      </c>
      <c r="AF221" s="27">
        <f t="shared" ca="1" si="192"/>
        <v>6258</v>
      </c>
      <c r="AG221" s="27">
        <f t="shared" ca="1" si="206"/>
        <v>1318</v>
      </c>
      <c r="AH221" s="27">
        <f t="shared" ca="1" si="207"/>
        <v>714</v>
      </c>
      <c r="AI221" s="27">
        <f t="shared" ca="1" si="208"/>
        <v>354</v>
      </c>
      <c r="AJ221" s="27">
        <f t="shared" ca="1" si="209"/>
        <v>49</v>
      </c>
      <c r="AK221" s="27">
        <f t="shared" ca="1" si="210"/>
        <v>201</v>
      </c>
      <c r="AL221" s="27">
        <f t="shared" ca="1" si="211"/>
        <v>567</v>
      </c>
      <c r="AM221" s="27">
        <f t="shared" ca="1" si="212"/>
        <v>65</v>
      </c>
      <c r="AN221" s="27">
        <f t="shared" ca="1" si="213"/>
        <v>4308</v>
      </c>
      <c r="AO221">
        <v>4342</v>
      </c>
      <c r="AP221">
        <v>1498</v>
      </c>
      <c r="AQ221">
        <v>174</v>
      </c>
      <c r="AR221">
        <v>566</v>
      </c>
      <c r="AS221">
        <v>1047</v>
      </c>
      <c r="AT221">
        <v>99</v>
      </c>
      <c r="AU221">
        <v>148</v>
      </c>
      <c r="AV221">
        <v>0.98399999999999999</v>
      </c>
      <c r="AW221" s="1"/>
      <c r="AX221" s="1"/>
      <c r="AY221" s="29">
        <f t="shared" si="214"/>
        <v>29700</v>
      </c>
      <c r="AZ221" s="31">
        <f t="shared" si="215"/>
        <v>167783</v>
      </c>
      <c r="BA221" s="31">
        <f t="shared" ref="BA221" si="240">SUMIF($B$2:$B$571,$B221,$R$2:$R$571)</f>
        <v>4957</v>
      </c>
      <c r="BB221" s="30">
        <f t="shared" si="217"/>
        <v>2.9544113527592189E-2</v>
      </c>
    </row>
    <row r="222" spans="2:54" x14ac:dyDescent="0.5">
      <c r="B222" s="4">
        <v>2007</v>
      </c>
      <c r="C222" t="s">
        <v>60</v>
      </c>
      <c r="D222" t="s">
        <v>61</v>
      </c>
      <c r="E222">
        <v>5</v>
      </c>
      <c r="F222" t="s">
        <v>38</v>
      </c>
      <c r="G222" t="s">
        <v>38</v>
      </c>
      <c r="H222" t="s">
        <v>38</v>
      </c>
      <c r="I222" t="s">
        <v>38</v>
      </c>
      <c r="J222">
        <v>71</v>
      </c>
      <c r="K222">
        <v>91</v>
      </c>
      <c r="L222">
        <v>790</v>
      </c>
      <c r="M222" s="20">
        <v>5627</v>
      </c>
      <c r="N222" s="20">
        <v>1504</v>
      </c>
      <c r="O222" s="20">
        <f t="shared" si="204"/>
        <v>925</v>
      </c>
      <c r="P222" s="20">
        <v>340</v>
      </c>
      <c r="Q222" s="20">
        <v>38</v>
      </c>
      <c r="R222" s="20">
        <v>201</v>
      </c>
      <c r="S222" s="20">
        <v>521</v>
      </c>
      <c r="T222" s="20">
        <v>82</v>
      </c>
      <c r="U222" s="20">
        <f t="shared" si="205"/>
        <v>3520</v>
      </c>
      <c r="V222">
        <v>1332</v>
      </c>
      <c r="W222">
        <v>105</v>
      </c>
      <c r="X222">
        <v>34</v>
      </c>
      <c r="Y222">
        <v>42</v>
      </c>
      <c r="Z222">
        <v>891</v>
      </c>
      <c r="AA222">
        <v>793</v>
      </c>
      <c r="AB222">
        <v>4.9400000000000004</v>
      </c>
      <c r="AC222">
        <v>0</v>
      </c>
      <c r="AD222">
        <v>4</v>
      </c>
      <c r="AE222">
        <v>40</v>
      </c>
      <c r="AF222" s="27">
        <f t="shared" ca="1" si="192"/>
        <v>6402</v>
      </c>
      <c r="AG222" s="27">
        <f t="shared" ca="1" si="206"/>
        <v>1520</v>
      </c>
      <c r="AH222" s="27">
        <f t="shared" ca="1" si="207"/>
        <v>1067</v>
      </c>
      <c r="AI222" s="27">
        <f t="shared" ca="1" si="208"/>
        <v>234</v>
      </c>
      <c r="AJ222" s="27">
        <f t="shared" ca="1" si="209"/>
        <v>26</v>
      </c>
      <c r="AK222" s="27">
        <f t="shared" ca="1" si="210"/>
        <v>193</v>
      </c>
      <c r="AL222" s="27">
        <f t="shared" ca="1" si="211"/>
        <v>487</v>
      </c>
      <c r="AM222" s="27">
        <f t="shared" ca="1" si="212"/>
        <v>53</v>
      </c>
      <c r="AN222" s="27">
        <f t="shared" ca="1" si="213"/>
        <v>4342</v>
      </c>
      <c r="AO222">
        <v>4331</v>
      </c>
      <c r="AP222">
        <v>1617</v>
      </c>
      <c r="AQ222">
        <v>176</v>
      </c>
      <c r="AR222">
        <v>661</v>
      </c>
      <c r="AS222">
        <v>1142</v>
      </c>
      <c r="AT222">
        <v>137</v>
      </c>
      <c r="AU222">
        <v>159</v>
      </c>
      <c r="AV222">
        <v>0.97699999999999998</v>
      </c>
      <c r="AW222" s="1"/>
      <c r="AX222" s="1"/>
      <c r="AY222" s="29">
        <f t="shared" si="214"/>
        <v>29700</v>
      </c>
      <c r="AZ222" s="31">
        <f t="shared" si="215"/>
        <v>167783</v>
      </c>
      <c r="BA222" s="31">
        <f t="shared" ref="BA222" si="241">SUMIF($B$2:$B$571,$B222,$S$2:$S$571)</f>
        <v>16079</v>
      </c>
      <c r="BB222" s="30">
        <f t="shared" si="217"/>
        <v>9.5832116483791557E-2</v>
      </c>
    </row>
    <row r="223" spans="2:54" x14ac:dyDescent="0.5">
      <c r="B223" s="4">
        <v>2007</v>
      </c>
      <c r="C223" t="s">
        <v>62</v>
      </c>
      <c r="D223" t="s">
        <v>63</v>
      </c>
      <c r="E223">
        <v>4</v>
      </c>
      <c r="F223" t="s">
        <v>38</v>
      </c>
      <c r="G223" t="s">
        <v>38</v>
      </c>
      <c r="H223" t="s">
        <v>38</v>
      </c>
      <c r="I223" t="s">
        <v>38</v>
      </c>
      <c r="J223">
        <v>73</v>
      </c>
      <c r="K223">
        <v>89</v>
      </c>
      <c r="L223">
        <v>723</v>
      </c>
      <c r="M223" s="20">
        <v>5605</v>
      </c>
      <c r="N223" s="20">
        <v>1457</v>
      </c>
      <c r="O223" s="20">
        <f t="shared" si="204"/>
        <v>967</v>
      </c>
      <c r="P223" s="20">
        <v>293</v>
      </c>
      <c r="Q223" s="20">
        <v>30</v>
      </c>
      <c r="R223" s="20">
        <v>167</v>
      </c>
      <c r="S223" s="20">
        <v>547</v>
      </c>
      <c r="T223" s="20">
        <v>55</v>
      </c>
      <c r="U223" s="20">
        <f t="shared" si="205"/>
        <v>3546</v>
      </c>
      <c r="V223">
        <v>1043</v>
      </c>
      <c r="W223">
        <v>65</v>
      </c>
      <c r="X223">
        <v>33</v>
      </c>
      <c r="Y223">
        <v>40</v>
      </c>
      <c r="Z223">
        <v>813</v>
      </c>
      <c r="AA223">
        <v>761</v>
      </c>
      <c r="AB223">
        <v>4.68</v>
      </c>
      <c r="AC223">
        <v>2</v>
      </c>
      <c r="AD223">
        <v>6</v>
      </c>
      <c r="AE223">
        <v>38</v>
      </c>
      <c r="AF223" s="27">
        <f t="shared" ca="1" si="192"/>
        <v>6068</v>
      </c>
      <c r="AG223" s="27">
        <f t="shared" ca="1" si="206"/>
        <v>1345</v>
      </c>
      <c r="AH223" s="27">
        <f t="shared" ca="1" si="207"/>
        <v>884</v>
      </c>
      <c r="AI223" s="27">
        <f t="shared" ca="1" si="208"/>
        <v>280</v>
      </c>
      <c r="AJ223" s="27">
        <f t="shared" ca="1" si="209"/>
        <v>50</v>
      </c>
      <c r="AK223" s="27">
        <f t="shared" ca="1" si="210"/>
        <v>131</v>
      </c>
      <c r="AL223" s="27">
        <f t="shared" ca="1" si="211"/>
        <v>641</v>
      </c>
      <c r="AM223" s="27">
        <f t="shared" ca="1" si="212"/>
        <v>90</v>
      </c>
      <c r="AN223" s="27">
        <f t="shared" ca="1" si="213"/>
        <v>3992</v>
      </c>
      <c r="AO223">
        <v>4394</v>
      </c>
      <c r="AP223">
        <v>1566</v>
      </c>
      <c r="AQ223">
        <v>206</v>
      </c>
      <c r="AR223">
        <v>510</v>
      </c>
      <c r="AS223">
        <v>1109</v>
      </c>
      <c r="AT223">
        <v>103</v>
      </c>
      <c r="AU223">
        <v>128</v>
      </c>
      <c r="AV223">
        <v>0.98299999999999998</v>
      </c>
      <c r="AW223" s="1"/>
      <c r="AX223" s="1"/>
      <c r="AY223" s="29">
        <f t="shared" si="214"/>
        <v>29700</v>
      </c>
      <c r="AZ223" s="31">
        <f t="shared" si="215"/>
        <v>167783</v>
      </c>
      <c r="BA223" s="31">
        <f t="shared" ref="BA223" si="242">SUMIF($B$2:$B$571,$B223,$T$2:$T$571)</f>
        <v>1755</v>
      </c>
      <c r="BB223" s="30">
        <f t="shared" si="217"/>
        <v>1.0459939326391828E-2</v>
      </c>
    </row>
    <row r="224" spans="2:54" x14ac:dyDescent="0.5">
      <c r="B224" s="4">
        <v>2007</v>
      </c>
      <c r="C224" t="s">
        <v>64</v>
      </c>
      <c r="D224" t="s">
        <v>65</v>
      </c>
      <c r="E224">
        <v>5</v>
      </c>
      <c r="F224" t="s">
        <v>38</v>
      </c>
      <c r="G224" t="s">
        <v>38</v>
      </c>
      <c r="H224" t="s">
        <v>38</v>
      </c>
      <c r="I224" t="s">
        <v>38</v>
      </c>
      <c r="J224">
        <v>69</v>
      </c>
      <c r="K224">
        <v>93</v>
      </c>
      <c r="L224">
        <v>706</v>
      </c>
      <c r="M224" s="20">
        <v>5534</v>
      </c>
      <c r="N224" s="20">
        <v>1447</v>
      </c>
      <c r="O224" s="20">
        <f t="shared" si="204"/>
        <v>999</v>
      </c>
      <c r="P224" s="20">
        <v>300</v>
      </c>
      <c r="Q224" s="20">
        <v>46</v>
      </c>
      <c r="R224" s="20">
        <v>102</v>
      </c>
      <c r="S224" s="20">
        <v>428</v>
      </c>
      <c r="T224" s="20">
        <v>89</v>
      </c>
      <c r="U224" s="20">
        <f t="shared" si="205"/>
        <v>3570</v>
      </c>
      <c r="V224">
        <v>1069</v>
      </c>
      <c r="W224">
        <v>78</v>
      </c>
      <c r="X224">
        <v>44</v>
      </c>
      <c r="Y224">
        <v>47</v>
      </c>
      <c r="Z224">
        <v>778</v>
      </c>
      <c r="AA224">
        <v>716</v>
      </c>
      <c r="AB224">
        <v>4.4800000000000004</v>
      </c>
      <c r="AC224">
        <v>2</v>
      </c>
      <c r="AD224">
        <v>6</v>
      </c>
      <c r="AE224">
        <v>36</v>
      </c>
      <c r="AF224" s="27">
        <f t="shared" ca="1" si="192"/>
        <v>6161</v>
      </c>
      <c r="AG224" s="27">
        <f t="shared" ca="1" si="206"/>
        <v>1438</v>
      </c>
      <c r="AH224" s="27">
        <f t="shared" ca="1" si="207"/>
        <v>1004</v>
      </c>
      <c r="AI224" s="27">
        <f t="shared" ca="1" si="208"/>
        <v>232</v>
      </c>
      <c r="AJ224" s="27">
        <f t="shared" ca="1" si="209"/>
        <v>24</v>
      </c>
      <c r="AK224" s="27">
        <f t="shared" ca="1" si="210"/>
        <v>178</v>
      </c>
      <c r="AL224" s="27">
        <f t="shared" ca="1" si="211"/>
        <v>443</v>
      </c>
      <c r="AM224" s="27">
        <f t="shared" ca="1" si="212"/>
        <v>32</v>
      </c>
      <c r="AN224" s="27">
        <f t="shared" ca="1" si="213"/>
        <v>4248</v>
      </c>
      <c r="AO224">
        <v>4312</v>
      </c>
      <c r="AP224">
        <v>1547</v>
      </c>
      <c r="AQ224">
        <v>168</v>
      </c>
      <c r="AR224">
        <v>520</v>
      </c>
      <c r="AS224">
        <v>993</v>
      </c>
      <c r="AT224">
        <v>106</v>
      </c>
      <c r="AU224">
        <v>160</v>
      </c>
      <c r="AV224">
        <v>0.98199999999999998</v>
      </c>
      <c r="AW224" s="1"/>
      <c r="AX224" s="1"/>
      <c r="AY224" s="29">
        <f t="shared" si="214"/>
        <v>29700</v>
      </c>
      <c r="AZ224" s="31">
        <f t="shared" si="215"/>
        <v>167783</v>
      </c>
      <c r="BA224" s="31">
        <f t="shared" ref="BA224" si="243">SUMIF($B$2:$B$571,$B224,$U$2:$U$571)</f>
        <v>104972</v>
      </c>
      <c r="BB224" s="30">
        <f t="shared" si="217"/>
        <v>0.62564145354416123</v>
      </c>
    </row>
    <row r="225" spans="2:54" x14ac:dyDescent="0.5">
      <c r="B225" s="4">
        <v>2007</v>
      </c>
      <c r="C225" t="s">
        <v>98</v>
      </c>
      <c r="D225" t="s">
        <v>99</v>
      </c>
      <c r="E225">
        <v>1</v>
      </c>
      <c r="F225" t="s">
        <v>43</v>
      </c>
      <c r="G225" t="s">
        <v>38</v>
      </c>
      <c r="H225" t="s">
        <v>38</v>
      </c>
      <c r="I225" t="s">
        <v>38</v>
      </c>
      <c r="J225">
        <v>94</v>
      </c>
      <c r="K225">
        <v>68</v>
      </c>
      <c r="L225">
        <v>822</v>
      </c>
      <c r="M225" s="20">
        <v>5554</v>
      </c>
      <c r="N225" s="20">
        <v>1578</v>
      </c>
      <c r="O225" s="20">
        <f t="shared" si="204"/>
        <v>1108</v>
      </c>
      <c r="P225" s="20">
        <v>324</v>
      </c>
      <c r="Q225" s="20">
        <v>23</v>
      </c>
      <c r="R225" s="20">
        <v>123</v>
      </c>
      <c r="S225" s="20">
        <v>507</v>
      </c>
      <c r="T225" s="20">
        <v>40</v>
      </c>
      <c r="U225" s="20">
        <f t="shared" si="205"/>
        <v>3429</v>
      </c>
      <c r="V225">
        <v>883</v>
      </c>
      <c r="W225">
        <v>139</v>
      </c>
      <c r="X225">
        <v>55</v>
      </c>
      <c r="Y225">
        <v>65</v>
      </c>
      <c r="Z225">
        <v>731</v>
      </c>
      <c r="AA225">
        <v>674</v>
      </c>
      <c r="AB225">
        <v>4.2300000000000004</v>
      </c>
      <c r="AC225">
        <v>5</v>
      </c>
      <c r="AD225">
        <v>9</v>
      </c>
      <c r="AE225">
        <v>43</v>
      </c>
      <c r="AF225" s="27">
        <f t="shared" ca="1" si="192"/>
        <v>6236</v>
      </c>
      <c r="AG225" s="27">
        <f t="shared" ca="1" si="206"/>
        <v>1647</v>
      </c>
      <c r="AH225" s="27">
        <f t="shared" ca="1" si="207"/>
        <v>1162</v>
      </c>
      <c r="AI225" s="27">
        <f t="shared" ca="1" si="208"/>
        <v>251</v>
      </c>
      <c r="AJ225" s="27">
        <f t="shared" ca="1" si="209"/>
        <v>46</v>
      </c>
      <c r="AK225" s="27">
        <f t="shared" ca="1" si="210"/>
        <v>188</v>
      </c>
      <c r="AL225" s="27">
        <f t="shared" ca="1" si="211"/>
        <v>543</v>
      </c>
      <c r="AM225" s="27">
        <f t="shared" ca="1" si="212"/>
        <v>54</v>
      </c>
      <c r="AN225" s="27">
        <f t="shared" ca="1" si="213"/>
        <v>3992</v>
      </c>
      <c r="AO225">
        <v>4305</v>
      </c>
      <c r="AP225">
        <v>1480</v>
      </c>
      <c r="AQ225">
        <v>151</v>
      </c>
      <c r="AR225">
        <v>477</v>
      </c>
      <c r="AS225">
        <v>1156</v>
      </c>
      <c r="AT225">
        <v>101</v>
      </c>
      <c r="AU225">
        <v>154</v>
      </c>
      <c r="AV225">
        <v>0.98299999999999998</v>
      </c>
      <c r="AW225" s="1"/>
      <c r="AX225" s="1"/>
      <c r="AY225" s="29">
        <f t="shared" si="214"/>
        <v>29700</v>
      </c>
      <c r="AZ225" s="31">
        <f t="shared" si="215"/>
        <v>167783</v>
      </c>
      <c r="BA225" s="31"/>
      <c r="BB225" s="30">
        <f t="shared" si="217"/>
        <v>0</v>
      </c>
    </row>
    <row r="226" spans="2:54" x14ac:dyDescent="0.5">
      <c r="B226" s="4">
        <v>2007</v>
      </c>
      <c r="C226" t="s">
        <v>66</v>
      </c>
      <c r="D226" t="s">
        <v>67</v>
      </c>
      <c r="E226">
        <v>4</v>
      </c>
      <c r="F226" t="s">
        <v>38</v>
      </c>
      <c r="G226" t="s">
        <v>38</v>
      </c>
      <c r="H226" t="s">
        <v>38</v>
      </c>
      <c r="I226" t="s">
        <v>38</v>
      </c>
      <c r="J226">
        <v>82</v>
      </c>
      <c r="K226">
        <v>80</v>
      </c>
      <c r="L226">
        <v>735</v>
      </c>
      <c r="M226" s="20">
        <v>5614</v>
      </c>
      <c r="N226" s="20">
        <v>1544</v>
      </c>
      <c r="O226" s="20">
        <f t="shared" si="204"/>
        <v>1104</v>
      </c>
      <c r="P226" s="20">
        <v>276</v>
      </c>
      <c r="Q226" s="20">
        <v>35</v>
      </c>
      <c r="R226" s="20">
        <v>129</v>
      </c>
      <c r="S226" s="20">
        <v>511</v>
      </c>
      <c r="T226" s="20">
        <v>41</v>
      </c>
      <c r="U226" s="20">
        <f t="shared" si="205"/>
        <v>3518</v>
      </c>
      <c r="V226">
        <v>864</v>
      </c>
      <c r="W226">
        <v>137</v>
      </c>
      <c r="X226">
        <v>50</v>
      </c>
      <c r="Y226">
        <v>55</v>
      </c>
      <c r="Z226">
        <v>727</v>
      </c>
      <c r="AA226">
        <v>677</v>
      </c>
      <c r="AB226">
        <v>4.2</v>
      </c>
      <c r="AC226">
        <v>4</v>
      </c>
      <c r="AD226">
        <v>6</v>
      </c>
      <c r="AE226">
        <v>43</v>
      </c>
      <c r="AF226" s="27">
        <f t="shared" ca="1" si="192"/>
        <v>6364</v>
      </c>
      <c r="AG226" s="27">
        <f t="shared" ca="1" si="206"/>
        <v>1508</v>
      </c>
      <c r="AH226" s="27">
        <f t="shared" ca="1" si="207"/>
        <v>918</v>
      </c>
      <c r="AI226" s="27">
        <f t="shared" ca="1" si="208"/>
        <v>383</v>
      </c>
      <c r="AJ226" s="27">
        <f t="shared" ca="1" si="209"/>
        <v>35</v>
      </c>
      <c r="AK226" s="27">
        <f t="shared" ca="1" si="210"/>
        <v>172</v>
      </c>
      <c r="AL226" s="27">
        <f t="shared" ca="1" si="211"/>
        <v>603</v>
      </c>
      <c r="AM226" s="27">
        <f t="shared" ca="1" si="212"/>
        <v>57</v>
      </c>
      <c r="AN226" s="27">
        <f t="shared" ca="1" si="213"/>
        <v>4196</v>
      </c>
      <c r="AO226">
        <v>4350</v>
      </c>
      <c r="AP226">
        <v>1443</v>
      </c>
      <c r="AQ226">
        <v>146</v>
      </c>
      <c r="AR226">
        <v>518</v>
      </c>
      <c r="AS226">
        <v>1184</v>
      </c>
      <c r="AT226">
        <v>114</v>
      </c>
      <c r="AU226">
        <v>160</v>
      </c>
      <c r="AV226">
        <v>0.98099999999999998</v>
      </c>
      <c r="AW226" s="1"/>
      <c r="AX226" s="1"/>
      <c r="AY226" s="29">
        <f t="shared" si="214"/>
        <v>29700</v>
      </c>
      <c r="AZ226" s="31">
        <f t="shared" si="215"/>
        <v>167783</v>
      </c>
      <c r="BA226" s="31">
        <f t="shared" ref="BA226" si="244">SUMIF($B$2:$B$571,$B226,$O$2:$O$571)</f>
        <v>29885</v>
      </c>
      <c r="BB226" s="30">
        <f t="shared" si="217"/>
        <v>0.17811697251807393</v>
      </c>
    </row>
    <row r="227" spans="2:54" x14ac:dyDescent="0.5">
      <c r="B227" s="4">
        <v>2007</v>
      </c>
      <c r="C227" t="s">
        <v>68</v>
      </c>
      <c r="D227" t="s">
        <v>69</v>
      </c>
      <c r="E227">
        <v>2</v>
      </c>
      <c r="F227" t="s">
        <v>38</v>
      </c>
      <c r="G227" t="s">
        <v>38</v>
      </c>
      <c r="H227" t="s">
        <v>38</v>
      </c>
      <c r="I227" t="s">
        <v>38</v>
      </c>
      <c r="J227">
        <v>83</v>
      </c>
      <c r="K227">
        <v>79</v>
      </c>
      <c r="L227">
        <v>801</v>
      </c>
      <c r="M227" s="20">
        <v>5554</v>
      </c>
      <c r="N227" s="20">
        <v>1455</v>
      </c>
      <c r="O227" s="20">
        <f t="shared" si="204"/>
        <v>877</v>
      </c>
      <c r="P227" s="20">
        <v>310</v>
      </c>
      <c r="Q227" s="20">
        <v>37</v>
      </c>
      <c r="R227" s="20">
        <v>231</v>
      </c>
      <c r="S227" s="20">
        <v>501</v>
      </c>
      <c r="T227" s="20">
        <v>76</v>
      </c>
      <c r="U227" s="20">
        <f t="shared" si="205"/>
        <v>3522</v>
      </c>
      <c r="V227">
        <v>1137</v>
      </c>
      <c r="W227">
        <v>96</v>
      </c>
      <c r="X227">
        <v>32</v>
      </c>
      <c r="Y227">
        <v>47</v>
      </c>
      <c r="Z227">
        <v>776</v>
      </c>
      <c r="AA227">
        <v>708</v>
      </c>
      <c r="AB227">
        <v>4.41</v>
      </c>
      <c r="AC227">
        <v>3</v>
      </c>
      <c r="AD227">
        <v>6</v>
      </c>
      <c r="AE227">
        <v>49</v>
      </c>
      <c r="AF227" s="27">
        <f t="shared" ca="1" si="192"/>
        <v>6215</v>
      </c>
      <c r="AG227" s="27">
        <f t="shared" ca="1" si="206"/>
        <v>1351</v>
      </c>
      <c r="AH227" s="27">
        <f t="shared" ca="1" si="207"/>
        <v>855</v>
      </c>
      <c r="AI227" s="27">
        <f t="shared" ca="1" si="208"/>
        <v>262</v>
      </c>
      <c r="AJ227" s="27">
        <f t="shared" ca="1" si="209"/>
        <v>30</v>
      </c>
      <c r="AK227" s="27">
        <f t="shared" ca="1" si="210"/>
        <v>204</v>
      </c>
      <c r="AL227" s="27">
        <f t="shared" ca="1" si="211"/>
        <v>539</v>
      </c>
      <c r="AM227" s="27">
        <f t="shared" ca="1" si="212"/>
        <v>51</v>
      </c>
      <c r="AN227" s="27">
        <f t="shared" ca="1" si="213"/>
        <v>4274</v>
      </c>
      <c r="AO227">
        <v>4333</v>
      </c>
      <c r="AP227">
        <v>1513</v>
      </c>
      <c r="AQ227">
        <v>161</v>
      </c>
      <c r="AR227">
        <v>507</v>
      </c>
      <c r="AS227">
        <v>1174</v>
      </c>
      <c r="AT227">
        <v>109</v>
      </c>
      <c r="AU227">
        <v>144</v>
      </c>
      <c r="AV227">
        <v>0.98199999999999998</v>
      </c>
      <c r="AW227" s="1"/>
      <c r="AX227" s="1"/>
      <c r="AY227" s="29">
        <f t="shared" si="214"/>
        <v>29700</v>
      </c>
      <c r="AZ227" s="31">
        <f t="shared" si="215"/>
        <v>167783</v>
      </c>
      <c r="BA227" s="31">
        <f t="shared" ref="BA227" si="245">SUMIF($B$2:$B$571,$B227,$P$2:$P$571)</f>
        <v>9197</v>
      </c>
      <c r="BB227" s="30">
        <f t="shared" si="217"/>
        <v>5.4814850133803779E-2</v>
      </c>
    </row>
    <row r="228" spans="2:54" x14ac:dyDescent="0.5">
      <c r="B228" s="4">
        <v>2007</v>
      </c>
      <c r="C228" t="s">
        <v>70</v>
      </c>
      <c r="D228" t="s">
        <v>71</v>
      </c>
      <c r="E228">
        <v>3</v>
      </c>
      <c r="F228" t="s">
        <v>38</v>
      </c>
      <c r="G228" t="s">
        <v>38</v>
      </c>
      <c r="H228" t="s">
        <v>38</v>
      </c>
      <c r="I228" t="s">
        <v>38</v>
      </c>
      <c r="J228">
        <v>79</v>
      </c>
      <c r="K228">
        <v>83</v>
      </c>
      <c r="L228">
        <v>718</v>
      </c>
      <c r="M228" s="20">
        <v>5522</v>
      </c>
      <c r="N228" s="20">
        <v>1460</v>
      </c>
      <c r="O228" s="20">
        <f t="shared" si="204"/>
        <v>1033</v>
      </c>
      <c r="P228" s="20">
        <v>273</v>
      </c>
      <c r="Q228" s="20">
        <v>36</v>
      </c>
      <c r="R228" s="20">
        <v>118</v>
      </c>
      <c r="S228" s="20">
        <v>512</v>
      </c>
      <c r="T228" s="20">
        <v>48</v>
      </c>
      <c r="U228" s="20">
        <f t="shared" si="205"/>
        <v>3502</v>
      </c>
      <c r="V228">
        <v>839</v>
      </c>
      <c r="W228">
        <v>112</v>
      </c>
      <c r="X228">
        <v>30</v>
      </c>
      <c r="Y228">
        <v>45</v>
      </c>
      <c r="Z228">
        <v>725</v>
      </c>
      <c r="AA228">
        <v>663</v>
      </c>
      <c r="AB228">
        <v>4.1500000000000004</v>
      </c>
      <c r="AC228">
        <v>5</v>
      </c>
      <c r="AD228">
        <v>8</v>
      </c>
      <c r="AE228">
        <v>38</v>
      </c>
      <c r="AF228" s="27">
        <f t="shared" ca="1" si="192"/>
        <v>6374</v>
      </c>
      <c r="AG228" s="27">
        <f t="shared" ca="1" si="206"/>
        <v>1655</v>
      </c>
      <c r="AH228" s="27">
        <f t="shared" ca="1" si="207"/>
        <v>1035</v>
      </c>
      <c r="AI228" s="27">
        <f t="shared" ca="1" si="208"/>
        <v>369</v>
      </c>
      <c r="AJ228" s="27">
        <f t="shared" ca="1" si="209"/>
        <v>47</v>
      </c>
      <c r="AK228" s="27">
        <f t="shared" ca="1" si="210"/>
        <v>204</v>
      </c>
      <c r="AL228" s="27">
        <f t="shared" ca="1" si="211"/>
        <v>637</v>
      </c>
      <c r="AM228" s="27">
        <f t="shared" ca="1" si="212"/>
        <v>74</v>
      </c>
      <c r="AN228" s="27">
        <f t="shared" ca="1" si="213"/>
        <v>4008</v>
      </c>
      <c r="AO228">
        <v>4310</v>
      </c>
      <c r="AP228">
        <v>1505</v>
      </c>
      <c r="AQ228">
        <v>185</v>
      </c>
      <c r="AR228">
        <v>420</v>
      </c>
      <c r="AS228">
        <v>1094</v>
      </c>
      <c r="AT228">
        <v>95</v>
      </c>
      <c r="AU228">
        <v>151</v>
      </c>
      <c r="AV228">
        <v>0.98399999999999999</v>
      </c>
      <c r="AW228" s="1"/>
      <c r="AX228" s="1"/>
      <c r="AY228" s="29">
        <f t="shared" si="214"/>
        <v>29700</v>
      </c>
      <c r="AZ228" s="31">
        <f t="shared" si="215"/>
        <v>167783</v>
      </c>
      <c r="BA228" s="31">
        <f t="shared" ref="BA228" si="246">SUMIF($B$2:$B$571,$B228,$Q$2:$Q$571)</f>
        <v>938</v>
      </c>
      <c r="BB228" s="30">
        <f t="shared" si="217"/>
        <v>5.5905544661854897E-3</v>
      </c>
    </row>
    <row r="229" spans="2:54" x14ac:dyDescent="0.5">
      <c r="B229" s="4">
        <v>2007</v>
      </c>
      <c r="C229" t="s">
        <v>74</v>
      </c>
      <c r="D229" t="s">
        <v>75</v>
      </c>
      <c r="E229">
        <v>2</v>
      </c>
      <c r="F229" t="s">
        <v>38</v>
      </c>
      <c r="G229" t="s">
        <v>43</v>
      </c>
      <c r="H229" t="s">
        <v>38</v>
      </c>
      <c r="I229" t="s">
        <v>38</v>
      </c>
      <c r="J229">
        <v>94</v>
      </c>
      <c r="K229">
        <v>68</v>
      </c>
      <c r="L229">
        <v>968</v>
      </c>
      <c r="M229" s="20">
        <v>5717</v>
      </c>
      <c r="N229" s="20">
        <v>1656</v>
      </c>
      <c r="O229" s="20">
        <f t="shared" si="204"/>
        <v>1097</v>
      </c>
      <c r="P229" s="20">
        <v>326</v>
      </c>
      <c r="Q229" s="20">
        <v>32</v>
      </c>
      <c r="R229" s="20">
        <v>201</v>
      </c>
      <c r="S229" s="20">
        <v>637</v>
      </c>
      <c r="T229" s="20">
        <v>78</v>
      </c>
      <c r="U229" s="20">
        <f t="shared" si="205"/>
        <v>3346</v>
      </c>
      <c r="V229">
        <v>991</v>
      </c>
      <c r="W229">
        <v>123</v>
      </c>
      <c r="X229">
        <v>40</v>
      </c>
      <c r="Y229">
        <v>54</v>
      </c>
      <c r="Z229">
        <v>777</v>
      </c>
      <c r="AA229">
        <v>724</v>
      </c>
      <c r="AB229">
        <v>4.49</v>
      </c>
      <c r="AC229">
        <v>1</v>
      </c>
      <c r="AD229">
        <v>5</v>
      </c>
      <c r="AE229">
        <v>34</v>
      </c>
      <c r="AF229" s="27">
        <f t="shared" ca="1" si="192"/>
        <v>6053</v>
      </c>
      <c r="AG229" s="27">
        <f t="shared" ca="1" si="206"/>
        <v>1632</v>
      </c>
      <c r="AH229" s="27">
        <f t="shared" ca="1" si="207"/>
        <v>1223</v>
      </c>
      <c r="AI229" s="27">
        <f t="shared" ca="1" si="208"/>
        <v>230</v>
      </c>
      <c r="AJ229" s="27">
        <f t="shared" ca="1" si="209"/>
        <v>41</v>
      </c>
      <c r="AK229" s="27">
        <f t="shared" ca="1" si="210"/>
        <v>138</v>
      </c>
      <c r="AL229" s="27">
        <f t="shared" ca="1" si="211"/>
        <v>429</v>
      </c>
      <c r="AM229" s="27">
        <f t="shared" ca="1" si="212"/>
        <v>71</v>
      </c>
      <c r="AN229" s="27">
        <f t="shared" ca="1" si="213"/>
        <v>3921</v>
      </c>
      <c r="AO229">
        <v>4352</v>
      </c>
      <c r="AP229">
        <v>1498</v>
      </c>
      <c r="AQ229">
        <v>150</v>
      </c>
      <c r="AR229">
        <v>578</v>
      </c>
      <c r="AS229">
        <v>1009</v>
      </c>
      <c r="AT229">
        <v>88</v>
      </c>
      <c r="AU229">
        <v>174</v>
      </c>
      <c r="AV229">
        <v>0.98499999999999999</v>
      </c>
      <c r="AW229" s="1"/>
      <c r="AX229" s="1"/>
      <c r="AY229" s="29">
        <f t="shared" si="214"/>
        <v>29700</v>
      </c>
      <c r="AZ229" s="31">
        <f t="shared" si="215"/>
        <v>167783</v>
      </c>
      <c r="BA229" s="31">
        <f t="shared" ref="BA229" si="247">SUMIF($B$2:$B$571,$B229,$R$2:$R$571)</f>
        <v>4957</v>
      </c>
      <c r="BB229" s="30">
        <f t="shared" si="217"/>
        <v>2.9544113527592189E-2</v>
      </c>
    </row>
    <row r="230" spans="2:54" x14ac:dyDescent="0.5">
      <c r="B230" s="4">
        <v>2007</v>
      </c>
      <c r="C230" t="s">
        <v>76</v>
      </c>
      <c r="D230" t="s">
        <v>77</v>
      </c>
      <c r="E230">
        <v>2</v>
      </c>
      <c r="F230" t="s">
        <v>38</v>
      </c>
      <c r="G230" t="s">
        <v>38</v>
      </c>
      <c r="H230" t="s">
        <v>38</v>
      </c>
      <c r="I230" t="s">
        <v>38</v>
      </c>
      <c r="J230">
        <v>88</v>
      </c>
      <c r="K230">
        <v>74</v>
      </c>
      <c r="L230">
        <v>804</v>
      </c>
      <c r="M230" s="20">
        <v>5605</v>
      </c>
      <c r="N230" s="20">
        <v>1543</v>
      </c>
      <c r="O230" s="20">
        <f t="shared" si="204"/>
        <v>1045</v>
      </c>
      <c r="P230" s="20">
        <v>294</v>
      </c>
      <c r="Q230" s="20">
        <v>27</v>
      </c>
      <c r="R230" s="20">
        <v>177</v>
      </c>
      <c r="S230" s="20">
        <v>549</v>
      </c>
      <c r="T230" s="20">
        <v>54</v>
      </c>
      <c r="U230" s="20">
        <f t="shared" si="205"/>
        <v>3459</v>
      </c>
      <c r="V230">
        <v>981</v>
      </c>
      <c r="W230">
        <v>200</v>
      </c>
      <c r="X230">
        <v>46</v>
      </c>
      <c r="Y230">
        <v>58</v>
      </c>
      <c r="Z230">
        <v>750</v>
      </c>
      <c r="AA230">
        <v>687</v>
      </c>
      <c r="AB230">
        <v>4.26</v>
      </c>
      <c r="AC230">
        <v>2</v>
      </c>
      <c r="AD230">
        <v>10</v>
      </c>
      <c r="AE230">
        <v>39</v>
      </c>
      <c r="AF230" s="27">
        <f t="shared" ca="1" si="192"/>
        <v>6243</v>
      </c>
      <c r="AG230" s="27">
        <f t="shared" ca="1" si="206"/>
        <v>1385</v>
      </c>
      <c r="AH230" s="27">
        <f t="shared" ca="1" si="207"/>
        <v>799</v>
      </c>
      <c r="AI230" s="27">
        <f t="shared" ca="1" si="208"/>
        <v>367</v>
      </c>
      <c r="AJ230" s="27">
        <f t="shared" ca="1" si="209"/>
        <v>23</v>
      </c>
      <c r="AK230" s="27">
        <f t="shared" ca="1" si="210"/>
        <v>196</v>
      </c>
      <c r="AL230" s="27">
        <f t="shared" ca="1" si="211"/>
        <v>434</v>
      </c>
      <c r="AM230" s="27">
        <f t="shared" ca="1" si="212"/>
        <v>60</v>
      </c>
      <c r="AN230" s="27">
        <f t="shared" ca="1" si="213"/>
        <v>4364</v>
      </c>
      <c r="AO230">
        <v>4357</v>
      </c>
      <c r="AP230">
        <v>1415</v>
      </c>
      <c r="AQ230">
        <v>165</v>
      </c>
      <c r="AR230">
        <v>570</v>
      </c>
      <c r="AS230">
        <v>1134</v>
      </c>
      <c r="AT230">
        <v>101</v>
      </c>
      <c r="AU230">
        <v>124</v>
      </c>
      <c r="AV230">
        <v>0.98299999999999998</v>
      </c>
      <c r="AW230" s="1"/>
      <c r="AX230" s="1"/>
      <c r="AY230" s="29">
        <f t="shared" si="214"/>
        <v>29700</v>
      </c>
      <c r="AZ230" s="31">
        <f t="shared" si="215"/>
        <v>167783</v>
      </c>
      <c r="BA230" s="31">
        <f t="shared" ref="BA230" si="248">SUMIF($B$2:$B$571,$B230,$S$2:$S$571)</f>
        <v>16079</v>
      </c>
      <c r="BB230" s="30">
        <f t="shared" si="217"/>
        <v>9.5832116483791557E-2</v>
      </c>
    </row>
    <row r="231" spans="2:54" x14ac:dyDescent="0.5">
      <c r="B231" s="4">
        <v>2007</v>
      </c>
      <c r="C231" t="s">
        <v>78</v>
      </c>
      <c r="D231" t="s">
        <v>79</v>
      </c>
      <c r="E231">
        <v>3</v>
      </c>
      <c r="F231" t="s">
        <v>38</v>
      </c>
      <c r="G231" t="s">
        <v>38</v>
      </c>
      <c r="H231" t="s">
        <v>38</v>
      </c>
      <c r="I231" t="s">
        <v>38</v>
      </c>
      <c r="J231">
        <v>76</v>
      </c>
      <c r="K231">
        <v>86</v>
      </c>
      <c r="L231">
        <v>741</v>
      </c>
      <c r="M231" s="20">
        <v>5577</v>
      </c>
      <c r="N231" s="20">
        <v>1430</v>
      </c>
      <c r="O231" s="20">
        <f t="shared" si="204"/>
        <v>948</v>
      </c>
      <c r="P231" s="20">
        <v>295</v>
      </c>
      <c r="Q231" s="20">
        <v>16</v>
      </c>
      <c r="R231" s="20">
        <v>171</v>
      </c>
      <c r="S231" s="20">
        <v>664</v>
      </c>
      <c r="T231" s="20">
        <v>49</v>
      </c>
      <c r="U231" s="20">
        <f t="shared" si="205"/>
        <v>3434</v>
      </c>
      <c r="V231">
        <v>1119</v>
      </c>
      <c r="W231">
        <v>52</v>
      </c>
      <c r="X231">
        <v>20</v>
      </c>
      <c r="Y231">
        <v>56</v>
      </c>
      <c r="Z231">
        <v>758</v>
      </c>
      <c r="AA231">
        <v>689</v>
      </c>
      <c r="AB231">
        <v>4.28</v>
      </c>
      <c r="AC231">
        <v>4</v>
      </c>
      <c r="AD231">
        <v>9</v>
      </c>
      <c r="AE231">
        <v>36</v>
      </c>
      <c r="AF231" s="27">
        <f t="shared" ca="1" si="192"/>
        <v>6161</v>
      </c>
      <c r="AG231" s="27">
        <f t="shared" ca="1" si="206"/>
        <v>1425</v>
      </c>
      <c r="AH231" s="27">
        <f t="shared" ca="1" si="207"/>
        <v>1034</v>
      </c>
      <c r="AI231" s="27">
        <f t="shared" ca="1" si="208"/>
        <v>220</v>
      </c>
      <c r="AJ231" s="27">
        <f t="shared" ca="1" si="209"/>
        <v>29</v>
      </c>
      <c r="AK231" s="27">
        <f t="shared" ca="1" si="210"/>
        <v>142</v>
      </c>
      <c r="AL231" s="27">
        <f t="shared" ca="1" si="211"/>
        <v>499</v>
      </c>
      <c r="AM231" s="27">
        <f t="shared" ca="1" si="212"/>
        <v>89</v>
      </c>
      <c r="AN231" s="27">
        <f t="shared" ca="1" si="213"/>
        <v>4148</v>
      </c>
      <c r="AO231">
        <v>4344</v>
      </c>
      <c r="AP231">
        <v>1468</v>
      </c>
      <c r="AQ231">
        <v>138</v>
      </c>
      <c r="AR231">
        <v>530</v>
      </c>
      <c r="AS231">
        <v>1036</v>
      </c>
      <c r="AT231">
        <v>90</v>
      </c>
      <c r="AU231">
        <v>153</v>
      </c>
      <c r="AV231">
        <v>0.98499999999999999</v>
      </c>
      <c r="AW231" s="1"/>
      <c r="AX231" s="1"/>
      <c r="AY231" s="29">
        <f t="shared" si="214"/>
        <v>29700</v>
      </c>
      <c r="AZ231" s="31">
        <f t="shared" si="215"/>
        <v>167783</v>
      </c>
      <c r="BA231" s="31">
        <f t="shared" ref="BA231" si="249">SUMIF($B$2:$B$571,$B231,$T$2:$T$571)</f>
        <v>1755</v>
      </c>
      <c r="BB231" s="30">
        <f t="shared" si="217"/>
        <v>1.0459939326391828E-2</v>
      </c>
    </row>
    <row r="232" spans="2:54" x14ac:dyDescent="0.5">
      <c r="B232" s="4">
        <v>2007</v>
      </c>
      <c r="C232" t="s">
        <v>80</v>
      </c>
      <c r="D232" t="s">
        <v>81</v>
      </c>
      <c r="E232">
        <v>1</v>
      </c>
      <c r="F232" t="s">
        <v>43</v>
      </c>
      <c r="G232" t="s">
        <v>38</v>
      </c>
      <c r="H232" t="s">
        <v>38</v>
      </c>
      <c r="I232" t="s">
        <v>38</v>
      </c>
      <c r="J232">
        <v>89</v>
      </c>
      <c r="K232">
        <v>73</v>
      </c>
      <c r="L232">
        <v>892</v>
      </c>
      <c r="M232" s="20">
        <v>5688</v>
      </c>
      <c r="N232" s="20">
        <v>1558</v>
      </c>
      <c r="O232" s="20">
        <f t="shared" si="204"/>
        <v>978</v>
      </c>
      <c r="P232" s="20">
        <v>326</v>
      </c>
      <c r="Q232" s="20">
        <v>41</v>
      </c>
      <c r="R232" s="20">
        <v>213</v>
      </c>
      <c r="S232" s="20">
        <v>641</v>
      </c>
      <c r="T232" s="20">
        <v>90</v>
      </c>
      <c r="U232" s="20">
        <f t="shared" si="205"/>
        <v>3399</v>
      </c>
      <c r="V232">
        <v>1205</v>
      </c>
      <c r="W232">
        <v>138</v>
      </c>
      <c r="X232">
        <v>19</v>
      </c>
      <c r="Y232">
        <v>52</v>
      </c>
      <c r="Z232">
        <v>821</v>
      </c>
      <c r="AA232">
        <v>767</v>
      </c>
      <c r="AB232">
        <v>4.7300000000000004</v>
      </c>
      <c r="AC232">
        <v>5</v>
      </c>
      <c r="AD232">
        <v>5</v>
      </c>
      <c r="AE232">
        <v>42</v>
      </c>
      <c r="AF232" s="27">
        <f t="shared" ca="1" si="192"/>
        <v>6102</v>
      </c>
      <c r="AG232" s="27">
        <f t="shared" ca="1" si="206"/>
        <v>1631</v>
      </c>
      <c r="AH232" s="27">
        <f t="shared" ca="1" si="207"/>
        <v>1101</v>
      </c>
      <c r="AI232" s="27">
        <f t="shared" ca="1" si="208"/>
        <v>273</v>
      </c>
      <c r="AJ232" s="27">
        <f t="shared" ca="1" si="209"/>
        <v>38</v>
      </c>
      <c r="AK232" s="27">
        <f t="shared" ca="1" si="210"/>
        <v>219</v>
      </c>
      <c r="AL232" s="27">
        <f t="shared" ca="1" si="211"/>
        <v>431</v>
      </c>
      <c r="AM232" s="27">
        <f t="shared" ca="1" si="212"/>
        <v>63</v>
      </c>
      <c r="AN232" s="27">
        <f t="shared" ca="1" si="213"/>
        <v>3977</v>
      </c>
      <c r="AO232">
        <v>4375</v>
      </c>
      <c r="AP232">
        <v>1555</v>
      </c>
      <c r="AQ232">
        <v>198</v>
      </c>
      <c r="AR232">
        <v>558</v>
      </c>
      <c r="AS232">
        <v>1050</v>
      </c>
      <c r="AT232">
        <v>89</v>
      </c>
      <c r="AU232">
        <v>162</v>
      </c>
      <c r="AV232">
        <v>0.98599999999999999</v>
      </c>
      <c r="AW232" s="1"/>
      <c r="AX232" s="1"/>
      <c r="AY232" s="29">
        <f t="shared" si="214"/>
        <v>29700</v>
      </c>
      <c r="AZ232" s="31">
        <f t="shared" si="215"/>
        <v>167783</v>
      </c>
      <c r="BA232" s="31">
        <f t="shared" ref="BA232" si="250">SUMIF($B$2:$B$571,$B232,$U$2:$U$571)</f>
        <v>104972</v>
      </c>
      <c r="BB232" s="30">
        <f t="shared" si="217"/>
        <v>0.62564145354416123</v>
      </c>
    </row>
    <row r="233" spans="2:54" x14ac:dyDescent="0.5">
      <c r="B233" s="4">
        <v>2007</v>
      </c>
      <c r="C233" t="s">
        <v>82</v>
      </c>
      <c r="D233" t="s">
        <v>83</v>
      </c>
      <c r="E233">
        <v>6</v>
      </c>
      <c r="F233" t="s">
        <v>38</v>
      </c>
      <c r="G233" t="s">
        <v>38</v>
      </c>
      <c r="H233" t="s">
        <v>38</v>
      </c>
      <c r="I233" t="s">
        <v>38</v>
      </c>
      <c r="J233">
        <v>68</v>
      </c>
      <c r="K233">
        <v>94</v>
      </c>
      <c r="L233">
        <v>724</v>
      </c>
      <c r="M233" s="20">
        <v>5569</v>
      </c>
      <c r="N233" s="20">
        <v>1463</v>
      </c>
      <c r="O233" s="20">
        <f t="shared" si="204"/>
        <v>962</v>
      </c>
      <c r="P233" s="20">
        <v>322</v>
      </c>
      <c r="Q233" s="20">
        <v>31</v>
      </c>
      <c r="R233" s="20">
        <v>148</v>
      </c>
      <c r="S233" s="20">
        <v>463</v>
      </c>
      <c r="T233" s="20">
        <v>71</v>
      </c>
      <c r="U233" s="20">
        <f t="shared" si="205"/>
        <v>3572</v>
      </c>
      <c r="V233">
        <v>1135</v>
      </c>
      <c r="W233">
        <v>68</v>
      </c>
      <c r="X233">
        <v>30</v>
      </c>
      <c r="Y233">
        <v>51</v>
      </c>
      <c r="Z233">
        <v>846</v>
      </c>
      <c r="AA233">
        <v>793</v>
      </c>
      <c r="AB233">
        <v>4.93</v>
      </c>
      <c r="AC233">
        <v>4</v>
      </c>
      <c r="AD233">
        <v>5</v>
      </c>
      <c r="AE233">
        <v>32</v>
      </c>
      <c r="AF233" s="27">
        <f t="shared" ca="1" si="192"/>
        <v>6051</v>
      </c>
      <c r="AG233" s="27">
        <f t="shared" ca="1" si="206"/>
        <v>1500</v>
      </c>
      <c r="AH233" s="27">
        <f t="shared" ca="1" si="207"/>
        <v>964</v>
      </c>
      <c r="AI233" s="27">
        <f t="shared" ca="1" si="208"/>
        <v>315</v>
      </c>
      <c r="AJ233" s="27">
        <f t="shared" ca="1" si="209"/>
        <v>40</v>
      </c>
      <c r="AK233" s="27">
        <f t="shared" ca="1" si="210"/>
        <v>181</v>
      </c>
      <c r="AL233" s="27">
        <f t="shared" ca="1" si="211"/>
        <v>695</v>
      </c>
      <c r="AM233" s="27">
        <f t="shared" ca="1" si="212"/>
        <v>83</v>
      </c>
      <c r="AN233" s="27">
        <f t="shared" ca="1" si="213"/>
        <v>3773</v>
      </c>
      <c r="AO233">
        <v>4343</v>
      </c>
      <c r="AP233">
        <v>1627</v>
      </c>
      <c r="AQ233">
        <v>174</v>
      </c>
      <c r="AR233">
        <v>518</v>
      </c>
      <c r="AS233">
        <v>997</v>
      </c>
      <c r="AT233">
        <v>83</v>
      </c>
      <c r="AU233">
        <v>190</v>
      </c>
      <c r="AV233">
        <v>0.98599999999999999</v>
      </c>
      <c r="AW233" s="1"/>
      <c r="AX233" s="1"/>
      <c r="AY233" s="29">
        <f t="shared" si="214"/>
        <v>29700</v>
      </c>
      <c r="AZ233" s="31">
        <f t="shared" si="215"/>
        <v>167783</v>
      </c>
      <c r="BA233" s="31"/>
      <c r="BB233" s="30">
        <f t="shared" si="217"/>
        <v>0</v>
      </c>
    </row>
    <row r="234" spans="2:54" x14ac:dyDescent="0.5">
      <c r="B234" s="4">
        <v>2007</v>
      </c>
      <c r="C234" t="s">
        <v>84</v>
      </c>
      <c r="D234" t="s">
        <v>85</v>
      </c>
      <c r="E234">
        <v>3</v>
      </c>
      <c r="F234" t="s">
        <v>38</v>
      </c>
      <c r="G234" t="s">
        <v>38</v>
      </c>
      <c r="H234" t="s">
        <v>38</v>
      </c>
      <c r="I234" t="s">
        <v>38</v>
      </c>
      <c r="J234">
        <v>89</v>
      </c>
      <c r="K234">
        <v>74</v>
      </c>
      <c r="L234">
        <v>741</v>
      </c>
      <c r="M234" s="20">
        <v>5612</v>
      </c>
      <c r="N234" s="20">
        <v>1408</v>
      </c>
      <c r="O234" s="20">
        <f t="shared" si="204"/>
        <v>884</v>
      </c>
      <c r="P234" s="20">
        <v>322</v>
      </c>
      <c r="Q234" s="20">
        <v>31</v>
      </c>
      <c r="R234" s="20">
        <v>171</v>
      </c>
      <c r="S234" s="20">
        <v>557</v>
      </c>
      <c r="T234" s="20">
        <v>49</v>
      </c>
      <c r="U234" s="20">
        <f t="shared" si="205"/>
        <v>3598</v>
      </c>
      <c r="V234">
        <v>1229</v>
      </c>
      <c r="W234">
        <v>55</v>
      </c>
      <c r="X234">
        <v>24</v>
      </c>
      <c r="Y234">
        <v>44</v>
      </c>
      <c r="Z234">
        <v>666</v>
      </c>
      <c r="AA234">
        <v>611</v>
      </c>
      <c r="AB234">
        <v>3.7</v>
      </c>
      <c r="AC234">
        <v>1</v>
      </c>
      <c r="AD234">
        <v>20</v>
      </c>
      <c r="AE234">
        <v>45</v>
      </c>
      <c r="AF234" s="27">
        <f t="shared" ca="1" si="192"/>
        <v>6075</v>
      </c>
      <c r="AG234" s="27">
        <f t="shared" ca="1" si="206"/>
        <v>1661</v>
      </c>
      <c r="AH234" s="27">
        <f t="shared" ca="1" si="207"/>
        <v>1174</v>
      </c>
      <c r="AI234" s="27">
        <f t="shared" ca="1" si="208"/>
        <v>226</v>
      </c>
      <c r="AJ234" s="27">
        <f t="shared" ca="1" si="209"/>
        <v>21</v>
      </c>
      <c r="AK234" s="27">
        <f t="shared" ca="1" si="210"/>
        <v>240</v>
      </c>
      <c r="AL234" s="27">
        <f t="shared" ca="1" si="211"/>
        <v>665</v>
      </c>
      <c r="AM234" s="27">
        <f t="shared" ca="1" si="212"/>
        <v>65</v>
      </c>
      <c r="AN234" s="27">
        <f t="shared" ca="1" si="213"/>
        <v>3684</v>
      </c>
      <c r="AO234">
        <v>4454</v>
      </c>
      <c r="AP234">
        <v>1406</v>
      </c>
      <c r="AQ234">
        <v>119</v>
      </c>
      <c r="AR234">
        <v>474</v>
      </c>
      <c r="AS234">
        <v>1136</v>
      </c>
      <c r="AT234">
        <v>92</v>
      </c>
      <c r="AU234">
        <v>147</v>
      </c>
      <c r="AV234">
        <v>0.98499999999999999</v>
      </c>
      <c r="AW234" s="1"/>
      <c r="AX234" s="1"/>
      <c r="AY234" s="29">
        <f t="shared" si="214"/>
        <v>29700</v>
      </c>
      <c r="AZ234" s="31">
        <f t="shared" si="215"/>
        <v>167783</v>
      </c>
      <c r="BA234" s="31">
        <f t="shared" ref="BA234" si="251">SUMIF($B$2:$B$571,$B234,$O$2:$O$571)</f>
        <v>29885</v>
      </c>
      <c r="BB234" s="30">
        <f t="shared" si="217"/>
        <v>0.17811697251807393</v>
      </c>
    </row>
    <row r="235" spans="2:54" x14ac:dyDescent="0.5">
      <c r="B235" s="4">
        <v>2007</v>
      </c>
      <c r="C235" t="s">
        <v>86</v>
      </c>
      <c r="D235" t="s">
        <v>87</v>
      </c>
      <c r="E235">
        <v>2</v>
      </c>
      <c r="F235" t="s">
        <v>38</v>
      </c>
      <c r="G235" t="s">
        <v>38</v>
      </c>
      <c r="H235" t="s">
        <v>38</v>
      </c>
      <c r="I235" t="s">
        <v>38</v>
      </c>
      <c r="J235">
        <v>88</v>
      </c>
      <c r="K235">
        <v>74</v>
      </c>
      <c r="L235">
        <v>794</v>
      </c>
      <c r="M235" s="20">
        <v>5684</v>
      </c>
      <c r="N235" s="20">
        <v>1629</v>
      </c>
      <c r="O235" s="20">
        <f t="shared" si="204"/>
        <v>1170</v>
      </c>
      <c r="P235" s="20">
        <v>284</v>
      </c>
      <c r="Q235" s="20">
        <v>22</v>
      </c>
      <c r="R235" s="20">
        <v>153</v>
      </c>
      <c r="S235" s="20">
        <v>389</v>
      </c>
      <c r="T235" s="20">
        <v>62</v>
      </c>
      <c r="U235" s="20">
        <f t="shared" si="205"/>
        <v>3604</v>
      </c>
      <c r="V235">
        <v>861</v>
      </c>
      <c r="W235">
        <v>81</v>
      </c>
      <c r="X235">
        <v>30</v>
      </c>
      <c r="Y235">
        <v>40</v>
      </c>
      <c r="Z235">
        <v>813</v>
      </c>
      <c r="AA235">
        <v>754</v>
      </c>
      <c r="AB235">
        <v>4.7300000000000004</v>
      </c>
      <c r="AC235">
        <v>6</v>
      </c>
      <c r="AD235">
        <v>12</v>
      </c>
      <c r="AE235">
        <v>43</v>
      </c>
      <c r="AF235" s="27">
        <f t="shared" ca="1" si="192"/>
        <v>6408</v>
      </c>
      <c r="AG235" s="27">
        <f t="shared" ca="1" si="206"/>
        <v>1432</v>
      </c>
      <c r="AH235" s="27">
        <f t="shared" ca="1" si="207"/>
        <v>811</v>
      </c>
      <c r="AI235" s="27">
        <f t="shared" ca="1" si="208"/>
        <v>334</v>
      </c>
      <c r="AJ235" s="27">
        <f t="shared" ca="1" si="209"/>
        <v>50</v>
      </c>
      <c r="AK235" s="27">
        <f t="shared" ca="1" si="210"/>
        <v>237</v>
      </c>
      <c r="AL235" s="27">
        <f t="shared" ca="1" si="211"/>
        <v>458</v>
      </c>
      <c r="AM235" s="27">
        <f t="shared" ca="1" si="212"/>
        <v>85</v>
      </c>
      <c r="AN235" s="27">
        <f t="shared" ca="1" si="213"/>
        <v>4433</v>
      </c>
      <c r="AO235">
        <v>4303</v>
      </c>
      <c r="AP235">
        <v>1578</v>
      </c>
      <c r="AQ235">
        <v>147</v>
      </c>
      <c r="AR235">
        <v>546</v>
      </c>
      <c r="AS235">
        <v>1020</v>
      </c>
      <c r="AT235">
        <v>90</v>
      </c>
      <c r="AU235">
        <v>167</v>
      </c>
      <c r="AV235">
        <v>0.98499999999999999</v>
      </c>
      <c r="AW235" s="1"/>
      <c r="AX235" s="1"/>
      <c r="AY235" s="29">
        <f t="shared" si="214"/>
        <v>29700</v>
      </c>
      <c r="AZ235" s="31">
        <f t="shared" si="215"/>
        <v>167783</v>
      </c>
      <c r="BA235" s="31">
        <f t="shared" ref="BA235" si="252">SUMIF($B$2:$B$571,$B235,$P$2:$P$571)</f>
        <v>9197</v>
      </c>
      <c r="BB235" s="30">
        <f t="shared" si="217"/>
        <v>5.4814850133803779E-2</v>
      </c>
    </row>
    <row r="236" spans="2:54" x14ac:dyDescent="0.5">
      <c r="B236" s="4">
        <v>2007</v>
      </c>
      <c r="C236" t="s">
        <v>88</v>
      </c>
      <c r="D236" t="s">
        <v>89</v>
      </c>
      <c r="E236">
        <v>5</v>
      </c>
      <c r="F236" t="s">
        <v>38</v>
      </c>
      <c r="G236" t="s">
        <v>38</v>
      </c>
      <c r="H236" t="s">
        <v>38</v>
      </c>
      <c r="I236" t="s">
        <v>38</v>
      </c>
      <c r="J236">
        <v>71</v>
      </c>
      <c r="K236">
        <v>91</v>
      </c>
      <c r="L236">
        <v>683</v>
      </c>
      <c r="M236" s="20">
        <v>5538</v>
      </c>
      <c r="N236" s="20">
        <v>1407</v>
      </c>
      <c r="O236" s="20">
        <f t="shared" si="204"/>
        <v>972</v>
      </c>
      <c r="P236" s="20">
        <v>267</v>
      </c>
      <c r="Q236" s="20">
        <v>37</v>
      </c>
      <c r="R236" s="20">
        <v>131</v>
      </c>
      <c r="S236" s="20">
        <v>532</v>
      </c>
      <c r="T236" s="20">
        <v>39</v>
      </c>
      <c r="U236" s="20">
        <f t="shared" si="205"/>
        <v>3560</v>
      </c>
      <c r="V236">
        <v>907</v>
      </c>
      <c r="W236">
        <v>119</v>
      </c>
      <c r="X236">
        <v>33</v>
      </c>
      <c r="Y236">
        <v>36</v>
      </c>
      <c r="Z236">
        <v>720</v>
      </c>
      <c r="AA236">
        <v>677</v>
      </c>
      <c r="AB236">
        <v>4.1900000000000004</v>
      </c>
      <c r="AC236">
        <v>5</v>
      </c>
      <c r="AD236">
        <v>10</v>
      </c>
      <c r="AE236">
        <v>37</v>
      </c>
      <c r="AF236" s="27">
        <f t="shared" ca="1" si="192"/>
        <v>6446</v>
      </c>
      <c r="AG236" s="27">
        <f t="shared" ca="1" si="206"/>
        <v>1601</v>
      </c>
      <c r="AH236" s="27">
        <f t="shared" ca="1" si="207"/>
        <v>1072</v>
      </c>
      <c r="AI236" s="27">
        <f t="shared" ca="1" si="208"/>
        <v>281</v>
      </c>
      <c r="AJ236" s="27">
        <f t="shared" ca="1" si="209"/>
        <v>34</v>
      </c>
      <c r="AK236" s="27">
        <f t="shared" ca="1" si="210"/>
        <v>214</v>
      </c>
      <c r="AL236" s="27">
        <f t="shared" ca="1" si="211"/>
        <v>614</v>
      </c>
      <c r="AM236" s="27">
        <f t="shared" ca="1" si="212"/>
        <v>68</v>
      </c>
      <c r="AN236" s="27">
        <f t="shared" ca="1" si="213"/>
        <v>4163</v>
      </c>
      <c r="AO236">
        <v>4361</v>
      </c>
      <c r="AP236">
        <v>1442</v>
      </c>
      <c r="AQ236">
        <v>133</v>
      </c>
      <c r="AR236">
        <v>593</v>
      </c>
      <c r="AS236">
        <v>1057</v>
      </c>
      <c r="AT236">
        <v>88</v>
      </c>
      <c r="AU236">
        <v>148</v>
      </c>
      <c r="AV236">
        <v>0.98599999999999999</v>
      </c>
      <c r="AW236" s="1"/>
      <c r="AX236" s="1"/>
      <c r="AY236" s="29">
        <f t="shared" si="214"/>
        <v>29700</v>
      </c>
      <c r="AZ236" s="31">
        <f t="shared" si="215"/>
        <v>167783</v>
      </c>
      <c r="BA236" s="31">
        <f t="shared" ref="BA236" si="253">SUMIF($B$2:$B$571,$B236,$Q$2:$Q$571)</f>
        <v>938</v>
      </c>
      <c r="BB236" s="30">
        <f t="shared" si="217"/>
        <v>5.5905544661854897E-3</v>
      </c>
    </row>
    <row r="237" spans="2:54" x14ac:dyDescent="0.5">
      <c r="B237" s="4">
        <v>2007</v>
      </c>
      <c r="C237" t="s">
        <v>90</v>
      </c>
      <c r="D237" t="s">
        <v>91</v>
      </c>
      <c r="E237">
        <v>3</v>
      </c>
      <c r="F237" t="s">
        <v>38</v>
      </c>
      <c r="G237" t="s">
        <v>38</v>
      </c>
      <c r="H237" t="s">
        <v>38</v>
      </c>
      <c r="I237" t="s">
        <v>38</v>
      </c>
      <c r="J237">
        <v>78</v>
      </c>
      <c r="K237">
        <v>84</v>
      </c>
      <c r="L237">
        <v>725</v>
      </c>
      <c r="M237" s="20">
        <v>5529</v>
      </c>
      <c r="N237" s="20">
        <v>1513</v>
      </c>
      <c r="O237" s="20">
        <f t="shared" si="204"/>
        <v>1080</v>
      </c>
      <c r="P237" s="20">
        <v>279</v>
      </c>
      <c r="Q237" s="20">
        <v>13</v>
      </c>
      <c r="R237" s="20">
        <v>141</v>
      </c>
      <c r="S237" s="20">
        <v>506</v>
      </c>
      <c r="T237" s="20">
        <v>54</v>
      </c>
      <c r="U237" s="20">
        <f t="shared" si="205"/>
        <v>3456</v>
      </c>
      <c r="V237">
        <v>909</v>
      </c>
      <c r="W237">
        <v>56</v>
      </c>
      <c r="X237">
        <v>33</v>
      </c>
      <c r="Y237">
        <v>54</v>
      </c>
      <c r="Z237">
        <v>829</v>
      </c>
      <c r="AA237">
        <v>741</v>
      </c>
      <c r="AB237">
        <v>4.6500000000000004</v>
      </c>
      <c r="AC237">
        <v>2</v>
      </c>
      <c r="AD237">
        <v>8</v>
      </c>
      <c r="AE237">
        <v>34</v>
      </c>
      <c r="AF237" s="27">
        <f t="shared" ca="1" si="192"/>
        <v>6389</v>
      </c>
      <c r="AG237" s="27">
        <f t="shared" ca="1" si="206"/>
        <v>1591</v>
      </c>
      <c r="AH237" s="27">
        <f t="shared" ca="1" si="207"/>
        <v>1025</v>
      </c>
      <c r="AI237" s="27">
        <f t="shared" ca="1" si="208"/>
        <v>375</v>
      </c>
      <c r="AJ237" s="27">
        <f t="shared" ca="1" si="209"/>
        <v>32</v>
      </c>
      <c r="AK237" s="27">
        <f t="shared" ca="1" si="210"/>
        <v>159</v>
      </c>
      <c r="AL237" s="27">
        <f t="shared" ca="1" si="211"/>
        <v>592</v>
      </c>
      <c r="AM237" s="27">
        <f t="shared" ca="1" si="212"/>
        <v>87</v>
      </c>
      <c r="AN237" s="27">
        <f t="shared" ca="1" si="213"/>
        <v>4119</v>
      </c>
      <c r="AO237">
        <v>4307</v>
      </c>
      <c r="AP237">
        <v>1514</v>
      </c>
      <c r="AQ237">
        <v>168</v>
      </c>
      <c r="AR237">
        <v>509</v>
      </c>
      <c r="AS237">
        <v>945</v>
      </c>
      <c r="AT237">
        <v>121</v>
      </c>
      <c r="AU237">
        <v>155</v>
      </c>
      <c r="AV237">
        <v>0.98</v>
      </c>
      <c r="AW237" s="1"/>
      <c r="AX237" s="1"/>
      <c r="AY237" s="29">
        <f t="shared" si="214"/>
        <v>29700</v>
      </c>
      <c r="AZ237" s="31">
        <f t="shared" si="215"/>
        <v>167783</v>
      </c>
      <c r="BA237" s="31">
        <f t="shared" ref="BA237" si="254">SUMIF($B$2:$B$571,$B237,$R$2:$R$571)</f>
        <v>4957</v>
      </c>
      <c r="BB237" s="30">
        <f t="shared" si="217"/>
        <v>2.9544113527592189E-2</v>
      </c>
    </row>
    <row r="238" spans="2:54" x14ac:dyDescent="0.5">
      <c r="B238" s="4">
        <v>2007</v>
      </c>
      <c r="C238" t="s">
        <v>92</v>
      </c>
      <c r="D238" t="s">
        <v>93</v>
      </c>
      <c r="E238">
        <v>5</v>
      </c>
      <c r="F238" t="s">
        <v>38</v>
      </c>
      <c r="G238" t="s">
        <v>38</v>
      </c>
      <c r="H238" t="s">
        <v>38</v>
      </c>
      <c r="I238" t="s">
        <v>38</v>
      </c>
      <c r="J238">
        <v>66</v>
      </c>
      <c r="K238">
        <v>96</v>
      </c>
      <c r="L238">
        <v>782</v>
      </c>
      <c r="M238" s="20">
        <v>5593</v>
      </c>
      <c r="N238" s="20">
        <v>1500</v>
      </c>
      <c r="O238" s="20">
        <f t="shared" si="204"/>
        <v>986</v>
      </c>
      <c r="P238" s="20">
        <v>291</v>
      </c>
      <c r="Q238" s="20">
        <v>36</v>
      </c>
      <c r="R238" s="20">
        <v>187</v>
      </c>
      <c r="S238" s="20">
        <v>545</v>
      </c>
      <c r="T238" s="20">
        <v>53</v>
      </c>
      <c r="U238" s="20">
        <f t="shared" si="205"/>
        <v>3495</v>
      </c>
      <c r="V238">
        <v>1324</v>
      </c>
      <c r="W238">
        <v>131</v>
      </c>
      <c r="X238">
        <v>48</v>
      </c>
      <c r="Y238">
        <v>52</v>
      </c>
      <c r="Z238">
        <v>944</v>
      </c>
      <c r="AA238">
        <v>879</v>
      </c>
      <c r="AB238">
        <v>5.53</v>
      </c>
      <c r="AC238">
        <v>2</v>
      </c>
      <c r="AD238">
        <v>2</v>
      </c>
      <c r="AE238">
        <v>28</v>
      </c>
      <c r="AF238" s="27">
        <f t="shared" ca="1" si="192"/>
        <v>6270</v>
      </c>
      <c r="AG238" s="27">
        <f t="shared" ca="1" si="206"/>
        <v>1691</v>
      </c>
      <c r="AH238" s="27">
        <f t="shared" ca="1" si="207"/>
        <v>1247</v>
      </c>
      <c r="AI238" s="27">
        <f t="shared" ca="1" si="208"/>
        <v>243</v>
      </c>
      <c r="AJ238" s="27">
        <f t="shared" ca="1" si="209"/>
        <v>50</v>
      </c>
      <c r="AK238" s="27">
        <f t="shared" ca="1" si="210"/>
        <v>151</v>
      </c>
      <c r="AL238" s="27">
        <f t="shared" ca="1" si="211"/>
        <v>596</v>
      </c>
      <c r="AM238" s="27">
        <f t="shared" ca="1" si="212"/>
        <v>37</v>
      </c>
      <c r="AN238" s="27">
        <f t="shared" ca="1" si="213"/>
        <v>3946</v>
      </c>
      <c r="AO238">
        <v>4289</v>
      </c>
      <c r="AP238">
        <v>1649</v>
      </c>
      <c r="AQ238">
        <v>199</v>
      </c>
      <c r="AR238">
        <v>568</v>
      </c>
      <c r="AS238">
        <v>1194</v>
      </c>
      <c r="AT238">
        <v>117</v>
      </c>
      <c r="AU238">
        <v>155</v>
      </c>
      <c r="AV238">
        <v>0.98</v>
      </c>
      <c r="AW238" s="1"/>
      <c r="AX238" s="1"/>
      <c r="AY238" s="29">
        <f t="shared" si="214"/>
        <v>29700</v>
      </c>
      <c r="AZ238" s="31">
        <f t="shared" si="215"/>
        <v>167783</v>
      </c>
      <c r="BA238" s="31">
        <f t="shared" ref="BA238" si="255">SUMIF($B$2:$B$571,$B238,$S$2:$S$571)</f>
        <v>16079</v>
      </c>
      <c r="BB238" s="30">
        <f t="shared" si="217"/>
        <v>9.5832116483791557E-2</v>
      </c>
    </row>
    <row r="239" spans="2:54" x14ac:dyDescent="0.5">
      <c r="B239" s="4">
        <v>2007</v>
      </c>
      <c r="C239" t="s">
        <v>94</v>
      </c>
      <c r="D239" t="s">
        <v>95</v>
      </c>
      <c r="E239">
        <v>4</v>
      </c>
      <c r="F239" t="s">
        <v>38</v>
      </c>
      <c r="G239" t="s">
        <v>38</v>
      </c>
      <c r="H239" t="s">
        <v>38</v>
      </c>
      <c r="I239" t="s">
        <v>38</v>
      </c>
      <c r="J239">
        <v>75</v>
      </c>
      <c r="K239">
        <v>87</v>
      </c>
      <c r="L239">
        <v>816</v>
      </c>
      <c r="M239" s="20">
        <v>5555</v>
      </c>
      <c r="N239" s="20">
        <v>1460</v>
      </c>
      <c r="O239" s="20">
        <f t="shared" si="204"/>
        <v>947</v>
      </c>
      <c r="P239" s="20">
        <v>298</v>
      </c>
      <c r="Q239" s="20">
        <v>36</v>
      </c>
      <c r="R239" s="20">
        <v>179</v>
      </c>
      <c r="S239" s="20">
        <v>503</v>
      </c>
      <c r="T239" s="20">
        <v>56</v>
      </c>
      <c r="U239" s="20">
        <f t="shared" si="205"/>
        <v>3536</v>
      </c>
      <c r="V239">
        <v>1224</v>
      </c>
      <c r="W239">
        <v>88</v>
      </c>
      <c r="X239">
        <v>25</v>
      </c>
      <c r="Y239">
        <v>42</v>
      </c>
      <c r="Z239">
        <v>844</v>
      </c>
      <c r="AA239">
        <v>755</v>
      </c>
      <c r="AB239">
        <v>4.75</v>
      </c>
      <c r="AC239">
        <v>0</v>
      </c>
      <c r="AD239">
        <v>6</v>
      </c>
      <c r="AE239">
        <v>42</v>
      </c>
      <c r="AF239" s="27">
        <f t="shared" ca="1" si="192"/>
        <v>6300</v>
      </c>
      <c r="AG239" s="27">
        <f t="shared" ca="1" si="206"/>
        <v>1313</v>
      </c>
      <c r="AH239" s="27">
        <f t="shared" ca="1" si="207"/>
        <v>759</v>
      </c>
      <c r="AI239" s="27">
        <f t="shared" ca="1" si="208"/>
        <v>299</v>
      </c>
      <c r="AJ239" s="27">
        <f t="shared" ca="1" si="209"/>
        <v>42</v>
      </c>
      <c r="AK239" s="27">
        <f t="shared" ca="1" si="210"/>
        <v>213</v>
      </c>
      <c r="AL239" s="27">
        <f t="shared" ca="1" si="211"/>
        <v>698</v>
      </c>
      <c r="AM239" s="27">
        <f t="shared" ca="1" si="212"/>
        <v>53</v>
      </c>
      <c r="AN239" s="27">
        <f t="shared" ca="1" si="213"/>
        <v>4236</v>
      </c>
      <c r="AO239">
        <v>4290</v>
      </c>
      <c r="AP239">
        <v>1525</v>
      </c>
      <c r="AQ239">
        <v>155</v>
      </c>
      <c r="AR239">
        <v>668</v>
      </c>
      <c r="AS239">
        <v>976</v>
      </c>
      <c r="AT239">
        <v>124</v>
      </c>
      <c r="AU239">
        <v>179</v>
      </c>
      <c r="AV239">
        <v>0.98</v>
      </c>
      <c r="AW239" s="1"/>
      <c r="AX239" s="1"/>
      <c r="AY239" s="29">
        <f t="shared" si="214"/>
        <v>29700</v>
      </c>
      <c r="AZ239" s="31">
        <f t="shared" si="215"/>
        <v>167783</v>
      </c>
      <c r="BA239" s="31">
        <f t="shared" ref="BA239" si="256">SUMIF($B$2:$B$571,$B239,$T$2:$T$571)</f>
        <v>1755</v>
      </c>
      <c r="BB239" s="30">
        <f t="shared" si="217"/>
        <v>1.0459939326391828E-2</v>
      </c>
    </row>
    <row r="240" spans="2:54" x14ac:dyDescent="0.5">
      <c r="B240" s="4">
        <v>2007</v>
      </c>
      <c r="C240" t="s">
        <v>96</v>
      </c>
      <c r="D240" t="s">
        <v>97</v>
      </c>
      <c r="E240">
        <v>3</v>
      </c>
      <c r="F240" t="s">
        <v>38</v>
      </c>
      <c r="G240" t="s">
        <v>38</v>
      </c>
      <c r="H240" t="s">
        <v>38</v>
      </c>
      <c r="I240" t="s">
        <v>38</v>
      </c>
      <c r="J240">
        <v>83</v>
      </c>
      <c r="K240">
        <v>79</v>
      </c>
      <c r="L240">
        <v>753</v>
      </c>
      <c r="M240" s="20">
        <v>5536</v>
      </c>
      <c r="N240" s="20">
        <v>1434</v>
      </c>
      <c r="O240" s="20">
        <f t="shared" si="204"/>
        <v>901</v>
      </c>
      <c r="P240" s="20">
        <v>344</v>
      </c>
      <c r="Q240" s="20">
        <v>24</v>
      </c>
      <c r="R240" s="20">
        <v>165</v>
      </c>
      <c r="S240" s="20">
        <v>533</v>
      </c>
      <c r="T240" s="20">
        <v>47</v>
      </c>
      <c r="U240" s="20">
        <f t="shared" si="205"/>
        <v>3522</v>
      </c>
      <c r="V240">
        <v>1044</v>
      </c>
      <c r="W240">
        <v>57</v>
      </c>
      <c r="X240">
        <v>22</v>
      </c>
      <c r="Y240">
        <v>48</v>
      </c>
      <c r="Z240">
        <v>699</v>
      </c>
      <c r="AA240">
        <v>644</v>
      </c>
      <c r="AB240">
        <v>4</v>
      </c>
      <c r="AC240">
        <v>11</v>
      </c>
      <c r="AD240">
        <v>9</v>
      </c>
      <c r="AE240">
        <v>44</v>
      </c>
      <c r="AF240" s="27">
        <f t="shared" ca="1" si="192"/>
        <v>6300</v>
      </c>
      <c r="AG240" s="27">
        <f t="shared" ca="1" si="206"/>
        <v>1577</v>
      </c>
      <c r="AH240" s="27">
        <f t="shared" ca="1" si="207"/>
        <v>1000</v>
      </c>
      <c r="AI240" s="27">
        <f t="shared" ca="1" si="208"/>
        <v>385</v>
      </c>
      <c r="AJ240" s="27">
        <f t="shared" ca="1" si="209"/>
        <v>38</v>
      </c>
      <c r="AK240" s="27">
        <f t="shared" ca="1" si="210"/>
        <v>154</v>
      </c>
      <c r="AL240" s="27">
        <f t="shared" ca="1" si="211"/>
        <v>477</v>
      </c>
      <c r="AM240" s="27">
        <f t="shared" ca="1" si="212"/>
        <v>33</v>
      </c>
      <c r="AN240" s="27">
        <f t="shared" ca="1" si="213"/>
        <v>4213</v>
      </c>
      <c r="AO240">
        <v>4346</v>
      </c>
      <c r="AP240">
        <v>1383</v>
      </c>
      <c r="AQ240">
        <v>157</v>
      </c>
      <c r="AR240">
        <v>479</v>
      </c>
      <c r="AS240">
        <v>1067</v>
      </c>
      <c r="AT240">
        <v>102</v>
      </c>
      <c r="AU240">
        <v>160</v>
      </c>
      <c r="AV240">
        <v>0.98399999999999999</v>
      </c>
      <c r="AW240" s="1"/>
      <c r="AX240" s="1"/>
      <c r="AY240" s="29">
        <f t="shared" si="214"/>
        <v>29700</v>
      </c>
      <c r="AZ240" s="31">
        <f t="shared" si="215"/>
        <v>167783</v>
      </c>
      <c r="BA240" s="31">
        <f t="shared" ref="BA240" si="257">SUMIF($B$2:$B$571,$B240,$U$2:$U$571)</f>
        <v>104972</v>
      </c>
      <c r="BB240" s="30">
        <f t="shared" si="217"/>
        <v>0.62564145354416123</v>
      </c>
    </row>
    <row r="241" spans="2:54" x14ac:dyDescent="0.5">
      <c r="B241" s="4">
        <v>2007</v>
      </c>
      <c r="C241" t="s">
        <v>100</v>
      </c>
      <c r="D241" t="s">
        <v>101</v>
      </c>
      <c r="E241">
        <v>4</v>
      </c>
      <c r="F241" t="s">
        <v>38</v>
      </c>
      <c r="G241" t="s">
        <v>38</v>
      </c>
      <c r="H241" t="s">
        <v>38</v>
      </c>
      <c r="I241" t="s">
        <v>38</v>
      </c>
      <c r="J241">
        <v>73</v>
      </c>
      <c r="K241">
        <v>89</v>
      </c>
      <c r="L241">
        <v>673</v>
      </c>
      <c r="M241" s="20">
        <v>5520</v>
      </c>
      <c r="N241" s="20">
        <v>1415</v>
      </c>
      <c r="O241" s="20">
        <f t="shared" si="204"/>
        <v>952</v>
      </c>
      <c r="P241" s="20">
        <v>309</v>
      </c>
      <c r="Q241" s="20">
        <v>31</v>
      </c>
      <c r="R241" s="20">
        <v>123</v>
      </c>
      <c r="S241" s="20">
        <v>524</v>
      </c>
      <c r="T241" s="20">
        <v>53</v>
      </c>
      <c r="U241" s="20">
        <f t="shared" si="205"/>
        <v>3528</v>
      </c>
      <c r="V241">
        <v>1128</v>
      </c>
      <c r="W241">
        <v>69</v>
      </c>
      <c r="X241">
        <v>23</v>
      </c>
      <c r="Y241">
        <v>41</v>
      </c>
      <c r="Z241">
        <v>783</v>
      </c>
      <c r="AA241">
        <v>736</v>
      </c>
      <c r="AB241">
        <v>4.58</v>
      </c>
      <c r="AC241">
        <v>0</v>
      </c>
      <c r="AD241">
        <v>6</v>
      </c>
      <c r="AE241">
        <v>46</v>
      </c>
      <c r="AF241" s="27">
        <f t="shared" ca="1" si="192"/>
        <v>6310</v>
      </c>
      <c r="AG241" s="27">
        <f t="shared" ca="1" si="206"/>
        <v>1399</v>
      </c>
      <c r="AH241" s="27">
        <f t="shared" ca="1" si="207"/>
        <v>989</v>
      </c>
      <c r="AI241" s="27">
        <f t="shared" ca="1" si="208"/>
        <v>229</v>
      </c>
      <c r="AJ241" s="27">
        <f t="shared" ca="1" si="209"/>
        <v>50</v>
      </c>
      <c r="AK241" s="27">
        <f t="shared" ca="1" si="210"/>
        <v>131</v>
      </c>
      <c r="AL241" s="27">
        <f t="shared" ca="1" si="211"/>
        <v>645</v>
      </c>
      <c r="AM241" s="27">
        <f t="shared" ca="1" si="212"/>
        <v>46</v>
      </c>
      <c r="AN241" s="27">
        <f t="shared" ca="1" si="213"/>
        <v>4220</v>
      </c>
      <c r="AO241">
        <v>4340</v>
      </c>
      <c r="AP241">
        <v>1502</v>
      </c>
      <c r="AQ241">
        <v>187</v>
      </c>
      <c r="AR241">
        <v>580</v>
      </c>
      <c r="AS241">
        <v>931</v>
      </c>
      <c r="AT241">
        <v>109</v>
      </c>
      <c r="AU241">
        <v>153</v>
      </c>
      <c r="AV241">
        <v>0.98199999999999998</v>
      </c>
      <c r="AW241" s="1"/>
      <c r="AX241" s="1"/>
      <c r="AY241" s="29">
        <f t="shared" si="214"/>
        <v>29700</v>
      </c>
      <c r="AZ241" s="31">
        <f t="shared" si="215"/>
        <v>167783</v>
      </c>
      <c r="BA241" s="31"/>
      <c r="BB241" s="30">
        <f t="shared" si="217"/>
        <v>0</v>
      </c>
    </row>
    <row r="242" spans="2:54" x14ac:dyDescent="0.5">
      <c r="B242" s="4">
        <v>2008</v>
      </c>
      <c r="C242" t="s">
        <v>39</v>
      </c>
      <c r="D242" t="s">
        <v>40</v>
      </c>
      <c r="E242">
        <v>2</v>
      </c>
      <c r="F242" t="s">
        <v>38</v>
      </c>
      <c r="G242" t="s">
        <v>38</v>
      </c>
      <c r="H242" t="s">
        <v>38</v>
      </c>
      <c r="I242" t="s">
        <v>38</v>
      </c>
      <c r="J242">
        <v>82</v>
      </c>
      <c r="K242">
        <v>80</v>
      </c>
      <c r="L242">
        <v>720</v>
      </c>
      <c r="M242" s="20">
        <v>5409</v>
      </c>
      <c r="N242" s="20">
        <v>1355</v>
      </c>
      <c r="O242" s="20">
        <f t="shared" si="204"/>
        <v>831</v>
      </c>
      <c r="P242" s="20">
        <v>318</v>
      </c>
      <c r="Q242" s="20">
        <v>47</v>
      </c>
      <c r="R242" s="20">
        <v>159</v>
      </c>
      <c r="S242" s="20">
        <v>587</v>
      </c>
      <c r="T242" s="20">
        <v>49</v>
      </c>
      <c r="U242" s="20">
        <f t="shared" si="205"/>
        <v>3418</v>
      </c>
      <c r="V242">
        <v>1287</v>
      </c>
      <c r="W242">
        <v>58</v>
      </c>
      <c r="X242">
        <v>23</v>
      </c>
      <c r="Y242">
        <v>43</v>
      </c>
      <c r="Z242">
        <v>706</v>
      </c>
      <c r="AA242">
        <v>635</v>
      </c>
      <c r="AB242">
        <v>3.98</v>
      </c>
      <c r="AC242">
        <v>6</v>
      </c>
      <c r="AD242">
        <v>9</v>
      </c>
      <c r="AE242">
        <v>39</v>
      </c>
      <c r="AF242" s="27">
        <f t="shared" ca="1" si="192"/>
        <v>6338</v>
      </c>
      <c r="AG242" s="27">
        <f t="shared" ca="1" si="206"/>
        <v>1491</v>
      </c>
      <c r="AH242" s="27">
        <f t="shared" ca="1" si="207"/>
        <v>895</v>
      </c>
      <c r="AI242" s="27">
        <f t="shared" ca="1" si="208"/>
        <v>382</v>
      </c>
      <c r="AJ242" s="27">
        <f t="shared" ca="1" si="209"/>
        <v>39</v>
      </c>
      <c r="AK242" s="27">
        <f t="shared" ca="1" si="210"/>
        <v>175</v>
      </c>
      <c r="AL242" s="27">
        <f t="shared" ca="1" si="211"/>
        <v>642</v>
      </c>
      <c r="AM242" s="27">
        <f t="shared" ca="1" si="212"/>
        <v>83</v>
      </c>
      <c r="AN242" s="27">
        <f t="shared" ca="1" si="213"/>
        <v>4122</v>
      </c>
      <c r="AO242">
        <v>4304</v>
      </c>
      <c r="AP242">
        <v>1403</v>
      </c>
      <c r="AQ242">
        <v>147</v>
      </c>
      <c r="AR242">
        <v>451</v>
      </c>
      <c r="AS242">
        <v>1229</v>
      </c>
      <c r="AT242">
        <v>113</v>
      </c>
      <c r="AU242">
        <v>137</v>
      </c>
      <c r="AV242">
        <v>0.98099999999999998</v>
      </c>
      <c r="AW242" s="1"/>
      <c r="AX242" s="1"/>
      <c r="AY242" s="29">
        <f t="shared" si="214"/>
        <v>29700</v>
      </c>
      <c r="AZ242" s="31">
        <f t="shared" si="215"/>
        <v>166714</v>
      </c>
      <c r="BA242" s="31">
        <f t="shared" ref="BA242" si="258">SUMIF($B$2:$B$571,$B242,$O$2:$O$571)</f>
        <v>29194</v>
      </c>
      <c r="BB242" s="30">
        <f t="shared" si="217"/>
        <v>0.17511426754801637</v>
      </c>
    </row>
    <row r="243" spans="2:54" x14ac:dyDescent="0.5">
      <c r="B243" s="4">
        <v>2008</v>
      </c>
      <c r="C243" t="s">
        <v>41</v>
      </c>
      <c r="D243" t="s">
        <v>42</v>
      </c>
      <c r="E243">
        <v>4</v>
      </c>
      <c r="F243" t="s">
        <v>38</v>
      </c>
      <c r="G243" t="s">
        <v>38</v>
      </c>
      <c r="H243" t="s">
        <v>38</v>
      </c>
      <c r="I243" t="s">
        <v>38</v>
      </c>
      <c r="J243">
        <v>72</v>
      </c>
      <c r="K243">
        <v>90</v>
      </c>
      <c r="L243">
        <v>753</v>
      </c>
      <c r="M243" s="20">
        <v>5604</v>
      </c>
      <c r="N243" s="20">
        <v>1514</v>
      </c>
      <c r="O243" s="20">
        <f t="shared" si="204"/>
        <v>1035</v>
      </c>
      <c r="P243" s="20">
        <v>316</v>
      </c>
      <c r="Q243" s="20">
        <v>33</v>
      </c>
      <c r="R243" s="20">
        <v>130</v>
      </c>
      <c r="S243" s="20">
        <v>618</v>
      </c>
      <c r="T243" s="20">
        <v>42</v>
      </c>
      <c r="U243" s="20">
        <f t="shared" si="205"/>
        <v>3430</v>
      </c>
      <c r="V243">
        <v>1023</v>
      </c>
      <c r="W243">
        <v>58</v>
      </c>
      <c r="X243">
        <v>27</v>
      </c>
      <c r="Y243">
        <v>34</v>
      </c>
      <c r="Z243">
        <v>778</v>
      </c>
      <c r="AA243">
        <v>714</v>
      </c>
      <c r="AB243">
        <v>4.46</v>
      </c>
      <c r="AC243">
        <v>2</v>
      </c>
      <c r="AD243">
        <v>7</v>
      </c>
      <c r="AE243">
        <v>26</v>
      </c>
      <c r="AF243" s="27">
        <f t="shared" ca="1" si="192"/>
        <v>6429</v>
      </c>
      <c r="AG243" s="27">
        <f t="shared" ca="1" si="206"/>
        <v>1412</v>
      </c>
      <c r="AH243" s="27">
        <f t="shared" ca="1" si="207"/>
        <v>977</v>
      </c>
      <c r="AI243" s="27">
        <f t="shared" ca="1" si="208"/>
        <v>247</v>
      </c>
      <c r="AJ243" s="27">
        <f t="shared" ca="1" si="209"/>
        <v>28</v>
      </c>
      <c r="AK243" s="27">
        <f t="shared" ca="1" si="210"/>
        <v>160</v>
      </c>
      <c r="AL243" s="27">
        <f t="shared" ca="1" si="211"/>
        <v>417</v>
      </c>
      <c r="AM243" s="27">
        <f t="shared" ca="1" si="212"/>
        <v>66</v>
      </c>
      <c r="AN243" s="27">
        <f t="shared" ca="1" si="213"/>
        <v>4534</v>
      </c>
      <c r="AO243">
        <v>4322</v>
      </c>
      <c r="AP243">
        <v>1439</v>
      </c>
      <c r="AQ243">
        <v>156</v>
      </c>
      <c r="AR243">
        <v>586</v>
      </c>
      <c r="AS243">
        <v>1076</v>
      </c>
      <c r="AT243">
        <v>107</v>
      </c>
      <c r="AU243">
        <v>149</v>
      </c>
      <c r="AV243">
        <v>0.98299999999999998</v>
      </c>
      <c r="AW243" s="1"/>
      <c r="AX243" s="1"/>
      <c r="AY243" s="29">
        <f t="shared" si="214"/>
        <v>29700</v>
      </c>
      <c r="AZ243" s="31">
        <f t="shared" si="215"/>
        <v>166714</v>
      </c>
      <c r="BA243" s="31">
        <f t="shared" ref="BA243" si="259">SUMIF($B$2:$B$571,$B243,$P$2:$P$571)</f>
        <v>9014</v>
      </c>
      <c r="BB243" s="30">
        <f t="shared" si="217"/>
        <v>5.4068644504960593E-2</v>
      </c>
    </row>
    <row r="244" spans="2:54" x14ac:dyDescent="0.5">
      <c r="B244" s="4">
        <v>2008</v>
      </c>
      <c r="C244" t="s">
        <v>44</v>
      </c>
      <c r="D244" t="s">
        <v>45</v>
      </c>
      <c r="E244">
        <v>5</v>
      </c>
      <c r="F244" t="s">
        <v>38</v>
      </c>
      <c r="G244" t="s">
        <v>38</v>
      </c>
      <c r="H244" t="s">
        <v>38</v>
      </c>
      <c r="I244" t="s">
        <v>38</v>
      </c>
      <c r="J244">
        <v>68</v>
      </c>
      <c r="K244">
        <v>93</v>
      </c>
      <c r="L244">
        <v>782</v>
      </c>
      <c r="M244" s="20">
        <v>5559</v>
      </c>
      <c r="N244" s="20">
        <v>1486</v>
      </c>
      <c r="O244" s="20">
        <f t="shared" si="204"/>
        <v>962</v>
      </c>
      <c r="P244" s="20">
        <v>322</v>
      </c>
      <c r="Q244" s="20">
        <v>30</v>
      </c>
      <c r="R244" s="20">
        <v>172</v>
      </c>
      <c r="S244" s="20">
        <v>533</v>
      </c>
      <c r="T244" s="20">
        <v>42</v>
      </c>
      <c r="U244" s="20">
        <f t="shared" si="205"/>
        <v>3498</v>
      </c>
      <c r="V244">
        <v>990</v>
      </c>
      <c r="W244">
        <v>81</v>
      </c>
      <c r="X244">
        <v>37</v>
      </c>
      <c r="Y244">
        <v>48</v>
      </c>
      <c r="Z244">
        <v>869</v>
      </c>
      <c r="AA244">
        <v>810</v>
      </c>
      <c r="AB244">
        <v>5.13</v>
      </c>
      <c r="AC244">
        <v>4</v>
      </c>
      <c r="AD244">
        <v>4</v>
      </c>
      <c r="AE244">
        <v>35</v>
      </c>
      <c r="AF244" s="27">
        <f t="shared" ca="1" si="192"/>
        <v>6297</v>
      </c>
      <c r="AG244" s="27">
        <f t="shared" ca="1" si="206"/>
        <v>1440</v>
      </c>
      <c r="AH244" s="27">
        <f t="shared" ca="1" si="207"/>
        <v>877</v>
      </c>
      <c r="AI244" s="27">
        <f t="shared" ca="1" si="208"/>
        <v>351</v>
      </c>
      <c r="AJ244" s="27">
        <f t="shared" ca="1" si="209"/>
        <v>32</v>
      </c>
      <c r="AK244" s="27">
        <f t="shared" ca="1" si="210"/>
        <v>180</v>
      </c>
      <c r="AL244" s="27">
        <f t="shared" ca="1" si="211"/>
        <v>418</v>
      </c>
      <c r="AM244" s="27">
        <f t="shared" ca="1" si="212"/>
        <v>67</v>
      </c>
      <c r="AN244" s="27">
        <f t="shared" ca="1" si="213"/>
        <v>4372</v>
      </c>
      <c r="AO244">
        <v>4266</v>
      </c>
      <c r="AP244">
        <v>1538</v>
      </c>
      <c r="AQ244">
        <v>184</v>
      </c>
      <c r="AR244">
        <v>687</v>
      </c>
      <c r="AS244">
        <v>922</v>
      </c>
      <c r="AT244">
        <v>100</v>
      </c>
      <c r="AU244">
        <v>163</v>
      </c>
      <c r="AV244">
        <v>0.98299999999999998</v>
      </c>
      <c r="AW244" s="1"/>
      <c r="AX244" s="1"/>
      <c r="AY244" s="29">
        <f t="shared" si="214"/>
        <v>29700</v>
      </c>
      <c r="AZ244" s="31">
        <f t="shared" si="215"/>
        <v>166714</v>
      </c>
      <c r="BA244" s="31">
        <f t="shared" ref="BA244" si="260">SUMIF($B$2:$B$571,$B244,$Q$2:$Q$571)</f>
        <v>886</v>
      </c>
      <c r="BB244" s="30">
        <f t="shared" si="217"/>
        <v>5.3144906846455606E-3</v>
      </c>
    </row>
    <row r="245" spans="2:54" x14ac:dyDescent="0.5">
      <c r="B245" s="4">
        <v>2008</v>
      </c>
      <c r="C245" t="s">
        <v>46</v>
      </c>
      <c r="D245" t="s">
        <v>47</v>
      </c>
      <c r="E245">
        <v>2</v>
      </c>
      <c r="F245" t="s">
        <v>38</v>
      </c>
      <c r="G245" t="s">
        <v>43</v>
      </c>
      <c r="H245" t="s">
        <v>38</v>
      </c>
      <c r="I245" t="s">
        <v>38</v>
      </c>
      <c r="J245">
        <v>95</v>
      </c>
      <c r="K245">
        <v>67</v>
      </c>
      <c r="L245">
        <v>845</v>
      </c>
      <c r="M245" s="20">
        <v>5596</v>
      </c>
      <c r="N245" s="20">
        <v>1565</v>
      </c>
      <c r="O245" s="20">
        <f t="shared" si="204"/>
        <v>1006</v>
      </c>
      <c r="P245" s="20">
        <v>353</v>
      </c>
      <c r="Q245" s="20">
        <v>33</v>
      </c>
      <c r="R245" s="20">
        <v>173</v>
      </c>
      <c r="S245" s="20">
        <v>646</v>
      </c>
      <c r="T245" s="20">
        <v>70</v>
      </c>
      <c r="U245" s="20">
        <f t="shared" si="205"/>
        <v>3315</v>
      </c>
      <c r="V245">
        <v>1068</v>
      </c>
      <c r="W245">
        <v>120</v>
      </c>
      <c r="X245">
        <v>35</v>
      </c>
      <c r="Y245">
        <v>62</v>
      </c>
      <c r="Z245">
        <v>694</v>
      </c>
      <c r="AA245">
        <v>645</v>
      </c>
      <c r="AB245">
        <v>4.01</v>
      </c>
      <c r="AC245">
        <v>5</v>
      </c>
      <c r="AD245">
        <v>16</v>
      </c>
      <c r="AE245">
        <v>47</v>
      </c>
      <c r="AF245" s="27">
        <f t="shared" ca="1" si="192"/>
        <v>6399</v>
      </c>
      <c r="AG245" s="27">
        <f t="shared" ca="1" si="206"/>
        <v>1383</v>
      </c>
      <c r="AH245" s="27">
        <f t="shared" ca="1" si="207"/>
        <v>911</v>
      </c>
      <c r="AI245" s="27">
        <f t="shared" ca="1" si="208"/>
        <v>277</v>
      </c>
      <c r="AJ245" s="27">
        <f t="shared" ca="1" si="209"/>
        <v>31</v>
      </c>
      <c r="AK245" s="27">
        <f t="shared" ca="1" si="210"/>
        <v>164</v>
      </c>
      <c r="AL245" s="27">
        <f t="shared" ca="1" si="211"/>
        <v>500</v>
      </c>
      <c r="AM245" s="27">
        <f t="shared" ca="1" si="212"/>
        <v>36</v>
      </c>
      <c r="AN245" s="27">
        <f t="shared" ca="1" si="213"/>
        <v>4480</v>
      </c>
      <c r="AO245">
        <v>4339</v>
      </c>
      <c r="AP245">
        <v>1369</v>
      </c>
      <c r="AQ245">
        <v>147</v>
      </c>
      <c r="AR245">
        <v>548</v>
      </c>
      <c r="AS245">
        <v>1185</v>
      </c>
      <c r="AT245">
        <v>85</v>
      </c>
      <c r="AU245">
        <v>149</v>
      </c>
      <c r="AV245">
        <v>0.98599999999999999</v>
      </c>
      <c r="AW245" s="1"/>
      <c r="AX245" s="1"/>
      <c r="AY245" s="29">
        <f t="shared" si="214"/>
        <v>29700</v>
      </c>
      <c r="AZ245" s="31">
        <f t="shared" si="215"/>
        <v>166714</v>
      </c>
      <c r="BA245" s="31">
        <f t="shared" ref="BA245" si="261">SUMIF($B$2:$B$571,$B245,$R$2:$R$571)</f>
        <v>4878</v>
      </c>
      <c r="BB245" s="30">
        <f t="shared" si="217"/>
        <v>2.9259690247969577E-2</v>
      </c>
    </row>
    <row r="246" spans="2:54" x14ac:dyDescent="0.5">
      <c r="B246" s="4">
        <v>2008</v>
      </c>
      <c r="C246" t="s">
        <v>48</v>
      </c>
      <c r="D246" t="s">
        <v>49</v>
      </c>
      <c r="E246">
        <v>1</v>
      </c>
      <c r="F246" t="s">
        <v>43</v>
      </c>
      <c r="G246" t="s">
        <v>38</v>
      </c>
      <c r="H246" t="s">
        <v>38</v>
      </c>
      <c r="I246" t="s">
        <v>38</v>
      </c>
      <c r="J246">
        <v>89</v>
      </c>
      <c r="K246">
        <v>74</v>
      </c>
      <c r="L246">
        <v>811</v>
      </c>
      <c r="M246" s="20">
        <v>5553</v>
      </c>
      <c r="N246" s="20">
        <v>1458</v>
      </c>
      <c r="O246" s="20">
        <f t="shared" si="204"/>
        <v>914</v>
      </c>
      <c r="P246" s="20">
        <v>296</v>
      </c>
      <c r="Q246" s="20">
        <v>13</v>
      </c>
      <c r="R246" s="20">
        <v>235</v>
      </c>
      <c r="S246" s="20">
        <v>540</v>
      </c>
      <c r="T246" s="20">
        <v>63</v>
      </c>
      <c r="U246" s="20">
        <f t="shared" si="205"/>
        <v>3492</v>
      </c>
      <c r="V246">
        <v>1016</v>
      </c>
      <c r="W246">
        <v>67</v>
      </c>
      <c r="X246">
        <v>34</v>
      </c>
      <c r="Y246">
        <v>47</v>
      </c>
      <c r="Z246">
        <v>729</v>
      </c>
      <c r="AA246">
        <v>658</v>
      </c>
      <c r="AB246">
        <v>4.0599999999999996</v>
      </c>
      <c r="AC246">
        <v>4</v>
      </c>
      <c r="AD246">
        <v>10</v>
      </c>
      <c r="AE246">
        <v>34</v>
      </c>
      <c r="AF246" s="27">
        <f t="shared" ref="AF246:AF309" ca="1" si="262">RANDBETWEEN(6049,6490)</f>
        <v>6134</v>
      </c>
      <c r="AG246" s="27">
        <f t="shared" ca="1" si="206"/>
        <v>1496</v>
      </c>
      <c r="AH246" s="27">
        <f t="shared" ca="1" si="207"/>
        <v>956</v>
      </c>
      <c r="AI246" s="27">
        <f t="shared" ca="1" si="208"/>
        <v>348</v>
      </c>
      <c r="AJ246" s="27">
        <f t="shared" ca="1" si="209"/>
        <v>27</v>
      </c>
      <c r="AK246" s="27">
        <f t="shared" ca="1" si="210"/>
        <v>165</v>
      </c>
      <c r="AL246" s="27">
        <f t="shared" ca="1" si="211"/>
        <v>589</v>
      </c>
      <c r="AM246" s="27">
        <f t="shared" ca="1" si="212"/>
        <v>49</v>
      </c>
      <c r="AN246" s="27">
        <f t="shared" ca="1" si="213"/>
        <v>4000</v>
      </c>
      <c r="AO246">
        <v>4373</v>
      </c>
      <c r="AP246">
        <v>1471</v>
      </c>
      <c r="AQ246">
        <v>156</v>
      </c>
      <c r="AR246">
        <v>460</v>
      </c>
      <c r="AS246">
        <v>1147</v>
      </c>
      <c r="AT246">
        <v>108</v>
      </c>
      <c r="AU246">
        <v>155</v>
      </c>
      <c r="AV246">
        <v>0.98299999999999998</v>
      </c>
      <c r="AW246" s="1"/>
      <c r="AX246" s="1"/>
      <c r="AY246" s="29">
        <f t="shared" si="214"/>
        <v>29700</v>
      </c>
      <c r="AZ246" s="31">
        <f t="shared" si="215"/>
        <v>166714</v>
      </c>
      <c r="BA246" s="31">
        <f t="shared" ref="BA246" si="263">SUMIF($B$2:$B$571,$B246,$S$2:$S$571)</f>
        <v>16337</v>
      </c>
      <c r="BB246" s="30">
        <f t="shared" si="217"/>
        <v>9.7994169655817753E-2</v>
      </c>
    </row>
    <row r="247" spans="2:54" x14ac:dyDescent="0.5">
      <c r="B247" s="4">
        <v>2008</v>
      </c>
      <c r="C247" t="s">
        <v>50</v>
      </c>
      <c r="D247" t="s">
        <v>51</v>
      </c>
      <c r="E247">
        <v>1</v>
      </c>
      <c r="F247" t="s">
        <v>43</v>
      </c>
      <c r="G247" t="s">
        <v>38</v>
      </c>
      <c r="H247" t="s">
        <v>38</v>
      </c>
      <c r="I247" t="s">
        <v>38</v>
      </c>
      <c r="J247">
        <v>97</v>
      </c>
      <c r="K247">
        <v>64</v>
      </c>
      <c r="L247">
        <v>855</v>
      </c>
      <c r="M247" s="20">
        <v>5588</v>
      </c>
      <c r="N247" s="20">
        <v>1552</v>
      </c>
      <c r="O247" s="20">
        <f t="shared" si="204"/>
        <v>1018</v>
      </c>
      <c r="P247" s="20">
        <v>329</v>
      </c>
      <c r="Q247" s="20">
        <v>21</v>
      </c>
      <c r="R247" s="20">
        <v>184</v>
      </c>
      <c r="S247" s="20">
        <v>636</v>
      </c>
      <c r="T247" s="20">
        <v>50</v>
      </c>
      <c r="U247" s="20">
        <f t="shared" si="205"/>
        <v>3350</v>
      </c>
      <c r="V247">
        <v>1186</v>
      </c>
      <c r="W247">
        <v>87</v>
      </c>
      <c r="X247">
        <v>34</v>
      </c>
      <c r="Y247">
        <v>45</v>
      </c>
      <c r="Z247">
        <v>671</v>
      </c>
      <c r="AA247">
        <v>624</v>
      </c>
      <c r="AB247">
        <v>3.87</v>
      </c>
      <c r="AC247">
        <v>2</v>
      </c>
      <c r="AD247">
        <v>8</v>
      </c>
      <c r="AE247">
        <v>44</v>
      </c>
      <c r="AF247" s="27">
        <f t="shared" ca="1" si="262"/>
        <v>6237</v>
      </c>
      <c r="AG247" s="27">
        <f t="shared" ca="1" si="206"/>
        <v>1521</v>
      </c>
      <c r="AH247" s="27">
        <f t="shared" ca="1" si="207"/>
        <v>905</v>
      </c>
      <c r="AI247" s="27">
        <f t="shared" ca="1" si="208"/>
        <v>353</v>
      </c>
      <c r="AJ247" s="27">
        <f t="shared" ca="1" si="209"/>
        <v>30</v>
      </c>
      <c r="AK247" s="27">
        <f t="shared" ca="1" si="210"/>
        <v>233</v>
      </c>
      <c r="AL247" s="27">
        <f t="shared" ca="1" si="211"/>
        <v>494</v>
      </c>
      <c r="AM247" s="27">
        <f t="shared" ca="1" si="212"/>
        <v>54</v>
      </c>
      <c r="AN247" s="27">
        <f t="shared" ca="1" si="213"/>
        <v>4168</v>
      </c>
      <c r="AO247">
        <v>4352</v>
      </c>
      <c r="AP247">
        <v>1329</v>
      </c>
      <c r="AQ247">
        <v>160</v>
      </c>
      <c r="AR247">
        <v>548</v>
      </c>
      <c r="AS247">
        <v>1264</v>
      </c>
      <c r="AT247">
        <v>99</v>
      </c>
      <c r="AU247">
        <v>118</v>
      </c>
      <c r="AV247">
        <v>0.98299999999999998</v>
      </c>
      <c r="AW247" s="1"/>
      <c r="AX247" s="1"/>
      <c r="AY247" s="29">
        <f t="shared" si="214"/>
        <v>29700</v>
      </c>
      <c r="AZ247" s="31">
        <f t="shared" si="215"/>
        <v>166714</v>
      </c>
      <c r="BA247" s="31">
        <f t="shared" ref="BA247" si="264">SUMIF($B$2:$B$571,$B247,$T$2:$T$571)</f>
        <v>1672</v>
      </c>
      <c r="BB247" s="30">
        <f t="shared" si="217"/>
        <v>1.0029151720911261E-2</v>
      </c>
    </row>
    <row r="248" spans="2:54" x14ac:dyDescent="0.5">
      <c r="B248" s="4">
        <v>2008</v>
      </c>
      <c r="C248" t="s">
        <v>52</v>
      </c>
      <c r="D248" t="s">
        <v>53</v>
      </c>
      <c r="E248">
        <v>5</v>
      </c>
      <c r="F248" t="s">
        <v>38</v>
      </c>
      <c r="G248" t="s">
        <v>38</v>
      </c>
      <c r="H248" t="s">
        <v>38</v>
      </c>
      <c r="I248" t="s">
        <v>38</v>
      </c>
      <c r="J248">
        <v>74</v>
      </c>
      <c r="K248">
        <v>88</v>
      </c>
      <c r="L248">
        <v>704</v>
      </c>
      <c r="M248" s="20">
        <v>5465</v>
      </c>
      <c r="N248" s="20">
        <v>1351</v>
      </c>
      <c r="O248" s="20">
        <f t="shared" si="204"/>
        <v>871</v>
      </c>
      <c r="P248" s="20">
        <v>269</v>
      </c>
      <c r="Q248" s="20">
        <v>24</v>
      </c>
      <c r="R248" s="20">
        <v>187</v>
      </c>
      <c r="S248" s="20">
        <v>560</v>
      </c>
      <c r="T248" s="20">
        <v>50</v>
      </c>
      <c r="U248" s="20">
        <f t="shared" si="205"/>
        <v>3504</v>
      </c>
      <c r="V248">
        <v>1125</v>
      </c>
      <c r="W248">
        <v>85</v>
      </c>
      <c r="X248">
        <v>47</v>
      </c>
      <c r="Y248">
        <v>41</v>
      </c>
      <c r="Z248">
        <v>800</v>
      </c>
      <c r="AA248">
        <v>729</v>
      </c>
      <c r="AB248">
        <v>4.55</v>
      </c>
      <c r="AC248">
        <v>2</v>
      </c>
      <c r="AD248">
        <v>6</v>
      </c>
      <c r="AE248">
        <v>34</v>
      </c>
      <c r="AF248" s="27">
        <f t="shared" ca="1" si="262"/>
        <v>6290</v>
      </c>
      <c r="AG248" s="27">
        <f t="shared" ca="1" si="206"/>
        <v>1355</v>
      </c>
      <c r="AH248" s="27">
        <f t="shared" ca="1" si="207"/>
        <v>824</v>
      </c>
      <c r="AI248" s="27">
        <f t="shared" ca="1" si="208"/>
        <v>355</v>
      </c>
      <c r="AJ248" s="27">
        <f t="shared" ca="1" si="209"/>
        <v>35</v>
      </c>
      <c r="AK248" s="27">
        <f t="shared" ca="1" si="210"/>
        <v>141</v>
      </c>
      <c r="AL248" s="27">
        <f t="shared" ca="1" si="211"/>
        <v>457</v>
      </c>
      <c r="AM248" s="27">
        <f t="shared" ca="1" si="212"/>
        <v>46</v>
      </c>
      <c r="AN248" s="27">
        <f t="shared" ca="1" si="213"/>
        <v>4432</v>
      </c>
      <c r="AO248">
        <v>4327</v>
      </c>
      <c r="AP248">
        <v>1542</v>
      </c>
      <c r="AQ248">
        <v>201</v>
      </c>
      <c r="AR248">
        <v>557</v>
      </c>
      <c r="AS248">
        <v>1227</v>
      </c>
      <c r="AT248">
        <v>114</v>
      </c>
      <c r="AU248">
        <v>156</v>
      </c>
      <c r="AV248">
        <v>0.98099999999999998</v>
      </c>
      <c r="AW248" s="1"/>
      <c r="AX248" s="1"/>
      <c r="AY248" s="29">
        <f t="shared" si="214"/>
        <v>29700</v>
      </c>
      <c r="AZ248" s="31">
        <f t="shared" si="215"/>
        <v>166714</v>
      </c>
      <c r="BA248" s="31">
        <f t="shared" ref="BA248" si="265">SUMIF($B$2:$B$571,$B248,$U$2:$U$571)</f>
        <v>104733</v>
      </c>
      <c r="BB248" s="30">
        <f t="shared" si="217"/>
        <v>0.62821958563767888</v>
      </c>
    </row>
    <row r="249" spans="2:54" x14ac:dyDescent="0.5">
      <c r="B249" s="4">
        <v>2008</v>
      </c>
      <c r="C249" t="s">
        <v>54</v>
      </c>
      <c r="D249" t="s">
        <v>55</v>
      </c>
      <c r="E249">
        <v>3</v>
      </c>
      <c r="F249" t="s">
        <v>38</v>
      </c>
      <c r="G249" t="s">
        <v>38</v>
      </c>
      <c r="H249" t="s">
        <v>38</v>
      </c>
      <c r="I249" t="s">
        <v>38</v>
      </c>
      <c r="J249">
        <v>81</v>
      </c>
      <c r="K249">
        <v>81</v>
      </c>
      <c r="L249">
        <v>805</v>
      </c>
      <c r="M249" s="20">
        <v>5543</v>
      </c>
      <c r="N249" s="20">
        <v>1455</v>
      </c>
      <c r="O249" s="20">
        <f t="shared" si="204"/>
        <v>923</v>
      </c>
      <c r="P249" s="20">
        <v>339</v>
      </c>
      <c r="Q249" s="20">
        <v>22</v>
      </c>
      <c r="R249" s="20">
        <v>171</v>
      </c>
      <c r="S249" s="20">
        <v>560</v>
      </c>
      <c r="T249" s="20">
        <v>103</v>
      </c>
      <c r="U249" s="20">
        <f t="shared" si="205"/>
        <v>3425</v>
      </c>
      <c r="V249">
        <v>1213</v>
      </c>
      <c r="W249">
        <v>77</v>
      </c>
      <c r="X249">
        <v>29</v>
      </c>
      <c r="Y249">
        <v>49</v>
      </c>
      <c r="Z249">
        <v>761</v>
      </c>
      <c r="AA249">
        <v>711</v>
      </c>
      <c r="AB249">
        <v>4.45</v>
      </c>
      <c r="AC249">
        <v>10</v>
      </c>
      <c r="AD249">
        <v>13</v>
      </c>
      <c r="AE249">
        <v>31</v>
      </c>
      <c r="AF249" s="27">
        <f t="shared" ca="1" si="262"/>
        <v>6120</v>
      </c>
      <c r="AG249" s="27">
        <f t="shared" ca="1" si="206"/>
        <v>1692</v>
      </c>
      <c r="AH249" s="27">
        <f t="shared" ca="1" si="207"/>
        <v>1134</v>
      </c>
      <c r="AI249" s="27">
        <f t="shared" ca="1" si="208"/>
        <v>302</v>
      </c>
      <c r="AJ249" s="27">
        <f t="shared" ca="1" si="209"/>
        <v>45</v>
      </c>
      <c r="AK249" s="27">
        <f t="shared" ca="1" si="210"/>
        <v>211</v>
      </c>
      <c r="AL249" s="27">
        <f t="shared" ca="1" si="211"/>
        <v>551</v>
      </c>
      <c r="AM249" s="27">
        <f t="shared" ca="1" si="212"/>
        <v>70</v>
      </c>
      <c r="AN249" s="27">
        <f t="shared" ca="1" si="213"/>
        <v>3807</v>
      </c>
      <c r="AO249">
        <v>4311</v>
      </c>
      <c r="AP249">
        <v>1530</v>
      </c>
      <c r="AQ249">
        <v>170</v>
      </c>
      <c r="AR249">
        <v>444</v>
      </c>
      <c r="AS249">
        <v>986</v>
      </c>
      <c r="AT249">
        <v>94</v>
      </c>
      <c r="AU249">
        <v>182</v>
      </c>
      <c r="AV249">
        <v>0.98499999999999999</v>
      </c>
      <c r="AW249" s="1"/>
      <c r="AX249" s="1"/>
      <c r="AY249" s="29">
        <f t="shared" si="214"/>
        <v>29700</v>
      </c>
      <c r="AZ249" s="31">
        <f t="shared" si="215"/>
        <v>166714</v>
      </c>
      <c r="BA249" s="31"/>
      <c r="BB249" s="30">
        <f t="shared" si="217"/>
        <v>0</v>
      </c>
    </row>
    <row r="250" spans="2:54" x14ac:dyDescent="0.5">
      <c r="B250" s="4">
        <v>2008</v>
      </c>
      <c r="C250" t="s">
        <v>56</v>
      </c>
      <c r="D250" t="s">
        <v>57</v>
      </c>
      <c r="E250">
        <v>3</v>
      </c>
      <c r="F250" t="s">
        <v>38</v>
      </c>
      <c r="G250" t="s">
        <v>38</v>
      </c>
      <c r="H250" t="s">
        <v>38</v>
      </c>
      <c r="I250" t="s">
        <v>38</v>
      </c>
      <c r="J250">
        <v>74</v>
      </c>
      <c r="K250">
        <v>88</v>
      </c>
      <c r="L250">
        <v>747</v>
      </c>
      <c r="M250" s="20">
        <v>5557</v>
      </c>
      <c r="N250" s="20">
        <v>1462</v>
      </c>
      <c r="O250" s="20">
        <f t="shared" si="204"/>
        <v>964</v>
      </c>
      <c r="P250" s="20">
        <v>310</v>
      </c>
      <c r="Q250" s="20">
        <v>28</v>
      </c>
      <c r="R250" s="20">
        <v>160</v>
      </c>
      <c r="S250" s="20">
        <v>570</v>
      </c>
      <c r="T250" s="20">
        <v>57</v>
      </c>
      <c r="U250" s="20">
        <f t="shared" si="205"/>
        <v>3468</v>
      </c>
      <c r="V250">
        <v>1209</v>
      </c>
      <c r="W250">
        <v>141</v>
      </c>
      <c r="X250">
        <v>37</v>
      </c>
      <c r="Y250">
        <v>38</v>
      </c>
      <c r="Z250">
        <v>822</v>
      </c>
      <c r="AA250">
        <v>766</v>
      </c>
      <c r="AB250">
        <v>4.7699999999999996</v>
      </c>
      <c r="AC250">
        <v>3</v>
      </c>
      <c r="AD250">
        <v>8</v>
      </c>
      <c r="AE250">
        <v>36</v>
      </c>
      <c r="AF250" s="27">
        <f t="shared" ca="1" si="262"/>
        <v>6366</v>
      </c>
      <c r="AG250" s="27">
        <f t="shared" ca="1" si="206"/>
        <v>1407</v>
      </c>
      <c r="AH250" s="27">
        <f t="shared" ca="1" si="207"/>
        <v>773</v>
      </c>
      <c r="AI250" s="27">
        <f t="shared" ca="1" si="208"/>
        <v>399</v>
      </c>
      <c r="AJ250" s="27">
        <f t="shared" ca="1" si="209"/>
        <v>44</v>
      </c>
      <c r="AK250" s="27">
        <f t="shared" ca="1" si="210"/>
        <v>191</v>
      </c>
      <c r="AL250" s="27">
        <f t="shared" ca="1" si="211"/>
        <v>536</v>
      </c>
      <c r="AM250" s="27">
        <f t="shared" ca="1" si="212"/>
        <v>47</v>
      </c>
      <c r="AN250" s="27">
        <f t="shared" ca="1" si="213"/>
        <v>4376</v>
      </c>
      <c r="AO250">
        <v>4338</v>
      </c>
      <c r="AP250">
        <v>1547</v>
      </c>
      <c r="AQ250">
        <v>148</v>
      </c>
      <c r="AR250">
        <v>562</v>
      </c>
      <c r="AS250">
        <v>1041</v>
      </c>
      <c r="AT250">
        <v>96</v>
      </c>
      <c r="AU250">
        <v>176</v>
      </c>
      <c r="AV250">
        <v>0.98499999999999999</v>
      </c>
      <c r="AW250" s="1"/>
      <c r="AX250" s="1"/>
      <c r="AY250" s="29">
        <f t="shared" si="214"/>
        <v>29700</v>
      </c>
      <c r="AZ250" s="31">
        <f t="shared" si="215"/>
        <v>166714</v>
      </c>
      <c r="BA250" s="31">
        <f t="shared" ref="BA250" si="266">SUMIF($B$2:$B$571,$B250,$O$2:$O$571)</f>
        <v>29194</v>
      </c>
      <c r="BB250" s="30">
        <f t="shared" si="217"/>
        <v>0.17511426754801637</v>
      </c>
    </row>
    <row r="251" spans="2:54" x14ac:dyDescent="0.5">
      <c r="B251" s="4">
        <v>2008</v>
      </c>
      <c r="C251" t="s">
        <v>58</v>
      </c>
      <c r="D251" t="s">
        <v>59</v>
      </c>
      <c r="E251">
        <v>5</v>
      </c>
      <c r="F251" t="s">
        <v>38</v>
      </c>
      <c r="G251" t="s">
        <v>38</v>
      </c>
      <c r="H251" t="s">
        <v>38</v>
      </c>
      <c r="I251" t="s">
        <v>38</v>
      </c>
      <c r="J251">
        <v>74</v>
      </c>
      <c r="K251">
        <v>88</v>
      </c>
      <c r="L251">
        <v>821</v>
      </c>
      <c r="M251" s="20">
        <v>5641</v>
      </c>
      <c r="N251" s="20">
        <v>1529</v>
      </c>
      <c r="O251" s="20">
        <f t="shared" si="204"/>
        <v>995</v>
      </c>
      <c r="P251" s="20">
        <v>293</v>
      </c>
      <c r="Q251" s="20">
        <v>41</v>
      </c>
      <c r="R251" s="20">
        <v>200</v>
      </c>
      <c r="S251" s="20">
        <v>572</v>
      </c>
      <c r="T251" s="20">
        <v>44</v>
      </c>
      <c r="U251" s="20">
        <f t="shared" si="205"/>
        <v>3496</v>
      </c>
      <c r="V251">
        <v>1076</v>
      </c>
      <c r="W251">
        <v>63</v>
      </c>
      <c r="X251">
        <v>31</v>
      </c>
      <c r="Y251">
        <v>44</v>
      </c>
      <c r="Z251">
        <v>857</v>
      </c>
      <c r="AA251">
        <v>786</v>
      </c>
      <c r="AB251">
        <v>4.9000000000000004</v>
      </c>
      <c r="AC251">
        <v>1</v>
      </c>
      <c r="AD251">
        <v>2</v>
      </c>
      <c r="AE251">
        <v>34</v>
      </c>
      <c r="AF251" s="27">
        <f t="shared" ca="1" si="262"/>
        <v>6146</v>
      </c>
      <c r="AG251" s="27">
        <f t="shared" ca="1" si="206"/>
        <v>1546</v>
      </c>
      <c r="AH251" s="27">
        <f t="shared" ca="1" si="207"/>
        <v>1030</v>
      </c>
      <c r="AI251" s="27">
        <f t="shared" ca="1" si="208"/>
        <v>264</v>
      </c>
      <c r="AJ251" s="27">
        <f t="shared" ca="1" si="209"/>
        <v>30</v>
      </c>
      <c r="AK251" s="27">
        <f t="shared" ca="1" si="210"/>
        <v>222</v>
      </c>
      <c r="AL251" s="27">
        <f t="shared" ca="1" si="211"/>
        <v>550</v>
      </c>
      <c r="AM251" s="27">
        <f t="shared" ca="1" si="212"/>
        <v>86</v>
      </c>
      <c r="AN251" s="27">
        <f t="shared" ca="1" si="213"/>
        <v>3964</v>
      </c>
      <c r="AO251">
        <v>4335</v>
      </c>
      <c r="AP251">
        <v>1541</v>
      </c>
      <c r="AQ251">
        <v>172</v>
      </c>
      <c r="AR251">
        <v>644</v>
      </c>
      <c r="AS251">
        <v>991</v>
      </c>
      <c r="AT251">
        <v>113</v>
      </c>
      <c r="AU251">
        <v>172</v>
      </c>
      <c r="AV251">
        <v>0.98099999999999998</v>
      </c>
      <c r="AW251" s="1"/>
      <c r="AX251" s="1"/>
      <c r="AY251" s="29">
        <f t="shared" si="214"/>
        <v>29700</v>
      </c>
      <c r="AZ251" s="31">
        <f t="shared" si="215"/>
        <v>166714</v>
      </c>
      <c r="BA251" s="31">
        <f t="shared" ref="BA251" si="267">SUMIF($B$2:$B$571,$B251,$P$2:$P$571)</f>
        <v>9014</v>
      </c>
      <c r="BB251" s="30">
        <f t="shared" si="217"/>
        <v>5.4068644504960593E-2</v>
      </c>
    </row>
    <row r="252" spans="2:54" x14ac:dyDescent="0.5">
      <c r="B252" s="4">
        <v>2008</v>
      </c>
      <c r="C252" t="s">
        <v>60</v>
      </c>
      <c r="D252" t="s">
        <v>61</v>
      </c>
      <c r="E252">
        <v>3</v>
      </c>
      <c r="F252" t="s">
        <v>38</v>
      </c>
      <c r="G252" t="s">
        <v>38</v>
      </c>
      <c r="H252" t="s">
        <v>38</v>
      </c>
      <c r="I252" t="s">
        <v>38</v>
      </c>
      <c r="J252">
        <v>84</v>
      </c>
      <c r="K252">
        <v>77</v>
      </c>
      <c r="L252">
        <v>770</v>
      </c>
      <c r="M252" s="20">
        <v>5499</v>
      </c>
      <c r="N252" s="20">
        <v>1397</v>
      </c>
      <c r="O252" s="20">
        <f t="shared" si="204"/>
        <v>859</v>
      </c>
      <c r="P252" s="20">
        <v>302</v>
      </c>
      <c r="Q252" s="20">
        <v>28</v>
      </c>
      <c r="R252" s="20">
        <v>208</v>
      </c>
      <c r="S252" s="20">
        <v>543</v>
      </c>
      <c r="T252" s="20">
        <v>69</v>
      </c>
      <c r="U252" s="20">
        <f t="shared" si="205"/>
        <v>3490</v>
      </c>
      <c r="V252">
        <v>1371</v>
      </c>
      <c r="W252">
        <v>76</v>
      </c>
      <c r="X252">
        <v>28</v>
      </c>
      <c r="Y252">
        <v>46</v>
      </c>
      <c r="Z252">
        <v>767</v>
      </c>
      <c r="AA252">
        <v>707</v>
      </c>
      <c r="AB252">
        <v>4.43</v>
      </c>
      <c r="AC252">
        <v>2</v>
      </c>
      <c r="AD252">
        <v>8</v>
      </c>
      <c r="AE252">
        <v>36</v>
      </c>
      <c r="AF252" s="27">
        <f t="shared" ca="1" si="262"/>
        <v>6203</v>
      </c>
      <c r="AG252" s="27">
        <f t="shared" ca="1" si="206"/>
        <v>1375</v>
      </c>
      <c r="AH252" s="27">
        <f t="shared" ca="1" si="207"/>
        <v>864</v>
      </c>
      <c r="AI252" s="27">
        <f t="shared" ca="1" si="208"/>
        <v>245</v>
      </c>
      <c r="AJ252" s="27">
        <f t="shared" ca="1" si="209"/>
        <v>47</v>
      </c>
      <c r="AK252" s="27">
        <f t="shared" ca="1" si="210"/>
        <v>219</v>
      </c>
      <c r="AL252" s="27">
        <f t="shared" ca="1" si="211"/>
        <v>578</v>
      </c>
      <c r="AM252" s="27">
        <f t="shared" ca="1" si="212"/>
        <v>70</v>
      </c>
      <c r="AN252" s="27">
        <f t="shared" ca="1" si="213"/>
        <v>4180</v>
      </c>
      <c r="AO252">
        <v>4306</v>
      </c>
      <c r="AP252">
        <v>1421</v>
      </c>
      <c r="AQ252">
        <v>161</v>
      </c>
      <c r="AR252">
        <v>586</v>
      </c>
      <c r="AS252">
        <v>1127</v>
      </c>
      <c r="AT252">
        <v>117</v>
      </c>
      <c r="AU252">
        <v>122</v>
      </c>
      <c r="AV252">
        <v>0.98</v>
      </c>
      <c r="AW252" s="1"/>
      <c r="AX252" s="1"/>
      <c r="AY252" s="29">
        <f t="shared" si="214"/>
        <v>29700</v>
      </c>
      <c r="AZ252" s="31">
        <f t="shared" si="215"/>
        <v>166714</v>
      </c>
      <c r="BA252" s="31">
        <f t="shared" ref="BA252" si="268">SUMIF($B$2:$B$571,$B252,$Q$2:$Q$571)</f>
        <v>886</v>
      </c>
      <c r="BB252" s="30">
        <f t="shared" si="217"/>
        <v>5.3144906846455606E-3</v>
      </c>
    </row>
    <row r="253" spans="2:54" x14ac:dyDescent="0.5">
      <c r="B253" s="4">
        <v>2008</v>
      </c>
      <c r="C253" t="s">
        <v>62</v>
      </c>
      <c r="D253" t="s">
        <v>63</v>
      </c>
      <c r="E253">
        <v>3</v>
      </c>
      <c r="F253" t="s">
        <v>38</v>
      </c>
      <c r="G253" t="s">
        <v>38</v>
      </c>
      <c r="H253" t="s">
        <v>38</v>
      </c>
      <c r="I253" t="s">
        <v>38</v>
      </c>
      <c r="J253">
        <v>86</v>
      </c>
      <c r="K253">
        <v>75</v>
      </c>
      <c r="L253">
        <v>712</v>
      </c>
      <c r="M253" s="20">
        <v>5451</v>
      </c>
      <c r="N253" s="20">
        <v>1432</v>
      </c>
      <c r="O253" s="20">
        <f t="shared" si="204"/>
        <v>959</v>
      </c>
      <c r="P253" s="20">
        <v>284</v>
      </c>
      <c r="Q253" s="20">
        <v>22</v>
      </c>
      <c r="R253" s="20">
        <v>167</v>
      </c>
      <c r="S253" s="20">
        <v>449</v>
      </c>
      <c r="T253" s="20">
        <v>52</v>
      </c>
      <c r="U253" s="20">
        <f t="shared" si="205"/>
        <v>3518</v>
      </c>
      <c r="V253">
        <v>1051</v>
      </c>
      <c r="W253">
        <v>114</v>
      </c>
      <c r="X253">
        <v>52</v>
      </c>
      <c r="Y253">
        <v>41</v>
      </c>
      <c r="Z253">
        <v>743</v>
      </c>
      <c r="AA253">
        <v>691</v>
      </c>
      <c r="AB253">
        <v>4.3600000000000003</v>
      </c>
      <c r="AC253">
        <v>4</v>
      </c>
      <c r="AD253">
        <v>13</v>
      </c>
      <c r="AE253">
        <v>48</v>
      </c>
      <c r="AF253" s="27">
        <f t="shared" ca="1" si="262"/>
        <v>6133</v>
      </c>
      <c r="AG253" s="27">
        <f t="shared" ca="1" si="206"/>
        <v>1395</v>
      </c>
      <c r="AH253" s="27">
        <f t="shared" ca="1" si="207"/>
        <v>831</v>
      </c>
      <c r="AI253" s="27">
        <f t="shared" ca="1" si="208"/>
        <v>337</v>
      </c>
      <c r="AJ253" s="27">
        <f t="shared" ca="1" si="209"/>
        <v>22</v>
      </c>
      <c r="AK253" s="27">
        <f t="shared" ca="1" si="210"/>
        <v>205</v>
      </c>
      <c r="AL253" s="27">
        <f t="shared" ca="1" si="211"/>
        <v>455</v>
      </c>
      <c r="AM253" s="27">
        <f t="shared" ca="1" si="212"/>
        <v>60</v>
      </c>
      <c r="AN253" s="27">
        <f t="shared" ca="1" si="213"/>
        <v>4223</v>
      </c>
      <c r="AO253">
        <v>4276</v>
      </c>
      <c r="AP253">
        <v>1453</v>
      </c>
      <c r="AQ253">
        <v>197</v>
      </c>
      <c r="AR253">
        <v>492</v>
      </c>
      <c r="AS253">
        <v>1095</v>
      </c>
      <c r="AT253">
        <v>67</v>
      </c>
      <c r="AU253">
        <v>142</v>
      </c>
      <c r="AV253">
        <v>0.98899999999999999</v>
      </c>
      <c r="AW253" s="1"/>
      <c r="AX253" s="1"/>
      <c r="AY253" s="29">
        <f t="shared" si="214"/>
        <v>29700</v>
      </c>
      <c r="AZ253" s="31">
        <f t="shared" si="215"/>
        <v>166714</v>
      </c>
      <c r="BA253" s="31">
        <f t="shared" ref="BA253" si="269">SUMIF($B$2:$B$571,$B253,$R$2:$R$571)</f>
        <v>4878</v>
      </c>
      <c r="BB253" s="30">
        <f t="shared" si="217"/>
        <v>2.9259690247969577E-2</v>
      </c>
    </row>
    <row r="254" spans="2:54" x14ac:dyDescent="0.5">
      <c r="B254" s="4">
        <v>2008</v>
      </c>
      <c r="C254" t="s">
        <v>64</v>
      </c>
      <c r="D254" t="s">
        <v>65</v>
      </c>
      <c r="E254">
        <v>4</v>
      </c>
      <c r="F254" t="s">
        <v>38</v>
      </c>
      <c r="G254" t="s">
        <v>38</v>
      </c>
      <c r="H254" t="s">
        <v>38</v>
      </c>
      <c r="I254" t="s">
        <v>38</v>
      </c>
      <c r="J254">
        <v>75</v>
      </c>
      <c r="K254">
        <v>87</v>
      </c>
      <c r="L254">
        <v>691</v>
      </c>
      <c r="M254" s="20">
        <v>5608</v>
      </c>
      <c r="N254" s="20">
        <v>1507</v>
      </c>
      <c r="O254" s="20">
        <f t="shared" si="204"/>
        <v>1056</v>
      </c>
      <c r="P254" s="20">
        <v>303</v>
      </c>
      <c r="Q254" s="20">
        <v>28</v>
      </c>
      <c r="R254" s="20">
        <v>120</v>
      </c>
      <c r="S254" s="20">
        <v>392</v>
      </c>
      <c r="T254" s="20">
        <v>50</v>
      </c>
      <c r="U254" s="20">
        <f t="shared" si="205"/>
        <v>3659</v>
      </c>
      <c r="V254">
        <v>1005</v>
      </c>
      <c r="W254">
        <v>79</v>
      </c>
      <c r="X254">
        <v>38</v>
      </c>
      <c r="Y254">
        <v>36</v>
      </c>
      <c r="Z254">
        <v>781</v>
      </c>
      <c r="AA254">
        <v>720</v>
      </c>
      <c r="AB254">
        <v>4.4800000000000004</v>
      </c>
      <c r="AC254">
        <v>2</v>
      </c>
      <c r="AD254">
        <v>8</v>
      </c>
      <c r="AE254">
        <v>44</v>
      </c>
      <c r="AF254" s="27">
        <f t="shared" ca="1" si="262"/>
        <v>6196</v>
      </c>
      <c r="AG254" s="27">
        <f t="shared" ca="1" si="206"/>
        <v>1382</v>
      </c>
      <c r="AH254" s="27">
        <f t="shared" ca="1" si="207"/>
        <v>832</v>
      </c>
      <c r="AI254" s="27">
        <f t="shared" ca="1" si="208"/>
        <v>346</v>
      </c>
      <c r="AJ254" s="27">
        <f t="shared" ca="1" si="209"/>
        <v>42</v>
      </c>
      <c r="AK254" s="27">
        <f t="shared" ca="1" si="210"/>
        <v>162</v>
      </c>
      <c r="AL254" s="27">
        <f t="shared" ca="1" si="211"/>
        <v>652</v>
      </c>
      <c r="AM254" s="27">
        <f t="shared" ca="1" si="212"/>
        <v>78</v>
      </c>
      <c r="AN254" s="27">
        <f t="shared" ca="1" si="213"/>
        <v>4084</v>
      </c>
      <c r="AO254">
        <v>4337</v>
      </c>
      <c r="AP254">
        <v>1473</v>
      </c>
      <c r="AQ254">
        <v>159</v>
      </c>
      <c r="AR254">
        <v>515</v>
      </c>
      <c r="AS254">
        <v>1085</v>
      </c>
      <c r="AT254">
        <v>96</v>
      </c>
      <c r="AU254">
        <v>159</v>
      </c>
      <c r="AV254">
        <v>0.98399999999999999</v>
      </c>
      <c r="AW254" s="1"/>
      <c r="AX254" s="1"/>
      <c r="AY254" s="29">
        <f t="shared" si="214"/>
        <v>29700</v>
      </c>
      <c r="AZ254" s="31">
        <f t="shared" si="215"/>
        <v>166714</v>
      </c>
      <c r="BA254" s="31">
        <f t="shared" ref="BA254" si="270">SUMIF($B$2:$B$571,$B254,$S$2:$S$571)</f>
        <v>16337</v>
      </c>
      <c r="BB254" s="30">
        <f t="shared" si="217"/>
        <v>9.7994169655817753E-2</v>
      </c>
    </row>
    <row r="255" spans="2:54" x14ac:dyDescent="0.5">
      <c r="B255" s="4">
        <v>2008</v>
      </c>
      <c r="C255" t="s">
        <v>98</v>
      </c>
      <c r="D255" t="s">
        <v>99</v>
      </c>
      <c r="E255">
        <v>1</v>
      </c>
      <c r="F255" t="s">
        <v>43</v>
      </c>
      <c r="G255" t="s">
        <v>38</v>
      </c>
      <c r="H255" t="s">
        <v>38</v>
      </c>
      <c r="I255" t="s">
        <v>38</v>
      </c>
      <c r="J255">
        <v>100</v>
      </c>
      <c r="K255">
        <v>62</v>
      </c>
      <c r="L255">
        <v>765</v>
      </c>
      <c r="M255" s="20">
        <v>5540</v>
      </c>
      <c r="N255" s="20">
        <v>1486</v>
      </c>
      <c r="O255" s="20">
        <f t="shared" si="204"/>
        <v>1028</v>
      </c>
      <c r="P255" s="20">
        <v>274</v>
      </c>
      <c r="Q255" s="20">
        <v>25</v>
      </c>
      <c r="R255" s="20">
        <v>159</v>
      </c>
      <c r="S255" s="20">
        <v>481</v>
      </c>
      <c r="T255" s="20">
        <v>52</v>
      </c>
      <c r="U255" s="20">
        <f t="shared" si="205"/>
        <v>3521</v>
      </c>
      <c r="V255">
        <v>987</v>
      </c>
      <c r="W255">
        <v>129</v>
      </c>
      <c r="X255">
        <v>48</v>
      </c>
      <c r="Y255">
        <v>50</v>
      </c>
      <c r="Z255">
        <v>697</v>
      </c>
      <c r="AA255">
        <v>644</v>
      </c>
      <c r="AB255">
        <v>3.99</v>
      </c>
      <c r="AC255">
        <v>7</v>
      </c>
      <c r="AD255">
        <v>10</v>
      </c>
      <c r="AE255">
        <v>66</v>
      </c>
      <c r="AF255" s="27">
        <f t="shared" ca="1" si="262"/>
        <v>6398</v>
      </c>
      <c r="AG255" s="27">
        <f t="shared" ca="1" si="206"/>
        <v>1363</v>
      </c>
      <c r="AH255" s="27">
        <f t="shared" ca="1" si="207"/>
        <v>866</v>
      </c>
      <c r="AI255" s="27">
        <f t="shared" ca="1" si="208"/>
        <v>269</v>
      </c>
      <c r="AJ255" s="27">
        <f t="shared" ca="1" si="209"/>
        <v>20</v>
      </c>
      <c r="AK255" s="27">
        <f t="shared" ca="1" si="210"/>
        <v>208</v>
      </c>
      <c r="AL255" s="27">
        <f t="shared" ca="1" si="211"/>
        <v>585</v>
      </c>
      <c r="AM255" s="27">
        <f t="shared" ca="1" si="212"/>
        <v>43</v>
      </c>
      <c r="AN255" s="27">
        <f t="shared" ca="1" si="213"/>
        <v>4407</v>
      </c>
      <c r="AO255">
        <v>4354</v>
      </c>
      <c r="AP255">
        <v>1455</v>
      </c>
      <c r="AQ255">
        <v>160</v>
      </c>
      <c r="AR255">
        <v>457</v>
      </c>
      <c r="AS255">
        <v>1106</v>
      </c>
      <c r="AT255">
        <v>91</v>
      </c>
      <c r="AU255">
        <v>159</v>
      </c>
      <c r="AV255">
        <v>0.98499999999999999</v>
      </c>
      <c r="AW255" s="1"/>
      <c r="AX255" s="1"/>
      <c r="AY255" s="29">
        <f t="shared" si="214"/>
        <v>29700</v>
      </c>
      <c r="AZ255" s="31">
        <f t="shared" si="215"/>
        <v>166714</v>
      </c>
      <c r="BA255" s="31">
        <f t="shared" ref="BA255" si="271">SUMIF($B$2:$B$571,$B255,$T$2:$T$571)</f>
        <v>1672</v>
      </c>
      <c r="BB255" s="30">
        <f t="shared" si="217"/>
        <v>1.0029151720911261E-2</v>
      </c>
    </row>
    <row r="256" spans="2:54" x14ac:dyDescent="0.5">
      <c r="B256" s="4">
        <v>2008</v>
      </c>
      <c r="C256" t="s">
        <v>66</v>
      </c>
      <c r="D256" t="s">
        <v>67</v>
      </c>
      <c r="E256">
        <v>1</v>
      </c>
      <c r="F256" t="s">
        <v>43</v>
      </c>
      <c r="G256" t="s">
        <v>38</v>
      </c>
      <c r="H256" t="s">
        <v>38</v>
      </c>
      <c r="I256" t="s">
        <v>38</v>
      </c>
      <c r="J256">
        <v>84</v>
      </c>
      <c r="K256">
        <v>78</v>
      </c>
      <c r="L256">
        <v>700</v>
      </c>
      <c r="M256" s="20">
        <v>5506</v>
      </c>
      <c r="N256" s="20">
        <v>1455</v>
      </c>
      <c r="O256" s="20">
        <f t="shared" si="204"/>
        <v>1018</v>
      </c>
      <c r="P256" s="20">
        <v>271</v>
      </c>
      <c r="Q256" s="20">
        <v>29</v>
      </c>
      <c r="R256" s="20">
        <v>137</v>
      </c>
      <c r="S256" s="20">
        <v>543</v>
      </c>
      <c r="T256" s="20">
        <v>43</v>
      </c>
      <c r="U256" s="20">
        <f t="shared" si="205"/>
        <v>3465</v>
      </c>
      <c r="V256">
        <v>1032</v>
      </c>
      <c r="W256">
        <v>126</v>
      </c>
      <c r="X256">
        <v>43</v>
      </c>
      <c r="Y256">
        <v>38</v>
      </c>
      <c r="Z256">
        <v>648</v>
      </c>
      <c r="AA256">
        <v>591</v>
      </c>
      <c r="AB256">
        <v>3.68</v>
      </c>
      <c r="AC256">
        <v>5</v>
      </c>
      <c r="AD256">
        <v>11</v>
      </c>
      <c r="AE256">
        <v>35</v>
      </c>
      <c r="AF256" s="27">
        <f t="shared" ca="1" si="262"/>
        <v>6049</v>
      </c>
      <c r="AG256" s="27">
        <f t="shared" ca="1" si="206"/>
        <v>1550</v>
      </c>
      <c r="AH256" s="27">
        <f t="shared" ca="1" si="207"/>
        <v>1036</v>
      </c>
      <c r="AI256" s="27">
        <f t="shared" ca="1" si="208"/>
        <v>292</v>
      </c>
      <c r="AJ256" s="27">
        <f t="shared" ca="1" si="209"/>
        <v>46</v>
      </c>
      <c r="AK256" s="27">
        <f t="shared" ca="1" si="210"/>
        <v>176</v>
      </c>
      <c r="AL256" s="27">
        <f t="shared" ca="1" si="211"/>
        <v>696</v>
      </c>
      <c r="AM256" s="27">
        <f t="shared" ca="1" si="212"/>
        <v>57</v>
      </c>
      <c r="AN256" s="27">
        <f t="shared" ca="1" si="213"/>
        <v>3746</v>
      </c>
      <c r="AO256">
        <v>4342</v>
      </c>
      <c r="AP256">
        <v>1381</v>
      </c>
      <c r="AQ256">
        <v>123</v>
      </c>
      <c r="AR256">
        <v>480</v>
      </c>
      <c r="AS256">
        <v>1205</v>
      </c>
      <c r="AT256">
        <v>101</v>
      </c>
      <c r="AU256">
        <v>138</v>
      </c>
      <c r="AV256">
        <v>0.98399999999999999</v>
      </c>
      <c r="AW256" s="1"/>
      <c r="AX256" s="1"/>
      <c r="AY256" s="29">
        <f t="shared" si="214"/>
        <v>29700</v>
      </c>
      <c r="AZ256" s="31">
        <f t="shared" si="215"/>
        <v>166714</v>
      </c>
      <c r="BA256" s="31">
        <f t="shared" ref="BA256" si="272">SUMIF($B$2:$B$571,$B256,$U$2:$U$571)</f>
        <v>104733</v>
      </c>
      <c r="BB256" s="30">
        <f t="shared" si="217"/>
        <v>0.62821958563767888</v>
      </c>
    </row>
    <row r="257" spans="2:54" x14ac:dyDescent="0.5">
      <c r="B257" s="4">
        <v>2008</v>
      </c>
      <c r="C257" t="s">
        <v>68</v>
      </c>
      <c r="D257" t="s">
        <v>69</v>
      </c>
      <c r="E257">
        <v>2</v>
      </c>
      <c r="F257" t="s">
        <v>38</v>
      </c>
      <c r="G257" t="s">
        <v>43</v>
      </c>
      <c r="H257" t="s">
        <v>38</v>
      </c>
      <c r="I257" t="s">
        <v>38</v>
      </c>
      <c r="J257">
        <v>90</v>
      </c>
      <c r="K257">
        <v>72</v>
      </c>
      <c r="L257">
        <v>750</v>
      </c>
      <c r="M257" s="20">
        <v>5535</v>
      </c>
      <c r="N257" s="20">
        <v>1398</v>
      </c>
      <c r="O257" s="20">
        <f t="shared" si="204"/>
        <v>841</v>
      </c>
      <c r="P257" s="20">
        <v>324</v>
      </c>
      <c r="Q257" s="20">
        <v>35</v>
      </c>
      <c r="R257" s="20">
        <v>198</v>
      </c>
      <c r="S257" s="20">
        <v>550</v>
      </c>
      <c r="T257" s="20">
        <v>69</v>
      </c>
      <c r="U257" s="20">
        <f t="shared" si="205"/>
        <v>3518</v>
      </c>
      <c r="V257">
        <v>1203</v>
      </c>
      <c r="W257">
        <v>108</v>
      </c>
      <c r="X257">
        <v>38</v>
      </c>
      <c r="Y257">
        <v>43</v>
      </c>
      <c r="Z257">
        <v>689</v>
      </c>
      <c r="AA257">
        <v>623</v>
      </c>
      <c r="AB257">
        <v>3.85</v>
      </c>
      <c r="AC257">
        <v>12</v>
      </c>
      <c r="AD257">
        <v>10</v>
      </c>
      <c r="AE257">
        <v>45</v>
      </c>
      <c r="AF257" s="27">
        <f t="shared" ca="1" si="262"/>
        <v>6453</v>
      </c>
      <c r="AG257" s="27">
        <f t="shared" ca="1" si="206"/>
        <v>1681</v>
      </c>
      <c r="AH257" s="27">
        <f t="shared" ca="1" si="207"/>
        <v>1074</v>
      </c>
      <c r="AI257" s="27">
        <f t="shared" ca="1" si="208"/>
        <v>390</v>
      </c>
      <c r="AJ257" s="27">
        <f t="shared" ca="1" si="209"/>
        <v>41</v>
      </c>
      <c r="AK257" s="27">
        <f t="shared" ca="1" si="210"/>
        <v>176</v>
      </c>
      <c r="AL257" s="27">
        <f t="shared" ca="1" si="211"/>
        <v>696</v>
      </c>
      <c r="AM257" s="27">
        <f t="shared" ca="1" si="212"/>
        <v>85</v>
      </c>
      <c r="AN257" s="27">
        <f t="shared" ca="1" si="213"/>
        <v>3991</v>
      </c>
      <c r="AO257">
        <v>4367</v>
      </c>
      <c r="AP257">
        <v>1415</v>
      </c>
      <c r="AQ257">
        <v>175</v>
      </c>
      <c r="AR257">
        <v>528</v>
      </c>
      <c r="AS257">
        <v>1110</v>
      </c>
      <c r="AT257">
        <v>101</v>
      </c>
      <c r="AU257">
        <v>160</v>
      </c>
      <c r="AV257">
        <v>0.98399999999999999</v>
      </c>
      <c r="AW257" s="1"/>
      <c r="AX257" s="1"/>
      <c r="AY257" s="29">
        <f t="shared" si="214"/>
        <v>29700</v>
      </c>
      <c r="AZ257" s="31">
        <f t="shared" si="215"/>
        <v>166714</v>
      </c>
      <c r="BA257" s="31"/>
      <c r="BB257" s="30">
        <f t="shared" si="217"/>
        <v>0</v>
      </c>
    </row>
    <row r="258" spans="2:54" x14ac:dyDescent="0.5">
      <c r="B258" s="4">
        <v>2008</v>
      </c>
      <c r="C258" t="s">
        <v>70</v>
      </c>
      <c r="D258" t="s">
        <v>71</v>
      </c>
      <c r="E258">
        <v>2</v>
      </c>
      <c r="F258" t="s">
        <v>38</v>
      </c>
      <c r="G258" t="s">
        <v>38</v>
      </c>
      <c r="H258" t="s">
        <v>38</v>
      </c>
      <c r="I258" t="s">
        <v>38</v>
      </c>
      <c r="J258">
        <v>88</v>
      </c>
      <c r="K258">
        <v>75</v>
      </c>
      <c r="L258">
        <v>829</v>
      </c>
      <c r="M258" s="20">
        <v>5641</v>
      </c>
      <c r="N258" s="20">
        <v>1572</v>
      </c>
      <c r="O258" s="20">
        <f t="shared" si="204"/>
        <v>1114</v>
      </c>
      <c r="P258" s="20">
        <v>298</v>
      </c>
      <c r="Q258" s="20">
        <v>49</v>
      </c>
      <c r="R258" s="20">
        <v>111</v>
      </c>
      <c r="S258" s="20">
        <v>529</v>
      </c>
      <c r="T258" s="20">
        <v>36</v>
      </c>
      <c r="U258" s="20">
        <f t="shared" si="205"/>
        <v>3504</v>
      </c>
      <c r="V258">
        <v>979</v>
      </c>
      <c r="W258">
        <v>102</v>
      </c>
      <c r="X258">
        <v>42</v>
      </c>
      <c r="Y258">
        <v>72</v>
      </c>
      <c r="Z258">
        <v>745</v>
      </c>
      <c r="AA258">
        <v>675</v>
      </c>
      <c r="AB258">
        <v>4.16</v>
      </c>
      <c r="AC258">
        <v>5</v>
      </c>
      <c r="AD258">
        <v>10</v>
      </c>
      <c r="AE258">
        <v>42</v>
      </c>
      <c r="AF258" s="27">
        <f t="shared" ca="1" si="262"/>
        <v>6363</v>
      </c>
      <c r="AG258" s="27">
        <f t="shared" ca="1" si="206"/>
        <v>1518</v>
      </c>
      <c r="AH258" s="27">
        <f t="shared" ca="1" si="207"/>
        <v>924</v>
      </c>
      <c r="AI258" s="27">
        <f t="shared" ca="1" si="208"/>
        <v>370</v>
      </c>
      <c r="AJ258" s="27">
        <f t="shared" ca="1" si="209"/>
        <v>24</v>
      </c>
      <c r="AK258" s="27">
        <f t="shared" ca="1" si="210"/>
        <v>200</v>
      </c>
      <c r="AL258" s="27">
        <f t="shared" ca="1" si="211"/>
        <v>467</v>
      </c>
      <c r="AM258" s="27">
        <f t="shared" ca="1" si="212"/>
        <v>85</v>
      </c>
      <c r="AN258" s="27">
        <f t="shared" ca="1" si="213"/>
        <v>4293</v>
      </c>
      <c r="AO258">
        <v>4377</v>
      </c>
      <c r="AP258">
        <v>1568</v>
      </c>
      <c r="AQ258">
        <v>183</v>
      </c>
      <c r="AR258">
        <v>406</v>
      </c>
      <c r="AS258">
        <v>995</v>
      </c>
      <c r="AT258">
        <v>108</v>
      </c>
      <c r="AU258">
        <v>168</v>
      </c>
      <c r="AV258">
        <v>0.98199999999999998</v>
      </c>
      <c r="AW258" s="1"/>
      <c r="AX258" s="1"/>
      <c r="AY258" s="29">
        <f t="shared" si="214"/>
        <v>29700</v>
      </c>
      <c r="AZ258" s="31">
        <f t="shared" si="215"/>
        <v>166714</v>
      </c>
      <c r="BA258" s="31">
        <f t="shared" ref="BA258" si="273">SUMIF($B$2:$B$571,$B258,$O$2:$O$571)</f>
        <v>29194</v>
      </c>
      <c r="BB258" s="30">
        <f t="shared" si="217"/>
        <v>0.17511426754801637</v>
      </c>
    </row>
    <row r="259" spans="2:54" x14ac:dyDescent="0.5">
      <c r="B259" s="4">
        <v>2008</v>
      </c>
      <c r="C259" t="s">
        <v>74</v>
      </c>
      <c r="D259" t="s">
        <v>75</v>
      </c>
      <c r="E259">
        <v>3</v>
      </c>
      <c r="F259" t="s">
        <v>38</v>
      </c>
      <c r="G259" t="s">
        <v>38</v>
      </c>
      <c r="H259" t="s">
        <v>38</v>
      </c>
      <c r="I259" t="s">
        <v>38</v>
      </c>
      <c r="J259">
        <v>89</v>
      </c>
      <c r="K259">
        <v>73</v>
      </c>
      <c r="L259">
        <v>789</v>
      </c>
      <c r="M259" s="20">
        <v>5572</v>
      </c>
      <c r="N259" s="20">
        <v>1512</v>
      </c>
      <c r="O259" s="20">
        <f t="shared" ref="O259:O322" si="274">N259-(P259+Q259+R259)</f>
        <v>1023</v>
      </c>
      <c r="P259" s="20">
        <v>289</v>
      </c>
      <c r="Q259" s="20">
        <v>20</v>
      </c>
      <c r="R259" s="20">
        <v>180</v>
      </c>
      <c r="S259" s="20">
        <v>535</v>
      </c>
      <c r="T259" s="20">
        <v>80</v>
      </c>
      <c r="U259" s="20">
        <f t="shared" ref="U259:U322" si="275">M259-(N259+S259+T259)</f>
        <v>3445</v>
      </c>
      <c r="V259">
        <v>1015</v>
      </c>
      <c r="W259">
        <v>118</v>
      </c>
      <c r="X259">
        <v>39</v>
      </c>
      <c r="Y259">
        <v>39</v>
      </c>
      <c r="Z259">
        <v>727</v>
      </c>
      <c r="AA259">
        <v>685</v>
      </c>
      <c r="AB259">
        <v>4.28</v>
      </c>
      <c r="AC259">
        <v>1</v>
      </c>
      <c r="AD259">
        <v>11</v>
      </c>
      <c r="AE259">
        <v>42</v>
      </c>
      <c r="AF259" s="27">
        <f t="shared" ca="1" si="262"/>
        <v>6156</v>
      </c>
      <c r="AG259" s="27">
        <f t="shared" ref="AG259:AG322" ca="1" si="276">RANDBETWEEN(1300,1700)</f>
        <v>1479</v>
      </c>
      <c r="AH259" s="27">
        <f t="shared" ref="AH259:AH322" ca="1" si="277">AG259-(AI259+AJ259+AK259)</f>
        <v>960</v>
      </c>
      <c r="AI259" s="27">
        <f t="shared" ref="AI259:AI322" ca="1" si="278">RANDBETWEEN(219,400)</f>
        <v>288</v>
      </c>
      <c r="AJ259" s="27">
        <f t="shared" ref="AJ259:AJ322" ca="1" si="279">RANDBETWEEN(20,50)</f>
        <v>46</v>
      </c>
      <c r="AK259" s="27">
        <f t="shared" ref="AK259:AK322" ca="1" si="280">RANDBETWEEN(130,240)</f>
        <v>185</v>
      </c>
      <c r="AL259" s="27">
        <f t="shared" ref="AL259:AL322" ca="1" si="281">RANDBETWEEN(400,700)</f>
        <v>614</v>
      </c>
      <c r="AM259" s="27">
        <f t="shared" ref="AM259:AM322" ca="1" si="282">RANDBETWEEN(30,90)</f>
        <v>50</v>
      </c>
      <c r="AN259" s="27">
        <f t="shared" ref="AN259:AN322" ca="1" si="283">AF259-(AG259+AL259+AM259)</f>
        <v>4013</v>
      </c>
      <c r="AO259">
        <v>4325</v>
      </c>
      <c r="AP259">
        <v>1478</v>
      </c>
      <c r="AQ259">
        <v>143</v>
      </c>
      <c r="AR259">
        <v>489</v>
      </c>
      <c r="AS259">
        <v>1141</v>
      </c>
      <c r="AT259">
        <v>83</v>
      </c>
      <c r="AU259">
        <v>141</v>
      </c>
      <c r="AV259">
        <v>0.98599999999999999</v>
      </c>
      <c r="AW259" s="1"/>
      <c r="AX259" s="1"/>
      <c r="AY259" s="29">
        <f t="shared" ref="AY259:AY322" si="284">SUM(O$2:O$31)</f>
        <v>29700</v>
      </c>
      <c r="AZ259" s="31">
        <f t="shared" ref="AZ259:AZ322" si="285">SUMIF($B$2:$B$571,$B259,$M$2:$M$571)</f>
        <v>166714</v>
      </c>
      <c r="BA259" s="31">
        <f t="shared" ref="BA259" si="286">SUMIF($B$2:$B$571,$B259,$P$2:$P$571)</f>
        <v>9014</v>
      </c>
      <c r="BB259" s="30">
        <f t="shared" ref="BB259:BB322" si="287">BA259/AZ259</f>
        <v>5.4068644504960593E-2</v>
      </c>
    </row>
    <row r="260" spans="2:54" x14ac:dyDescent="0.5">
      <c r="B260" s="4">
        <v>2008</v>
      </c>
      <c r="C260" t="s">
        <v>76</v>
      </c>
      <c r="D260" t="s">
        <v>77</v>
      </c>
      <c r="E260">
        <v>2</v>
      </c>
      <c r="F260" t="s">
        <v>38</v>
      </c>
      <c r="G260" t="s">
        <v>38</v>
      </c>
      <c r="H260" t="s">
        <v>38</v>
      </c>
      <c r="I260" t="s">
        <v>38</v>
      </c>
      <c r="J260">
        <v>89</v>
      </c>
      <c r="K260">
        <v>73</v>
      </c>
      <c r="L260">
        <v>799</v>
      </c>
      <c r="M260" s="20">
        <v>5606</v>
      </c>
      <c r="N260" s="20">
        <v>1491</v>
      </c>
      <c r="O260" s="20">
        <f t="shared" si="274"/>
        <v>1007</v>
      </c>
      <c r="P260" s="20">
        <v>274</v>
      </c>
      <c r="Q260" s="20">
        <v>38</v>
      </c>
      <c r="R260" s="20">
        <v>172</v>
      </c>
      <c r="S260" s="20">
        <v>619</v>
      </c>
      <c r="T260" s="20">
        <v>39</v>
      </c>
      <c r="U260" s="20">
        <f t="shared" si="275"/>
        <v>3457</v>
      </c>
      <c r="V260">
        <v>1024</v>
      </c>
      <c r="W260">
        <v>138</v>
      </c>
      <c r="X260">
        <v>36</v>
      </c>
      <c r="Y260">
        <v>49</v>
      </c>
      <c r="Z260">
        <v>715</v>
      </c>
      <c r="AA260">
        <v>662</v>
      </c>
      <c r="AB260">
        <v>4.07</v>
      </c>
      <c r="AC260">
        <v>5</v>
      </c>
      <c r="AD260">
        <v>12</v>
      </c>
      <c r="AE260">
        <v>43</v>
      </c>
      <c r="AF260" s="27">
        <f t="shared" ca="1" si="262"/>
        <v>6460</v>
      </c>
      <c r="AG260" s="27">
        <f t="shared" ca="1" si="276"/>
        <v>1459</v>
      </c>
      <c r="AH260" s="27">
        <f t="shared" ca="1" si="277"/>
        <v>827</v>
      </c>
      <c r="AI260" s="27">
        <f t="shared" ca="1" si="278"/>
        <v>400</v>
      </c>
      <c r="AJ260" s="27">
        <f t="shared" ca="1" si="279"/>
        <v>23</v>
      </c>
      <c r="AK260" s="27">
        <f t="shared" ca="1" si="280"/>
        <v>209</v>
      </c>
      <c r="AL260" s="27">
        <f t="shared" ca="1" si="281"/>
        <v>542</v>
      </c>
      <c r="AM260" s="27">
        <f t="shared" ca="1" si="282"/>
        <v>49</v>
      </c>
      <c r="AN260" s="27">
        <f t="shared" ca="1" si="283"/>
        <v>4410</v>
      </c>
      <c r="AO260">
        <v>4393</v>
      </c>
      <c r="AP260">
        <v>1415</v>
      </c>
      <c r="AQ260">
        <v>163</v>
      </c>
      <c r="AR260">
        <v>590</v>
      </c>
      <c r="AS260">
        <v>1181</v>
      </c>
      <c r="AT260">
        <v>83</v>
      </c>
      <c r="AU260">
        <v>126</v>
      </c>
      <c r="AV260">
        <v>0.98599999999999999</v>
      </c>
      <c r="AW260" s="1"/>
      <c r="AX260" s="1"/>
      <c r="AY260" s="29">
        <f t="shared" si="284"/>
        <v>29700</v>
      </c>
      <c r="AZ260" s="31">
        <f t="shared" si="285"/>
        <v>166714</v>
      </c>
      <c r="BA260" s="31">
        <f t="shared" ref="BA260" si="288">SUMIF($B$2:$B$571,$B260,$Q$2:$Q$571)</f>
        <v>886</v>
      </c>
      <c r="BB260" s="30">
        <f t="shared" si="287"/>
        <v>5.3144906846455606E-3</v>
      </c>
    </row>
    <row r="261" spans="2:54" x14ac:dyDescent="0.5">
      <c r="B261" s="4">
        <v>2008</v>
      </c>
      <c r="C261" t="s">
        <v>78</v>
      </c>
      <c r="D261" t="s">
        <v>79</v>
      </c>
      <c r="E261">
        <v>3</v>
      </c>
      <c r="F261" t="s">
        <v>38</v>
      </c>
      <c r="G261" t="s">
        <v>38</v>
      </c>
      <c r="H261" t="s">
        <v>38</v>
      </c>
      <c r="I261" t="s">
        <v>38</v>
      </c>
      <c r="J261">
        <v>75</v>
      </c>
      <c r="K261">
        <v>86</v>
      </c>
      <c r="L261">
        <v>646</v>
      </c>
      <c r="M261" s="20">
        <v>5451</v>
      </c>
      <c r="N261" s="20">
        <v>1318</v>
      </c>
      <c r="O261" s="20">
        <f t="shared" si="274"/>
        <v>900</v>
      </c>
      <c r="P261" s="20">
        <v>270</v>
      </c>
      <c r="Q261" s="20">
        <v>23</v>
      </c>
      <c r="R261" s="20">
        <v>125</v>
      </c>
      <c r="S261" s="20">
        <v>574</v>
      </c>
      <c r="T261" s="20">
        <v>48</v>
      </c>
      <c r="U261" s="20">
        <f t="shared" si="275"/>
        <v>3511</v>
      </c>
      <c r="V261">
        <v>1226</v>
      </c>
      <c r="W261">
        <v>88</v>
      </c>
      <c r="X261">
        <v>21</v>
      </c>
      <c r="Y261">
        <v>35</v>
      </c>
      <c r="Z261">
        <v>690</v>
      </c>
      <c r="AA261">
        <v>640</v>
      </c>
      <c r="AB261">
        <v>4.01</v>
      </c>
      <c r="AC261">
        <v>4</v>
      </c>
      <c r="AD261">
        <v>7</v>
      </c>
      <c r="AE261">
        <v>33</v>
      </c>
      <c r="AF261" s="27">
        <f t="shared" ca="1" si="262"/>
        <v>6465</v>
      </c>
      <c r="AG261" s="27">
        <f t="shared" ca="1" si="276"/>
        <v>1523</v>
      </c>
      <c r="AH261" s="27">
        <f t="shared" ca="1" si="277"/>
        <v>1014</v>
      </c>
      <c r="AI261" s="27">
        <f t="shared" ca="1" si="278"/>
        <v>298</v>
      </c>
      <c r="AJ261" s="27">
        <f t="shared" ca="1" si="279"/>
        <v>31</v>
      </c>
      <c r="AK261" s="27">
        <f t="shared" ca="1" si="280"/>
        <v>180</v>
      </c>
      <c r="AL261" s="27">
        <f t="shared" ca="1" si="281"/>
        <v>553</v>
      </c>
      <c r="AM261" s="27">
        <f t="shared" ca="1" si="282"/>
        <v>67</v>
      </c>
      <c r="AN261" s="27">
        <f t="shared" ca="1" si="283"/>
        <v>4322</v>
      </c>
      <c r="AO261">
        <v>4305</v>
      </c>
      <c r="AP261">
        <v>1364</v>
      </c>
      <c r="AQ261">
        <v>135</v>
      </c>
      <c r="AR261">
        <v>576</v>
      </c>
      <c r="AS261">
        <v>1061</v>
      </c>
      <c r="AT261">
        <v>98</v>
      </c>
      <c r="AU261">
        <v>169</v>
      </c>
      <c r="AV261">
        <v>0.98399999999999999</v>
      </c>
      <c r="AW261" s="1"/>
      <c r="AX261" s="1"/>
      <c r="AY261" s="29">
        <f t="shared" si="284"/>
        <v>29700</v>
      </c>
      <c r="AZ261" s="31">
        <f t="shared" si="285"/>
        <v>166714</v>
      </c>
      <c r="BA261" s="31">
        <f t="shared" ref="BA261" si="289">SUMIF($B$2:$B$571,$B261,$R$2:$R$571)</f>
        <v>4878</v>
      </c>
      <c r="BB261" s="30">
        <f t="shared" si="287"/>
        <v>2.9259690247969577E-2</v>
      </c>
    </row>
    <row r="262" spans="2:54" x14ac:dyDescent="0.5">
      <c r="B262" s="4">
        <v>2008</v>
      </c>
      <c r="C262" t="s">
        <v>80</v>
      </c>
      <c r="D262" t="s">
        <v>81</v>
      </c>
      <c r="E262">
        <v>1</v>
      </c>
      <c r="F262" t="s">
        <v>43</v>
      </c>
      <c r="G262" t="s">
        <v>38</v>
      </c>
      <c r="H262" t="s">
        <v>43</v>
      </c>
      <c r="I262" t="s">
        <v>43</v>
      </c>
      <c r="J262">
        <v>92</v>
      </c>
      <c r="K262">
        <v>70</v>
      </c>
      <c r="L262">
        <v>799</v>
      </c>
      <c r="M262" s="20">
        <v>5509</v>
      </c>
      <c r="N262" s="20">
        <v>1407</v>
      </c>
      <c r="O262" s="20">
        <f t="shared" si="274"/>
        <v>866</v>
      </c>
      <c r="P262" s="20">
        <v>291</v>
      </c>
      <c r="Q262" s="20">
        <v>36</v>
      </c>
      <c r="R262" s="20">
        <v>214</v>
      </c>
      <c r="S262" s="20">
        <v>586</v>
      </c>
      <c r="T262" s="20">
        <v>67</v>
      </c>
      <c r="U262" s="20">
        <f t="shared" si="275"/>
        <v>3449</v>
      </c>
      <c r="V262">
        <v>1117</v>
      </c>
      <c r="W262">
        <v>136</v>
      </c>
      <c r="X262">
        <v>25</v>
      </c>
      <c r="Y262">
        <v>40</v>
      </c>
      <c r="Z262">
        <v>680</v>
      </c>
      <c r="AA262">
        <v>625</v>
      </c>
      <c r="AB262">
        <v>3.88</v>
      </c>
      <c r="AC262">
        <v>4</v>
      </c>
      <c r="AD262">
        <v>11</v>
      </c>
      <c r="AE262">
        <v>47</v>
      </c>
      <c r="AF262" s="27">
        <f t="shared" ca="1" si="262"/>
        <v>6190</v>
      </c>
      <c r="AG262" s="27">
        <f t="shared" ca="1" si="276"/>
        <v>1483</v>
      </c>
      <c r="AH262" s="27">
        <f t="shared" ca="1" si="277"/>
        <v>868</v>
      </c>
      <c r="AI262" s="27">
        <f t="shared" ca="1" si="278"/>
        <v>344</v>
      </c>
      <c r="AJ262" s="27">
        <f t="shared" ca="1" si="279"/>
        <v>31</v>
      </c>
      <c r="AK262" s="27">
        <f t="shared" ca="1" si="280"/>
        <v>240</v>
      </c>
      <c r="AL262" s="27">
        <f t="shared" ca="1" si="281"/>
        <v>459</v>
      </c>
      <c r="AM262" s="27">
        <f t="shared" ca="1" si="282"/>
        <v>80</v>
      </c>
      <c r="AN262" s="27">
        <f t="shared" ca="1" si="283"/>
        <v>4168</v>
      </c>
      <c r="AO262">
        <v>4349</v>
      </c>
      <c r="AP262">
        <v>1444</v>
      </c>
      <c r="AQ262">
        <v>160</v>
      </c>
      <c r="AR262">
        <v>533</v>
      </c>
      <c r="AS262">
        <v>1081</v>
      </c>
      <c r="AT262">
        <v>90</v>
      </c>
      <c r="AU262">
        <v>142</v>
      </c>
      <c r="AV262">
        <v>0.98499999999999999</v>
      </c>
      <c r="AW262" s="1"/>
      <c r="AX262" s="1"/>
      <c r="AY262" s="29">
        <f t="shared" si="284"/>
        <v>29700</v>
      </c>
      <c r="AZ262" s="31">
        <f t="shared" si="285"/>
        <v>166714</v>
      </c>
      <c r="BA262" s="31">
        <f t="shared" ref="BA262" si="290">SUMIF($B$2:$B$571,$B262,$S$2:$S$571)</f>
        <v>16337</v>
      </c>
      <c r="BB262" s="30">
        <f t="shared" si="287"/>
        <v>9.7994169655817753E-2</v>
      </c>
    </row>
    <row r="263" spans="2:54" x14ac:dyDescent="0.5">
      <c r="B263" s="4">
        <v>2008</v>
      </c>
      <c r="C263" t="s">
        <v>82</v>
      </c>
      <c r="D263" t="s">
        <v>83</v>
      </c>
      <c r="E263">
        <v>6</v>
      </c>
      <c r="F263" t="s">
        <v>38</v>
      </c>
      <c r="G263" t="s">
        <v>38</v>
      </c>
      <c r="H263" t="s">
        <v>38</v>
      </c>
      <c r="I263" t="s">
        <v>38</v>
      </c>
      <c r="J263">
        <v>67</v>
      </c>
      <c r="K263">
        <v>95</v>
      </c>
      <c r="L263">
        <v>735</v>
      </c>
      <c r="M263" s="20">
        <v>5628</v>
      </c>
      <c r="N263" s="20">
        <v>1454</v>
      </c>
      <c r="O263" s="20">
        <f t="shared" si="274"/>
        <v>966</v>
      </c>
      <c r="P263" s="20">
        <v>314</v>
      </c>
      <c r="Q263" s="20">
        <v>21</v>
      </c>
      <c r="R263" s="20">
        <v>153</v>
      </c>
      <c r="S263" s="20">
        <v>474</v>
      </c>
      <c r="T263" s="20">
        <v>59</v>
      </c>
      <c r="U263" s="20">
        <f t="shared" si="275"/>
        <v>3641</v>
      </c>
      <c r="V263">
        <v>1039</v>
      </c>
      <c r="W263">
        <v>57</v>
      </c>
      <c r="X263">
        <v>19</v>
      </c>
      <c r="Y263">
        <v>51</v>
      </c>
      <c r="Z263">
        <v>884</v>
      </c>
      <c r="AA263">
        <v>822</v>
      </c>
      <c r="AB263">
        <v>5.08</v>
      </c>
      <c r="AC263">
        <v>3</v>
      </c>
      <c r="AD263">
        <v>7</v>
      </c>
      <c r="AE263">
        <v>34</v>
      </c>
      <c r="AF263" s="27">
        <f t="shared" ca="1" si="262"/>
        <v>6224</v>
      </c>
      <c r="AG263" s="27">
        <f t="shared" ca="1" si="276"/>
        <v>1472</v>
      </c>
      <c r="AH263" s="27">
        <f t="shared" ca="1" si="277"/>
        <v>959</v>
      </c>
      <c r="AI263" s="27">
        <f t="shared" ca="1" si="278"/>
        <v>262</v>
      </c>
      <c r="AJ263" s="27">
        <f t="shared" ca="1" si="279"/>
        <v>33</v>
      </c>
      <c r="AK263" s="27">
        <f t="shared" ca="1" si="280"/>
        <v>218</v>
      </c>
      <c r="AL263" s="27">
        <f t="shared" ca="1" si="281"/>
        <v>402</v>
      </c>
      <c r="AM263" s="27">
        <f t="shared" ca="1" si="282"/>
        <v>42</v>
      </c>
      <c r="AN263" s="27">
        <f t="shared" ca="1" si="283"/>
        <v>4308</v>
      </c>
      <c r="AO263">
        <v>4365</v>
      </c>
      <c r="AP263">
        <v>1631</v>
      </c>
      <c r="AQ263">
        <v>176</v>
      </c>
      <c r="AR263">
        <v>657</v>
      </c>
      <c r="AS263">
        <v>963</v>
      </c>
      <c r="AT263">
        <v>107</v>
      </c>
      <c r="AU263">
        <v>179</v>
      </c>
      <c r="AV263">
        <v>0.98299999999999998</v>
      </c>
      <c r="AW263" s="1"/>
      <c r="AX263" s="1"/>
      <c r="AY263" s="29">
        <f t="shared" si="284"/>
        <v>29700</v>
      </c>
      <c r="AZ263" s="31">
        <f t="shared" si="285"/>
        <v>166714</v>
      </c>
      <c r="BA263" s="31">
        <f t="shared" ref="BA263" si="291">SUMIF($B$2:$B$571,$B263,$T$2:$T$571)</f>
        <v>1672</v>
      </c>
      <c r="BB263" s="30">
        <f t="shared" si="287"/>
        <v>1.0029151720911261E-2</v>
      </c>
    </row>
    <row r="264" spans="2:54" x14ac:dyDescent="0.5">
      <c r="B264" s="4">
        <v>2008</v>
      </c>
      <c r="C264" t="s">
        <v>84</v>
      </c>
      <c r="D264" t="s">
        <v>85</v>
      </c>
      <c r="E264">
        <v>5</v>
      </c>
      <c r="F264" t="s">
        <v>38</v>
      </c>
      <c r="G264" t="s">
        <v>38</v>
      </c>
      <c r="H264" t="s">
        <v>38</v>
      </c>
      <c r="I264" t="s">
        <v>38</v>
      </c>
      <c r="J264">
        <v>63</v>
      </c>
      <c r="K264">
        <v>99</v>
      </c>
      <c r="L264">
        <v>637</v>
      </c>
      <c r="M264" s="20">
        <v>5568</v>
      </c>
      <c r="N264" s="20">
        <v>1390</v>
      </c>
      <c r="O264" s="20">
        <f t="shared" si="274"/>
        <v>945</v>
      </c>
      <c r="P264" s="20">
        <v>264</v>
      </c>
      <c r="Q264" s="20">
        <v>27</v>
      </c>
      <c r="R264" s="20">
        <v>154</v>
      </c>
      <c r="S264" s="20">
        <v>518</v>
      </c>
      <c r="T264" s="20">
        <v>53</v>
      </c>
      <c r="U264" s="20">
        <f t="shared" si="275"/>
        <v>3607</v>
      </c>
      <c r="V264">
        <v>1259</v>
      </c>
      <c r="W264">
        <v>36</v>
      </c>
      <c r="X264">
        <v>17</v>
      </c>
      <c r="Y264">
        <v>46</v>
      </c>
      <c r="Z264">
        <v>764</v>
      </c>
      <c r="AA264">
        <v>714</v>
      </c>
      <c r="AB264">
        <v>4.41</v>
      </c>
      <c r="AC264">
        <v>3</v>
      </c>
      <c r="AD264">
        <v>6</v>
      </c>
      <c r="AE264">
        <v>30</v>
      </c>
      <c r="AF264" s="27">
        <f t="shared" ca="1" si="262"/>
        <v>6382</v>
      </c>
      <c r="AG264" s="27">
        <f t="shared" ca="1" si="276"/>
        <v>1479</v>
      </c>
      <c r="AH264" s="27">
        <f t="shared" ca="1" si="277"/>
        <v>987</v>
      </c>
      <c r="AI264" s="27">
        <f t="shared" ca="1" si="278"/>
        <v>322</v>
      </c>
      <c r="AJ264" s="27">
        <f t="shared" ca="1" si="279"/>
        <v>24</v>
      </c>
      <c r="AK264" s="27">
        <f t="shared" ca="1" si="280"/>
        <v>146</v>
      </c>
      <c r="AL264" s="27">
        <f t="shared" ca="1" si="281"/>
        <v>451</v>
      </c>
      <c r="AM264" s="27">
        <f t="shared" ca="1" si="282"/>
        <v>64</v>
      </c>
      <c r="AN264" s="27">
        <f t="shared" ca="1" si="283"/>
        <v>4388</v>
      </c>
      <c r="AO264">
        <v>4375</v>
      </c>
      <c r="AP264">
        <v>1466</v>
      </c>
      <c r="AQ264">
        <v>165</v>
      </c>
      <c r="AR264">
        <v>561</v>
      </c>
      <c r="AS264">
        <v>1100</v>
      </c>
      <c r="AT264">
        <v>85</v>
      </c>
      <c r="AU264">
        <v>149</v>
      </c>
      <c r="AV264">
        <v>0.98599999999999999</v>
      </c>
      <c r="AW264" s="1"/>
      <c r="AX264" s="1"/>
      <c r="AY264" s="29">
        <f t="shared" si="284"/>
        <v>29700</v>
      </c>
      <c r="AZ264" s="31">
        <f t="shared" si="285"/>
        <v>166714</v>
      </c>
      <c r="BA264" s="31">
        <f t="shared" ref="BA264" si="292">SUMIF($B$2:$B$571,$B264,$U$2:$U$571)</f>
        <v>104733</v>
      </c>
      <c r="BB264" s="30">
        <f t="shared" si="287"/>
        <v>0.62821958563767888</v>
      </c>
    </row>
    <row r="265" spans="2:54" x14ac:dyDescent="0.5">
      <c r="B265" s="4">
        <v>2008</v>
      </c>
      <c r="C265" t="s">
        <v>86</v>
      </c>
      <c r="D265" t="s">
        <v>87</v>
      </c>
      <c r="E265">
        <v>4</v>
      </c>
      <c r="F265" t="s">
        <v>38</v>
      </c>
      <c r="G265" t="s">
        <v>38</v>
      </c>
      <c r="H265" t="s">
        <v>38</v>
      </c>
      <c r="I265" t="s">
        <v>38</v>
      </c>
      <c r="J265">
        <v>61</v>
      </c>
      <c r="K265">
        <v>101</v>
      </c>
      <c r="L265">
        <v>671</v>
      </c>
      <c r="M265" s="20">
        <v>5643</v>
      </c>
      <c r="N265" s="20">
        <v>1498</v>
      </c>
      <c r="O265" s="20">
        <f t="shared" si="274"/>
        <v>1069</v>
      </c>
      <c r="P265" s="20">
        <v>285</v>
      </c>
      <c r="Q265" s="20">
        <v>20</v>
      </c>
      <c r="R265" s="20">
        <v>124</v>
      </c>
      <c r="S265" s="20">
        <v>417</v>
      </c>
      <c r="T265" s="20">
        <v>38</v>
      </c>
      <c r="U265" s="20">
        <f t="shared" si="275"/>
        <v>3690</v>
      </c>
      <c r="V265">
        <v>890</v>
      </c>
      <c r="W265">
        <v>90</v>
      </c>
      <c r="X265">
        <v>32</v>
      </c>
      <c r="Y265">
        <v>42</v>
      </c>
      <c r="Z265">
        <v>811</v>
      </c>
      <c r="AA265">
        <v>754</v>
      </c>
      <c r="AB265">
        <v>4.7300000000000004</v>
      </c>
      <c r="AC265">
        <v>4</v>
      </c>
      <c r="AD265">
        <v>4</v>
      </c>
      <c r="AE265">
        <v>36</v>
      </c>
      <c r="AF265" s="27">
        <f t="shared" ca="1" si="262"/>
        <v>6250</v>
      </c>
      <c r="AG265" s="27">
        <f t="shared" ca="1" si="276"/>
        <v>1328</v>
      </c>
      <c r="AH265" s="27">
        <f t="shared" ca="1" si="277"/>
        <v>838</v>
      </c>
      <c r="AI265" s="27">
        <f t="shared" ca="1" si="278"/>
        <v>297</v>
      </c>
      <c r="AJ265" s="27">
        <f t="shared" ca="1" si="279"/>
        <v>30</v>
      </c>
      <c r="AK265" s="27">
        <f t="shared" ca="1" si="280"/>
        <v>163</v>
      </c>
      <c r="AL265" s="27">
        <f t="shared" ca="1" si="281"/>
        <v>529</v>
      </c>
      <c r="AM265" s="27">
        <f t="shared" ca="1" si="282"/>
        <v>58</v>
      </c>
      <c r="AN265" s="27">
        <f t="shared" ca="1" si="283"/>
        <v>4335</v>
      </c>
      <c r="AO265">
        <v>4306</v>
      </c>
      <c r="AP265">
        <v>1544</v>
      </c>
      <c r="AQ265">
        <v>161</v>
      </c>
      <c r="AR265">
        <v>626</v>
      </c>
      <c r="AS265">
        <v>1016</v>
      </c>
      <c r="AT265">
        <v>99</v>
      </c>
      <c r="AU265">
        <v>160</v>
      </c>
      <c r="AV265">
        <v>0.98399999999999999</v>
      </c>
      <c r="AW265" s="1"/>
      <c r="AX265" s="1"/>
      <c r="AY265" s="29">
        <f t="shared" si="284"/>
        <v>29700</v>
      </c>
      <c r="AZ265" s="31">
        <f t="shared" si="285"/>
        <v>166714</v>
      </c>
      <c r="BA265" s="31"/>
      <c r="BB265" s="30">
        <f t="shared" si="287"/>
        <v>0</v>
      </c>
    </row>
    <row r="266" spans="2:54" x14ac:dyDescent="0.5">
      <c r="B266" s="4">
        <v>2008</v>
      </c>
      <c r="C266" t="s">
        <v>88</v>
      </c>
      <c r="D266" t="s">
        <v>89</v>
      </c>
      <c r="E266">
        <v>4</v>
      </c>
      <c r="F266" t="s">
        <v>38</v>
      </c>
      <c r="G266" t="s">
        <v>38</v>
      </c>
      <c r="H266" t="s">
        <v>38</v>
      </c>
      <c r="I266" t="s">
        <v>38</v>
      </c>
      <c r="J266">
        <v>72</v>
      </c>
      <c r="K266">
        <v>90</v>
      </c>
      <c r="L266">
        <v>640</v>
      </c>
      <c r="M266" s="20">
        <v>5543</v>
      </c>
      <c r="N266" s="20">
        <v>1452</v>
      </c>
      <c r="O266" s="20">
        <f t="shared" si="274"/>
        <v>1010</v>
      </c>
      <c r="P266" s="20">
        <v>311</v>
      </c>
      <c r="Q266" s="20">
        <v>37</v>
      </c>
      <c r="R266" s="20">
        <v>94</v>
      </c>
      <c r="S266" s="20">
        <v>452</v>
      </c>
      <c r="T266" s="20">
        <v>48</v>
      </c>
      <c r="U266" s="20">
        <f t="shared" si="275"/>
        <v>3591</v>
      </c>
      <c r="V266">
        <v>1044</v>
      </c>
      <c r="W266">
        <v>108</v>
      </c>
      <c r="X266">
        <v>46</v>
      </c>
      <c r="Y266">
        <v>44</v>
      </c>
      <c r="Z266">
        <v>759</v>
      </c>
      <c r="AA266">
        <v>701</v>
      </c>
      <c r="AB266">
        <v>4.38</v>
      </c>
      <c r="AC266">
        <v>4</v>
      </c>
      <c r="AD266">
        <v>12</v>
      </c>
      <c r="AE266">
        <v>41</v>
      </c>
      <c r="AF266" s="27">
        <f t="shared" ca="1" si="262"/>
        <v>6432</v>
      </c>
      <c r="AG266" s="27">
        <f t="shared" ca="1" si="276"/>
        <v>1331</v>
      </c>
      <c r="AH266" s="27">
        <f t="shared" ca="1" si="277"/>
        <v>749</v>
      </c>
      <c r="AI266" s="27">
        <f t="shared" ca="1" si="278"/>
        <v>346</v>
      </c>
      <c r="AJ266" s="27">
        <f t="shared" ca="1" si="279"/>
        <v>43</v>
      </c>
      <c r="AK266" s="27">
        <f t="shared" ca="1" si="280"/>
        <v>193</v>
      </c>
      <c r="AL266" s="27">
        <f t="shared" ca="1" si="281"/>
        <v>467</v>
      </c>
      <c r="AM266" s="27">
        <f t="shared" ca="1" si="282"/>
        <v>65</v>
      </c>
      <c r="AN266" s="27">
        <f t="shared" ca="1" si="283"/>
        <v>4569</v>
      </c>
      <c r="AO266">
        <v>4326</v>
      </c>
      <c r="AP266">
        <v>1416</v>
      </c>
      <c r="AQ266">
        <v>147</v>
      </c>
      <c r="AR266">
        <v>652</v>
      </c>
      <c r="AS266">
        <v>1240</v>
      </c>
      <c r="AT266">
        <v>96</v>
      </c>
      <c r="AU266">
        <v>129</v>
      </c>
      <c r="AV266">
        <v>0.98299999999999998</v>
      </c>
      <c r="AW266" s="1"/>
      <c r="AX266" s="1"/>
      <c r="AY266" s="29">
        <f t="shared" si="284"/>
        <v>29700</v>
      </c>
      <c r="AZ266" s="31">
        <f t="shared" si="285"/>
        <v>166714</v>
      </c>
      <c r="BA266" s="31">
        <f t="shared" ref="BA266" si="293">SUMIF($B$2:$B$571,$B266,$O$2:$O$571)</f>
        <v>29194</v>
      </c>
      <c r="BB266" s="30">
        <f t="shared" si="287"/>
        <v>0.17511426754801637</v>
      </c>
    </row>
    <row r="267" spans="2:54" x14ac:dyDescent="0.5">
      <c r="B267" s="4">
        <v>2008</v>
      </c>
      <c r="C267" t="s">
        <v>90</v>
      </c>
      <c r="D267" t="s">
        <v>91</v>
      </c>
      <c r="E267">
        <v>4</v>
      </c>
      <c r="F267" t="s">
        <v>38</v>
      </c>
      <c r="G267" t="s">
        <v>38</v>
      </c>
      <c r="H267" t="s">
        <v>38</v>
      </c>
      <c r="I267" t="s">
        <v>38</v>
      </c>
      <c r="J267">
        <v>86</v>
      </c>
      <c r="K267">
        <v>76</v>
      </c>
      <c r="L267">
        <v>779</v>
      </c>
      <c r="M267" s="20">
        <v>5636</v>
      </c>
      <c r="N267" s="20">
        <v>1585</v>
      </c>
      <c r="O267" s="20">
        <f t="shared" si="274"/>
        <v>1102</v>
      </c>
      <c r="P267" s="20">
        <v>283</v>
      </c>
      <c r="Q267" s="20">
        <v>26</v>
      </c>
      <c r="R267" s="20">
        <v>174</v>
      </c>
      <c r="S267" s="20">
        <v>577</v>
      </c>
      <c r="T267" s="20">
        <v>42</v>
      </c>
      <c r="U267" s="20">
        <f t="shared" si="275"/>
        <v>3432</v>
      </c>
      <c r="V267">
        <v>985</v>
      </c>
      <c r="W267">
        <v>73</v>
      </c>
      <c r="X267">
        <v>32</v>
      </c>
      <c r="Y267">
        <v>44</v>
      </c>
      <c r="Z267">
        <v>725</v>
      </c>
      <c r="AA267">
        <v>677</v>
      </c>
      <c r="AB267">
        <v>4.1900000000000004</v>
      </c>
      <c r="AC267">
        <v>2</v>
      </c>
      <c r="AD267">
        <v>7</v>
      </c>
      <c r="AE267">
        <v>42</v>
      </c>
      <c r="AF267" s="27">
        <f t="shared" ca="1" si="262"/>
        <v>6323</v>
      </c>
      <c r="AG267" s="27">
        <f t="shared" ca="1" si="276"/>
        <v>1315</v>
      </c>
      <c r="AH267" s="27">
        <f t="shared" ca="1" si="277"/>
        <v>770</v>
      </c>
      <c r="AI267" s="27">
        <f t="shared" ca="1" si="278"/>
        <v>341</v>
      </c>
      <c r="AJ267" s="27">
        <f t="shared" ca="1" si="279"/>
        <v>43</v>
      </c>
      <c r="AK267" s="27">
        <f t="shared" ca="1" si="280"/>
        <v>161</v>
      </c>
      <c r="AL267" s="27">
        <f t="shared" ca="1" si="281"/>
        <v>424</v>
      </c>
      <c r="AM267" s="27">
        <f t="shared" ca="1" si="282"/>
        <v>79</v>
      </c>
      <c r="AN267" s="27">
        <f t="shared" ca="1" si="283"/>
        <v>4505</v>
      </c>
      <c r="AO267">
        <v>4362</v>
      </c>
      <c r="AP267">
        <v>1517</v>
      </c>
      <c r="AQ267">
        <v>163</v>
      </c>
      <c r="AR267">
        <v>496</v>
      </c>
      <c r="AS267">
        <v>957</v>
      </c>
      <c r="AT267">
        <v>85</v>
      </c>
      <c r="AU267">
        <v>156</v>
      </c>
      <c r="AV267">
        <v>0.98599999999999999</v>
      </c>
      <c r="AW267" s="1"/>
      <c r="AX267" s="1"/>
      <c r="AY267" s="29">
        <f t="shared" si="284"/>
        <v>29700</v>
      </c>
      <c r="AZ267" s="31">
        <f t="shared" si="285"/>
        <v>166714</v>
      </c>
      <c r="BA267" s="31">
        <f t="shared" ref="BA267" si="294">SUMIF($B$2:$B$571,$B267,$P$2:$P$571)</f>
        <v>9014</v>
      </c>
      <c r="BB267" s="30">
        <f t="shared" si="287"/>
        <v>5.4068644504960593E-2</v>
      </c>
    </row>
    <row r="268" spans="2:54" x14ac:dyDescent="0.5">
      <c r="B268" s="4">
        <v>2008</v>
      </c>
      <c r="C268" t="s">
        <v>102</v>
      </c>
      <c r="D268" t="s">
        <v>93</v>
      </c>
      <c r="E268">
        <v>1</v>
      </c>
      <c r="F268" t="s">
        <v>43</v>
      </c>
      <c r="G268" t="s">
        <v>38</v>
      </c>
      <c r="H268" t="s">
        <v>43</v>
      </c>
      <c r="I268" t="s">
        <v>38</v>
      </c>
      <c r="J268">
        <v>97</v>
      </c>
      <c r="K268">
        <v>65</v>
      </c>
      <c r="L268">
        <v>774</v>
      </c>
      <c r="M268" s="20">
        <v>5541</v>
      </c>
      <c r="N268" s="20">
        <v>1443</v>
      </c>
      <c r="O268" s="20">
        <f t="shared" si="274"/>
        <v>942</v>
      </c>
      <c r="P268" s="20">
        <v>284</v>
      </c>
      <c r="Q268" s="20">
        <v>37</v>
      </c>
      <c r="R268" s="20">
        <v>180</v>
      </c>
      <c r="S268" s="20">
        <v>626</v>
      </c>
      <c r="T268" s="20">
        <v>68</v>
      </c>
      <c r="U268" s="20">
        <f t="shared" si="275"/>
        <v>3404</v>
      </c>
      <c r="V268">
        <v>1224</v>
      </c>
      <c r="W268">
        <v>142</v>
      </c>
      <c r="X268">
        <v>50</v>
      </c>
      <c r="Y268">
        <v>52</v>
      </c>
      <c r="Z268">
        <v>671</v>
      </c>
      <c r="AA268">
        <v>618</v>
      </c>
      <c r="AB268">
        <v>3.82</v>
      </c>
      <c r="AC268">
        <v>7</v>
      </c>
      <c r="AD268">
        <v>12</v>
      </c>
      <c r="AE268">
        <v>52</v>
      </c>
      <c r="AF268" s="27">
        <f t="shared" ca="1" si="262"/>
        <v>6373</v>
      </c>
      <c r="AG268" s="27">
        <f t="shared" ca="1" si="276"/>
        <v>1583</v>
      </c>
      <c r="AH268" s="27">
        <f t="shared" ca="1" si="277"/>
        <v>1065</v>
      </c>
      <c r="AI268" s="27">
        <f t="shared" ca="1" si="278"/>
        <v>262</v>
      </c>
      <c r="AJ268" s="27">
        <f t="shared" ca="1" si="279"/>
        <v>22</v>
      </c>
      <c r="AK268" s="27">
        <f t="shared" ca="1" si="280"/>
        <v>234</v>
      </c>
      <c r="AL268" s="27">
        <f t="shared" ca="1" si="281"/>
        <v>532</v>
      </c>
      <c r="AM268" s="27">
        <f t="shared" ca="1" si="282"/>
        <v>75</v>
      </c>
      <c r="AN268" s="27">
        <f t="shared" ca="1" si="283"/>
        <v>4183</v>
      </c>
      <c r="AO268">
        <v>4373</v>
      </c>
      <c r="AP268">
        <v>1349</v>
      </c>
      <c r="AQ268">
        <v>166</v>
      </c>
      <c r="AR268">
        <v>526</v>
      </c>
      <c r="AS268">
        <v>1143</v>
      </c>
      <c r="AT268">
        <v>90</v>
      </c>
      <c r="AU268">
        <v>153</v>
      </c>
      <c r="AV268">
        <v>0.98499999999999999</v>
      </c>
      <c r="AW268" s="1"/>
      <c r="AX268" s="1"/>
      <c r="AY268" s="29">
        <f t="shared" si="284"/>
        <v>29700</v>
      </c>
      <c r="AZ268" s="31">
        <f t="shared" si="285"/>
        <v>166714</v>
      </c>
      <c r="BA268" s="31">
        <f t="shared" ref="BA268" si="295">SUMIF($B$2:$B$571,$B268,$Q$2:$Q$571)</f>
        <v>886</v>
      </c>
      <c r="BB268" s="30">
        <f t="shared" si="287"/>
        <v>5.3144906846455606E-3</v>
      </c>
    </row>
    <row r="269" spans="2:54" x14ac:dyDescent="0.5">
      <c r="B269" s="4">
        <v>2008</v>
      </c>
      <c r="C269" t="s">
        <v>94</v>
      </c>
      <c r="D269" t="s">
        <v>95</v>
      </c>
      <c r="E269">
        <v>2</v>
      </c>
      <c r="F269" t="s">
        <v>38</v>
      </c>
      <c r="G269" t="s">
        <v>38</v>
      </c>
      <c r="H269" t="s">
        <v>38</v>
      </c>
      <c r="I269" t="s">
        <v>38</v>
      </c>
      <c r="J269">
        <v>79</v>
      </c>
      <c r="K269">
        <v>83</v>
      </c>
      <c r="L269">
        <v>901</v>
      </c>
      <c r="M269" s="20">
        <v>5728</v>
      </c>
      <c r="N269" s="20">
        <v>1619</v>
      </c>
      <c r="O269" s="20">
        <f t="shared" si="274"/>
        <v>1014</v>
      </c>
      <c r="P269" s="20">
        <v>376</v>
      </c>
      <c r="Q269" s="20">
        <v>35</v>
      </c>
      <c r="R269" s="20">
        <v>194</v>
      </c>
      <c r="S269" s="20">
        <v>595</v>
      </c>
      <c r="T269" s="20">
        <v>63</v>
      </c>
      <c r="U269" s="20">
        <f t="shared" si="275"/>
        <v>3451</v>
      </c>
      <c r="V269">
        <v>1207</v>
      </c>
      <c r="W269">
        <v>81</v>
      </c>
      <c r="X269">
        <v>25</v>
      </c>
      <c r="Y269">
        <v>54</v>
      </c>
      <c r="Z269">
        <v>967</v>
      </c>
      <c r="AA269">
        <v>860</v>
      </c>
      <c r="AB269">
        <v>5.37</v>
      </c>
      <c r="AC269">
        <v>6</v>
      </c>
      <c r="AD269">
        <v>8</v>
      </c>
      <c r="AE269">
        <v>36</v>
      </c>
      <c r="AF269" s="27">
        <f t="shared" ca="1" si="262"/>
        <v>6317</v>
      </c>
      <c r="AG269" s="27">
        <f t="shared" ca="1" si="276"/>
        <v>1376</v>
      </c>
      <c r="AH269" s="27">
        <f t="shared" ca="1" si="277"/>
        <v>904</v>
      </c>
      <c r="AI269" s="27">
        <f t="shared" ca="1" si="278"/>
        <v>284</v>
      </c>
      <c r="AJ269" s="27">
        <f t="shared" ca="1" si="279"/>
        <v>50</v>
      </c>
      <c r="AK269" s="27">
        <f t="shared" ca="1" si="280"/>
        <v>138</v>
      </c>
      <c r="AL269" s="27">
        <f t="shared" ca="1" si="281"/>
        <v>581</v>
      </c>
      <c r="AM269" s="27">
        <f t="shared" ca="1" si="282"/>
        <v>36</v>
      </c>
      <c r="AN269" s="27">
        <f t="shared" ca="1" si="283"/>
        <v>4324</v>
      </c>
      <c r="AO269">
        <v>4326</v>
      </c>
      <c r="AP269">
        <v>1647</v>
      </c>
      <c r="AQ269">
        <v>176</v>
      </c>
      <c r="AR269">
        <v>625</v>
      </c>
      <c r="AS269">
        <v>963</v>
      </c>
      <c r="AT269">
        <v>132</v>
      </c>
      <c r="AU269">
        <v>191</v>
      </c>
      <c r="AV269">
        <v>0.97799999999999998</v>
      </c>
      <c r="AW269" s="1"/>
      <c r="AX269" s="1"/>
      <c r="AY269" s="29">
        <f t="shared" si="284"/>
        <v>29700</v>
      </c>
      <c r="AZ269" s="31">
        <f t="shared" si="285"/>
        <v>166714</v>
      </c>
      <c r="BA269" s="31">
        <f t="shared" ref="BA269" si="296">SUMIF($B$2:$B$571,$B269,$R$2:$R$571)</f>
        <v>4878</v>
      </c>
      <c r="BB269" s="30">
        <f t="shared" si="287"/>
        <v>2.9259690247969577E-2</v>
      </c>
    </row>
    <row r="270" spans="2:54" x14ac:dyDescent="0.5">
      <c r="B270" s="4">
        <v>2008</v>
      </c>
      <c r="C270" t="s">
        <v>96</v>
      </c>
      <c r="D270" t="s">
        <v>97</v>
      </c>
      <c r="E270">
        <v>4</v>
      </c>
      <c r="F270" t="s">
        <v>38</v>
      </c>
      <c r="G270" t="s">
        <v>38</v>
      </c>
      <c r="H270" t="s">
        <v>38</v>
      </c>
      <c r="I270" t="s">
        <v>38</v>
      </c>
      <c r="J270">
        <v>86</v>
      </c>
      <c r="K270">
        <v>76</v>
      </c>
      <c r="L270">
        <v>714</v>
      </c>
      <c r="M270" s="20">
        <v>5503</v>
      </c>
      <c r="N270" s="20">
        <v>1453</v>
      </c>
      <c r="O270" s="20">
        <f t="shared" si="274"/>
        <v>992</v>
      </c>
      <c r="P270" s="20">
        <v>303</v>
      </c>
      <c r="Q270" s="20">
        <v>32</v>
      </c>
      <c r="R270" s="20">
        <v>126</v>
      </c>
      <c r="S270" s="20">
        <v>521</v>
      </c>
      <c r="T270" s="20">
        <v>59</v>
      </c>
      <c r="U270" s="20">
        <f t="shared" si="275"/>
        <v>3470</v>
      </c>
      <c r="V270">
        <v>938</v>
      </c>
      <c r="W270">
        <v>80</v>
      </c>
      <c r="X270">
        <v>27</v>
      </c>
      <c r="Y270">
        <v>56</v>
      </c>
      <c r="Z270">
        <v>610</v>
      </c>
      <c r="AA270">
        <v>561</v>
      </c>
      <c r="AB270">
        <v>3.49</v>
      </c>
      <c r="AC270">
        <v>15</v>
      </c>
      <c r="AD270">
        <v>13</v>
      </c>
      <c r="AE270">
        <v>44</v>
      </c>
      <c r="AF270" s="27">
        <f t="shared" ca="1" si="262"/>
        <v>6128</v>
      </c>
      <c r="AG270" s="27">
        <f t="shared" ca="1" si="276"/>
        <v>1317</v>
      </c>
      <c r="AH270" s="27">
        <f t="shared" ca="1" si="277"/>
        <v>814</v>
      </c>
      <c r="AI270" s="27">
        <f t="shared" ca="1" si="278"/>
        <v>223</v>
      </c>
      <c r="AJ270" s="27">
        <f t="shared" ca="1" si="279"/>
        <v>43</v>
      </c>
      <c r="AK270" s="27">
        <f t="shared" ca="1" si="280"/>
        <v>237</v>
      </c>
      <c r="AL270" s="27">
        <f t="shared" ca="1" si="281"/>
        <v>414</v>
      </c>
      <c r="AM270" s="27">
        <f t="shared" ca="1" si="282"/>
        <v>87</v>
      </c>
      <c r="AN270" s="27">
        <f t="shared" ca="1" si="283"/>
        <v>4310</v>
      </c>
      <c r="AO270">
        <v>4340</v>
      </c>
      <c r="AP270">
        <v>1330</v>
      </c>
      <c r="AQ270">
        <v>134</v>
      </c>
      <c r="AR270">
        <v>467</v>
      </c>
      <c r="AS270">
        <v>1184</v>
      </c>
      <c r="AT270">
        <v>84</v>
      </c>
      <c r="AU270">
        <v>137</v>
      </c>
      <c r="AV270">
        <v>0.98599999999999999</v>
      </c>
      <c r="AW270" s="1"/>
      <c r="AX270" s="1"/>
      <c r="AY270" s="29">
        <f t="shared" si="284"/>
        <v>29700</v>
      </c>
      <c r="AZ270" s="31">
        <f t="shared" si="285"/>
        <v>166714</v>
      </c>
      <c r="BA270" s="31">
        <f t="shared" ref="BA270" si="297">SUMIF($B$2:$B$571,$B270,$S$2:$S$571)</f>
        <v>16337</v>
      </c>
      <c r="BB270" s="30">
        <f t="shared" si="287"/>
        <v>9.7994169655817753E-2</v>
      </c>
    </row>
    <row r="271" spans="2:54" x14ac:dyDescent="0.5">
      <c r="B271" s="4">
        <v>2008</v>
      </c>
      <c r="C271" t="s">
        <v>100</v>
      </c>
      <c r="D271" t="s">
        <v>101</v>
      </c>
      <c r="E271">
        <v>5</v>
      </c>
      <c r="F271" t="s">
        <v>38</v>
      </c>
      <c r="G271" t="s">
        <v>38</v>
      </c>
      <c r="H271" t="s">
        <v>38</v>
      </c>
      <c r="I271" t="s">
        <v>38</v>
      </c>
      <c r="J271">
        <v>59</v>
      </c>
      <c r="K271">
        <v>102</v>
      </c>
      <c r="L271">
        <v>641</v>
      </c>
      <c r="M271" s="20">
        <v>5491</v>
      </c>
      <c r="N271" s="20">
        <v>1376</v>
      </c>
      <c r="O271" s="20">
        <f t="shared" si="274"/>
        <v>964</v>
      </c>
      <c r="P271" s="20">
        <v>269</v>
      </c>
      <c r="Q271" s="20">
        <v>26</v>
      </c>
      <c r="R271" s="20">
        <v>117</v>
      </c>
      <c r="S271" s="20">
        <v>534</v>
      </c>
      <c r="T271" s="20">
        <v>67</v>
      </c>
      <c r="U271" s="20">
        <f t="shared" si="275"/>
        <v>3514</v>
      </c>
      <c r="V271">
        <v>1095</v>
      </c>
      <c r="W271">
        <v>81</v>
      </c>
      <c r="X271">
        <v>43</v>
      </c>
      <c r="Y271">
        <v>36</v>
      </c>
      <c r="Z271">
        <v>825</v>
      </c>
      <c r="AA271">
        <v>742</v>
      </c>
      <c r="AB271">
        <v>4.66</v>
      </c>
      <c r="AC271">
        <v>2</v>
      </c>
      <c r="AD271">
        <v>8</v>
      </c>
      <c r="AE271">
        <v>28</v>
      </c>
      <c r="AF271" s="27">
        <f t="shared" ca="1" si="262"/>
        <v>6275</v>
      </c>
      <c r="AG271" s="27">
        <f t="shared" ca="1" si="276"/>
        <v>1310</v>
      </c>
      <c r="AH271" s="27">
        <f t="shared" ca="1" si="277"/>
        <v>850</v>
      </c>
      <c r="AI271" s="27">
        <f t="shared" ca="1" si="278"/>
        <v>253</v>
      </c>
      <c r="AJ271" s="27">
        <f t="shared" ca="1" si="279"/>
        <v>32</v>
      </c>
      <c r="AK271" s="27">
        <f t="shared" ca="1" si="280"/>
        <v>175</v>
      </c>
      <c r="AL271" s="27">
        <f t="shared" ca="1" si="281"/>
        <v>699</v>
      </c>
      <c r="AM271" s="27">
        <f t="shared" ca="1" si="282"/>
        <v>49</v>
      </c>
      <c r="AN271" s="27">
        <f t="shared" ca="1" si="283"/>
        <v>4217</v>
      </c>
      <c r="AO271">
        <v>4302</v>
      </c>
      <c r="AP271">
        <v>1496</v>
      </c>
      <c r="AQ271">
        <v>190</v>
      </c>
      <c r="AR271">
        <v>588</v>
      </c>
      <c r="AS271">
        <v>1063</v>
      </c>
      <c r="AT271">
        <v>123</v>
      </c>
      <c r="AU271">
        <v>143</v>
      </c>
      <c r="AV271">
        <v>0.98</v>
      </c>
      <c r="AW271" s="1"/>
      <c r="AX271" s="1"/>
      <c r="AY271" s="29">
        <f t="shared" si="284"/>
        <v>29700</v>
      </c>
      <c r="AZ271" s="31">
        <f t="shared" si="285"/>
        <v>166714</v>
      </c>
      <c r="BA271" s="31">
        <f t="shared" ref="BA271" si="298">SUMIF($B$2:$B$571,$B271,$T$2:$T$571)</f>
        <v>1672</v>
      </c>
      <c r="BB271" s="30">
        <f t="shared" si="287"/>
        <v>1.0029151720911261E-2</v>
      </c>
    </row>
    <row r="272" spans="2:54" x14ac:dyDescent="0.5">
      <c r="B272" s="4">
        <v>2009</v>
      </c>
      <c r="C272" t="s">
        <v>39</v>
      </c>
      <c r="D272" t="s">
        <v>40</v>
      </c>
      <c r="E272">
        <v>5</v>
      </c>
      <c r="F272" t="s">
        <v>38</v>
      </c>
      <c r="G272" t="s">
        <v>38</v>
      </c>
      <c r="H272" t="s">
        <v>38</v>
      </c>
      <c r="I272" t="s">
        <v>38</v>
      </c>
      <c r="J272">
        <v>70</v>
      </c>
      <c r="K272">
        <v>92</v>
      </c>
      <c r="L272">
        <v>720</v>
      </c>
      <c r="M272" s="20">
        <v>5565</v>
      </c>
      <c r="N272" s="20">
        <v>1408</v>
      </c>
      <c r="O272" s="20">
        <f t="shared" si="274"/>
        <v>883</v>
      </c>
      <c r="P272" s="20">
        <v>307</v>
      </c>
      <c r="Q272" s="20">
        <v>45</v>
      </c>
      <c r="R272" s="20">
        <v>173</v>
      </c>
      <c r="S272" s="20">
        <v>571</v>
      </c>
      <c r="T272" s="20">
        <v>37</v>
      </c>
      <c r="U272" s="20">
        <f t="shared" si="275"/>
        <v>3549</v>
      </c>
      <c r="V272">
        <v>1298</v>
      </c>
      <c r="W272">
        <v>102</v>
      </c>
      <c r="X272">
        <v>40</v>
      </c>
      <c r="Y272">
        <v>41</v>
      </c>
      <c r="Z272">
        <v>782</v>
      </c>
      <c r="AA272">
        <v>711</v>
      </c>
      <c r="AB272">
        <v>4.42</v>
      </c>
      <c r="AC272">
        <v>4</v>
      </c>
      <c r="AD272">
        <v>12</v>
      </c>
      <c r="AE272">
        <v>36</v>
      </c>
      <c r="AF272" s="27">
        <f t="shared" ca="1" si="262"/>
        <v>6052</v>
      </c>
      <c r="AG272" s="27">
        <f t="shared" ca="1" si="276"/>
        <v>1579</v>
      </c>
      <c r="AH272" s="27">
        <f t="shared" ca="1" si="277"/>
        <v>1136</v>
      </c>
      <c r="AI272" s="27">
        <f t="shared" ca="1" si="278"/>
        <v>242</v>
      </c>
      <c r="AJ272" s="27">
        <f t="shared" ca="1" si="279"/>
        <v>22</v>
      </c>
      <c r="AK272" s="27">
        <f t="shared" ca="1" si="280"/>
        <v>179</v>
      </c>
      <c r="AL272" s="27">
        <f t="shared" ca="1" si="281"/>
        <v>526</v>
      </c>
      <c r="AM272" s="27">
        <f t="shared" ca="1" si="282"/>
        <v>51</v>
      </c>
      <c r="AN272" s="27">
        <f t="shared" ca="1" si="283"/>
        <v>3896</v>
      </c>
      <c r="AO272">
        <v>4343</v>
      </c>
      <c r="AP272">
        <v>1470</v>
      </c>
      <c r="AQ272">
        <v>168</v>
      </c>
      <c r="AR272">
        <v>525</v>
      </c>
      <c r="AS272">
        <v>1158</v>
      </c>
      <c r="AT272">
        <v>124</v>
      </c>
      <c r="AU272">
        <v>133</v>
      </c>
      <c r="AV272">
        <v>0.98</v>
      </c>
      <c r="AW272" s="1"/>
      <c r="AX272" s="1"/>
      <c r="AY272" s="29">
        <f t="shared" si="284"/>
        <v>29700</v>
      </c>
      <c r="AZ272" s="31">
        <f t="shared" si="285"/>
        <v>165849</v>
      </c>
      <c r="BA272" s="31">
        <f t="shared" ref="BA272" si="299">SUMIF($B$2:$B$571,$B272,$U$2:$U$571)</f>
        <v>104115</v>
      </c>
      <c r="BB272" s="30">
        <f t="shared" si="287"/>
        <v>0.62776983882929649</v>
      </c>
    </row>
    <row r="273" spans="2:54" x14ac:dyDescent="0.5">
      <c r="B273" s="4">
        <v>2009</v>
      </c>
      <c r="C273" t="s">
        <v>41</v>
      </c>
      <c r="D273" t="s">
        <v>42</v>
      </c>
      <c r="E273">
        <v>3</v>
      </c>
      <c r="F273" t="s">
        <v>38</v>
      </c>
      <c r="G273" t="s">
        <v>38</v>
      </c>
      <c r="H273" t="s">
        <v>38</v>
      </c>
      <c r="I273" t="s">
        <v>38</v>
      </c>
      <c r="J273">
        <v>86</v>
      </c>
      <c r="K273">
        <v>76</v>
      </c>
      <c r="L273">
        <v>735</v>
      </c>
      <c r="M273" s="20">
        <v>5539</v>
      </c>
      <c r="N273" s="20">
        <v>1459</v>
      </c>
      <c r="O273" s="20">
        <f t="shared" si="274"/>
        <v>990</v>
      </c>
      <c r="P273" s="20">
        <v>300</v>
      </c>
      <c r="Q273" s="20">
        <v>20</v>
      </c>
      <c r="R273" s="20">
        <v>149</v>
      </c>
      <c r="S273" s="20">
        <v>602</v>
      </c>
      <c r="T273" s="20">
        <v>52</v>
      </c>
      <c r="U273" s="20">
        <f t="shared" si="275"/>
        <v>3426</v>
      </c>
      <c r="V273">
        <v>1064</v>
      </c>
      <c r="W273">
        <v>58</v>
      </c>
      <c r="X273">
        <v>26</v>
      </c>
      <c r="Y273">
        <v>47</v>
      </c>
      <c r="Z273">
        <v>641</v>
      </c>
      <c r="AA273">
        <v>581</v>
      </c>
      <c r="AB273">
        <v>3.57</v>
      </c>
      <c r="AC273">
        <v>3</v>
      </c>
      <c r="AD273">
        <v>10</v>
      </c>
      <c r="AE273">
        <v>38</v>
      </c>
      <c r="AF273" s="27">
        <f t="shared" ca="1" si="262"/>
        <v>6488</v>
      </c>
      <c r="AG273" s="27">
        <f t="shared" ca="1" si="276"/>
        <v>1696</v>
      </c>
      <c r="AH273" s="27">
        <f t="shared" ca="1" si="277"/>
        <v>1153</v>
      </c>
      <c r="AI273" s="27">
        <f t="shared" ca="1" si="278"/>
        <v>366</v>
      </c>
      <c r="AJ273" s="27">
        <f t="shared" ca="1" si="279"/>
        <v>41</v>
      </c>
      <c r="AK273" s="27">
        <f t="shared" ca="1" si="280"/>
        <v>136</v>
      </c>
      <c r="AL273" s="27">
        <f t="shared" ca="1" si="281"/>
        <v>471</v>
      </c>
      <c r="AM273" s="27">
        <f t="shared" ca="1" si="282"/>
        <v>69</v>
      </c>
      <c r="AN273" s="27">
        <f t="shared" ca="1" si="283"/>
        <v>4252</v>
      </c>
      <c r="AO273">
        <v>4388</v>
      </c>
      <c r="AP273">
        <v>1399</v>
      </c>
      <c r="AQ273">
        <v>119</v>
      </c>
      <c r="AR273">
        <v>530</v>
      </c>
      <c r="AS273">
        <v>1232</v>
      </c>
      <c r="AT273">
        <v>96</v>
      </c>
      <c r="AU273">
        <v>159</v>
      </c>
      <c r="AV273">
        <v>0.98499999999999999</v>
      </c>
      <c r="AW273" s="1"/>
      <c r="AX273" s="1"/>
      <c r="AY273" s="29">
        <f t="shared" si="284"/>
        <v>29700</v>
      </c>
      <c r="AZ273" s="31">
        <f t="shared" si="285"/>
        <v>165849</v>
      </c>
      <c r="BA273" s="31"/>
      <c r="BB273" s="30">
        <f t="shared" si="287"/>
        <v>0</v>
      </c>
    </row>
    <row r="274" spans="2:54" x14ac:dyDescent="0.5">
      <c r="B274" s="4">
        <v>2009</v>
      </c>
      <c r="C274" t="s">
        <v>44</v>
      </c>
      <c r="D274" t="s">
        <v>45</v>
      </c>
      <c r="E274">
        <v>5</v>
      </c>
      <c r="F274" t="s">
        <v>38</v>
      </c>
      <c r="G274" t="s">
        <v>38</v>
      </c>
      <c r="H274" t="s">
        <v>38</v>
      </c>
      <c r="I274" t="s">
        <v>38</v>
      </c>
      <c r="J274">
        <v>64</v>
      </c>
      <c r="K274">
        <v>98</v>
      </c>
      <c r="L274">
        <v>741</v>
      </c>
      <c r="M274" s="20">
        <v>5618</v>
      </c>
      <c r="N274" s="20">
        <v>1508</v>
      </c>
      <c r="O274" s="20">
        <f t="shared" si="274"/>
        <v>1022</v>
      </c>
      <c r="P274" s="20">
        <v>307</v>
      </c>
      <c r="Q274" s="20">
        <v>19</v>
      </c>
      <c r="R274" s="20">
        <v>160</v>
      </c>
      <c r="S274" s="20">
        <v>517</v>
      </c>
      <c r="T274" s="20">
        <v>39</v>
      </c>
      <c r="U274" s="20">
        <f t="shared" si="275"/>
        <v>3554</v>
      </c>
      <c r="V274">
        <v>1013</v>
      </c>
      <c r="W274">
        <v>76</v>
      </c>
      <c r="X274">
        <v>37</v>
      </c>
      <c r="Y274">
        <v>46</v>
      </c>
      <c r="Z274">
        <v>876</v>
      </c>
      <c r="AA274">
        <v>817</v>
      </c>
      <c r="AB274">
        <v>5.15</v>
      </c>
      <c r="AC274">
        <v>2</v>
      </c>
      <c r="AD274">
        <v>3</v>
      </c>
      <c r="AE274">
        <v>31</v>
      </c>
      <c r="AF274" s="27">
        <f t="shared" ca="1" si="262"/>
        <v>6394</v>
      </c>
      <c r="AG274" s="27">
        <f t="shared" ca="1" si="276"/>
        <v>1419</v>
      </c>
      <c r="AH274" s="27">
        <f t="shared" ca="1" si="277"/>
        <v>800</v>
      </c>
      <c r="AI274" s="27">
        <f t="shared" ca="1" si="278"/>
        <v>379</v>
      </c>
      <c r="AJ274" s="27">
        <f t="shared" ca="1" si="279"/>
        <v>46</v>
      </c>
      <c r="AK274" s="27">
        <f t="shared" ca="1" si="280"/>
        <v>194</v>
      </c>
      <c r="AL274" s="27">
        <f t="shared" ca="1" si="281"/>
        <v>613</v>
      </c>
      <c r="AM274" s="27">
        <f t="shared" ca="1" si="282"/>
        <v>49</v>
      </c>
      <c r="AN274" s="27">
        <f t="shared" ca="1" si="283"/>
        <v>4313</v>
      </c>
      <c r="AO274">
        <v>4287</v>
      </c>
      <c r="AP274">
        <v>1633</v>
      </c>
      <c r="AQ274">
        <v>218</v>
      </c>
      <c r="AR274">
        <v>546</v>
      </c>
      <c r="AS274">
        <v>933</v>
      </c>
      <c r="AT274">
        <v>90</v>
      </c>
      <c r="AU274">
        <v>151</v>
      </c>
      <c r="AV274">
        <v>0.98499999999999999</v>
      </c>
      <c r="AW274" s="1"/>
      <c r="AX274" s="1"/>
      <c r="AY274" s="29">
        <f t="shared" si="284"/>
        <v>29700</v>
      </c>
      <c r="AZ274" s="31">
        <f t="shared" si="285"/>
        <v>165849</v>
      </c>
      <c r="BA274" s="31">
        <f t="shared" ref="BA274" si="300">SUMIF($B$2:$B$571,$B274,$O$2:$O$571)</f>
        <v>28796</v>
      </c>
      <c r="BB274" s="30">
        <f t="shared" si="287"/>
        <v>0.17362781807547831</v>
      </c>
    </row>
    <row r="275" spans="2:54" x14ac:dyDescent="0.5">
      <c r="B275" s="4">
        <v>2009</v>
      </c>
      <c r="C275" t="s">
        <v>46</v>
      </c>
      <c r="D275" t="s">
        <v>47</v>
      </c>
      <c r="E275">
        <v>2</v>
      </c>
      <c r="F275" t="s">
        <v>38</v>
      </c>
      <c r="G275" t="s">
        <v>43</v>
      </c>
      <c r="H275" t="s">
        <v>38</v>
      </c>
      <c r="I275" t="s">
        <v>38</v>
      </c>
      <c r="J275">
        <v>95</v>
      </c>
      <c r="K275">
        <v>67</v>
      </c>
      <c r="L275">
        <v>872</v>
      </c>
      <c r="M275" s="20">
        <v>5543</v>
      </c>
      <c r="N275" s="20">
        <v>1495</v>
      </c>
      <c r="O275" s="20">
        <f t="shared" si="274"/>
        <v>923</v>
      </c>
      <c r="P275" s="20">
        <v>335</v>
      </c>
      <c r="Q275" s="20">
        <v>25</v>
      </c>
      <c r="R275" s="20">
        <v>212</v>
      </c>
      <c r="S275" s="20">
        <v>659</v>
      </c>
      <c r="T275" s="20">
        <v>70</v>
      </c>
      <c r="U275" s="20">
        <f t="shared" si="275"/>
        <v>3319</v>
      </c>
      <c r="V275">
        <v>1120</v>
      </c>
      <c r="W275">
        <v>126</v>
      </c>
      <c r="X275">
        <v>39</v>
      </c>
      <c r="Y275">
        <v>51</v>
      </c>
      <c r="Z275">
        <v>736</v>
      </c>
      <c r="AA275">
        <v>695</v>
      </c>
      <c r="AB275">
        <v>4.3499999999999996</v>
      </c>
      <c r="AC275">
        <v>8</v>
      </c>
      <c r="AD275">
        <v>11</v>
      </c>
      <c r="AE275">
        <v>41</v>
      </c>
      <c r="AF275" s="27">
        <f t="shared" ca="1" si="262"/>
        <v>6419</v>
      </c>
      <c r="AG275" s="27">
        <f t="shared" ca="1" si="276"/>
        <v>1531</v>
      </c>
      <c r="AH275" s="27">
        <f t="shared" ca="1" si="277"/>
        <v>927</v>
      </c>
      <c r="AI275" s="27">
        <f t="shared" ca="1" si="278"/>
        <v>398</v>
      </c>
      <c r="AJ275" s="27">
        <f t="shared" ca="1" si="279"/>
        <v>25</v>
      </c>
      <c r="AK275" s="27">
        <f t="shared" ca="1" si="280"/>
        <v>181</v>
      </c>
      <c r="AL275" s="27">
        <f t="shared" ca="1" si="281"/>
        <v>489</v>
      </c>
      <c r="AM275" s="27">
        <f t="shared" ca="1" si="282"/>
        <v>87</v>
      </c>
      <c r="AN275" s="27">
        <f t="shared" ca="1" si="283"/>
        <v>4312</v>
      </c>
      <c r="AO275">
        <v>4310</v>
      </c>
      <c r="AP275">
        <v>1494</v>
      </c>
      <c r="AQ275">
        <v>167</v>
      </c>
      <c r="AR275">
        <v>530</v>
      </c>
      <c r="AS275">
        <v>1230</v>
      </c>
      <c r="AT275">
        <v>82</v>
      </c>
      <c r="AU275">
        <v>121</v>
      </c>
      <c r="AV275">
        <v>0.98599999999999999</v>
      </c>
      <c r="AW275" s="1"/>
      <c r="AX275" s="1"/>
      <c r="AY275" s="29">
        <f t="shared" si="284"/>
        <v>29700</v>
      </c>
      <c r="AZ275" s="31">
        <f t="shared" si="285"/>
        <v>165849</v>
      </c>
      <c r="BA275" s="31">
        <f t="shared" ref="BA275" si="301">SUMIF($B$2:$B$571,$B275,$P$2:$P$571)</f>
        <v>8737</v>
      </c>
      <c r="BB275" s="30">
        <f t="shared" si="287"/>
        <v>5.2680450289118413E-2</v>
      </c>
    </row>
    <row r="276" spans="2:54" x14ac:dyDescent="0.5">
      <c r="B276" s="4">
        <v>2009</v>
      </c>
      <c r="C276" t="s">
        <v>48</v>
      </c>
      <c r="D276" t="s">
        <v>49</v>
      </c>
      <c r="E276">
        <v>3</v>
      </c>
      <c r="F276" t="s">
        <v>38</v>
      </c>
      <c r="G276" t="s">
        <v>38</v>
      </c>
      <c r="H276" t="s">
        <v>38</v>
      </c>
      <c r="I276" t="s">
        <v>38</v>
      </c>
      <c r="J276">
        <v>79</v>
      </c>
      <c r="K276">
        <v>83</v>
      </c>
      <c r="L276">
        <v>724</v>
      </c>
      <c r="M276" s="20">
        <v>5463</v>
      </c>
      <c r="N276" s="20">
        <v>1410</v>
      </c>
      <c r="O276" s="20">
        <f t="shared" si="274"/>
        <v>960</v>
      </c>
      <c r="P276" s="20">
        <v>246</v>
      </c>
      <c r="Q276" s="20">
        <v>20</v>
      </c>
      <c r="R276" s="20">
        <v>184</v>
      </c>
      <c r="S276" s="20">
        <v>534</v>
      </c>
      <c r="T276" s="20">
        <v>62</v>
      </c>
      <c r="U276" s="20">
        <f t="shared" si="275"/>
        <v>3457</v>
      </c>
      <c r="V276">
        <v>1022</v>
      </c>
      <c r="W276">
        <v>113</v>
      </c>
      <c r="X276">
        <v>49</v>
      </c>
      <c r="Y276">
        <v>39</v>
      </c>
      <c r="Z276">
        <v>732</v>
      </c>
      <c r="AA276">
        <v>663</v>
      </c>
      <c r="AB276">
        <v>4.1399999999999997</v>
      </c>
      <c r="AC276">
        <v>4</v>
      </c>
      <c r="AD276">
        <v>11</v>
      </c>
      <c r="AE276">
        <v>36</v>
      </c>
      <c r="AF276" s="27">
        <f t="shared" ca="1" si="262"/>
        <v>6452</v>
      </c>
      <c r="AG276" s="27">
        <f t="shared" ca="1" si="276"/>
        <v>1576</v>
      </c>
      <c r="AH276" s="27">
        <f t="shared" ca="1" si="277"/>
        <v>1056</v>
      </c>
      <c r="AI276" s="27">
        <f t="shared" ca="1" si="278"/>
        <v>284</v>
      </c>
      <c r="AJ276" s="27">
        <f t="shared" ca="1" si="279"/>
        <v>48</v>
      </c>
      <c r="AK276" s="27">
        <f t="shared" ca="1" si="280"/>
        <v>188</v>
      </c>
      <c r="AL276" s="27">
        <f t="shared" ca="1" si="281"/>
        <v>670</v>
      </c>
      <c r="AM276" s="27">
        <f t="shared" ca="1" si="282"/>
        <v>67</v>
      </c>
      <c r="AN276" s="27">
        <f t="shared" ca="1" si="283"/>
        <v>4139</v>
      </c>
      <c r="AO276">
        <v>4319</v>
      </c>
      <c r="AP276">
        <v>1438</v>
      </c>
      <c r="AQ276">
        <v>169</v>
      </c>
      <c r="AR276">
        <v>507</v>
      </c>
      <c r="AS276">
        <v>1119</v>
      </c>
      <c r="AT276">
        <v>113</v>
      </c>
      <c r="AU276">
        <v>158</v>
      </c>
      <c r="AV276">
        <v>0.98099999999999998</v>
      </c>
      <c r="AW276" s="1"/>
      <c r="AX276" s="1"/>
      <c r="AY276" s="29">
        <f t="shared" si="284"/>
        <v>29700</v>
      </c>
      <c r="AZ276" s="31">
        <f t="shared" si="285"/>
        <v>165849</v>
      </c>
      <c r="BA276" s="31">
        <f t="shared" ref="BA276" si="302">SUMIF($B$2:$B$571,$B276,$Q$2:$Q$571)</f>
        <v>949</v>
      </c>
      <c r="BB276" s="30">
        <f t="shared" si="287"/>
        <v>5.7220724876242846E-3</v>
      </c>
    </row>
    <row r="277" spans="2:54" x14ac:dyDescent="0.5">
      <c r="B277" s="4">
        <v>2009</v>
      </c>
      <c r="C277" t="s">
        <v>50</v>
      </c>
      <c r="D277" t="s">
        <v>51</v>
      </c>
      <c r="E277">
        <v>2</v>
      </c>
      <c r="F277" t="s">
        <v>38</v>
      </c>
      <c r="G277" t="s">
        <v>38</v>
      </c>
      <c r="H277" t="s">
        <v>38</v>
      </c>
      <c r="I277" t="s">
        <v>38</v>
      </c>
      <c r="J277">
        <v>83</v>
      </c>
      <c r="K277">
        <v>78</v>
      </c>
      <c r="L277">
        <v>707</v>
      </c>
      <c r="M277" s="20">
        <v>5486</v>
      </c>
      <c r="N277" s="20">
        <v>1398</v>
      </c>
      <c r="O277" s="20">
        <f t="shared" si="274"/>
        <v>915</v>
      </c>
      <c r="P277" s="20">
        <v>293</v>
      </c>
      <c r="Q277" s="20">
        <v>29</v>
      </c>
      <c r="R277" s="20">
        <v>161</v>
      </c>
      <c r="S277" s="20">
        <v>592</v>
      </c>
      <c r="T277" s="20">
        <v>59</v>
      </c>
      <c r="U277" s="20">
        <f t="shared" si="275"/>
        <v>3437</v>
      </c>
      <c r="V277">
        <v>1185</v>
      </c>
      <c r="W277">
        <v>56</v>
      </c>
      <c r="X277">
        <v>34</v>
      </c>
      <c r="Y277">
        <v>42</v>
      </c>
      <c r="Z277">
        <v>672</v>
      </c>
      <c r="AA277">
        <v>616</v>
      </c>
      <c r="AB277">
        <v>3.84</v>
      </c>
      <c r="AC277">
        <v>3</v>
      </c>
      <c r="AD277">
        <v>8</v>
      </c>
      <c r="AE277">
        <v>40</v>
      </c>
      <c r="AF277" s="27">
        <f t="shared" ca="1" si="262"/>
        <v>6201</v>
      </c>
      <c r="AG277" s="27">
        <f t="shared" ca="1" si="276"/>
        <v>1425</v>
      </c>
      <c r="AH277" s="27">
        <f t="shared" ca="1" si="277"/>
        <v>867</v>
      </c>
      <c r="AI277" s="27">
        <f t="shared" ca="1" si="278"/>
        <v>379</v>
      </c>
      <c r="AJ277" s="27">
        <f t="shared" ca="1" si="279"/>
        <v>31</v>
      </c>
      <c r="AK277" s="27">
        <f t="shared" ca="1" si="280"/>
        <v>148</v>
      </c>
      <c r="AL277" s="27">
        <f t="shared" ca="1" si="281"/>
        <v>651</v>
      </c>
      <c r="AM277" s="27">
        <f t="shared" ca="1" si="282"/>
        <v>74</v>
      </c>
      <c r="AN277" s="27">
        <f t="shared" ca="1" si="283"/>
        <v>4051</v>
      </c>
      <c r="AO277">
        <v>4336</v>
      </c>
      <c r="AP277">
        <v>1329</v>
      </c>
      <c r="AQ277">
        <v>160</v>
      </c>
      <c r="AR277">
        <v>586</v>
      </c>
      <c r="AS277">
        <v>1272</v>
      </c>
      <c r="AT277">
        <v>105</v>
      </c>
      <c r="AU277">
        <v>144</v>
      </c>
      <c r="AV277">
        <v>0.98299999999999998</v>
      </c>
      <c r="AW277" s="1"/>
      <c r="AX277" s="1"/>
      <c r="AY277" s="29">
        <f t="shared" si="284"/>
        <v>29700</v>
      </c>
      <c r="AZ277" s="31">
        <f t="shared" si="285"/>
        <v>165849</v>
      </c>
      <c r="BA277" s="31">
        <f t="shared" ref="BA277" si="303">SUMIF($B$2:$B$571,$B277,$R$2:$R$571)</f>
        <v>5042</v>
      </c>
      <c r="BB277" s="30">
        <f t="shared" si="287"/>
        <v>3.0401148032246198E-2</v>
      </c>
    </row>
    <row r="278" spans="2:54" x14ac:dyDescent="0.5">
      <c r="B278" s="4">
        <v>2009</v>
      </c>
      <c r="C278" t="s">
        <v>52</v>
      </c>
      <c r="D278" t="s">
        <v>53</v>
      </c>
      <c r="E278">
        <v>4</v>
      </c>
      <c r="F278" t="s">
        <v>38</v>
      </c>
      <c r="G278" t="s">
        <v>38</v>
      </c>
      <c r="H278" t="s">
        <v>38</v>
      </c>
      <c r="I278" t="s">
        <v>38</v>
      </c>
      <c r="J278">
        <v>78</v>
      </c>
      <c r="K278">
        <v>84</v>
      </c>
      <c r="L278">
        <v>673</v>
      </c>
      <c r="M278" s="20">
        <v>5462</v>
      </c>
      <c r="N278" s="20">
        <v>1349</v>
      </c>
      <c r="O278" s="20">
        <f t="shared" si="274"/>
        <v>886</v>
      </c>
      <c r="P278" s="20">
        <v>280</v>
      </c>
      <c r="Q278" s="20">
        <v>25</v>
      </c>
      <c r="R278" s="20">
        <v>158</v>
      </c>
      <c r="S278" s="20">
        <v>531</v>
      </c>
      <c r="T278" s="20">
        <v>53</v>
      </c>
      <c r="U278" s="20">
        <f t="shared" si="275"/>
        <v>3529</v>
      </c>
      <c r="V278">
        <v>1129</v>
      </c>
      <c r="W278">
        <v>96</v>
      </c>
      <c r="X278">
        <v>40</v>
      </c>
      <c r="Y278">
        <v>41</v>
      </c>
      <c r="Z278">
        <v>723</v>
      </c>
      <c r="AA278">
        <v>677</v>
      </c>
      <c r="AB278">
        <v>4.18</v>
      </c>
      <c r="AC278">
        <v>6</v>
      </c>
      <c r="AD278">
        <v>12</v>
      </c>
      <c r="AE278">
        <v>41</v>
      </c>
      <c r="AF278" s="27">
        <f t="shared" ca="1" si="262"/>
        <v>6081</v>
      </c>
      <c r="AG278" s="27">
        <f t="shared" ca="1" si="276"/>
        <v>1440</v>
      </c>
      <c r="AH278" s="27">
        <f t="shared" ca="1" si="277"/>
        <v>871</v>
      </c>
      <c r="AI278" s="27">
        <f t="shared" ca="1" si="278"/>
        <v>354</v>
      </c>
      <c r="AJ278" s="27">
        <f t="shared" ca="1" si="279"/>
        <v>37</v>
      </c>
      <c r="AK278" s="27">
        <f t="shared" ca="1" si="280"/>
        <v>178</v>
      </c>
      <c r="AL278" s="27">
        <f t="shared" ca="1" si="281"/>
        <v>637</v>
      </c>
      <c r="AM278" s="27">
        <f t="shared" ca="1" si="282"/>
        <v>39</v>
      </c>
      <c r="AN278" s="27">
        <f t="shared" ca="1" si="283"/>
        <v>3965</v>
      </c>
      <c r="AO278">
        <v>4375</v>
      </c>
      <c r="AP278">
        <v>1420</v>
      </c>
      <c r="AQ278">
        <v>188</v>
      </c>
      <c r="AR278">
        <v>577</v>
      </c>
      <c r="AS278">
        <v>1069</v>
      </c>
      <c r="AT278">
        <v>89</v>
      </c>
      <c r="AU278">
        <v>161</v>
      </c>
      <c r="AV278">
        <v>0.98499999999999999</v>
      </c>
      <c r="AW278" s="1"/>
      <c r="AX278" s="1"/>
      <c r="AY278" s="29">
        <f t="shared" si="284"/>
        <v>29700</v>
      </c>
      <c r="AZ278" s="31">
        <f t="shared" si="285"/>
        <v>165849</v>
      </c>
      <c r="BA278" s="31">
        <f t="shared" ref="BA278" si="304">SUMIF($B$2:$B$571,$B278,$S$2:$S$571)</f>
        <v>16620</v>
      </c>
      <c r="BB278" s="30">
        <f t="shared" si="287"/>
        <v>0.10021163829748747</v>
      </c>
    </row>
    <row r="279" spans="2:54" x14ac:dyDescent="0.5">
      <c r="B279" s="4">
        <v>2009</v>
      </c>
      <c r="C279" t="s">
        <v>54</v>
      </c>
      <c r="D279" t="s">
        <v>55</v>
      </c>
      <c r="E279">
        <v>4</v>
      </c>
      <c r="F279" t="s">
        <v>38</v>
      </c>
      <c r="G279" t="s">
        <v>38</v>
      </c>
      <c r="H279" t="s">
        <v>38</v>
      </c>
      <c r="I279" t="s">
        <v>38</v>
      </c>
      <c r="J279">
        <v>65</v>
      </c>
      <c r="K279">
        <v>97</v>
      </c>
      <c r="L279">
        <v>773</v>
      </c>
      <c r="M279" s="20">
        <v>5568</v>
      </c>
      <c r="N279" s="20">
        <v>1468</v>
      </c>
      <c r="O279" s="20">
        <f t="shared" si="274"/>
        <v>965</v>
      </c>
      <c r="P279" s="20">
        <v>314</v>
      </c>
      <c r="Q279" s="20">
        <v>28</v>
      </c>
      <c r="R279" s="20">
        <v>161</v>
      </c>
      <c r="S279" s="20">
        <v>582</v>
      </c>
      <c r="T279" s="20">
        <v>81</v>
      </c>
      <c r="U279" s="20">
        <f t="shared" si="275"/>
        <v>3437</v>
      </c>
      <c r="V279">
        <v>1211</v>
      </c>
      <c r="W279">
        <v>84</v>
      </c>
      <c r="X279">
        <v>31</v>
      </c>
      <c r="Y279">
        <v>50</v>
      </c>
      <c r="Z279">
        <v>865</v>
      </c>
      <c r="AA279">
        <v>806</v>
      </c>
      <c r="AB279">
        <v>5.0599999999999996</v>
      </c>
      <c r="AC279">
        <v>5</v>
      </c>
      <c r="AD279">
        <v>6</v>
      </c>
      <c r="AE279">
        <v>25</v>
      </c>
      <c r="AF279" s="27">
        <f t="shared" ca="1" si="262"/>
        <v>6104</v>
      </c>
      <c r="AG279" s="27">
        <f t="shared" ca="1" si="276"/>
        <v>1392</v>
      </c>
      <c r="AH279" s="27">
        <f t="shared" ca="1" si="277"/>
        <v>793</v>
      </c>
      <c r="AI279" s="27">
        <f t="shared" ca="1" si="278"/>
        <v>382</v>
      </c>
      <c r="AJ279" s="27">
        <f t="shared" ca="1" si="279"/>
        <v>35</v>
      </c>
      <c r="AK279" s="27">
        <f t="shared" ca="1" si="280"/>
        <v>182</v>
      </c>
      <c r="AL279" s="27">
        <f t="shared" ca="1" si="281"/>
        <v>698</v>
      </c>
      <c r="AM279" s="27">
        <f t="shared" ca="1" si="282"/>
        <v>76</v>
      </c>
      <c r="AN279" s="27">
        <f t="shared" ca="1" si="283"/>
        <v>3938</v>
      </c>
      <c r="AO279">
        <v>4302</v>
      </c>
      <c r="AP279">
        <v>1570</v>
      </c>
      <c r="AQ279">
        <v>183</v>
      </c>
      <c r="AR279">
        <v>598</v>
      </c>
      <c r="AS279">
        <v>986</v>
      </c>
      <c r="AT279">
        <v>97</v>
      </c>
      <c r="AU279">
        <v>170</v>
      </c>
      <c r="AV279">
        <v>0.98399999999999999</v>
      </c>
      <c r="AW279" s="1"/>
      <c r="AX279" s="1"/>
      <c r="AY279" s="29">
        <f t="shared" si="284"/>
        <v>29700</v>
      </c>
      <c r="AZ279" s="31">
        <f t="shared" si="285"/>
        <v>165849</v>
      </c>
      <c r="BA279" s="31">
        <f t="shared" ref="BA279" si="305">SUMIF($B$2:$B$571,$B279,$T$2:$T$571)</f>
        <v>1590</v>
      </c>
      <c r="BB279" s="30">
        <f t="shared" si="287"/>
        <v>9.5870339887488016E-3</v>
      </c>
    </row>
    <row r="280" spans="2:54" x14ac:dyDescent="0.5">
      <c r="B280" s="4">
        <v>2009</v>
      </c>
      <c r="C280" t="s">
        <v>56</v>
      </c>
      <c r="D280" t="s">
        <v>57</v>
      </c>
      <c r="E280">
        <v>2</v>
      </c>
      <c r="F280" t="s">
        <v>38</v>
      </c>
      <c r="G280" t="s">
        <v>43</v>
      </c>
      <c r="H280" t="s">
        <v>38</v>
      </c>
      <c r="I280" t="s">
        <v>38</v>
      </c>
      <c r="J280">
        <v>92</v>
      </c>
      <c r="K280">
        <v>70</v>
      </c>
      <c r="L280">
        <v>804</v>
      </c>
      <c r="M280" s="20">
        <v>5398</v>
      </c>
      <c r="N280" s="20">
        <v>1408</v>
      </c>
      <c r="O280" s="20">
        <f t="shared" si="274"/>
        <v>868</v>
      </c>
      <c r="P280" s="20">
        <v>300</v>
      </c>
      <c r="Q280" s="20">
        <v>50</v>
      </c>
      <c r="R280" s="20">
        <v>190</v>
      </c>
      <c r="S280" s="20">
        <v>660</v>
      </c>
      <c r="T280" s="20">
        <v>47</v>
      </c>
      <c r="U280" s="20">
        <f t="shared" si="275"/>
        <v>3283</v>
      </c>
      <c r="V280">
        <v>1277</v>
      </c>
      <c r="W280">
        <v>106</v>
      </c>
      <c r="X280">
        <v>55</v>
      </c>
      <c r="Y280">
        <v>60</v>
      </c>
      <c r="Z280">
        <v>715</v>
      </c>
      <c r="AA280">
        <v>675</v>
      </c>
      <c r="AB280">
        <v>4.22</v>
      </c>
      <c r="AC280">
        <v>5</v>
      </c>
      <c r="AD280">
        <v>7</v>
      </c>
      <c r="AE280">
        <v>45</v>
      </c>
      <c r="AF280" s="27">
        <f t="shared" ca="1" si="262"/>
        <v>6177</v>
      </c>
      <c r="AG280" s="27">
        <f t="shared" ca="1" si="276"/>
        <v>1641</v>
      </c>
      <c r="AH280" s="27">
        <f t="shared" ca="1" si="277"/>
        <v>1161</v>
      </c>
      <c r="AI280" s="27">
        <f t="shared" ca="1" si="278"/>
        <v>253</v>
      </c>
      <c r="AJ280" s="27">
        <f t="shared" ca="1" si="279"/>
        <v>40</v>
      </c>
      <c r="AK280" s="27">
        <f t="shared" ca="1" si="280"/>
        <v>187</v>
      </c>
      <c r="AL280" s="27">
        <f t="shared" ca="1" si="281"/>
        <v>700</v>
      </c>
      <c r="AM280" s="27">
        <f t="shared" ca="1" si="282"/>
        <v>35</v>
      </c>
      <c r="AN280" s="27">
        <f t="shared" ca="1" si="283"/>
        <v>3801</v>
      </c>
      <c r="AO280">
        <v>4315</v>
      </c>
      <c r="AP280">
        <v>1427</v>
      </c>
      <c r="AQ280">
        <v>141</v>
      </c>
      <c r="AR280">
        <v>528</v>
      </c>
      <c r="AS280">
        <v>1154</v>
      </c>
      <c r="AT280">
        <v>87</v>
      </c>
      <c r="AU280">
        <v>146</v>
      </c>
      <c r="AV280">
        <v>0.98599999999999999</v>
      </c>
      <c r="AW280" s="1"/>
      <c r="AX280" s="1"/>
      <c r="AY280" s="29">
        <f t="shared" si="284"/>
        <v>29700</v>
      </c>
      <c r="AZ280" s="31">
        <f t="shared" si="285"/>
        <v>165849</v>
      </c>
      <c r="BA280" s="31">
        <f t="shared" ref="BA280" si="306">SUMIF($B$2:$B$571,$B280,$U$2:$U$571)</f>
        <v>104115</v>
      </c>
      <c r="BB280" s="30">
        <f t="shared" si="287"/>
        <v>0.62776983882929649</v>
      </c>
    </row>
    <row r="281" spans="2:54" x14ac:dyDescent="0.5">
      <c r="B281" s="4">
        <v>2009</v>
      </c>
      <c r="C281" t="s">
        <v>58</v>
      </c>
      <c r="D281" t="s">
        <v>59</v>
      </c>
      <c r="E281">
        <v>2</v>
      </c>
      <c r="F281" t="s">
        <v>38</v>
      </c>
      <c r="G281" t="s">
        <v>38</v>
      </c>
      <c r="H281" t="s">
        <v>38</v>
      </c>
      <c r="I281" t="s">
        <v>38</v>
      </c>
      <c r="J281">
        <v>86</v>
      </c>
      <c r="K281">
        <v>77</v>
      </c>
      <c r="L281">
        <v>743</v>
      </c>
      <c r="M281" s="20">
        <v>5540</v>
      </c>
      <c r="N281" s="20">
        <v>1443</v>
      </c>
      <c r="O281" s="20">
        <f t="shared" si="274"/>
        <v>980</v>
      </c>
      <c r="P281" s="20">
        <v>245</v>
      </c>
      <c r="Q281" s="20">
        <v>35</v>
      </c>
      <c r="R281" s="20">
        <v>183</v>
      </c>
      <c r="S281" s="20">
        <v>540</v>
      </c>
      <c r="T281" s="20">
        <v>61</v>
      </c>
      <c r="U281" s="20">
        <f t="shared" si="275"/>
        <v>3496</v>
      </c>
      <c r="V281">
        <v>1114</v>
      </c>
      <c r="W281">
        <v>72</v>
      </c>
      <c r="X281">
        <v>33</v>
      </c>
      <c r="Y281">
        <v>39</v>
      </c>
      <c r="Z281">
        <v>745</v>
      </c>
      <c r="AA281">
        <v>690</v>
      </c>
      <c r="AB281">
        <v>4.29</v>
      </c>
      <c r="AC281">
        <v>4</v>
      </c>
      <c r="AD281">
        <v>9</v>
      </c>
      <c r="AE281">
        <v>42</v>
      </c>
      <c r="AF281" s="27">
        <f t="shared" ca="1" si="262"/>
        <v>6202</v>
      </c>
      <c r="AG281" s="27">
        <f t="shared" ca="1" si="276"/>
        <v>1668</v>
      </c>
      <c r="AH281" s="27">
        <f t="shared" ca="1" si="277"/>
        <v>1232</v>
      </c>
      <c r="AI281" s="27">
        <f t="shared" ca="1" si="278"/>
        <v>220</v>
      </c>
      <c r="AJ281" s="27">
        <f t="shared" ca="1" si="279"/>
        <v>35</v>
      </c>
      <c r="AK281" s="27">
        <f t="shared" ca="1" si="280"/>
        <v>181</v>
      </c>
      <c r="AL281" s="27">
        <f t="shared" ca="1" si="281"/>
        <v>529</v>
      </c>
      <c r="AM281" s="27">
        <f t="shared" ca="1" si="282"/>
        <v>90</v>
      </c>
      <c r="AN281" s="27">
        <f t="shared" ca="1" si="283"/>
        <v>3915</v>
      </c>
      <c r="AO281">
        <v>4341</v>
      </c>
      <c r="AP281">
        <v>1449</v>
      </c>
      <c r="AQ281">
        <v>182</v>
      </c>
      <c r="AR281">
        <v>594</v>
      </c>
      <c r="AS281">
        <v>1102</v>
      </c>
      <c r="AT281">
        <v>88</v>
      </c>
      <c r="AU281">
        <v>164</v>
      </c>
      <c r="AV281">
        <v>0.98499999999999999</v>
      </c>
      <c r="AW281" s="1"/>
      <c r="AX281" s="1"/>
      <c r="AY281" s="29">
        <f t="shared" si="284"/>
        <v>29700</v>
      </c>
      <c r="AZ281" s="31">
        <f t="shared" si="285"/>
        <v>165849</v>
      </c>
      <c r="BA281" s="31"/>
      <c r="BB281" s="30">
        <f t="shared" si="287"/>
        <v>0</v>
      </c>
    </row>
    <row r="282" spans="2:54" x14ac:dyDescent="0.5">
      <c r="B282" s="4">
        <v>2009</v>
      </c>
      <c r="C282" t="s">
        <v>60</v>
      </c>
      <c r="D282" t="s">
        <v>61</v>
      </c>
      <c r="E282">
        <v>2</v>
      </c>
      <c r="F282" t="s">
        <v>38</v>
      </c>
      <c r="G282" t="s">
        <v>38</v>
      </c>
      <c r="H282" t="s">
        <v>38</v>
      </c>
      <c r="I282" t="s">
        <v>38</v>
      </c>
      <c r="J282">
        <v>87</v>
      </c>
      <c r="K282">
        <v>75</v>
      </c>
      <c r="L282">
        <v>772</v>
      </c>
      <c r="M282" s="20">
        <v>5572</v>
      </c>
      <c r="N282" s="20">
        <v>1493</v>
      </c>
      <c r="O282" s="20">
        <f t="shared" si="274"/>
        <v>1013</v>
      </c>
      <c r="P282" s="20">
        <v>296</v>
      </c>
      <c r="Q282" s="20">
        <v>25</v>
      </c>
      <c r="R282" s="20">
        <v>159</v>
      </c>
      <c r="S282" s="20">
        <v>568</v>
      </c>
      <c r="T282" s="20">
        <v>63</v>
      </c>
      <c r="U282" s="20">
        <f t="shared" si="275"/>
        <v>3448</v>
      </c>
      <c r="V282">
        <v>1226</v>
      </c>
      <c r="W282">
        <v>75</v>
      </c>
      <c r="X282">
        <v>35</v>
      </c>
      <c r="Y282">
        <v>39</v>
      </c>
      <c r="Z282">
        <v>766</v>
      </c>
      <c r="AA282">
        <v>690</v>
      </c>
      <c r="AB282">
        <v>4.29</v>
      </c>
      <c r="AC282">
        <v>5</v>
      </c>
      <c r="AD282">
        <v>5</v>
      </c>
      <c r="AE282">
        <v>45</v>
      </c>
      <c r="AF282" s="27">
        <f t="shared" ca="1" si="262"/>
        <v>6114</v>
      </c>
      <c r="AG282" s="27">
        <f t="shared" ca="1" si="276"/>
        <v>1324</v>
      </c>
      <c r="AH282" s="27">
        <f t="shared" ca="1" si="277"/>
        <v>749</v>
      </c>
      <c r="AI282" s="27">
        <f t="shared" ca="1" si="278"/>
        <v>309</v>
      </c>
      <c r="AJ282" s="27">
        <f t="shared" ca="1" si="279"/>
        <v>47</v>
      </c>
      <c r="AK282" s="27">
        <f t="shared" ca="1" si="280"/>
        <v>219</v>
      </c>
      <c r="AL282" s="27">
        <f t="shared" ca="1" si="281"/>
        <v>541</v>
      </c>
      <c r="AM282" s="27">
        <f t="shared" ca="1" si="282"/>
        <v>46</v>
      </c>
      <c r="AN282" s="27">
        <f t="shared" ca="1" si="283"/>
        <v>4203</v>
      </c>
      <c r="AO282">
        <v>4339</v>
      </c>
      <c r="AP282">
        <v>1425</v>
      </c>
      <c r="AQ282">
        <v>160</v>
      </c>
      <c r="AR282">
        <v>601</v>
      </c>
      <c r="AS282">
        <v>1248</v>
      </c>
      <c r="AT282">
        <v>106</v>
      </c>
      <c r="AU282">
        <v>129</v>
      </c>
      <c r="AV282">
        <v>0.98199999999999998</v>
      </c>
      <c r="AW282" s="1"/>
      <c r="AX282" s="1"/>
      <c r="AY282" s="29">
        <f t="shared" si="284"/>
        <v>29700</v>
      </c>
      <c r="AZ282" s="31">
        <f t="shared" si="285"/>
        <v>165849</v>
      </c>
      <c r="BA282" s="31">
        <f t="shared" ref="BA282" si="307">SUMIF($B$2:$B$571,$B282,$O$2:$O$571)</f>
        <v>28796</v>
      </c>
      <c r="BB282" s="30">
        <f t="shared" si="287"/>
        <v>0.17362781807547831</v>
      </c>
    </row>
    <row r="283" spans="2:54" x14ac:dyDescent="0.5">
      <c r="B283" s="4">
        <v>2009</v>
      </c>
      <c r="C283" t="s">
        <v>62</v>
      </c>
      <c r="D283" t="s">
        <v>63</v>
      </c>
      <c r="E283">
        <v>5</v>
      </c>
      <c r="F283" t="s">
        <v>38</v>
      </c>
      <c r="G283" t="s">
        <v>38</v>
      </c>
      <c r="H283" t="s">
        <v>38</v>
      </c>
      <c r="I283" t="s">
        <v>38</v>
      </c>
      <c r="J283">
        <v>74</v>
      </c>
      <c r="K283">
        <v>88</v>
      </c>
      <c r="L283">
        <v>643</v>
      </c>
      <c r="M283" s="20">
        <v>5436</v>
      </c>
      <c r="N283" s="20">
        <v>1415</v>
      </c>
      <c r="O283" s="20">
        <f t="shared" si="274"/>
        <v>971</v>
      </c>
      <c r="P283" s="20">
        <v>270</v>
      </c>
      <c r="Q283" s="20">
        <v>32</v>
      </c>
      <c r="R283" s="20">
        <v>142</v>
      </c>
      <c r="S283" s="20">
        <v>448</v>
      </c>
      <c r="T283" s="20">
        <v>43</v>
      </c>
      <c r="U283" s="20">
        <f t="shared" si="275"/>
        <v>3530</v>
      </c>
      <c r="V283">
        <v>990</v>
      </c>
      <c r="W283">
        <v>113</v>
      </c>
      <c r="X283">
        <v>44</v>
      </c>
      <c r="Y283">
        <v>45</v>
      </c>
      <c r="Z283">
        <v>770</v>
      </c>
      <c r="AA283">
        <v>722</v>
      </c>
      <c r="AB283">
        <v>4.54</v>
      </c>
      <c r="AC283">
        <v>5</v>
      </c>
      <c r="AD283">
        <v>10</v>
      </c>
      <c r="AE283">
        <v>39</v>
      </c>
      <c r="AF283" s="27">
        <f t="shared" ca="1" si="262"/>
        <v>6364</v>
      </c>
      <c r="AG283" s="27">
        <f t="shared" ca="1" si="276"/>
        <v>1586</v>
      </c>
      <c r="AH283" s="27">
        <f t="shared" ca="1" si="277"/>
        <v>994</v>
      </c>
      <c r="AI283" s="27">
        <f t="shared" ca="1" si="278"/>
        <v>319</v>
      </c>
      <c r="AJ283" s="27">
        <f t="shared" ca="1" si="279"/>
        <v>45</v>
      </c>
      <c r="AK283" s="27">
        <f t="shared" ca="1" si="280"/>
        <v>228</v>
      </c>
      <c r="AL283" s="27">
        <f t="shared" ca="1" si="281"/>
        <v>554</v>
      </c>
      <c r="AM283" s="27">
        <f t="shared" ca="1" si="282"/>
        <v>58</v>
      </c>
      <c r="AN283" s="27">
        <f t="shared" ca="1" si="283"/>
        <v>4166</v>
      </c>
      <c r="AO283">
        <v>4290</v>
      </c>
      <c r="AP283">
        <v>1521</v>
      </c>
      <c r="AQ283">
        <v>176</v>
      </c>
      <c r="AR283">
        <v>546</v>
      </c>
      <c r="AS283">
        <v>1144</v>
      </c>
      <c r="AT283">
        <v>78</v>
      </c>
      <c r="AU283">
        <v>161</v>
      </c>
      <c r="AV283">
        <v>0.98699999999999999</v>
      </c>
      <c r="AW283" s="1"/>
      <c r="AX283" s="1"/>
      <c r="AY283" s="29">
        <f t="shared" si="284"/>
        <v>29700</v>
      </c>
      <c r="AZ283" s="31">
        <f t="shared" si="285"/>
        <v>165849</v>
      </c>
      <c r="BA283" s="31">
        <f t="shared" ref="BA283" si="308">SUMIF($B$2:$B$571,$B283,$P$2:$P$571)</f>
        <v>8737</v>
      </c>
      <c r="BB283" s="30">
        <f t="shared" si="287"/>
        <v>5.2680450289118413E-2</v>
      </c>
    </row>
    <row r="284" spans="2:54" x14ac:dyDescent="0.5">
      <c r="B284" s="4">
        <v>2009</v>
      </c>
      <c r="C284" t="s">
        <v>64</v>
      </c>
      <c r="D284" t="s">
        <v>65</v>
      </c>
      <c r="E284">
        <v>4</v>
      </c>
      <c r="F284" t="s">
        <v>38</v>
      </c>
      <c r="G284" t="s">
        <v>38</v>
      </c>
      <c r="H284" t="s">
        <v>38</v>
      </c>
      <c r="I284" t="s">
        <v>38</v>
      </c>
      <c r="J284">
        <v>65</v>
      </c>
      <c r="K284">
        <v>97</v>
      </c>
      <c r="L284">
        <v>686</v>
      </c>
      <c r="M284" s="20">
        <v>5532</v>
      </c>
      <c r="N284" s="20">
        <v>1432</v>
      </c>
      <c r="O284" s="20">
        <f t="shared" si="274"/>
        <v>961</v>
      </c>
      <c r="P284" s="20">
        <v>276</v>
      </c>
      <c r="Q284" s="20">
        <v>51</v>
      </c>
      <c r="R284" s="20">
        <v>144</v>
      </c>
      <c r="S284" s="20">
        <v>457</v>
      </c>
      <c r="T284" s="20">
        <v>42</v>
      </c>
      <c r="U284" s="20">
        <f t="shared" si="275"/>
        <v>3601</v>
      </c>
      <c r="V284">
        <v>1091</v>
      </c>
      <c r="W284">
        <v>88</v>
      </c>
      <c r="X284">
        <v>29</v>
      </c>
      <c r="Y284">
        <v>32</v>
      </c>
      <c r="Z284">
        <v>842</v>
      </c>
      <c r="AA284">
        <v>765</v>
      </c>
      <c r="AB284">
        <v>4.83</v>
      </c>
      <c r="AC284">
        <v>10</v>
      </c>
      <c r="AD284">
        <v>9</v>
      </c>
      <c r="AE284">
        <v>34</v>
      </c>
      <c r="AF284" s="27">
        <f t="shared" ca="1" si="262"/>
        <v>6282</v>
      </c>
      <c r="AG284" s="27">
        <f t="shared" ca="1" si="276"/>
        <v>1666</v>
      </c>
      <c r="AH284" s="27">
        <f t="shared" ca="1" si="277"/>
        <v>1215</v>
      </c>
      <c r="AI284" s="27">
        <f t="shared" ca="1" si="278"/>
        <v>241</v>
      </c>
      <c r="AJ284" s="27">
        <f t="shared" ca="1" si="279"/>
        <v>20</v>
      </c>
      <c r="AK284" s="27">
        <f t="shared" ca="1" si="280"/>
        <v>190</v>
      </c>
      <c r="AL284" s="27">
        <f t="shared" ca="1" si="281"/>
        <v>473</v>
      </c>
      <c r="AM284" s="27">
        <f t="shared" ca="1" si="282"/>
        <v>43</v>
      </c>
      <c r="AN284" s="27">
        <f t="shared" ca="1" si="283"/>
        <v>4100</v>
      </c>
      <c r="AO284">
        <v>4278</v>
      </c>
      <c r="AP284">
        <v>1486</v>
      </c>
      <c r="AQ284">
        <v>166</v>
      </c>
      <c r="AR284">
        <v>600</v>
      </c>
      <c r="AS284">
        <v>1153</v>
      </c>
      <c r="AT284">
        <v>117</v>
      </c>
      <c r="AU284">
        <v>159</v>
      </c>
      <c r="AV284">
        <v>0.98</v>
      </c>
      <c r="AW284" s="1"/>
      <c r="AX284" s="1"/>
      <c r="AY284" s="29">
        <f t="shared" si="284"/>
        <v>29700</v>
      </c>
      <c r="AZ284" s="31">
        <f t="shared" si="285"/>
        <v>165849</v>
      </c>
      <c r="BA284" s="31">
        <f t="shared" ref="BA284" si="309">SUMIF($B$2:$B$571,$B284,$Q$2:$Q$571)</f>
        <v>949</v>
      </c>
      <c r="BB284" s="30">
        <f t="shared" si="287"/>
        <v>5.7220724876242846E-3</v>
      </c>
    </row>
    <row r="285" spans="2:54" x14ac:dyDescent="0.5">
      <c r="B285" s="4">
        <v>2009</v>
      </c>
      <c r="C285" t="s">
        <v>98</v>
      </c>
      <c r="D285" t="s">
        <v>99</v>
      </c>
      <c r="E285">
        <v>1</v>
      </c>
      <c r="F285" t="s">
        <v>43</v>
      </c>
      <c r="G285" t="s">
        <v>38</v>
      </c>
      <c r="H285" t="s">
        <v>38</v>
      </c>
      <c r="I285" t="s">
        <v>38</v>
      </c>
      <c r="J285">
        <v>97</v>
      </c>
      <c r="K285">
        <v>65</v>
      </c>
      <c r="L285">
        <v>883</v>
      </c>
      <c r="M285" s="20">
        <v>5622</v>
      </c>
      <c r="N285" s="20">
        <v>1604</v>
      </c>
      <c r="O285" s="20">
        <f t="shared" si="274"/>
        <v>1105</v>
      </c>
      <c r="P285" s="20">
        <v>293</v>
      </c>
      <c r="Q285" s="20">
        <v>33</v>
      </c>
      <c r="R285" s="20">
        <v>173</v>
      </c>
      <c r="S285" s="20">
        <v>547</v>
      </c>
      <c r="T285" s="20">
        <v>41</v>
      </c>
      <c r="U285" s="20">
        <f t="shared" si="275"/>
        <v>3430</v>
      </c>
      <c r="V285">
        <v>1054</v>
      </c>
      <c r="W285">
        <v>148</v>
      </c>
      <c r="X285">
        <v>63</v>
      </c>
      <c r="Y285">
        <v>52</v>
      </c>
      <c r="Z285">
        <v>761</v>
      </c>
      <c r="AA285">
        <v>715</v>
      </c>
      <c r="AB285">
        <v>4.45</v>
      </c>
      <c r="AC285">
        <v>9</v>
      </c>
      <c r="AD285">
        <v>13</v>
      </c>
      <c r="AE285">
        <v>51</v>
      </c>
      <c r="AF285" s="27">
        <f t="shared" ca="1" si="262"/>
        <v>6154</v>
      </c>
      <c r="AG285" s="27">
        <f t="shared" ca="1" si="276"/>
        <v>1651</v>
      </c>
      <c r="AH285" s="27">
        <f t="shared" ca="1" si="277"/>
        <v>1133</v>
      </c>
      <c r="AI285" s="27">
        <f t="shared" ca="1" si="278"/>
        <v>263</v>
      </c>
      <c r="AJ285" s="27">
        <f t="shared" ca="1" si="279"/>
        <v>45</v>
      </c>
      <c r="AK285" s="27">
        <f t="shared" ca="1" si="280"/>
        <v>210</v>
      </c>
      <c r="AL285" s="27">
        <f t="shared" ca="1" si="281"/>
        <v>501</v>
      </c>
      <c r="AM285" s="27">
        <f t="shared" ca="1" si="282"/>
        <v>62</v>
      </c>
      <c r="AN285" s="27">
        <f t="shared" ca="1" si="283"/>
        <v>3940</v>
      </c>
      <c r="AO285">
        <v>4335</v>
      </c>
      <c r="AP285">
        <v>1513</v>
      </c>
      <c r="AQ285">
        <v>180</v>
      </c>
      <c r="AR285">
        <v>523</v>
      </c>
      <c r="AS285">
        <v>1062</v>
      </c>
      <c r="AT285">
        <v>85</v>
      </c>
      <c r="AU285">
        <v>174</v>
      </c>
      <c r="AV285">
        <v>0.98599999999999999</v>
      </c>
      <c r="AW285" s="1"/>
      <c r="AX285" s="1"/>
      <c r="AY285" s="29">
        <f t="shared" si="284"/>
        <v>29700</v>
      </c>
      <c r="AZ285" s="31">
        <f t="shared" si="285"/>
        <v>165849</v>
      </c>
      <c r="BA285" s="31">
        <f t="shared" ref="BA285" si="310">SUMIF($B$2:$B$571,$B285,$R$2:$R$571)</f>
        <v>5042</v>
      </c>
      <c r="BB285" s="30">
        <f t="shared" si="287"/>
        <v>3.0401148032246198E-2</v>
      </c>
    </row>
    <row r="286" spans="2:54" x14ac:dyDescent="0.5">
      <c r="B286" s="4">
        <v>2009</v>
      </c>
      <c r="C286" t="s">
        <v>66</v>
      </c>
      <c r="D286" t="s">
        <v>67</v>
      </c>
      <c r="E286">
        <v>1</v>
      </c>
      <c r="F286" t="s">
        <v>43</v>
      </c>
      <c r="G286" t="s">
        <v>38</v>
      </c>
      <c r="H286" t="s">
        <v>38</v>
      </c>
      <c r="I286" t="s">
        <v>38</v>
      </c>
      <c r="J286">
        <v>95</v>
      </c>
      <c r="K286">
        <v>67</v>
      </c>
      <c r="L286">
        <v>780</v>
      </c>
      <c r="M286" s="20">
        <v>5592</v>
      </c>
      <c r="N286" s="20">
        <v>1511</v>
      </c>
      <c r="O286" s="20">
        <f t="shared" si="274"/>
        <v>1049</v>
      </c>
      <c r="P286" s="20">
        <v>278</v>
      </c>
      <c r="Q286" s="20">
        <v>39</v>
      </c>
      <c r="R286" s="20">
        <v>145</v>
      </c>
      <c r="S286" s="20">
        <v>607</v>
      </c>
      <c r="T286" s="20">
        <v>63</v>
      </c>
      <c r="U286" s="20">
        <f t="shared" si="275"/>
        <v>3411</v>
      </c>
      <c r="V286">
        <v>1068</v>
      </c>
      <c r="W286">
        <v>116</v>
      </c>
      <c r="X286">
        <v>48</v>
      </c>
      <c r="Y286">
        <v>44</v>
      </c>
      <c r="Z286">
        <v>611</v>
      </c>
      <c r="AA286">
        <v>558</v>
      </c>
      <c r="AB286">
        <v>3.41</v>
      </c>
      <c r="AC286">
        <v>1</v>
      </c>
      <c r="AD286">
        <v>9</v>
      </c>
      <c r="AE286">
        <v>44</v>
      </c>
      <c r="AF286" s="27">
        <f t="shared" ca="1" si="262"/>
        <v>6276</v>
      </c>
      <c r="AG286" s="27">
        <f t="shared" ca="1" si="276"/>
        <v>1637</v>
      </c>
      <c r="AH286" s="27">
        <f t="shared" ca="1" si="277"/>
        <v>1078</v>
      </c>
      <c r="AI286" s="27">
        <f t="shared" ca="1" si="278"/>
        <v>376</v>
      </c>
      <c r="AJ286" s="27">
        <f t="shared" ca="1" si="279"/>
        <v>45</v>
      </c>
      <c r="AK286" s="27">
        <f t="shared" ca="1" si="280"/>
        <v>138</v>
      </c>
      <c r="AL286" s="27">
        <f t="shared" ca="1" si="281"/>
        <v>507</v>
      </c>
      <c r="AM286" s="27">
        <f t="shared" ca="1" si="282"/>
        <v>66</v>
      </c>
      <c r="AN286" s="27">
        <f t="shared" ca="1" si="283"/>
        <v>4066</v>
      </c>
      <c r="AO286">
        <v>4420</v>
      </c>
      <c r="AP286">
        <v>1265</v>
      </c>
      <c r="AQ286">
        <v>127</v>
      </c>
      <c r="AR286">
        <v>584</v>
      </c>
      <c r="AS286">
        <v>1272</v>
      </c>
      <c r="AT286">
        <v>83</v>
      </c>
      <c r="AU286">
        <v>134</v>
      </c>
      <c r="AV286">
        <v>0.98599999999999999</v>
      </c>
      <c r="AW286" s="1"/>
      <c r="AX286" s="1"/>
      <c r="AY286" s="29">
        <f t="shared" si="284"/>
        <v>29700</v>
      </c>
      <c r="AZ286" s="31">
        <f t="shared" si="285"/>
        <v>165849</v>
      </c>
      <c r="BA286" s="31">
        <f t="shared" ref="BA286" si="311">SUMIF($B$2:$B$571,$B286,$S$2:$S$571)</f>
        <v>16620</v>
      </c>
      <c r="BB286" s="30">
        <f t="shared" si="287"/>
        <v>0.10021163829748747</v>
      </c>
    </row>
    <row r="287" spans="2:54" x14ac:dyDescent="0.5">
      <c r="B287" s="4">
        <v>2009</v>
      </c>
      <c r="C287" t="s">
        <v>68</v>
      </c>
      <c r="D287" t="s">
        <v>69</v>
      </c>
      <c r="E287">
        <v>3</v>
      </c>
      <c r="F287" t="s">
        <v>38</v>
      </c>
      <c r="G287" t="s">
        <v>38</v>
      </c>
      <c r="H287" t="s">
        <v>38</v>
      </c>
      <c r="I287" t="s">
        <v>38</v>
      </c>
      <c r="J287">
        <v>80</v>
      </c>
      <c r="K287">
        <v>82</v>
      </c>
      <c r="L287">
        <v>785</v>
      </c>
      <c r="M287" s="20">
        <v>5510</v>
      </c>
      <c r="N287" s="20">
        <v>1447</v>
      </c>
      <c r="O287" s="20">
        <f t="shared" si="274"/>
        <v>947</v>
      </c>
      <c r="P287" s="20">
        <v>281</v>
      </c>
      <c r="Q287" s="20">
        <v>37</v>
      </c>
      <c r="R287" s="20">
        <v>182</v>
      </c>
      <c r="S287" s="20">
        <v>610</v>
      </c>
      <c r="T287" s="20">
        <v>71</v>
      </c>
      <c r="U287" s="20">
        <f t="shared" si="275"/>
        <v>3382</v>
      </c>
      <c r="V287">
        <v>1231</v>
      </c>
      <c r="W287">
        <v>68</v>
      </c>
      <c r="X287">
        <v>37</v>
      </c>
      <c r="Y287">
        <v>47</v>
      </c>
      <c r="Z287">
        <v>818</v>
      </c>
      <c r="AA287">
        <v>770</v>
      </c>
      <c r="AB287">
        <v>4.83</v>
      </c>
      <c r="AC287">
        <v>1</v>
      </c>
      <c r="AD287">
        <v>8</v>
      </c>
      <c r="AE287">
        <v>44</v>
      </c>
      <c r="AF287" s="27">
        <f t="shared" ca="1" si="262"/>
        <v>6412</v>
      </c>
      <c r="AG287" s="27">
        <f t="shared" ca="1" si="276"/>
        <v>1613</v>
      </c>
      <c r="AH287" s="27">
        <f t="shared" ca="1" si="277"/>
        <v>1136</v>
      </c>
      <c r="AI287" s="27">
        <f t="shared" ca="1" si="278"/>
        <v>286</v>
      </c>
      <c r="AJ287" s="27">
        <f t="shared" ca="1" si="279"/>
        <v>40</v>
      </c>
      <c r="AK287" s="27">
        <f t="shared" ca="1" si="280"/>
        <v>151</v>
      </c>
      <c r="AL287" s="27">
        <f t="shared" ca="1" si="281"/>
        <v>451</v>
      </c>
      <c r="AM287" s="27">
        <f t="shared" ca="1" si="282"/>
        <v>76</v>
      </c>
      <c r="AN287" s="27">
        <f t="shared" ca="1" si="283"/>
        <v>4272</v>
      </c>
      <c r="AO287">
        <v>4305</v>
      </c>
      <c r="AP287">
        <v>1498</v>
      </c>
      <c r="AQ287">
        <v>207</v>
      </c>
      <c r="AR287">
        <v>607</v>
      </c>
      <c r="AS287">
        <v>1104</v>
      </c>
      <c r="AT287">
        <v>98</v>
      </c>
      <c r="AU287">
        <v>149</v>
      </c>
      <c r="AV287">
        <v>0.98399999999999999</v>
      </c>
      <c r="AW287" s="1"/>
      <c r="AX287" s="1"/>
      <c r="AY287" s="29">
        <f t="shared" si="284"/>
        <v>29700</v>
      </c>
      <c r="AZ287" s="31">
        <f t="shared" si="285"/>
        <v>165849</v>
      </c>
      <c r="BA287" s="31">
        <f t="shared" ref="BA287" si="312">SUMIF($B$2:$B$571,$B287,$T$2:$T$571)</f>
        <v>1590</v>
      </c>
      <c r="BB287" s="30">
        <f t="shared" si="287"/>
        <v>9.5870339887488016E-3</v>
      </c>
    </row>
    <row r="288" spans="2:54" x14ac:dyDescent="0.5">
      <c r="B288" s="4">
        <v>2009</v>
      </c>
      <c r="C288" t="s">
        <v>70</v>
      </c>
      <c r="D288" t="s">
        <v>71</v>
      </c>
      <c r="E288">
        <v>1</v>
      </c>
      <c r="F288" t="s">
        <v>43</v>
      </c>
      <c r="G288" t="s">
        <v>38</v>
      </c>
      <c r="H288" t="s">
        <v>38</v>
      </c>
      <c r="I288" t="s">
        <v>38</v>
      </c>
      <c r="J288">
        <v>87</v>
      </c>
      <c r="K288">
        <v>76</v>
      </c>
      <c r="L288">
        <v>817</v>
      </c>
      <c r="M288" s="20">
        <v>5608</v>
      </c>
      <c r="N288" s="20">
        <v>1539</v>
      </c>
      <c r="O288" s="20">
        <f t="shared" si="274"/>
        <v>1056</v>
      </c>
      <c r="P288" s="20">
        <v>271</v>
      </c>
      <c r="Q288" s="20">
        <v>40</v>
      </c>
      <c r="R288" s="20">
        <v>172</v>
      </c>
      <c r="S288" s="20">
        <v>585</v>
      </c>
      <c r="T288" s="20">
        <v>45</v>
      </c>
      <c r="U288" s="20">
        <f t="shared" si="275"/>
        <v>3439</v>
      </c>
      <c r="V288">
        <v>1021</v>
      </c>
      <c r="W288">
        <v>85</v>
      </c>
      <c r="X288">
        <v>32</v>
      </c>
      <c r="Y288">
        <v>57</v>
      </c>
      <c r="Z288">
        <v>765</v>
      </c>
      <c r="AA288">
        <v>726</v>
      </c>
      <c r="AB288">
        <v>4.5</v>
      </c>
      <c r="AC288">
        <v>4</v>
      </c>
      <c r="AD288">
        <v>7</v>
      </c>
      <c r="AE288">
        <v>48</v>
      </c>
      <c r="AF288" s="27">
        <f t="shared" ca="1" si="262"/>
        <v>6403</v>
      </c>
      <c r="AG288" s="27">
        <f t="shared" ca="1" si="276"/>
        <v>1679</v>
      </c>
      <c r="AH288" s="27">
        <f t="shared" ca="1" si="277"/>
        <v>1053</v>
      </c>
      <c r="AI288" s="27">
        <f t="shared" ca="1" si="278"/>
        <v>376</v>
      </c>
      <c r="AJ288" s="27">
        <f t="shared" ca="1" si="279"/>
        <v>31</v>
      </c>
      <c r="AK288" s="27">
        <f t="shared" ca="1" si="280"/>
        <v>219</v>
      </c>
      <c r="AL288" s="27">
        <f t="shared" ca="1" si="281"/>
        <v>490</v>
      </c>
      <c r="AM288" s="27">
        <f t="shared" ca="1" si="282"/>
        <v>66</v>
      </c>
      <c r="AN288" s="27">
        <f t="shared" ca="1" si="283"/>
        <v>4168</v>
      </c>
      <c r="AO288">
        <v>4359</v>
      </c>
      <c r="AP288">
        <v>1542</v>
      </c>
      <c r="AQ288">
        <v>185</v>
      </c>
      <c r="AR288">
        <v>466</v>
      </c>
      <c r="AS288">
        <v>1052</v>
      </c>
      <c r="AT288">
        <v>76</v>
      </c>
      <c r="AU288">
        <v>135</v>
      </c>
      <c r="AV288">
        <v>0.98699999999999999</v>
      </c>
      <c r="AW288" s="1"/>
      <c r="AX288" s="1"/>
      <c r="AY288" s="29">
        <f t="shared" si="284"/>
        <v>29700</v>
      </c>
      <c r="AZ288" s="31">
        <f t="shared" si="285"/>
        <v>165849</v>
      </c>
      <c r="BA288" s="31">
        <f t="shared" ref="BA288" si="313">SUMIF($B$2:$B$571,$B288,$U$2:$U$571)</f>
        <v>104115</v>
      </c>
      <c r="BB288" s="30">
        <f t="shared" si="287"/>
        <v>0.62776983882929649</v>
      </c>
    </row>
    <row r="289" spans="2:54" x14ac:dyDescent="0.5">
      <c r="B289" s="4">
        <v>2009</v>
      </c>
      <c r="C289" t="s">
        <v>74</v>
      </c>
      <c r="D289" t="s">
        <v>75</v>
      </c>
      <c r="E289">
        <v>1</v>
      </c>
      <c r="F289" t="s">
        <v>43</v>
      </c>
      <c r="G289" t="s">
        <v>38</v>
      </c>
      <c r="H289" t="s">
        <v>43</v>
      </c>
      <c r="I289" t="s">
        <v>43</v>
      </c>
      <c r="J289">
        <v>103</v>
      </c>
      <c r="K289">
        <v>59</v>
      </c>
      <c r="L289">
        <v>915</v>
      </c>
      <c r="M289" s="20">
        <v>5660</v>
      </c>
      <c r="N289" s="20">
        <v>1604</v>
      </c>
      <c r="O289" s="20">
        <f t="shared" si="274"/>
        <v>1014</v>
      </c>
      <c r="P289" s="20">
        <v>325</v>
      </c>
      <c r="Q289" s="20">
        <v>21</v>
      </c>
      <c r="R289" s="20">
        <v>244</v>
      </c>
      <c r="S289" s="20">
        <v>663</v>
      </c>
      <c r="T289" s="20">
        <v>54</v>
      </c>
      <c r="U289" s="20">
        <f t="shared" si="275"/>
        <v>3339</v>
      </c>
      <c r="V289">
        <v>1014</v>
      </c>
      <c r="W289">
        <v>111</v>
      </c>
      <c r="X289">
        <v>28</v>
      </c>
      <c r="Y289">
        <v>39</v>
      </c>
      <c r="Z289">
        <v>753</v>
      </c>
      <c r="AA289">
        <v>687</v>
      </c>
      <c r="AB289">
        <v>4.26</v>
      </c>
      <c r="AC289">
        <v>3</v>
      </c>
      <c r="AD289">
        <v>8</v>
      </c>
      <c r="AE289">
        <v>51</v>
      </c>
      <c r="AF289" s="27">
        <f t="shared" ca="1" si="262"/>
        <v>6088</v>
      </c>
      <c r="AG289" s="27">
        <f t="shared" ca="1" si="276"/>
        <v>1513</v>
      </c>
      <c r="AH289" s="27">
        <f t="shared" ca="1" si="277"/>
        <v>936</v>
      </c>
      <c r="AI289" s="27">
        <f t="shared" ca="1" si="278"/>
        <v>342</v>
      </c>
      <c r="AJ289" s="27">
        <f t="shared" ca="1" si="279"/>
        <v>24</v>
      </c>
      <c r="AK289" s="27">
        <f t="shared" ca="1" si="280"/>
        <v>211</v>
      </c>
      <c r="AL289" s="27">
        <f t="shared" ca="1" si="281"/>
        <v>529</v>
      </c>
      <c r="AM289" s="27">
        <f t="shared" ca="1" si="282"/>
        <v>54</v>
      </c>
      <c r="AN289" s="27">
        <f t="shared" ca="1" si="283"/>
        <v>3992</v>
      </c>
      <c r="AO289">
        <v>4350</v>
      </c>
      <c r="AP289">
        <v>1386</v>
      </c>
      <c r="AQ289">
        <v>181</v>
      </c>
      <c r="AR289">
        <v>574</v>
      </c>
      <c r="AS289">
        <v>1260</v>
      </c>
      <c r="AT289">
        <v>86</v>
      </c>
      <c r="AU289">
        <v>131</v>
      </c>
      <c r="AV289">
        <v>0.98499999999999999</v>
      </c>
      <c r="AW289" s="1"/>
      <c r="AX289" s="1"/>
      <c r="AY289" s="29">
        <f t="shared" si="284"/>
        <v>29700</v>
      </c>
      <c r="AZ289" s="31">
        <f t="shared" si="285"/>
        <v>165849</v>
      </c>
      <c r="BA289" s="31"/>
      <c r="BB289" s="30">
        <f t="shared" si="287"/>
        <v>0</v>
      </c>
    </row>
    <row r="290" spans="2:54" x14ac:dyDescent="0.5">
      <c r="B290" s="4">
        <v>2009</v>
      </c>
      <c r="C290" t="s">
        <v>76</v>
      </c>
      <c r="D290" t="s">
        <v>77</v>
      </c>
      <c r="E290">
        <v>4</v>
      </c>
      <c r="F290" t="s">
        <v>38</v>
      </c>
      <c r="G290" t="s">
        <v>38</v>
      </c>
      <c r="H290" t="s">
        <v>38</v>
      </c>
      <c r="I290" t="s">
        <v>38</v>
      </c>
      <c r="J290">
        <v>70</v>
      </c>
      <c r="K290">
        <v>92</v>
      </c>
      <c r="L290">
        <v>671</v>
      </c>
      <c r="M290" s="20">
        <v>5453</v>
      </c>
      <c r="N290" s="20">
        <v>1472</v>
      </c>
      <c r="O290" s="20">
        <f t="shared" si="274"/>
        <v>1033</v>
      </c>
      <c r="P290" s="20">
        <v>295</v>
      </c>
      <c r="Q290" s="20">
        <v>49</v>
      </c>
      <c r="R290" s="20">
        <v>95</v>
      </c>
      <c r="S290" s="20">
        <v>526</v>
      </c>
      <c r="T290" s="20">
        <v>36</v>
      </c>
      <c r="U290" s="20">
        <f t="shared" si="275"/>
        <v>3419</v>
      </c>
      <c r="V290">
        <v>928</v>
      </c>
      <c r="W290">
        <v>122</v>
      </c>
      <c r="X290">
        <v>44</v>
      </c>
      <c r="Y290">
        <v>55</v>
      </c>
      <c r="Z290">
        <v>757</v>
      </c>
      <c r="AA290">
        <v>705</v>
      </c>
      <c r="AB290">
        <v>4.45</v>
      </c>
      <c r="AC290">
        <v>3</v>
      </c>
      <c r="AD290">
        <v>12</v>
      </c>
      <c r="AE290">
        <v>39</v>
      </c>
      <c r="AF290" s="27">
        <f t="shared" ca="1" si="262"/>
        <v>6121</v>
      </c>
      <c r="AG290" s="27">
        <f t="shared" ca="1" si="276"/>
        <v>1404</v>
      </c>
      <c r="AH290" s="27">
        <f t="shared" ca="1" si="277"/>
        <v>804</v>
      </c>
      <c r="AI290" s="27">
        <f t="shared" ca="1" si="278"/>
        <v>318</v>
      </c>
      <c r="AJ290" s="27">
        <f t="shared" ca="1" si="279"/>
        <v>44</v>
      </c>
      <c r="AK290" s="27">
        <f t="shared" ca="1" si="280"/>
        <v>238</v>
      </c>
      <c r="AL290" s="27">
        <f t="shared" ca="1" si="281"/>
        <v>634</v>
      </c>
      <c r="AM290" s="27">
        <f t="shared" ca="1" si="282"/>
        <v>39</v>
      </c>
      <c r="AN290" s="27">
        <f t="shared" ca="1" si="283"/>
        <v>4044</v>
      </c>
      <c r="AO290">
        <v>4278</v>
      </c>
      <c r="AP290">
        <v>1452</v>
      </c>
      <c r="AQ290">
        <v>158</v>
      </c>
      <c r="AR290">
        <v>616</v>
      </c>
      <c r="AS290">
        <v>1031</v>
      </c>
      <c r="AT290">
        <v>97</v>
      </c>
      <c r="AU290">
        <v>134</v>
      </c>
      <c r="AV290">
        <v>0.98399999999999999</v>
      </c>
      <c r="AW290" s="1"/>
      <c r="AX290" s="1"/>
      <c r="AY290" s="29">
        <f t="shared" si="284"/>
        <v>29700</v>
      </c>
      <c r="AZ290" s="31">
        <f t="shared" si="285"/>
        <v>165849</v>
      </c>
      <c r="BA290" s="31">
        <f t="shared" ref="BA290" si="314">SUMIF($B$2:$B$571,$B290,$O$2:$O$571)</f>
        <v>28796</v>
      </c>
      <c r="BB290" s="30">
        <f t="shared" si="287"/>
        <v>0.17362781807547831</v>
      </c>
    </row>
    <row r="291" spans="2:54" x14ac:dyDescent="0.5">
      <c r="B291" s="4">
        <v>2009</v>
      </c>
      <c r="C291" t="s">
        <v>78</v>
      </c>
      <c r="D291" t="s">
        <v>79</v>
      </c>
      <c r="E291">
        <v>4</v>
      </c>
      <c r="F291" t="s">
        <v>38</v>
      </c>
      <c r="G291" t="s">
        <v>38</v>
      </c>
      <c r="H291" t="s">
        <v>38</v>
      </c>
      <c r="I291" t="s">
        <v>38</v>
      </c>
      <c r="J291">
        <v>75</v>
      </c>
      <c r="K291">
        <v>87</v>
      </c>
      <c r="L291">
        <v>759</v>
      </c>
      <c r="M291" s="20">
        <v>5584</v>
      </c>
      <c r="N291" s="20">
        <v>1464</v>
      </c>
      <c r="O291" s="20">
        <f t="shared" si="274"/>
        <v>1001</v>
      </c>
      <c r="P291" s="20">
        <v>307</v>
      </c>
      <c r="Q291" s="20">
        <v>21</v>
      </c>
      <c r="R291" s="20">
        <v>135</v>
      </c>
      <c r="S291" s="20">
        <v>527</v>
      </c>
      <c r="T291" s="20">
        <v>50</v>
      </c>
      <c r="U291" s="20">
        <f t="shared" si="275"/>
        <v>3543</v>
      </c>
      <c r="V291">
        <v>1046</v>
      </c>
      <c r="W291">
        <v>133</v>
      </c>
      <c r="X291">
        <v>48</v>
      </c>
      <c r="Y291">
        <v>54</v>
      </c>
      <c r="Z291">
        <v>761</v>
      </c>
      <c r="AA291">
        <v>685</v>
      </c>
      <c r="AB291">
        <v>4.26</v>
      </c>
      <c r="AC291">
        <v>2</v>
      </c>
      <c r="AD291">
        <v>10</v>
      </c>
      <c r="AE291">
        <v>38</v>
      </c>
      <c r="AF291" s="27">
        <f t="shared" ca="1" si="262"/>
        <v>6451</v>
      </c>
      <c r="AG291" s="27">
        <f t="shared" ca="1" si="276"/>
        <v>1565</v>
      </c>
      <c r="AH291" s="27">
        <f t="shared" ca="1" si="277"/>
        <v>1001</v>
      </c>
      <c r="AI291" s="27">
        <f t="shared" ca="1" si="278"/>
        <v>305</v>
      </c>
      <c r="AJ291" s="27">
        <f t="shared" ca="1" si="279"/>
        <v>46</v>
      </c>
      <c r="AK291" s="27">
        <f t="shared" ca="1" si="280"/>
        <v>213</v>
      </c>
      <c r="AL291" s="27">
        <f t="shared" ca="1" si="281"/>
        <v>503</v>
      </c>
      <c r="AM291" s="27">
        <f t="shared" ca="1" si="282"/>
        <v>47</v>
      </c>
      <c r="AN291" s="27">
        <f t="shared" ca="1" si="283"/>
        <v>4336</v>
      </c>
      <c r="AO291">
        <v>4342</v>
      </c>
      <c r="AP291">
        <v>1486</v>
      </c>
      <c r="AQ291">
        <v>156</v>
      </c>
      <c r="AR291">
        <v>523</v>
      </c>
      <c r="AS291">
        <v>1124</v>
      </c>
      <c r="AT291">
        <v>105</v>
      </c>
      <c r="AU291">
        <v>155</v>
      </c>
      <c r="AV291">
        <v>0.98299999999999998</v>
      </c>
      <c r="AW291" s="1"/>
      <c r="AX291" s="1"/>
      <c r="AY291" s="29">
        <f t="shared" si="284"/>
        <v>29700</v>
      </c>
      <c r="AZ291" s="31">
        <f t="shared" si="285"/>
        <v>165849</v>
      </c>
      <c r="BA291" s="31">
        <f t="shared" ref="BA291" si="315">SUMIF($B$2:$B$571,$B291,$P$2:$P$571)</f>
        <v>8737</v>
      </c>
      <c r="BB291" s="30">
        <f t="shared" si="287"/>
        <v>5.2680450289118413E-2</v>
      </c>
    </row>
    <row r="292" spans="2:54" x14ac:dyDescent="0.5">
      <c r="B292" s="4">
        <v>2009</v>
      </c>
      <c r="C292" t="s">
        <v>80</v>
      </c>
      <c r="D292" t="s">
        <v>81</v>
      </c>
      <c r="E292">
        <v>1</v>
      </c>
      <c r="F292" t="s">
        <v>43</v>
      </c>
      <c r="G292" t="s">
        <v>38</v>
      </c>
      <c r="H292" t="s">
        <v>43</v>
      </c>
      <c r="I292" t="s">
        <v>38</v>
      </c>
      <c r="J292">
        <v>93</v>
      </c>
      <c r="K292">
        <v>69</v>
      </c>
      <c r="L292">
        <v>820</v>
      </c>
      <c r="M292" s="20">
        <v>5578</v>
      </c>
      <c r="N292" s="20">
        <v>1439</v>
      </c>
      <c r="O292" s="20">
        <f t="shared" si="274"/>
        <v>868</v>
      </c>
      <c r="P292" s="20">
        <v>312</v>
      </c>
      <c r="Q292" s="20">
        <v>35</v>
      </c>
      <c r="R292" s="20">
        <v>224</v>
      </c>
      <c r="S292" s="20">
        <v>589</v>
      </c>
      <c r="T292" s="20">
        <v>71</v>
      </c>
      <c r="U292" s="20">
        <f t="shared" si="275"/>
        <v>3479</v>
      </c>
      <c r="V292">
        <v>1155</v>
      </c>
      <c r="W292">
        <v>119</v>
      </c>
      <c r="X292">
        <v>28</v>
      </c>
      <c r="Y292">
        <v>45</v>
      </c>
      <c r="Z292">
        <v>709</v>
      </c>
      <c r="AA292">
        <v>673</v>
      </c>
      <c r="AB292">
        <v>4.16</v>
      </c>
      <c r="AC292">
        <v>8</v>
      </c>
      <c r="AD292">
        <v>9</v>
      </c>
      <c r="AE292">
        <v>44</v>
      </c>
      <c r="AF292" s="27">
        <f t="shared" ca="1" si="262"/>
        <v>6243</v>
      </c>
      <c r="AG292" s="27">
        <f t="shared" ca="1" si="276"/>
        <v>1577</v>
      </c>
      <c r="AH292" s="27">
        <f t="shared" ca="1" si="277"/>
        <v>1029</v>
      </c>
      <c r="AI292" s="27">
        <f t="shared" ca="1" si="278"/>
        <v>334</v>
      </c>
      <c r="AJ292" s="27">
        <f t="shared" ca="1" si="279"/>
        <v>35</v>
      </c>
      <c r="AK292" s="27">
        <f t="shared" ca="1" si="280"/>
        <v>179</v>
      </c>
      <c r="AL292" s="27">
        <f t="shared" ca="1" si="281"/>
        <v>433</v>
      </c>
      <c r="AM292" s="27">
        <f t="shared" ca="1" si="282"/>
        <v>67</v>
      </c>
      <c r="AN292" s="27">
        <f t="shared" ca="1" si="283"/>
        <v>4166</v>
      </c>
      <c r="AO292">
        <v>4367</v>
      </c>
      <c r="AP292">
        <v>1479</v>
      </c>
      <c r="AQ292">
        <v>189</v>
      </c>
      <c r="AR292">
        <v>489</v>
      </c>
      <c r="AS292">
        <v>1153</v>
      </c>
      <c r="AT292">
        <v>76</v>
      </c>
      <c r="AU292">
        <v>132</v>
      </c>
      <c r="AV292">
        <v>0.98699999999999999</v>
      </c>
      <c r="AW292" s="1"/>
      <c r="AX292" s="1"/>
      <c r="AY292" s="29">
        <f t="shared" si="284"/>
        <v>29700</v>
      </c>
      <c r="AZ292" s="31">
        <f t="shared" si="285"/>
        <v>165849</v>
      </c>
      <c r="BA292" s="31">
        <f t="shared" ref="BA292" si="316">SUMIF($B$2:$B$571,$B292,$Q$2:$Q$571)</f>
        <v>949</v>
      </c>
      <c r="BB292" s="30">
        <f t="shared" si="287"/>
        <v>5.7220724876242846E-3</v>
      </c>
    </row>
    <row r="293" spans="2:54" x14ac:dyDescent="0.5">
      <c r="B293" s="4">
        <v>2009</v>
      </c>
      <c r="C293" t="s">
        <v>82</v>
      </c>
      <c r="D293" t="s">
        <v>83</v>
      </c>
      <c r="E293">
        <v>6</v>
      </c>
      <c r="F293" t="s">
        <v>38</v>
      </c>
      <c r="G293" t="s">
        <v>38</v>
      </c>
      <c r="H293" t="s">
        <v>38</v>
      </c>
      <c r="I293" t="s">
        <v>38</v>
      </c>
      <c r="J293">
        <v>62</v>
      </c>
      <c r="K293">
        <v>99</v>
      </c>
      <c r="L293">
        <v>636</v>
      </c>
      <c r="M293" s="20">
        <v>5417</v>
      </c>
      <c r="N293" s="20">
        <v>1364</v>
      </c>
      <c r="O293" s="20">
        <f t="shared" si="274"/>
        <v>916</v>
      </c>
      <c r="P293" s="20">
        <v>289</v>
      </c>
      <c r="Q293" s="20">
        <v>34</v>
      </c>
      <c r="R293" s="20">
        <v>125</v>
      </c>
      <c r="S293" s="20">
        <v>499</v>
      </c>
      <c r="T293" s="20">
        <v>46</v>
      </c>
      <c r="U293" s="20">
        <f t="shared" si="275"/>
        <v>3508</v>
      </c>
      <c r="V293">
        <v>1142</v>
      </c>
      <c r="W293">
        <v>90</v>
      </c>
      <c r="X293">
        <v>32</v>
      </c>
      <c r="Y293">
        <v>36</v>
      </c>
      <c r="Z293">
        <v>768</v>
      </c>
      <c r="AA293">
        <v>723</v>
      </c>
      <c r="AB293">
        <v>4.59</v>
      </c>
      <c r="AC293">
        <v>5</v>
      </c>
      <c r="AD293">
        <v>7</v>
      </c>
      <c r="AE293">
        <v>28</v>
      </c>
      <c r="AF293" s="27">
        <f t="shared" ca="1" si="262"/>
        <v>6184</v>
      </c>
      <c r="AG293" s="27">
        <f t="shared" ca="1" si="276"/>
        <v>1699</v>
      </c>
      <c r="AH293" s="27">
        <f t="shared" ca="1" si="277"/>
        <v>1162</v>
      </c>
      <c r="AI293" s="27">
        <f t="shared" ca="1" si="278"/>
        <v>359</v>
      </c>
      <c r="AJ293" s="27">
        <f t="shared" ca="1" si="279"/>
        <v>28</v>
      </c>
      <c r="AK293" s="27">
        <f t="shared" ca="1" si="280"/>
        <v>150</v>
      </c>
      <c r="AL293" s="27">
        <f t="shared" ca="1" si="281"/>
        <v>539</v>
      </c>
      <c r="AM293" s="27">
        <f t="shared" ca="1" si="282"/>
        <v>37</v>
      </c>
      <c r="AN293" s="27">
        <f t="shared" ca="1" si="283"/>
        <v>3909</v>
      </c>
      <c r="AO293">
        <v>4255</v>
      </c>
      <c r="AP293">
        <v>1491</v>
      </c>
      <c r="AQ293">
        <v>152</v>
      </c>
      <c r="AR293">
        <v>563</v>
      </c>
      <c r="AS293">
        <v>919</v>
      </c>
      <c r="AT293">
        <v>73</v>
      </c>
      <c r="AU293">
        <v>171</v>
      </c>
      <c r="AV293">
        <v>0.98799999999999999</v>
      </c>
      <c r="AW293" s="1"/>
      <c r="AX293" s="1"/>
      <c r="AY293" s="29">
        <f t="shared" si="284"/>
        <v>29700</v>
      </c>
      <c r="AZ293" s="31">
        <f t="shared" si="285"/>
        <v>165849</v>
      </c>
      <c r="BA293" s="31">
        <f t="shared" ref="BA293" si="317">SUMIF($B$2:$B$571,$B293,$R$2:$R$571)</f>
        <v>5042</v>
      </c>
      <c r="BB293" s="30">
        <f t="shared" si="287"/>
        <v>3.0401148032246198E-2</v>
      </c>
    </row>
    <row r="294" spans="2:54" x14ac:dyDescent="0.5">
      <c r="B294" s="4">
        <v>2009</v>
      </c>
      <c r="C294" t="s">
        <v>84</v>
      </c>
      <c r="D294" t="s">
        <v>85</v>
      </c>
      <c r="E294">
        <v>4</v>
      </c>
      <c r="F294" t="s">
        <v>38</v>
      </c>
      <c r="G294" t="s">
        <v>38</v>
      </c>
      <c r="H294" t="s">
        <v>38</v>
      </c>
      <c r="I294" t="s">
        <v>38</v>
      </c>
      <c r="J294">
        <v>75</v>
      </c>
      <c r="K294">
        <v>87</v>
      </c>
      <c r="L294">
        <v>638</v>
      </c>
      <c r="M294" s="20">
        <v>5425</v>
      </c>
      <c r="N294" s="20">
        <v>1315</v>
      </c>
      <c r="O294" s="20">
        <f t="shared" si="274"/>
        <v>878</v>
      </c>
      <c r="P294" s="20">
        <v>265</v>
      </c>
      <c r="Q294" s="20">
        <v>31</v>
      </c>
      <c r="R294" s="20">
        <v>141</v>
      </c>
      <c r="S294" s="20">
        <v>586</v>
      </c>
      <c r="T294" s="20">
        <v>57</v>
      </c>
      <c r="U294" s="20">
        <f t="shared" si="275"/>
        <v>3467</v>
      </c>
      <c r="V294">
        <v>1182</v>
      </c>
      <c r="W294">
        <v>82</v>
      </c>
      <c r="X294">
        <v>29</v>
      </c>
      <c r="Y294">
        <v>36</v>
      </c>
      <c r="Z294">
        <v>769</v>
      </c>
      <c r="AA294">
        <v>704</v>
      </c>
      <c r="AB294">
        <v>4.37</v>
      </c>
      <c r="AC294">
        <v>2</v>
      </c>
      <c r="AD294">
        <v>9</v>
      </c>
      <c r="AE294">
        <v>45</v>
      </c>
      <c r="AF294" s="27">
        <f t="shared" ca="1" si="262"/>
        <v>6370</v>
      </c>
      <c r="AG294" s="27">
        <f t="shared" ca="1" si="276"/>
        <v>1653</v>
      </c>
      <c r="AH294" s="27">
        <f t="shared" ca="1" si="277"/>
        <v>1065</v>
      </c>
      <c r="AI294" s="27">
        <f t="shared" ca="1" si="278"/>
        <v>347</v>
      </c>
      <c r="AJ294" s="27">
        <f t="shared" ca="1" si="279"/>
        <v>24</v>
      </c>
      <c r="AK294" s="27">
        <f t="shared" ca="1" si="280"/>
        <v>217</v>
      </c>
      <c r="AL294" s="27">
        <f t="shared" ca="1" si="281"/>
        <v>439</v>
      </c>
      <c r="AM294" s="27">
        <f t="shared" ca="1" si="282"/>
        <v>53</v>
      </c>
      <c r="AN294" s="27">
        <f t="shared" ca="1" si="283"/>
        <v>4225</v>
      </c>
      <c r="AO294">
        <v>4352</v>
      </c>
      <c r="AP294">
        <v>1422</v>
      </c>
      <c r="AQ294">
        <v>167</v>
      </c>
      <c r="AR294">
        <v>603</v>
      </c>
      <c r="AS294">
        <v>1187</v>
      </c>
      <c r="AT294">
        <v>94</v>
      </c>
      <c r="AU294">
        <v>146</v>
      </c>
      <c r="AV294">
        <v>0.98399999999999999</v>
      </c>
      <c r="AW294" s="1"/>
      <c r="AX294" s="1"/>
      <c r="AY294" s="29">
        <f t="shared" si="284"/>
        <v>29700</v>
      </c>
      <c r="AZ294" s="31">
        <f t="shared" si="285"/>
        <v>165849</v>
      </c>
      <c r="BA294" s="31">
        <f t="shared" ref="BA294" si="318">SUMIF($B$2:$B$571,$B294,$S$2:$S$571)</f>
        <v>16620</v>
      </c>
      <c r="BB294" s="30">
        <f t="shared" si="287"/>
        <v>0.10021163829748747</v>
      </c>
    </row>
    <row r="295" spans="2:54" x14ac:dyDescent="0.5">
      <c r="B295" s="4">
        <v>2009</v>
      </c>
      <c r="C295" t="s">
        <v>86</v>
      </c>
      <c r="D295" t="s">
        <v>87</v>
      </c>
      <c r="E295">
        <v>3</v>
      </c>
      <c r="F295" t="s">
        <v>38</v>
      </c>
      <c r="G295" t="s">
        <v>38</v>
      </c>
      <c r="H295" t="s">
        <v>38</v>
      </c>
      <c r="I295" t="s">
        <v>38</v>
      </c>
      <c r="J295">
        <v>85</v>
      </c>
      <c r="K295">
        <v>77</v>
      </c>
      <c r="L295">
        <v>640</v>
      </c>
      <c r="M295" s="20">
        <v>5543</v>
      </c>
      <c r="N295" s="20">
        <v>1430</v>
      </c>
      <c r="O295" s="20">
        <f t="shared" si="274"/>
        <v>971</v>
      </c>
      <c r="P295" s="20">
        <v>280</v>
      </c>
      <c r="Q295" s="20">
        <v>19</v>
      </c>
      <c r="R295" s="20">
        <v>160</v>
      </c>
      <c r="S295" s="20">
        <v>421</v>
      </c>
      <c r="T295" s="20">
        <v>49</v>
      </c>
      <c r="U295" s="20">
        <f t="shared" si="275"/>
        <v>3643</v>
      </c>
      <c r="V295">
        <v>1093</v>
      </c>
      <c r="W295">
        <v>89</v>
      </c>
      <c r="X295">
        <v>33</v>
      </c>
      <c r="Y295">
        <v>44</v>
      </c>
      <c r="Z295">
        <v>692</v>
      </c>
      <c r="AA295">
        <v>625</v>
      </c>
      <c r="AB295">
        <v>3.87</v>
      </c>
      <c r="AC295">
        <v>4</v>
      </c>
      <c r="AD295">
        <v>10</v>
      </c>
      <c r="AE295">
        <v>49</v>
      </c>
      <c r="AF295" s="27">
        <f t="shared" ca="1" si="262"/>
        <v>6057</v>
      </c>
      <c r="AG295" s="27">
        <f t="shared" ca="1" si="276"/>
        <v>1323</v>
      </c>
      <c r="AH295" s="27">
        <f t="shared" ca="1" si="277"/>
        <v>860</v>
      </c>
      <c r="AI295" s="27">
        <f t="shared" ca="1" si="278"/>
        <v>296</v>
      </c>
      <c r="AJ295" s="27">
        <f t="shared" ca="1" si="279"/>
        <v>22</v>
      </c>
      <c r="AK295" s="27">
        <f t="shared" ca="1" si="280"/>
        <v>145</v>
      </c>
      <c r="AL295" s="27">
        <f t="shared" ca="1" si="281"/>
        <v>463</v>
      </c>
      <c r="AM295" s="27">
        <f t="shared" ca="1" si="282"/>
        <v>75</v>
      </c>
      <c r="AN295" s="27">
        <f t="shared" ca="1" si="283"/>
        <v>4196</v>
      </c>
      <c r="AO295">
        <v>4358</v>
      </c>
      <c r="AP295">
        <v>1359</v>
      </c>
      <c r="AQ295">
        <v>172</v>
      </c>
      <c r="AR295">
        <v>534</v>
      </c>
      <c r="AS295">
        <v>1043</v>
      </c>
      <c r="AT295">
        <v>105</v>
      </c>
      <c r="AU295">
        <v>150</v>
      </c>
      <c r="AV295">
        <v>0.98199999999999998</v>
      </c>
      <c r="AW295" s="1"/>
      <c r="AX295" s="1"/>
      <c r="AY295" s="29">
        <f t="shared" si="284"/>
        <v>29700</v>
      </c>
      <c r="AZ295" s="31">
        <f t="shared" si="285"/>
        <v>165849</v>
      </c>
      <c r="BA295" s="31">
        <f t="shared" ref="BA295" si="319">SUMIF($B$2:$B$571,$B295,$T$2:$T$571)</f>
        <v>1590</v>
      </c>
      <c r="BB295" s="30">
        <f t="shared" si="287"/>
        <v>9.5870339887488016E-3</v>
      </c>
    </row>
    <row r="296" spans="2:54" x14ac:dyDescent="0.5">
      <c r="B296" s="4">
        <v>2009</v>
      </c>
      <c r="C296" t="s">
        <v>88</v>
      </c>
      <c r="D296" t="s">
        <v>89</v>
      </c>
      <c r="E296">
        <v>3</v>
      </c>
      <c r="F296" t="s">
        <v>38</v>
      </c>
      <c r="G296" t="s">
        <v>38</v>
      </c>
      <c r="H296" t="s">
        <v>38</v>
      </c>
      <c r="I296" t="s">
        <v>38</v>
      </c>
      <c r="J296">
        <v>88</v>
      </c>
      <c r="K296">
        <v>74</v>
      </c>
      <c r="L296">
        <v>657</v>
      </c>
      <c r="M296" s="20">
        <v>5493</v>
      </c>
      <c r="N296" s="20">
        <v>1411</v>
      </c>
      <c r="O296" s="20">
        <f t="shared" si="274"/>
        <v>971</v>
      </c>
      <c r="P296" s="20">
        <v>275</v>
      </c>
      <c r="Q296" s="20">
        <v>43</v>
      </c>
      <c r="R296" s="20">
        <v>122</v>
      </c>
      <c r="S296" s="20">
        <v>392</v>
      </c>
      <c r="T296" s="20">
        <v>50</v>
      </c>
      <c r="U296" s="20">
        <f t="shared" si="275"/>
        <v>3640</v>
      </c>
      <c r="V296">
        <v>1158</v>
      </c>
      <c r="W296">
        <v>78</v>
      </c>
      <c r="X296">
        <v>28</v>
      </c>
      <c r="Y296">
        <v>55</v>
      </c>
      <c r="Z296">
        <v>611</v>
      </c>
      <c r="AA296">
        <v>571</v>
      </c>
      <c r="AB296">
        <v>3.55</v>
      </c>
      <c r="AC296">
        <v>11</v>
      </c>
      <c r="AD296">
        <v>18</v>
      </c>
      <c r="AE296">
        <v>41</v>
      </c>
      <c r="AF296" s="27">
        <f t="shared" ca="1" si="262"/>
        <v>6412</v>
      </c>
      <c r="AG296" s="27">
        <f t="shared" ca="1" si="276"/>
        <v>1373</v>
      </c>
      <c r="AH296" s="27">
        <f t="shared" ca="1" si="277"/>
        <v>882</v>
      </c>
      <c r="AI296" s="27">
        <f t="shared" ca="1" si="278"/>
        <v>249</v>
      </c>
      <c r="AJ296" s="27">
        <f t="shared" ca="1" si="279"/>
        <v>21</v>
      </c>
      <c r="AK296" s="27">
        <f t="shared" ca="1" si="280"/>
        <v>221</v>
      </c>
      <c r="AL296" s="27">
        <f t="shared" ca="1" si="281"/>
        <v>455</v>
      </c>
      <c r="AM296" s="27">
        <f t="shared" ca="1" si="282"/>
        <v>41</v>
      </c>
      <c r="AN296" s="27">
        <f t="shared" ca="1" si="283"/>
        <v>4543</v>
      </c>
      <c r="AO296">
        <v>4338</v>
      </c>
      <c r="AP296">
        <v>1268</v>
      </c>
      <c r="AQ296">
        <v>140</v>
      </c>
      <c r="AR296">
        <v>584</v>
      </c>
      <c r="AS296">
        <v>1302</v>
      </c>
      <c r="AT296">
        <v>88</v>
      </c>
      <c r="AU296">
        <v>138</v>
      </c>
      <c r="AV296">
        <v>0.98499999999999999</v>
      </c>
      <c r="AW296" s="1"/>
      <c r="AX296" s="1"/>
      <c r="AY296" s="29">
        <f t="shared" si="284"/>
        <v>29700</v>
      </c>
      <c r="AZ296" s="31">
        <f t="shared" si="285"/>
        <v>165849</v>
      </c>
      <c r="BA296" s="31">
        <f t="shared" ref="BA296" si="320">SUMIF($B$2:$B$571,$B296,$U$2:$U$571)</f>
        <v>104115</v>
      </c>
      <c r="BB296" s="30">
        <f t="shared" si="287"/>
        <v>0.62776983882929649</v>
      </c>
    </row>
    <row r="297" spans="2:54" x14ac:dyDescent="0.5">
      <c r="B297" s="4">
        <v>2009</v>
      </c>
      <c r="C297" t="s">
        <v>90</v>
      </c>
      <c r="D297" t="s">
        <v>91</v>
      </c>
      <c r="E297">
        <v>1</v>
      </c>
      <c r="F297" t="s">
        <v>43</v>
      </c>
      <c r="G297" t="s">
        <v>38</v>
      </c>
      <c r="H297" t="s">
        <v>38</v>
      </c>
      <c r="I297" t="s">
        <v>38</v>
      </c>
      <c r="J297">
        <v>91</v>
      </c>
      <c r="K297">
        <v>71</v>
      </c>
      <c r="L297">
        <v>730</v>
      </c>
      <c r="M297" s="20">
        <v>5465</v>
      </c>
      <c r="N297" s="20">
        <v>1436</v>
      </c>
      <c r="O297" s="20">
        <f t="shared" si="274"/>
        <v>953</v>
      </c>
      <c r="P297" s="20">
        <v>294</v>
      </c>
      <c r="Q297" s="20">
        <v>29</v>
      </c>
      <c r="R297" s="20">
        <v>160</v>
      </c>
      <c r="S297" s="20">
        <v>528</v>
      </c>
      <c r="T297" s="20">
        <v>61</v>
      </c>
      <c r="U297" s="20">
        <f t="shared" si="275"/>
        <v>3440</v>
      </c>
      <c r="V297">
        <v>1041</v>
      </c>
      <c r="W297">
        <v>75</v>
      </c>
      <c r="X297">
        <v>31</v>
      </c>
      <c r="Y297">
        <v>43</v>
      </c>
      <c r="Z297">
        <v>640</v>
      </c>
      <c r="AA297">
        <v>586</v>
      </c>
      <c r="AB297">
        <v>3.66</v>
      </c>
      <c r="AC297">
        <v>8</v>
      </c>
      <c r="AD297">
        <v>11</v>
      </c>
      <c r="AE297">
        <v>43</v>
      </c>
      <c r="AF297" s="27">
        <f t="shared" ca="1" si="262"/>
        <v>6300</v>
      </c>
      <c r="AG297" s="27">
        <f t="shared" ca="1" si="276"/>
        <v>1345</v>
      </c>
      <c r="AH297" s="27">
        <f t="shared" ca="1" si="277"/>
        <v>840</v>
      </c>
      <c r="AI297" s="27">
        <f t="shared" ca="1" si="278"/>
        <v>262</v>
      </c>
      <c r="AJ297" s="27">
        <f t="shared" ca="1" si="279"/>
        <v>49</v>
      </c>
      <c r="AK297" s="27">
        <f t="shared" ca="1" si="280"/>
        <v>194</v>
      </c>
      <c r="AL297" s="27">
        <f t="shared" ca="1" si="281"/>
        <v>594</v>
      </c>
      <c r="AM297" s="27">
        <f t="shared" ca="1" si="282"/>
        <v>46</v>
      </c>
      <c r="AN297" s="27">
        <f t="shared" ca="1" si="283"/>
        <v>4315</v>
      </c>
      <c r="AO297">
        <v>4322</v>
      </c>
      <c r="AP297">
        <v>1407</v>
      </c>
      <c r="AQ297">
        <v>123</v>
      </c>
      <c r="AR297">
        <v>460</v>
      </c>
      <c r="AS297">
        <v>1049</v>
      </c>
      <c r="AT297">
        <v>96</v>
      </c>
      <c r="AU297">
        <v>167</v>
      </c>
      <c r="AV297">
        <v>0.98499999999999999</v>
      </c>
      <c r="AW297" s="1"/>
      <c r="AX297" s="1"/>
      <c r="AY297" s="29">
        <f t="shared" si="284"/>
        <v>29700</v>
      </c>
      <c r="AZ297" s="31">
        <f t="shared" si="285"/>
        <v>165849</v>
      </c>
      <c r="BA297" s="31"/>
      <c r="BB297" s="30">
        <f t="shared" si="287"/>
        <v>0</v>
      </c>
    </row>
    <row r="298" spans="2:54" x14ac:dyDescent="0.5">
      <c r="B298" s="4">
        <v>2009</v>
      </c>
      <c r="C298" t="s">
        <v>102</v>
      </c>
      <c r="D298" t="s">
        <v>93</v>
      </c>
      <c r="E298">
        <v>3</v>
      </c>
      <c r="F298" t="s">
        <v>38</v>
      </c>
      <c r="G298" t="s">
        <v>38</v>
      </c>
      <c r="H298" t="s">
        <v>38</v>
      </c>
      <c r="I298" t="s">
        <v>38</v>
      </c>
      <c r="J298">
        <v>84</v>
      </c>
      <c r="K298">
        <v>78</v>
      </c>
      <c r="L298">
        <v>803</v>
      </c>
      <c r="M298" s="20">
        <v>5462</v>
      </c>
      <c r="N298" s="20">
        <v>1434</v>
      </c>
      <c r="O298" s="20">
        <f t="shared" si="274"/>
        <v>902</v>
      </c>
      <c r="P298" s="20">
        <v>297</v>
      </c>
      <c r="Q298" s="20">
        <v>36</v>
      </c>
      <c r="R298" s="20">
        <v>199</v>
      </c>
      <c r="S298" s="20">
        <v>642</v>
      </c>
      <c r="T298" s="20">
        <v>49</v>
      </c>
      <c r="U298" s="20">
        <f t="shared" si="275"/>
        <v>3337</v>
      </c>
      <c r="V298">
        <v>1229</v>
      </c>
      <c r="W298">
        <v>194</v>
      </c>
      <c r="X298">
        <v>61</v>
      </c>
      <c r="Y298">
        <v>45</v>
      </c>
      <c r="Z298">
        <v>754</v>
      </c>
      <c r="AA298">
        <v>686</v>
      </c>
      <c r="AB298">
        <v>4.33</v>
      </c>
      <c r="AC298">
        <v>3</v>
      </c>
      <c r="AD298">
        <v>5</v>
      </c>
      <c r="AE298">
        <v>41</v>
      </c>
      <c r="AF298" s="27">
        <f t="shared" ca="1" si="262"/>
        <v>6163</v>
      </c>
      <c r="AG298" s="27">
        <f t="shared" ca="1" si="276"/>
        <v>1644</v>
      </c>
      <c r="AH298" s="27">
        <f t="shared" ca="1" si="277"/>
        <v>1196</v>
      </c>
      <c r="AI298" s="27">
        <f t="shared" ca="1" si="278"/>
        <v>239</v>
      </c>
      <c r="AJ298" s="27">
        <f t="shared" ca="1" si="279"/>
        <v>44</v>
      </c>
      <c r="AK298" s="27">
        <f t="shared" ca="1" si="280"/>
        <v>165</v>
      </c>
      <c r="AL298" s="27">
        <f t="shared" ca="1" si="281"/>
        <v>505</v>
      </c>
      <c r="AM298" s="27">
        <f t="shared" ca="1" si="282"/>
        <v>68</v>
      </c>
      <c r="AN298" s="27">
        <f t="shared" ca="1" si="283"/>
        <v>3946</v>
      </c>
      <c r="AO298">
        <v>4282</v>
      </c>
      <c r="AP298">
        <v>1421</v>
      </c>
      <c r="AQ298">
        <v>183</v>
      </c>
      <c r="AR298">
        <v>515</v>
      </c>
      <c r="AS298">
        <v>1125</v>
      </c>
      <c r="AT298">
        <v>98</v>
      </c>
      <c r="AU298">
        <v>135</v>
      </c>
      <c r="AV298">
        <v>0.98299999999999998</v>
      </c>
      <c r="AW298" s="1"/>
      <c r="AX298" s="1"/>
      <c r="AY298" s="29">
        <f t="shared" si="284"/>
        <v>29700</v>
      </c>
      <c r="AZ298" s="31">
        <f t="shared" si="285"/>
        <v>165849</v>
      </c>
      <c r="BA298" s="31">
        <f t="shared" ref="BA298" si="321">SUMIF($B$2:$B$571,$B298,$O$2:$O$571)</f>
        <v>28796</v>
      </c>
      <c r="BB298" s="30">
        <f t="shared" si="287"/>
        <v>0.17362781807547831</v>
      </c>
    </row>
    <row r="299" spans="2:54" x14ac:dyDescent="0.5">
      <c r="B299" s="4">
        <v>2009</v>
      </c>
      <c r="C299" t="s">
        <v>94</v>
      </c>
      <c r="D299" t="s">
        <v>95</v>
      </c>
      <c r="E299">
        <v>2</v>
      </c>
      <c r="F299" t="s">
        <v>38</v>
      </c>
      <c r="G299" t="s">
        <v>38</v>
      </c>
      <c r="H299" t="s">
        <v>38</v>
      </c>
      <c r="I299" t="s">
        <v>38</v>
      </c>
      <c r="J299">
        <v>87</v>
      </c>
      <c r="K299">
        <v>75</v>
      </c>
      <c r="L299">
        <v>784</v>
      </c>
      <c r="M299" s="20">
        <v>5526</v>
      </c>
      <c r="N299" s="20">
        <v>1436</v>
      </c>
      <c r="O299" s="20">
        <f t="shared" si="274"/>
        <v>889</v>
      </c>
      <c r="P299" s="20">
        <v>296</v>
      </c>
      <c r="Q299" s="20">
        <v>27</v>
      </c>
      <c r="R299" s="20">
        <v>224</v>
      </c>
      <c r="S299" s="20">
        <v>472</v>
      </c>
      <c r="T299" s="20">
        <v>37</v>
      </c>
      <c r="U299" s="20">
        <f t="shared" si="275"/>
        <v>3581</v>
      </c>
      <c r="V299">
        <v>1253</v>
      </c>
      <c r="W299">
        <v>149</v>
      </c>
      <c r="X299">
        <v>36</v>
      </c>
      <c r="Y299">
        <v>51</v>
      </c>
      <c r="Z299">
        <v>740</v>
      </c>
      <c r="AA299">
        <v>698</v>
      </c>
      <c r="AB299">
        <v>4.38</v>
      </c>
      <c r="AC299">
        <v>8</v>
      </c>
      <c r="AD299">
        <v>11</v>
      </c>
      <c r="AE299">
        <v>45</v>
      </c>
      <c r="AF299" s="27">
        <f t="shared" ca="1" si="262"/>
        <v>6403</v>
      </c>
      <c r="AG299" s="27">
        <f t="shared" ca="1" si="276"/>
        <v>1491</v>
      </c>
      <c r="AH299" s="27">
        <f t="shared" ca="1" si="277"/>
        <v>924</v>
      </c>
      <c r="AI299" s="27">
        <f t="shared" ca="1" si="278"/>
        <v>360</v>
      </c>
      <c r="AJ299" s="27">
        <f t="shared" ca="1" si="279"/>
        <v>37</v>
      </c>
      <c r="AK299" s="27">
        <f t="shared" ca="1" si="280"/>
        <v>170</v>
      </c>
      <c r="AL299" s="27">
        <f t="shared" ca="1" si="281"/>
        <v>677</v>
      </c>
      <c r="AM299" s="27">
        <f t="shared" ca="1" si="282"/>
        <v>77</v>
      </c>
      <c r="AN299" s="27">
        <f t="shared" ca="1" si="283"/>
        <v>4158</v>
      </c>
      <c r="AO299">
        <v>4304</v>
      </c>
      <c r="AP299">
        <v>1432</v>
      </c>
      <c r="AQ299">
        <v>171</v>
      </c>
      <c r="AR299">
        <v>531</v>
      </c>
      <c r="AS299">
        <v>1016</v>
      </c>
      <c r="AT299">
        <v>106</v>
      </c>
      <c r="AU299">
        <v>168</v>
      </c>
      <c r="AV299">
        <v>0.98199999999999998</v>
      </c>
      <c r="AW299" s="1"/>
      <c r="AX299" s="1"/>
      <c r="AY299" s="29">
        <f t="shared" si="284"/>
        <v>29700</v>
      </c>
      <c r="AZ299" s="31">
        <f t="shared" si="285"/>
        <v>165849</v>
      </c>
      <c r="BA299" s="31">
        <f t="shared" ref="BA299" si="322">SUMIF($B$2:$B$571,$B299,$P$2:$P$571)</f>
        <v>8737</v>
      </c>
      <c r="BB299" s="30">
        <f t="shared" si="287"/>
        <v>5.2680450289118413E-2</v>
      </c>
    </row>
    <row r="300" spans="2:54" x14ac:dyDescent="0.5">
      <c r="B300" s="4">
        <v>2009</v>
      </c>
      <c r="C300" t="s">
        <v>96</v>
      </c>
      <c r="D300" t="s">
        <v>97</v>
      </c>
      <c r="E300">
        <v>4</v>
      </c>
      <c r="F300" t="s">
        <v>38</v>
      </c>
      <c r="G300" t="s">
        <v>38</v>
      </c>
      <c r="H300" t="s">
        <v>38</v>
      </c>
      <c r="I300" t="s">
        <v>38</v>
      </c>
      <c r="J300">
        <v>75</v>
      </c>
      <c r="K300">
        <v>87</v>
      </c>
      <c r="L300">
        <v>798</v>
      </c>
      <c r="M300" s="20">
        <v>5696</v>
      </c>
      <c r="N300" s="20">
        <v>1516</v>
      </c>
      <c r="O300" s="20">
        <f t="shared" si="274"/>
        <v>955</v>
      </c>
      <c r="P300" s="20">
        <v>339</v>
      </c>
      <c r="Q300" s="20">
        <v>13</v>
      </c>
      <c r="R300" s="20">
        <v>209</v>
      </c>
      <c r="S300" s="20">
        <v>548</v>
      </c>
      <c r="T300" s="20">
        <v>45</v>
      </c>
      <c r="U300" s="20">
        <f t="shared" si="275"/>
        <v>3587</v>
      </c>
      <c r="V300">
        <v>1028</v>
      </c>
      <c r="W300">
        <v>73</v>
      </c>
      <c r="X300">
        <v>23</v>
      </c>
      <c r="Y300">
        <v>49</v>
      </c>
      <c r="Z300">
        <v>771</v>
      </c>
      <c r="AA300">
        <v>720</v>
      </c>
      <c r="AB300">
        <v>4.47</v>
      </c>
      <c r="AC300">
        <v>10</v>
      </c>
      <c r="AD300">
        <v>10</v>
      </c>
      <c r="AE300">
        <v>25</v>
      </c>
      <c r="AF300" s="27">
        <f t="shared" ca="1" si="262"/>
        <v>6420</v>
      </c>
      <c r="AG300" s="27">
        <f t="shared" ca="1" si="276"/>
        <v>1678</v>
      </c>
      <c r="AH300" s="27">
        <f t="shared" ca="1" si="277"/>
        <v>1171</v>
      </c>
      <c r="AI300" s="27">
        <f t="shared" ca="1" si="278"/>
        <v>237</v>
      </c>
      <c r="AJ300" s="27">
        <f t="shared" ca="1" si="279"/>
        <v>42</v>
      </c>
      <c r="AK300" s="27">
        <f t="shared" ca="1" si="280"/>
        <v>228</v>
      </c>
      <c r="AL300" s="27">
        <f t="shared" ca="1" si="281"/>
        <v>425</v>
      </c>
      <c r="AM300" s="27">
        <f t="shared" ca="1" si="282"/>
        <v>63</v>
      </c>
      <c r="AN300" s="27">
        <f t="shared" ca="1" si="283"/>
        <v>4254</v>
      </c>
      <c r="AO300">
        <v>4353</v>
      </c>
      <c r="AP300">
        <v>1509</v>
      </c>
      <c r="AQ300">
        <v>181</v>
      </c>
      <c r="AR300">
        <v>551</v>
      </c>
      <c r="AS300">
        <v>1181</v>
      </c>
      <c r="AT300">
        <v>76</v>
      </c>
      <c r="AU300">
        <v>168</v>
      </c>
      <c r="AV300">
        <v>0.98799999999999999</v>
      </c>
      <c r="AW300" s="1"/>
      <c r="AX300" s="1"/>
      <c r="AY300" s="29">
        <f t="shared" si="284"/>
        <v>29700</v>
      </c>
      <c r="AZ300" s="31">
        <f t="shared" si="285"/>
        <v>165849</v>
      </c>
      <c r="BA300" s="31">
        <f t="shared" ref="BA300" si="323">SUMIF($B$2:$B$571,$B300,$Q$2:$Q$571)</f>
        <v>949</v>
      </c>
      <c r="BB300" s="30">
        <f t="shared" si="287"/>
        <v>5.7220724876242846E-3</v>
      </c>
    </row>
    <row r="301" spans="2:54" x14ac:dyDescent="0.5">
      <c r="B301" s="4">
        <v>2009</v>
      </c>
      <c r="C301" t="s">
        <v>100</v>
      </c>
      <c r="D301" t="s">
        <v>101</v>
      </c>
      <c r="E301">
        <v>5</v>
      </c>
      <c r="F301" t="s">
        <v>38</v>
      </c>
      <c r="G301" t="s">
        <v>38</v>
      </c>
      <c r="H301" t="s">
        <v>38</v>
      </c>
      <c r="I301" t="s">
        <v>38</v>
      </c>
      <c r="J301">
        <v>59</v>
      </c>
      <c r="K301">
        <v>103</v>
      </c>
      <c r="L301">
        <v>710</v>
      </c>
      <c r="M301" s="20">
        <v>5493</v>
      </c>
      <c r="N301" s="20">
        <v>1416</v>
      </c>
      <c r="O301" s="20">
        <f t="shared" si="274"/>
        <v>951</v>
      </c>
      <c r="P301" s="20">
        <v>271</v>
      </c>
      <c r="Q301" s="20">
        <v>38</v>
      </c>
      <c r="R301" s="20">
        <v>156</v>
      </c>
      <c r="S301" s="20">
        <v>617</v>
      </c>
      <c r="T301" s="20">
        <v>56</v>
      </c>
      <c r="U301" s="20">
        <f t="shared" si="275"/>
        <v>3404</v>
      </c>
      <c r="V301">
        <v>1208</v>
      </c>
      <c r="W301">
        <v>73</v>
      </c>
      <c r="X301">
        <v>40</v>
      </c>
      <c r="Y301">
        <v>42</v>
      </c>
      <c r="Z301">
        <v>874</v>
      </c>
      <c r="AA301">
        <v>791</v>
      </c>
      <c r="AB301">
        <v>5</v>
      </c>
      <c r="AC301">
        <v>6</v>
      </c>
      <c r="AD301">
        <v>3</v>
      </c>
      <c r="AE301">
        <v>33</v>
      </c>
      <c r="AF301" s="27">
        <f t="shared" ca="1" si="262"/>
        <v>6414</v>
      </c>
      <c r="AG301" s="27">
        <f t="shared" ca="1" si="276"/>
        <v>1406</v>
      </c>
      <c r="AH301" s="27">
        <f t="shared" ca="1" si="277"/>
        <v>813</v>
      </c>
      <c r="AI301" s="27">
        <f t="shared" ca="1" si="278"/>
        <v>378</v>
      </c>
      <c r="AJ301" s="27">
        <f t="shared" ca="1" si="279"/>
        <v>46</v>
      </c>
      <c r="AK301" s="27">
        <f t="shared" ca="1" si="280"/>
        <v>169</v>
      </c>
      <c r="AL301" s="27">
        <f t="shared" ca="1" si="281"/>
        <v>691</v>
      </c>
      <c r="AM301" s="27">
        <f t="shared" ca="1" si="282"/>
        <v>49</v>
      </c>
      <c r="AN301" s="27">
        <f t="shared" ca="1" si="283"/>
        <v>4268</v>
      </c>
      <c r="AO301">
        <v>4273</v>
      </c>
      <c r="AP301">
        <v>1533</v>
      </c>
      <c r="AQ301">
        <v>173</v>
      </c>
      <c r="AR301">
        <v>629</v>
      </c>
      <c r="AS301">
        <v>911</v>
      </c>
      <c r="AT301">
        <v>143</v>
      </c>
      <c r="AU301">
        <v>155</v>
      </c>
      <c r="AV301">
        <v>0.97699999999999998</v>
      </c>
      <c r="AW301" s="1"/>
      <c r="AX301" s="1"/>
      <c r="AY301" s="29">
        <f t="shared" si="284"/>
        <v>29700</v>
      </c>
      <c r="AZ301" s="31">
        <f t="shared" si="285"/>
        <v>165849</v>
      </c>
      <c r="BA301" s="31">
        <f t="shared" ref="BA301" si="324">SUMIF($B$2:$B$571,$B301,$R$2:$R$571)</f>
        <v>5042</v>
      </c>
      <c r="BB301" s="30">
        <f t="shared" si="287"/>
        <v>3.0401148032246198E-2</v>
      </c>
    </row>
    <row r="302" spans="2:54" x14ac:dyDescent="0.5">
      <c r="B302" s="4">
        <v>2010</v>
      </c>
      <c r="C302" t="s">
        <v>39</v>
      </c>
      <c r="D302" t="s">
        <v>40</v>
      </c>
      <c r="E302">
        <v>5</v>
      </c>
      <c r="F302" t="s">
        <v>38</v>
      </c>
      <c r="G302" t="s">
        <v>38</v>
      </c>
      <c r="H302" t="s">
        <v>38</v>
      </c>
      <c r="I302" t="s">
        <v>38</v>
      </c>
      <c r="J302">
        <v>65</v>
      </c>
      <c r="K302">
        <v>97</v>
      </c>
      <c r="L302">
        <v>713</v>
      </c>
      <c r="M302" s="20">
        <v>5473</v>
      </c>
      <c r="N302" s="20">
        <v>1366</v>
      </c>
      <c r="O302" s="20">
        <f t="shared" si="274"/>
        <v>851</v>
      </c>
      <c r="P302" s="20">
        <v>301</v>
      </c>
      <c r="Q302" s="20">
        <v>34</v>
      </c>
      <c r="R302" s="20">
        <v>180</v>
      </c>
      <c r="S302" s="20">
        <v>589</v>
      </c>
      <c r="T302" s="20">
        <v>39</v>
      </c>
      <c r="U302" s="20">
        <f t="shared" si="275"/>
        <v>3479</v>
      </c>
      <c r="V302">
        <v>1529</v>
      </c>
      <c r="W302">
        <v>86</v>
      </c>
      <c r="X302">
        <v>41</v>
      </c>
      <c r="Y302">
        <v>41</v>
      </c>
      <c r="Z302">
        <v>836</v>
      </c>
      <c r="AA302">
        <v>765</v>
      </c>
      <c r="AB302">
        <v>4.8099999999999996</v>
      </c>
      <c r="AC302">
        <v>3</v>
      </c>
      <c r="AD302">
        <v>3</v>
      </c>
      <c r="AE302">
        <v>35</v>
      </c>
      <c r="AF302" s="27">
        <f t="shared" ca="1" si="262"/>
        <v>6464</v>
      </c>
      <c r="AG302" s="27">
        <f t="shared" ca="1" si="276"/>
        <v>1352</v>
      </c>
      <c r="AH302" s="27">
        <f t="shared" ca="1" si="277"/>
        <v>869</v>
      </c>
      <c r="AI302" s="27">
        <f t="shared" ca="1" si="278"/>
        <v>302</v>
      </c>
      <c r="AJ302" s="27">
        <f t="shared" ca="1" si="279"/>
        <v>26</v>
      </c>
      <c r="AK302" s="27">
        <f t="shared" ca="1" si="280"/>
        <v>155</v>
      </c>
      <c r="AL302" s="27">
        <f t="shared" ca="1" si="281"/>
        <v>675</v>
      </c>
      <c r="AM302" s="27">
        <f t="shared" ca="1" si="282"/>
        <v>81</v>
      </c>
      <c r="AN302" s="27">
        <f t="shared" ca="1" si="283"/>
        <v>4356</v>
      </c>
      <c r="AO302">
        <v>4296</v>
      </c>
      <c r="AP302">
        <v>1503</v>
      </c>
      <c r="AQ302">
        <v>210</v>
      </c>
      <c r="AR302">
        <v>548</v>
      </c>
      <c r="AS302">
        <v>1070</v>
      </c>
      <c r="AT302">
        <v>102</v>
      </c>
      <c r="AU302">
        <v>152</v>
      </c>
      <c r="AV302">
        <v>0.98299999999999998</v>
      </c>
      <c r="AW302" s="1"/>
      <c r="AX302" s="1"/>
      <c r="AY302" s="29">
        <f t="shared" si="284"/>
        <v>29700</v>
      </c>
      <c r="AZ302" s="31">
        <f t="shared" si="285"/>
        <v>165353</v>
      </c>
      <c r="BA302" s="31">
        <f t="shared" ref="BA302" si="325">SUMIF($B$2:$B$571,$B302,$S$2:$S$571)</f>
        <v>15778</v>
      </c>
      <c r="BB302" s="30">
        <f t="shared" si="287"/>
        <v>9.5420101237957577E-2</v>
      </c>
    </row>
    <row r="303" spans="2:54" x14ac:dyDescent="0.5">
      <c r="B303" s="4">
        <v>2010</v>
      </c>
      <c r="C303" t="s">
        <v>41</v>
      </c>
      <c r="D303" t="s">
        <v>42</v>
      </c>
      <c r="E303">
        <v>2</v>
      </c>
      <c r="F303" t="s">
        <v>38</v>
      </c>
      <c r="G303" t="s">
        <v>43</v>
      </c>
      <c r="H303" t="s">
        <v>38</v>
      </c>
      <c r="I303" t="s">
        <v>38</v>
      </c>
      <c r="J303">
        <v>91</v>
      </c>
      <c r="K303">
        <v>71</v>
      </c>
      <c r="L303">
        <v>738</v>
      </c>
      <c r="M303" s="20">
        <v>5463</v>
      </c>
      <c r="N303" s="20">
        <v>1411</v>
      </c>
      <c r="O303" s="20">
        <f t="shared" si="274"/>
        <v>935</v>
      </c>
      <c r="P303" s="20">
        <v>312</v>
      </c>
      <c r="Q303" s="20">
        <v>25</v>
      </c>
      <c r="R303" s="20">
        <v>139</v>
      </c>
      <c r="S303" s="20">
        <v>634</v>
      </c>
      <c r="T303" s="20">
        <v>51</v>
      </c>
      <c r="U303" s="20">
        <f t="shared" si="275"/>
        <v>3367</v>
      </c>
      <c r="V303">
        <v>1140</v>
      </c>
      <c r="W303">
        <v>63</v>
      </c>
      <c r="X303">
        <v>29</v>
      </c>
      <c r="Y303">
        <v>35</v>
      </c>
      <c r="Z303">
        <v>629</v>
      </c>
      <c r="AA303">
        <v>569</v>
      </c>
      <c r="AB303">
        <v>3.56</v>
      </c>
      <c r="AC303">
        <v>2</v>
      </c>
      <c r="AD303">
        <v>9</v>
      </c>
      <c r="AE303">
        <v>41</v>
      </c>
      <c r="AF303" s="27">
        <f t="shared" ca="1" si="262"/>
        <v>6090</v>
      </c>
      <c r="AG303" s="27">
        <f t="shared" ca="1" si="276"/>
        <v>1425</v>
      </c>
      <c r="AH303" s="27">
        <f t="shared" ca="1" si="277"/>
        <v>897</v>
      </c>
      <c r="AI303" s="27">
        <f t="shared" ca="1" si="278"/>
        <v>273</v>
      </c>
      <c r="AJ303" s="27">
        <f t="shared" ca="1" si="279"/>
        <v>24</v>
      </c>
      <c r="AK303" s="27">
        <f t="shared" ca="1" si="280"/>
        <v>231</v>
      </c>
      <c r="AL303" s="27">
        <f t="shared" ca="1" si="281"/>
        <v>542</v>
      </c>
      <c r="AM303" s="27">
        <f t="shared" ca="1" si="282"/>
        <v>82</v>
      </c>
      <c r="AN303" s="27">
        <f t="shared" ca="1" si="283"/>
        <v>4041</v>
      </c>
      <c r="AO303">
        <v>4318</v>
      </c>
      <c r="AP303">
        <v>1326</v>
      </c>
      <c r="AQ303">
        <v>126</v>
      </c>
      <c r="AR303">
        <v>505</v>
      </c>
      <c r="AS303">
        <v>1241</v>
      </c>
      <c r="AT303">
        <v>126</v>
      </c>
      <c r="AU303">
        <v>166</v>
      </c>
      <c r="AV303">
        <v>0.98</v>
      </c>
      <c r="AW303" s="1"/>
      <c r="AX303" s="1"/>
      <c r="AY303" s="29">
        <f t="shared" si="284"/>
        <v>29700</v>
      </c>
      <c r="AZ303" s="31">
        <f t="shared" si="285"/>
        <v>165353</v>
      </c>
      <c r="BA303" s="31">
        <f t="shared" ref="BA303" si="326">SUMIF($B$2:$B$571,$B303,$T$2:$T$571)</f>
        <v>1549</v>
      </c>
      <c r="BB303" s="30">
        <f t="shared" si="287"/>
        <v>9.3678372935477438E-3</v>
      </c>
    </row>
    <row r="304" spans="2:54" x14ac:dyDescent="0.5">
      <c r="B304" s="4">
        <v>2010</v>
      </c>
      <c r="C304" t="s">
        <v>44</v>
      </c>
      <c r="D304" t="s">
        <v>45</v>
      </c>
      <c r="E304">
        <v>5</v>
      </c>
      <c r="F304" t="s">
        <v>38</v>
      </c>
      <c r="G304" t="s">
        <v>38</v>
      </c>
      <c r="H304" t="s">
        <v>38</v>
      </c>
      <c r="I304" t="s">
        <v>38</v>
      </c>
      <c r="J304">
        <v>66</v>
      </c>
      <c r="K304">
        <v>96</v>
      </c>
      <c r="L304">
        <v>613</v>
      </c>
      <c r="M304" s="20">
        <v>5554</v>
      </c>
      <c r="N304" s="20">
        <v>1440</v>
      </c>
      <c r="O304" s="20">
        <f t="shared" si="274"/>
        <v>1022</v>
      </c>
      <c r="P304" s="20">
        <v>264</v>
      </c>
      <c r="Q304" s="20">
        <v>21</v>
      </c>
      <c r="R304" s="20">
        <v>133</v>
      </c>
      <c r="S304" s="20">
        <v>424</v>
      </c>
      <c r="T304" s="20">
        <v>54</v>
      </c>
      <c r="U304" s="20">
        <f t="shared" si="275"/>
        <v>3636</v>
      </c>
      <c r="V304">
        <v>1056</v>
      </c>
      <c r="W304">
        <v>76</v>
      </c>
      <c r="X304">
        <v>34</v>
      </c>
      <c r="Y304">
        <v>45</v>
      </c>
      <c r="Z304">
        <v>785</v>
      </c>
      <c r="AA304">
        <v>733</v>
      </c>
      <c r="AB304">
        <v>4.59</v>
      </c>
      <c r="AC304">
        <v>3</v>
      </c>
      <c r="AD304">
        <v>7</v>
      </c>
      <c r="AE304">
        <v>35</v>
      </c>
      <c r="AF304" s="27">
        <f t="shared" ca="1" si="262"/>
        <v>6119</v>
      </c>
      <c r="AG304" s="27">
        <f t="shared" ca="1" si="276"/>
        <v>1691</v>
      </c>
      <c r="AH304" s="27">
        <f t="shared" ca="1" si="277"/>
        <v>1205</v>
      </c>
      <c r="AI304" s="27">
        <f t="shared" ca="1" si="278"/>
        <v>284</v>
      </c>
      <c r="AJ304" s="27">
        <f t="shared" ca="1" si="279"/>
        <v>31</v>
      </c>
      <c r="AK304" s="27">
        <f t="shared" ca="1" si="280"/>
        <v>171</v>
      </c>
      <c r="AL304" s="27">
        <f t="shared" ca="1" si="281"/>
        <v>668</v>
      </c>
      <c r="AM304" s="27">
        <f t="shared" ca="1" si="282"/>
        <v>38</v>
      </c>
      <c r="AN304" s="27">
        <f t="shared" ca="1" si="283"/>
        <v>3722</v>
      </c>
      <c r="AO304">
        <v>4309</v>
      </c>
      <c r="AP304">
        <v>1508</v>
      </c>
      <c r="AQ304">
        <v>186</v>
      </c>
      <c r="AR304">
        <v>520</v>
      </c>
      <c r="AS304">
        <v>1007</v>
      </c>
      <c r="AT304">
        <v>105</v>
      </c>
      <c r="AU304">
        <v>141</v>
      </c>
      <c r="AV304">
        <v>0.98199999999999998</v>
      </c>
      <c r="AW304" s="1"/>
      <c r="AX304" s="1"/>
      <c r="AY304" s="29">
        <f t="shared" si="284"/>
        <v>29700</v>
      </c>
      <c r="AZ304" s="31">
        <f t="shared" si="285"/>
        <v>165353</v>
      </c>
      <c r="BA304" s="31">
        <f t="shared" ref="BA304" si="327">SUMIF($B$2:$B$571,$B304,$U$2:$U$571)</f>
        <v>105472</v>
      </c>
      <c r="BB304" s="30">
        <f t="shared" si="287"/>
        <v>0.63785960944161879</v>
      </c>
    </row>
    <row r="305" spans="2:54" x14ac:dyDescent="0.5">
      <c r="B305" s="4">
        <v>2010</v>
      </c>
      <c r="C305" t="s">
        <v>46</v>
      </c>
      <c r="D305" t="s">
        <v>47</v>
      </c>
      <c r="E305">
        <v>3</v>
      </c>
      <c r="F305" t="s">
        <v>38</v>
      </c>
      <c r="G305" t="s">
        <v>38</v>
      </c>
      <c r="H305" t="s">
        <v>38</v>
      </c>
      <c r="I305" t="s">
        <v>38</v>
      </c>
      <c r="J305">
        <v>89</v>
      </c>
      <c r="K305">
        <v>73</v>
      </c>
      <c r="L305">
        <v>818</v>
      </c>
      <c r="M305" s="20">
        <v>5646</v>
      </c>
      <c r="N305" s="20">
        <v>1511</v>
      </c>
      <c r="O305" s="20">
        <f t="shared" si="274"/>
        <v>920</v>
      </c>
      <c r="P305" s="20">
        <v>358</v>
      </c>
      <c r="Q305" s="20">
        <v>22</v>
      </c>
      <c r="R305" s="20">
        <v>211</v>
      </c>
      <c r="S305" s="20">
        <v>587</v>
      </c>
      <c r="T305" s="20">
        <v>47</v>
      </c>
      <c r="U305" s="20">
        <f t="shared" si="275"/>
        <v>3501</v>
      </c>
      <c r="V305">
        <v>1140</v>
      </c>
      <c r="W305">
        <v>68</v>
      </c>
      <c r="X305">
        <v>17</v>
      </c>
      <c r="Y305">
        <v>46</v>
      </c>
      <c r="Z305">
        <v>744</v>
      </c>
      <c r="AA305">
        <v>679</v>
      </c>
      <c r="AB305">
        <v>4.2</v>
      </c>
      <c r="AC305">
        <v>3</v>
      </c>
      <c r="AD305">
        <v>9</v>
      </c>
      <c r="AE305">
        <v>44</v>
      </c>
      <c r="AF305" s="27">
        <f t="shared" ca="1" si="262"/>
        <v>6157</v>
      </c>
      <c r="AG305" s="27">
        <f t="shared" ca="1" si="276"/>
        <v>1507</v>
      </c>
      <c r="AH305" s="27">
        <f t="shared" ca="1" si="277"/>
        <v>970</v>
      </c>
      <c r="AI305" s="27">
        <f t="shared" ca="1" si="278"/>
        <v>303</v>
      </c>
      <c r="AJ305" s="27">
        <f t="shared" ca="1" si="279"/>
        <v>22</v>
      </c>
      <c r="AK305" s="27">
        <f t="shared" ca="1" si="280"/>
        <v>212</v>
      </c>
      <c r="AL305" s="27">
        <f t="shared" ca="1" si="281"/>
        <v>616</v>
      </c>
      <c r="AM305" s="27">
        <f t="shared" ca="1" si="282"/>
        <v>60</v>
      </c>
      <c r="AN305" s="27">
        <f t="shared" ca="1" si="283"/>
        <v>3974</v>
      </c>
      <c r="AO305">
        <v>4370</v>
      </c>
      <c r="AP305">
        <v>1402</v>
      </c>
      <c r="AQ305">
        <v>152</v>
      </c>
      <c r="AR305">
        <v>580</v>
      </c>
      <c r="AS305">
        <v>1207</v>
      </c>
      <c r="AT305">
        <v>111</v>
      </c>
      <c r="AU305">
        <v>132</v>
      </c>
      <c r="AV305">
        <v>0.98199999999999998</v>
      </c>
      <c r="AW305" s="1"/>
      <c r="AX305" s="1"/>
      <c r="AY305" s="29">
        <f t="shared" si="284"/>
        <v>29700</v>
      </c>
      <c r="AZ305" s="31">
        <f t="shared" si="285"/>
        <v>165353</v>
      </c>
      <c r="BA305" s="31"/>
      <c r="BB305" s="30">
        <f t="shared" si="287"/>
        <v>0</v>
      </c>
    </row>
    <row r="306" spans="2:54" x14ac:dyDescent="0.5">
      <c r="B306" s="4">
        <v>2010</v>
      </c>
      <c r="C306" t="s">
        <v>48</v>
      </c>
      <c r="D306" t="s">
        <v>49</v>
      </c>
      <c r="E306">
        <v>2</v>
      </c>
      <c r="F306" t="s">
        <v>38</v>
      </c>
      <c r="G306" t="s">
        <v>38</v>
      </c>
      <c r="H306" t="s">
        <v>38</v>
      </c>
      <c r="I306" t="s">
        <v>38</v>
      </c>
      <c r="J306">
        <v>88</v>
      </c>
      <c r="K306">
        <v>74</v>
      </c>
      <c r="L306">
        <v>752</v>
      </c>
      <c r="M306" s="20">
        <v>5484</v>
      </c>
      <c r="N306" s="20">
        <v>1467</v>
      </c>
      <c r="O306" s="20">
        <f t="shared" si="274"/>
        <v>1006</v>
      </c>
      <c r="P306" s="20">
        <v>263</v>
      </c>
      <c r="Q306" s="20">
        <v>21</v>
      </c>
      <c r="R306" s="20">
        <v>177</v>
      </c>
      <c r="S306" s="20">
        <v>467</v>
      </c>
      <c r="T306" s="20">
        <v>79</v>
      </c>
      <c r="U306" s="20">
        <f t="shared" si="275"/>
        <v>3471</v>
      </c>
      <c r="V306">
        <v>922</v>
      </c>
      <c r="W306">
        <v>160</v>
      </c>
      <c r="X306">
        <v>74</v>
      </c>
      <c r="Y306">
        <v>38</v>
      </c>
      <c r="Z306">
        <v>704</v>
      </c>
      <c r="AA306">
        <v>658</v>
      </c>
      <c r="AB306">
        <v>4.09</v>
      </c>
      <c r="AC306">
        <v>6</v>
      </c>
      <c r="AD306">
        <v>11</v>
      </c>
      <c r="AE306">
        <v>43</v>
      </c>
      <c r="AF306" s="27">
        <f t="shared" ca="1" si="262"/>
        <v>6479</v>
      </c>
      <c r="AG306" s="27">
        <f t="shared" ca="1" si="276"/>
        <v>1669</v>
      </c>
      <c r="AH306" s="27">
        <f t="shared" ca="1" si="277"/>
        <v>1227</v>
      </c>
      <c r="AI306" s="27">
        <f t="shared" ca="1" si="278"/>
        <v>251</v>
      </c>
      <c r="AJ306" s="27">
        <f t="shared" ca="1" si="279"/>
        <v>28</v>
      </c>
      <c r="AK306" s="27">
        <f t="shared" ca="1" si="280"/>
        <v>163</v>
      </c>
      <c r="AL306" s="27">
        <f t="shared" ca="1" si="281"/>
        <v>585</v>
      </c>
      <c r="AM306" s="27">
        <f t="shared" ca="1" si="282"/>
        <v>88</v>
      </c>
      <c r="AN306" s="27">
        <f t="shared" ca="1" si="283"/>
        <v>4137</v>
      </c>
      <c r="AO306">
        <v>4339</v>
      </c>
      <c r="AP306">
        <v>1471</v>
      </c>
      <c r="AQ306">
        <v>136</v>
      </c>
      <c r="AR306">
        <v>490</v>
      </c>
      <c r="AS306">
        <v>1149</v>
      </c>
      <c r="AT306">
        <v>103</v>
      </c>
      <c r="AU306">
        <v>158</v>
      </c>
      <c r="AV306">
        <v>0.98299999999999998</v>
      </c>
      <c r="AW306" s="1"/>
      <c r="AX306" s="1"/>
      <c r="AY306" s="29">
        <f t="shared" si="284"/>
        <v>29700</v>
      </c>
      <c r="AZ306" s="31">
        <f t="shared" si="285"/>
        <v>165353</v>
      </c>
      <c r="BA306" s="31">
        <f t="shared" ref="BA306" si="328">SUMIF($B$2:$B$571,$B306,$O$2:$O$571)</f>
        <v>28589</v>
      </c>
      <c r="BB306" s="30">
        <f t="shared" si="287"/>
        <v>0.17289677235973946</v>
      </c>
    </row>
    <row r="307" spans="2:54" x14ac:dyDescent="0.5">
      <c r="B307" s="4">
        <v>2010</v>
      </c>
      <c r="C307" t="s">
        <v>50</v>
      </c>
      <c r="D307" t="s">
        <v>51</v>
      </c>
      <c r="E307">
        <v>5</v>
      </c>
      <c r="F307" t="s">
        <v>38</v>
      </c>
      <c r="G307" t="s">
        <v>38</v>
      </c>
      <c r="H307" t="s">
        <v>38</v>
      </c>
      <c r="I307" t="s">
        <v>38</v>
      </c>
      <c r="J307">
        <v>75</v>
      </c>
      <c r="K307">
        <v>87</v>
      </c>
      <c r="L307">
        <v>685</v>
      </c>
      <c r="M307" s="20">
        <v>5512</v>
      </c>
      <c r="N307" s="20">
        <v>1414</v>
      </c>
      <c r="O307" s="20">
        <f t="shared" si="274"/>
        <v>940</v>
      </c>
      <c r="P307" s="20">
        <v>298</v>
      </c>
      <c r="Q307" s="20">
        <v>27</v>
      </c>
      <c r="R307" s="20">
        <v>149</v>
      </c>
      <c r="S307" s="20">
        <v>479</v>
      </c>
      <c r="T307" s="20">
        <v>50</v>
      </c>
      <c r="U307" s="20">
        <f t="shared" si="275"/>
        <v>3569</v>
      </c>
      <c r="V307">
        <v>1236</v>
      </c>
      <c r="W307">
        <v>55</v>
      </c>
      <c r="X307">
        <v>31</v>
      </c>
      <c r="Y307">
        <v>38</v>
      </c>
      <c r="Z307">
        <v>767</v>
      </c>
      <c r="AA307">
        <v>668</v>
      </c>
      <c r="AB307">
        <v>4.18</v>
      </c>
      <c r="AC307">
        <v>1</v>
      </c>
      <c r="AD307">
        <v>14</v>
      </c>
      <c r="AE307">
        <v>40</v>
      </c>
      <c r="AF307" s="27">
        <f t="shared" ca="1" si="262"/>
        <v>6150</v>
      </c>
      <c r="AG307" s="27">
        <f t="shared" ca="1" si="276"/>
        <v>1368</v>
      </c>
      <c r="AH307" s="27">
        <f t="shared" ca="1" si="277"/>
        <v>833</v>
      </c>
      <c r="AI307" s="27">
        <f t="shared" ca="1" si="278"/>
        <v>352</v>
      </c>
      <c r="AJ307" s="27">
        <f t="shared" ca="1" si="279"/>
        <v>49</v>
      </c>
      <c r="AK307" s="27">
        <f t="shared" ca="1" si="280"/>
        <v>134</v>
      </c>
      <c r="AL307" s="27">
        <f t="shared" ca="1" si="281"/>
        <v>469</v>
      </c>
      <c r="AM307" s="27">
        <f t="shared" ca="1" si="282"/>
        <v>58</v>
      </c>
      <c r="AN307" s="27">
        <f t="shared" ca="1" si="283"/>
        <v>4255</v>
      </c>
      <c r="AO307">
        <v>4310</v>
      </c>
      <c r="AP307">
        <v>1409</v>
      </c>
      <c r="AQ307">
        <v>154</v>
      </c>
      <c r="AR307">
        <v>605</v>
      </c>
      <c r="AS307">
        <v>1268</v>
      </c>
      <c r="AT307">
        <v>126</v>
      </c>
      <c r="AU307">
        <v>137</v>
      </c>
      <c r="AV307">
        <v>0.97899999999999998</v>
      </c>
      <c r="AW307" s="1"/>
      <c r="AX307" s="1"/>
      <c r="AY307" s="29">
        <f t="shared" si="284"/>
        <v>29700</v>
      </c>
      <c r="AZ307" s="31">
        <f t="shared" si="285"/>
        <v>165353</v>
      </c>
      <c r="BA307" s="31">
        <f t="shared" ref="BA307" si="329">SUMIF($B$2:$B$571,$B307,$P$2:$P$571)</f>
        <v>8486</v>
      </c>
      <c r="BB307" s="30">
        <f t="shared" si="287"/>
        <v>5.1320508245994934E-2</v>
      </c>
    </row>
    <row r="308" spans="2:54" x14ac:dyDescent="0.5">
      <c r="B308" s="4">
        <v>2010</v>
      </c>
      <c r="C308" t="s">
        <v>52</v>
      </c>
      <c r="D308" t="s">
        <v>53</v>
      </c>
      <c r="E308">
        <v>1</v>
      </c>
      <c r="F308" t="s">
        <v>43</v>
      </c>
      <c r="G308" t="s">
        <v>38</v>
      </c>
      <c r="H308" t="s">
        <v>38</v>
      </c>
      <c r="I308" t="s">
        <v>38</v>
      </c>
      <c r="J308">
        <v>91</v>
      </c>
      <c r="K308">
        <v>71</v>
      </c>
      <c r="L308">
        <v>790</v>
      </c>
      <c r="M308" s="20">
        <v>5579</v>
      </c>
      <c r="N308" s="20">
        <v>1515</v>
      </c>
      <c r="O308" s="20">
        <f t="shared" si="274"/>
        <v>1004</v>
      </c>
      <c r="P308" s="20">
        <v>293</v>
      </c>
      <c r="Q308" s="20">
        <v>30</v>
      </c>
      <c r="R308" s="20">
        <v>188</v>
      </c>
      <c r="S308" s="20">
        <v>522</v>
      </c>
      <c r="T308" s="20">
        <v>68</v>
      </c>
      <c r="U308" s="20">
        <f t="shared" si="275"/>
        <v>3474</v>
      </c>
      <c r="V308">
        <v>1218</v>
      </c>
      <c r="W308">
        <v>93</v>
      </c>
      <c r="X308">
        <v>43</v>
      </c>
      <c r="Y308">
        <v>50</v>
      </c>
      <c r="Z308">
        <v>685</v>
      </c>
      <c r="AA308">
        <v>648</v>
      </c>
      <c r="AB308">
        <v>4.01</v>
      </c>
      <c r="AC308">
        <v>4</v>
      </c>
      <c r="AD308">
        <v>9</v>
      </c>
      <c r="AE308">
        <v>43</v>
      </c>
      <c r="AF308" s="27">
        <f t="shared" ca="1" si="262"/>
        <v>6105</v>
      </c>
      <c r="AG308" s="27">
        <f t="shared" ca="1" si="276"/>
        <v>1515</v>
      </c>
      <c r="AH308" s="27">
        <f t="shared" ca="1" si="277"/>
        <v>908</v>
      </c>
      <c r="AI308" s="27">
        <f t="shared" ca="1" si="278"/>
        <v>373</v>
      </c>
      <c r="AJ308" s="27">
        <f t="shared" ca="1" si="279"/>
        <v>29</v>
      </c>
      <c r="AK308" s="27">
        <f t="shared" ca="1" si="280"/>
        <v>205</v>
      </c>
      <c r="AL308" s="27">
        <f t="shared" ca="1" si="281"/>
        <v>514</v>
      </c>
      <c r="AM308" s="27">
        <f t="shared" ca="1" si="282"/>
        <v>82</v>
      </c>
      <c r="AN308" s="27">
        <f t="shared" ca="1" si="283"/>
        <v>3994</v>
      </c>
      <c r="AO308">
        <v>4359</v>
      </c>
      <c r="AP308">
        <v>1404</v>
      </c>
      <c r="AQ308">
        <v>158</v>
      </c>
      <c r="AR308">
        <v>524</v>
      </c>
      <c r="AS308">
        <v>1130</v>
      </c>
      <c r="AT308">
        <v>72</v>
      </c>
      <c r="AU308">
        <v>142</v>
      </c>
      <c r="AV308">
        <v>0.98799999999999999</v>
      </c>
      <c r="AW308" s="1"/>
      <c r="AX308" s="1"/>
      <c r="AY308" s="29">
        <f t="shared" si="284"/>
        <v>29700</v>
      </c>
      <c r="AZ308" s="31">
        <f t="shared" si="285"/>
        <v>165353</v>
      </c>
      <c r="BA308" s="31">
        <f t="shared" ref="BA308" si="330">SUMIF($B$2:$B$571,$B308,$Q$2:$Q$571)</f>
        <v>866</v>
      </c>
      <c r="BB308" s="30">
        <f t="shared" si="287"/>
        <v>5.2372802428743356E-3</v>
      </c>
    </row>
    <row r="309" spans="2:54" x14ac:dyDescent="0.5">
      <c r="B309" s="4">
        <v>2010</v>
      </c>
      <c r="C309" t="s">
        <v>54</v>
      </c>
      <c r="D309" t="s">
        <v>55</v>
      </c>
      <c r="E309">
        <v>4</v>
      </c>
      <c r="F309" t="s">
        <v>38</v>
      </c>
      <c r="G309" t="s">
        <v>38</v>
      </c>
      <c r="H309" t="s">
        <v>38</v>
      </c>
      <c r="I309" t="s">
        <v>38</v>
      </c>
      <c r="J309">
        <v>69</v>
      </c>
      <c r="K309">
        <v>93</v>
      </c>
      <c r="L309">
        <v>646</v>
      </c>
      <c r="M309" s="20">
        <v>5487</v>
      </c>
      <c r="N309" s="20">
        <v>1362</v>
      </c>
      <c r="O309" s="20">
        <f t="shared" si="274"/>
        <v>924</v>
      </c>
      <c r="P309" s="20">
        <v>290</v>
      </c>
      <c r="Q309" s="20">
        <v>20</v>
      </c>
      <c r="R309" s="20">
        <v>128</v>
      </c>
      <c r="S309" s="20">
        <v>545</v>
      </c>
      <c r="T309" s="20">
        <v>64</v>
      </c>
      <c r="U309" s="20">
        <f t="shared" si="275"/>
        <v>3516</v>
      </c>
      <c r="V309">
        <v>1184</v>
      </c>
      <c r="W309">
        <v>91</v>
      </c>
      <c r="X309">
        <v>33</v>
      </c>
      <c r="Y309">
        <v>33</v>
      </c>
      <c r="Z309">
        <v>752</v>
      </c>
      <c r="AA309">
        <v>684</v>
      </c>
      <c r="AB309">
        <v>4.3</v>
      </c>
      <c r="AC309">
        <v>10</v>
      </c>
      <c r="AD309">
        <v>4</v>
      </c>
      <c r="AE309">
        <v>34</v>
      </c>
      <c r="AF309" s="27">
        <f t="shared" ca="1" si="262"/>
        <v>6468</v>
      </c>
      <c r="AG309" s="27">
        <f t="shared" ca="1" si="276"/>
        <v>1461</v>
      </c>
      <c r="AH309" s="27">
        <f t="shared" ca="1" si="277"/>
        <v>922</v>
      </c>
      <c r="AI309" s="27">
        <f t="shared" ca="1" si="278"/>
        <v>273</v>
      </c>
      <c r="AJ309" s="27">
        <f t="shared" ca="1" si="279"/>
        <v>33</v>
      </c>
      <c r="AK309" s="27">
        <f t="shared" ca="1" si="280"/>
        <v>233</v>
      </c>
      <c r="AL309" s="27">
        <f t="shared" ca="1" si="281"/>
        <v>414</v>
      </c>
      <c r="AM309" s="27">
        <f t="shared" ca="1" si="282"/>
        <v>40</v>
      </c>
      <c r="AN309" s="27">
        <f t="shared" ca="1" si="283"/>
        <v>4553</v>
      </c>
      <c r="AO309">
        <v>4299</v>
      </c>
      <c r="AP309">
        <v>1477</v>
      </c>
      <c r="AQ309">
        <v>147</v>
      </c>
      <c r="AR309">
        <v>572</v>
      </c>
      <c r="AS309">
        <v>967</v>
      </c>
      <c r="AT309">
        <v>110</v>
      </c>
      <c r="AU309">
        <v>179</v>
      </c>
      <c r="AV309">
        <v>0.98199999999999998</v>
      </c>
      <c r="AW309" s="1"/>
      <c r="AX309" s="1"/>
      <c r="AY309" s="29">
        <f t="shared" si="284"/>
        <v>29700</v>
      </c>
      <c r="AZ309" s="31">
        <f t="shared" si="285"/>
        <v>165353</v>
      </c>
      <c r="BA309" s="31">
        <f t="shared" ref="BA309" si="331">SUMIF($B$2:$B$571,$B309,$R$2:$R$571)</f>
        <v>4613</v>
      </c>
      <c r="BB309" s="30">
        <f t="shared" si="287"/>
        <v>2.78978911782671E-2</v>
      </c>
    </row>
    <row r="310" spans="2:54" x14ac:dyDescent="0.5">
      <c r="B310" s="4">
        <v>2010</v>
      </c>
      <c r="C310" t="s">
        <v>56</v>
      </c>
      <c r="D310" t="s">
        <v>57</v>
      </c>
      <c r="E310">
        <v>3</v>
      </c>
      <c r="F310" t="s">
        <v>38</v>
      </c>
      <c r="G310" t="s">
        <v>38</v>
      </c>
      <c r="H310" t="s">
        <v>38</v>
      </c>
      <c r="I310" t="s">
        <v>38</v>
      </c>
      <c r="J310">
        <v>83</v>
      </c>
      <c r="K310">
        <v>79</v>
      </c>
      <c r="L310">
        <v>770</v>
      </c>
      <c r="M310" s="20">
        <v>5530</v>
      </c>
      <c r="N310" s="20">
        <v>1452</v>
      </c>
      <c r="O310" s="20">
        <f t="shared" si="274"/>
        <v>955</v>
      </c>
      <c r="P310" s="20">
        <v>270</v>
      </c>
      <c r="Q310" s="20">
        <v>54</v>
      </c>
      <c r="R310" s="20">
        <v>173</v>
      </c>
      <c r="S310" s="20">
        <v>585</v>
      </c>
      <c r="T310" s="20">
        <v>47</v>
      </c>
      <c r="U310" s="20">
        <f t="shared" si="275"/>
        <v>3446</v>
      </c>
      <c r="V310">
        <v>1274</v>
      </c>
      <c r="W310">
        <v>99</v>
      </c>
      <c r="X310">
        <v>42</v>
      </c>
      <c r="Y310">
        <v>47</v>
      </c>
      <c r="Z310">
        <v>717</v>
      </c>
      <c r="AA310">
        <v>663</v>
      </c>
      <c r="AB310">
        <v>4.1399999999999997</v>
      </c>
      <c r="AC310">
        <v>6</v>
      </c>
      <c r="AD310">
        <v>12</v>
      </c>
      <c r="AE310">
        <v>35</v>
      </c>
      <c r="AF310" s="27">
        <f t="shared" ref="AF310:AF373" ca="1" si="332">RANDBETWEEN(6049,6490)</f>
        <v>6197</v>
      </c>
      <c r="AG310" s="27">
        <f t="shared" ca="1" si="276"/>
        <v>1638</v>
      </c>
      <c r="AH310" s="27">
        <f t="shared" ca="1" si="277"/>
        <v>1069</v>
      </c>
      <c r="AI310" s="27">
        <f t="shared" ca="1" si="278"/>
        <v>323</v>
      </c>
      <c r="AJ310" s="27">
        <f t="shared" ca="1" si="279"/>
        <v>26</v>
      </c>
      <c r="AK310" s="27">
        <f t="shared" ca="1" si="280"/>
        <v>220</v>
      </c>
      <c r="AL310" s="27">
        <f t="shared" ca="1" si="281"/>
        <v>579</v>
      </c>
      <c r="AM310" s="27">
        <f t="shared" ca="1" si="282"/>
        <v>33</v>
      </c>
      <c r="AN310" s="27">
        <f t="shared" ca="1" si="283"/>
        <v>3947</v>
      </c>
      <c r="AO310">
        <v>4326</v>
      </c>
      <c r="AP310">
        <v>1405</v>
      </c>
      <c r="AQ310">
        <v>139</v>
      </c>
      <c r="AR310">
        <v>525</v>
      </c>
      <c r="AS310">
        <v>1234</v>
      </c>
      <c r="AT310">
        <v>101</v>
      </c>
      <c r="AU310">
        <v>182</v>
      </c>
      <c r="AV310">
        <v>0.98399999999999999</v>
      </c>
      <c r="AW310" s="1"/>
      <c r="AX310" s="1"/>
      <c r="AY310" s="29">
        <f t="shared" si="284"/>
        <v>29700</v>
      </c>
      <c r="AZ310" s="31">
        <f t="shared" si="285"/>
        <v>165353</v>
      </c>
      <c r="BA310" s="31">
        <f t="shared" ref="BA310" si="333">SUMIF($B$2:$B$571,$B310,$S$2:$S$571)</f>
        <v>15778</v>
      </c>
      <c r="BB310" s="30">
        <f t="shared" si="287"/>
        <v>9.5420101237957577E-2</v>
      </c>
    </row>
    <row r="311" spans="2:54" x14ac:dyDescent="0.5">
      <c r="B311" s="4">
        <v>2010</v>
      </c>
      <c r="C311" t="s">
        <v>58</v>
      </c>
      <c r="D311" t="s">
        <v>59</v>
      </c>
      <c r="E311">
        <v>3</v>
      </c>
      <c r="F311" t="s">
        <v>38</v>
      </c>
      <c r="G311" t="s">
        <v>38</v>
      </c>
      <c r="H311" t="s">
        <v>38</v>
      </c>
      <c r="I311" t="s">
        <v>38</v>
      </c>
      <c r="J311">
        <v>81</v>
      </c>
      <c r="K311">
        <v>81</v>
      </c>
      <c r="L311">
        <v>751</v>
      </c>
      <c r="M311" s="20">
        <v>5643</v>
      </c>
      <c r="N311" s="20">
        <v>1515</v>
      </c>
      <c r="O311" s="20">
        <f t="shared" si="274"/>
        <v>1023</v>
      </c>
      <c r="P311" s="20">
        <v>308</v>
      </c>
      <c r="Q311" s="20">
        <v>32</v>
      </c>
      <c r="R311" s="20">
        <v>152</v>
      </c>
      <c r="S311" s="20">
        <v>546</v>
      </c>
      <c r="T311" s="20">
        <v>41</v>
      </c>
      <c r="U311" s="20">
        <f t="shared" si="275"/>
        <v>3541</v>
      </c>
      <c r="V311">
        <v>1147</v>
      </c>
      <c r="W311">
        <v>69</v>
      </c>
      <c r="X311">
        <v>30</v>
      </c>
      <c r="Y311">
        <v>41</v>
      </c>
      <c r="Z311">
        <v>743</v>
      </c>
      <c r="AA311">
        <v>690</v>
      </c>
      <c r="AB311">
        <v>4.3</v>
      </c>
      <c r="AC311">
        <v>6</v>
      </c>
      <c r="AD311">
        <v>5</v>
      </c>
      <c r="AE311">
        <v>32</v>
      </c>
      <c r="AF311" s="27">
        <f t="shared" ca="1" si="332"/>
        <v>6376</v>
      </c>
      <c r="AG311" s="27">
        <f t="shared" ca="1" si="276"/>
        <v>1513</v>
      </c>
      <c r="AH311" s="27">
        <f t="shared" ca="1" si="277"/>
        <v>1040</v>
      </c>
      <c r="AI311" s="27">
        <f t="shared" ca="1" si="278"/>
        <v>219</v>
      </c>
      <c r="AJ311" s="27">
        <f t="shared" ca="1" si="279"/>
        <v>31</v>
      </c>
      <c r="AK311" s="27">
        <f t="shared" ca="1" si="280"/>
        <v>223</v>
      </c>
      <c r="AL311" s="27">
        <f t="shared" ca="1" si="281"/>
        <v>606</v>
      </c>
      <c r="AM311" s="27">
        <f t="shared" ca="1" si="282"/>
        <v>57</v>
      </c>
      <c r="AN311" s="27">
        <f t="shared" ca="1" si="283"/>
        <v>4200</v>
      </c>
      <c r="AO311">
        <v>4333</v>
      </c>
      <c r="AP311">
        <v>1445</v>
      </c>
      <c r="AQ311">
        <v>142</v>
      </c>
      <c r="AR311">
        <v>537</v>
      </c>
      <c r="AS311">
        <v>1056</v>
      </c>
      <c r="AT311">
        <v>109</v>
      </c>
      <c r="AU311">
        <v>171</v>
      </c>
      <c r="AV311">
        <v>0.98199999999999998</v>
      </c>
      <c r="AW311" s="1"/>
      <c r="AX311" s="1"/>
      <c r="AY311" s="29">
        <f t="shared" si="284"/>
        <v>29700</v>
      </c>
      <c r="AZ311" s="31">
        <f t="shared" si="285"/>
        <v>165353</v>
      </c>
      <c r="BA311" s="31">
        <f t="shared" ref="BA311" si="334">SUMIF($B$2:$B$571,$B311,$T$2:$T$571)</f>
        <v>1549</v>
      </c>
      <c r="BB311" s="30">
        <f t="shared" si="287"/>
        <v>9.3678372935477438E-3</v>
      </c>
    </row>
    <row r="312" spans="2:54" x14ac:dyDescent="0.5">
      <c r="B312" s="4">
        <v>2010</v>
      </c>
      <c r="C312" t="s">
        <v>60</v>
      </c>
      <c r="D312" t="s">
        <v>61</v>
      </c>
      <c r="E312">
        <v>3</v>
      </c>
      <c r="F312" t="s">
        <v>38</v>
      </c>
      <c r="G312" t="s">
        <v>38</v>
      </c>
      <c r="H312" t="s">
        <v>38</v>
      </c>
      <c r="I312" t="s">
        <v>38</v>
      </c>
      <c r="J312">
        <v>80</v>
      </c>
      <c r="K312">
        <v>82</v>
      </c>
      <c r="L312">
        <v>719</v>
      </c>
      <c r="M312" s="20">
        <v>5531</v>
      </c>
      <c r="N312" s="20">
        <v>1403</v>
      </c>
      <c r="O312" s="20">
        <f t="shared" si="274"/>
        <v>920</v>
      </c>
      <c r="P312" s="20">
        <v>294</v>
      </c>
      <c r="Q312" s="20">
        <v>37</v>
      </c>
      <c r="R312" s="20">
        <v>152</v>
      </c>
      <c r="S312" s="20">
        <v>514</v>
      </c>
      <c r="T312" s="20">
        <v>55</v>
      </c>
      <c r="U312" s="20">
        <f t="shared" si="275"/>
        <v>3559</v>
      </c>
      <c r="V312">
        <v>1375</v>
      </c>
      <c r="W312">
        <v>92</v>
      </c>
      <c r="X312">
        <v>26</v>
      </c>
      <c r="Y312">
        <v>43</v>
      </c>
      <c r="Z312">
        <v>717</v>
      </c>
      <c r="AA312">
        <v>652</v>
      </c>
      <c r="AB312">
        <v>4.08</v>
      </c>
      <c r="AC312">
        <v>5</v>
      </c>
      <c r="AD312">
        <v>17</v>
      </c>
      <c r="AE312">
        <v>39</v>
      </c>
      <c r="AF312" s="27">
        <f t="shared" ca="1" si="332"/>
        <v>6187</v>
      </c>
      <c r="AG312" s="27">
        <f t="shared" ca="1" si="276"/>
        <v>1434</v>
      </c>
      <c r="AH312" s="27">
        <f t="shared" ca="1" si="277"/>
        <v>883</v>
      </c>
      <c r="AI312" s="27">
        <f t="shared" ca="1" si="278"/>
        <v>321</v>
      </c>
      <c r="AJ312" s="27">
        <f t="shared" ca="1" si="279"/>
        <v>38</v>
      </c>
      <c r="AK312" s="27">
        <f t="shared" ca="1" si="280"/>
        <v>192</v>
      </c>
      <c r="AL312" s="27">
        <f t="shared" ca="1" si="281"/>
        <v>627</v>
      </c>
      <c r="AM312" s="27">
        <f t="shared" ca="1" si="282"/>
        <v>50</v>
      </c>
      <c r="AN312" s="27">
        <f t="shared" ca="1" si="283"/>
        <v>4076</v>
      </c>
      <c r="AO312">
        <v>4315</v>
      </c>
      <c r="AP312">
        <v>1433</v>
      </c>
      <c r="AQ312">
        <v>134</v>
      </c>
      <c r="AR312">
        <v>549</v>
      </c>
      <c r="AS312">
        <v>1168</v>
      </c>
      <c r="AT312">
        <v>123</v>
      </c>
      <c r="AU312">
        <v>130</v>
      </c>
      <c r="AV312">
        <v>0.97899999999999998</v>
      </c>
      <c r="AW312" s="1"/>
      <c r="AX312" s="1"/>
      <c r="AY312" s="29">
        <f t="shared" si="284"/>
        <v>29700</v>
      </c>
      <c r="AZ312" s="31">
        <f t="shared" si="285"/>
        <v>165353</v>
      </c>
      <c r="BA312" s="31">
        <f t="shared" ref="BA312" si="335">SUMIF($B$2:$B$571,$B312,$U$2:$U$571)</f>
        <v>105472</v>
      </c>
      <c r="BB312" s="30">
        <f t="shared" si="287"/>
        <v>0.63785960944161879</v>
      </c>
    </row>
    <row r="313" spans="2:54" x14ac:dyDescent="0.5">
      <c r="B313" s="4">
        <v>2010</v>
      </c>
      <c r="C313" t="s">
        <v>62</v>
      </c>
      <c r="D313" t="s">
        <v>63</v>
      </c>
      <c r="E313">
        <v>4</v>
      </c>
      <c r="F313" t="s">
        <v>38</v>
      </c>
      <c r="G313" t="s">
        <v>38</v>
      </c>
      <c r="H313" t="s">
        <v>38</v>
      </c>
      <c r="I313" t="s">
        <v>38</v>
      </c>
      <c r="J313">
        <v>76</v>
      </c>
      <c r="K313">
        <v>86</v>
      </c>
      <c r="L313">
        <v>611</v>
      </c>
      <c r="M313" s="20">
        <v>5452</v>
      </c>
      <c r="N313" s="20">
        <v>1348</v>
      </c>
      <c r="O313" s="20">
        <f t="shared" si="274"/>
        <v>963</v>
      </c>
      <c r="P313" s="20">
        <v>252</v>
      </c>
      <c r="Q313" s="20">
        <v>25</v>
      </c>
      <c r="R313" s="20">
        <v>108</v>
      </c>
      <c r="S313" s="20">
        <v>415</v>
      </c>
      <c r="T313" s="20">
        <v>33</v>
      </c>
      <c r="U313" s="20">
        <f t="shared" si="275"/>
        <v>3656</v>
      </c>
      <c r="V313">
        <v>1025</v>
      </c>
      <c r="W313">
        <v>100</v>
      </c>
      <c r="X313">
        <v>36</v>
      </c>
      <c r="Y313">
        <v>29</v>
      </c>
      <c r="Z313">
        <v>729</v>
      </c>
      <c r="AA313">
        <v>654</v>
      </c>
      <c r="AB313">
        <v>4.09</v>
      </c>
      <c r="AC313">
        <v>4</v>
      </c>
      <c r="AD313">
        <v>11</v>
      </c>
      <c r="AE313">
        <v>45</v>
      </c>
      <c r="AF313" s="27">
        <f t="shared" ca="1" si="332"/>
        <v>6231</v>
      </c>
      <c r="AG313" s="27">
        <f t="shared" ca="1" si="276"/>
        <v>1319</v>
      </c>
      <c r="AH313" s="27">
        <f t="shared" ca="1" si="277"/>
        <v>752</v>
      </c>
      <c r="AI313" s="27">
        <f t="shared" ca="1" si="278"/>
        <v>300</v>
      </c>
      <c r="AJ313" s="27">
        <f t="shared" ca="1" si="279"/>
        <v>42</v>
      </c>
      <c r="AK313" s="27">
        <f t="shared" ca="1" si="280"/>
        <v>225</v>
      </c>
      <c r="AL313" s="27">
        <f t="shared" ca="1" si="281"/>
        <v>603</v>
      </c>
      <c r="AM313" s="27">
        <f t="shared" ca="1" si="282"/>
        <v>53</v>
      </c>
      <c r="AN313" s="27">
        <f t="shared" ca="1" si="283"/>
        <v>4256</v>
      </c>
      <c r="AO313">
        <v>4318</v>
      </c>
      <c r="AP313">
        <v>1446</v>
      </c>
      <c r="AQ313">
        <v>140</v>
      </c>
      <c r="AR313">
        <v>548</v>
      </c>
      <c r="AS313">
        <v>1210</v>
      </c>
      <c r="AT313">
        <v>103</v>
      </c>
      <c r="AU313">
        <v>135</v>
      </c>
      <c r="AV313">
        <v>0.98299999999999998</v>
      </c>
      <c r="AW313" s="1"/>
      <c r="AX313" s="1"/>
      <c r="AY313" s="29">
        <f t="shared" si="284"/>
        <v>29700</v>
      </c>
      <c r="AZ313" s="31">
        <f t="shared" si="285"/>
        <v>165353</v>
      </c>
      <c r="BA313" s="31"/>
      <c r="BB313" s="30">
        <f t="shared" si="287"/>
        <v>0</v>
      </c>
    </row>
    <row r="314" spans="2:54" x14ac:dyDescent="0.5">
      <c r="B314" s="4">
        <v>2010</v>
      </c>
      <c r="C314" t="s">
        <v>64</v>
      </c>
      <c r="D314" t="s">
        <v>65</v>
      </c>
      <c r="E314">
        <v>5</v>
      </c>
      <c r="F314" t="s">
        <v>38</v>
      </c>
      <c r="G314" t="s">
        <v>38</v>
      </c>
      <c r="H314" t="s">
        <v>38</v>
      </c>
      <c r="I314" t="s">
        <v>38</v>
      </c>
      <c r="J314">
        <v>67</v>
      </c>
      <c r="K314">
        <v>95</v>
      </c>
      <c r="L314">
        <v>676</v>
      </c>
      <c r="M314" s="20">
        <v>5604</v>
      </c>
      <c r="N314" s="20">
        <v>1534</v>
      </c>
      <c r="O314" s="20">
        <f t="shared" si="274"/>
        <v>1103</v>
      </c>
      <c r="P314" s="20">
        <v>279</v>
      </c>
      <c r="Q314" s="20">
        <v>31</v>
      </c>
      <c r="R314" s="20">
        <v>121</v>
      </c>
      <c r="S314" s="20">
        <v>471</v>
      </c>
      <c r="T314" s="20">
        <v>35</v>
      </c>
      <c r="U314" s="20">
        <f t="shared" si="275"/>
        <v>3564</v>
      </c>
      <c r="V314">
        <v>905</v>
      </c>
      <c r="W314">
        <v>115</v>
      </c>
      <c r="X314">
        <v>50</v>
      </c>
      <c r="Y314">
        <v>53</v>
      </c>
      <c r="Z314">
        <v>845</v>
      </c>
      <c r="AA314">
        <v>794</v>
      </c>
      <c r="AB314">
        <v>4.97</v>
      </c>
      <c r="AC314">
        <v>7</v>
      </c>
      <c r="AD314">
        <v>3</v>
      </c>
      <c r="AE314">
        <v>44</v>
      </c>
      <c r="AF314" s="27">
        <f t="shared" ca="1" si="332"/>
        <v>6373</v>
      </c>
      <c r="AG314" s="27">
        <f t="shared" ca="1" si="276"/>
        <v>1576</v>
      </c>
      <c r="AH314" s="27">
        <f t="shared" ca="1" si="277"/>
        <v>1156</v>
      </c>
      <c r="AI314" s="27">
        <f t="shared" ca="1" si="278"/>
        <v>243</v>
      </c>
      <c r="AJ314" s="27">
        <f t="shared" ca="1" si="279"/>
        <v>23</v>
      </c>
      <c r="AK314" s="27">
        <f t="shared" ca="1" si="280"/>
        <v>154</v>
      </c>
      <c r="AL314" s="27">
        <f t="shared" ca="1" si="281"/>
        <v>530</v>
      </c>
      <c r="AM314" s="27">
        <f t="shared" ca="1" si="282"/>
        <v>59</v>
      </c>
      <c r="AN314" s="27">
        <f t="shared" ca="1" si="283"/>
        <v>4208</v>
      </c>
      <c r="AO314">
        <v>4310</v>
      </c>
      <c r="AP314">
        <v>1553</v>
      </c>
      <c r="AQ314">
        <v>176</v>
      </c>
      <c r="AR314">
        <v>551</v>
      </c>
      <c r="AS314">
        <v>1035</v>
      </c>
      <c r="AT314">
        <v>121</v>
      </c>
      <c r="AU314">
        <v>138</v>
      </c>
      <c r="AV314">
        <v>0.98</v>
      </c>
      <c r="AW314" s="1"/>
      <c r="AX314" s="1"/>
      <c r="AY314" s="29">
        <f t="shared" si="284"/>
        <v>29700</v>
      </c>
      <c r="AZ314" s="31">
        <f t="shared" si="285"/>
        <v>165353</v>
      </c>
      <c r="BA314" s="31">
        <f t="shared" ref="BA314" si="336">SUMIF($B$2:$B$571,$B314,$O$2:$O$571)</f>
        <v>28589</v>
      </c>
      <c r="BB314" s="30">
        <f t="shared" si="287"/>
        <v>0.17289677235973946</v>
      </c>
    </row>
    <row r="315" spans="2:54" x14ac:dyDescent="0.5">
      <c r="B315" s="4">
        <v>2010</v>
      </c>
      <c r="C315" t="s">
        <v>98</v>
      </c>
      <c r="D315" t="s">
        <v>99</v>
      </c>
      <c r="E315">
        <v>3</v>
      </c>
      <c r="F315" t="s">
        <v>38</v>
      </c>
      <c r="G315" t="s">
        <v>38</v>
      </c>
      <c r="H315" t="s">
        <v>38</v>
      </c>
      <c r="I315" t="s">
        <v>38</v>
      </c>
      <c r="J315">
        <v>80</v>
      </c>
      <c r="K315">
        <v>82</v>
      </c>
      <c r="L315">
        <v>681</v>
      </c>
      <c r="M315" s="20">
        <v>5488</v>
      </c>
      <c r="N315" s="20">
        <v>1363</v>
      </c>
      <c r="O315" s="20">
        <f t="shared" si="274"/>
        <v>913</v>
      </c>
      <c r="P315" s="20">
        <v>276</v>
      </c>
      <c r="Q315" s="20">
        <v>19</v>
      </c>
      <c r="R315" s="20">
        <v>155</v>
      </c>
      <c r="S315" s="20">
        <v>466</v>
      </c>
      <c r="T315" s="20">
        <v>52</v>
      </c>
      <c r="U315" s="20">
        <f t="shared" si="275"/>
        <v>3607</v>
      </c>
      <c r="V315">
        <v>1070</v>
      </c>
      <c r="W315">
        <v>104</v>
      </c>
      <c r="X315">
        <v>52</v>
      </c>
      <c r="Y315">
        <v>37</v>
      </c>
      <c r="Z315">
        <v>702</v>
      </c>
      <c r="AA315">
        <v>651</v>
      </c>
      <c r="AB315">
        <v>4.04</v>
      </c>
      <c r="AC315">
        <v>10</v>
      </c>
      <c r="AD315">
        <v>9</v>
      </c>
      <c r="AE315">
        <v>39</v>
      </c>
      <c r="AF315" s="27">
        <f t="shared" ca="1" si="332"/>
        <v>6234</v>
      </c>
      <c r="AG315" s="27">
        <f t="shared" ca="1" si="276"/>
        <v>1414</v>
      </c>
      <c r="AH315" s="27">
        <f t="shared" ca="1" si="277"/>
        <v>829</v>
      </c>
      <c r="AI315" s="27">
        <f t="shared" ca="1" si="278"/>
        <v>360</v>
      </c>
      <c r="AJ315" s="27">
        <f t="shared" ca="1" si="279"/>
        <v>43</v>
      </c>
      <c r="AK315" s="27">
        <f t="shared" ca="1" si="280"/>
        <v>182</v>
      </c>
      <c r="AL315" s="27">
        <f t="shared" ca="1" si="281"/>
        <v>634</v>
      </c>
      <c r="AM315" s="27">
        <f t="shared" ca="1" si="282"/>
        <v>70</v>
      </c>
      <c r="AN315" s="27">
        <f t="shared" ca="1" si="283"/>
        <v>4116</v>
      </c>
      <c r="AO315">
        <v>4348</v>
      </c>
      <c r="AP315">
        <v>1422</v>
      </c>
      <c r="AQ315">
        <v>148</v>
      </c>
      <c r="AR315">
        <v>565</v>
      </c>
      <c r="AS315">
        <v>1130</v>
      </c>
      <c r="AT315">
        <v>113</v>
      </c>
      <c r="AU315">
        <v>116</v>
      </c>
      <c r="AV315">
        <v>0.98099999999999998</v>
      </c>
      <c r="AW315" s="1"/>
      <c r="AX315" s="1"/>
      <c r="AY315" s="29">
        <f t="shared" si="284"/>
        <v>29700</v>
      </c>
      <c r="AZ315" s="31">
        <f t="shared" si="285"/>
        <v>165353</v>
      </c>
      <c r="BA315" s="31">
        <f t="shared" ref="BA315" si="337">SUMIF($B$2:$B$571,$B315,$P$2:$P$571)</f>
        <v>8486</v>
      </c>
      <c r="BB315" s="30">
        <f t="shared" si="287"/>
        <v>5.1320508245994934E-2</v>
      </c>
    </row>
    <row r="316" spans="2:54" x14ac:dyDescent="0.5">
      <c r="B316" s="4">
        <v>2010</v>
      </c>
      <c r="C316" t="s">
        <v>66</v>
      </c>
      <c r="D316" t="s">
        <v>67</v>
      </c>
      <c r="E316">
        <v>4</v>
      </c>
      <c r="F316" t="s">
        <v>38</v>
      </c>
      <c r="G316" t="s">
        <v>38</v>
      </c>
      <c r="H316" t="s">
        <v>38</v>
      </c>
      <c r="I316" t="s">
        <v>38</v>
      </c>
      <c r="J316">
        <v>80</v>
      </c>
      <c r="K316">
        <v>82</v>
      </c>
      <c r="L316">
        <v>667</v>
      </c>
      <c r="M316" s="20">
        <v>5426</v>
      </c>
      <c r="N316" s="20">
        <v>1368</v>
      </c>
      <c r="O316" s="20">
        <f t="shared" si="274"/>
        <v>949</v>
      </c>
      <c r="P316" s="20">
        <v>270</v>
      </c>
      <c r="Q316" s="20">
        <v>29</v>
      </c>
      <c r="R316" s="20">
        <v>120</v>
      </c>
      <c r="S316" s="20">
        <v>533</v>
      </c>
      <c r="T316" s="20">
        <v>46</v>
      </c>
      <c r="U316" s="20">
        <f t="shared" si="275"/>
        <v>3479</v>
      </c>
      <c r="V316">
        <v>1184</v>
      </c>
      <c r="W316">
        <v>92</v>
      </c>
      <c r="X316">
        <v>50</v>
      </c>
      <c r="Y316">
        <v>50</v>
      </c>
      <c r="Z316">
        <v>692</v>
      </c>
      <c r="AA316">
        <v>643</v>
      </c>
      <c r="AB316">
        <v>4.01</v>
      </c>
      <c r="AC316">
        <v>4</v>
      </c>
      <c r="AD316">
        <v>16</v>
      </c>
      <c r="AE316">
        <v>41</v>
      </c>
      <c r="AF316" s="27">
        <f t="shared" ca="1" si="332"/>
        <v>6056</v>
      </c>
      <c r="AG316" s="27">
        <f t="shared" ca="1" si="276"/>
        <v>1696</v>
      </c>
      <c r="AH316" s="27">
        <f t="shared" ca="1" si="277"/>
        <v>1153</v>
      </c>
      <c r="AI316" s="27">
        <f t="shared" ca="1" si="278"/>
        <v>315</v>
      </c>
      <c r="AJ316" s="27">
        <f t="shared" ca="1" si="279"/>
        <v>23</v>
      </c>
      <c r="AK316" s="27">
        <f t="shared" ca="1" si="280"/>
        <v>205</v>
      </c>
      <c r="AL316" s="27">
        <f t="shared" ca="1" si="281"/>
        <v>487</v>
      </c>
      <c r="AM316" s="27">
        <f t="shared" ca="1" si="282"/>
        <v>37</v>
      </c>
      <c r="AN316" s="27">
        <f t="shared" ca="1" si="283"/>
        <v>3836</v>
      </c>
      <c r="AO316">
        <v>4325</v>
      </c>
      <c r="AP316">
        <v>1323</v>
      </c>
      <c r="AQ316">
        <v>134</v>
      </c>
      <c r="AR316">
        <v>539</v>
      </c>
      <c r="AS316">
        <v>1274</v>
      </c>
      <c r="AT316">
        <v>98</v>
      </c>
      <c r="AU316">
        <v>124</v>
      </c>
      <c r="AV316">
        <v>0.98399999999999999</v>
      </c>
      <c r="AW316" s="1"/>
      <c r="AX316" s="1"/>
      <c r="AY316" s="29">
        <f t="shared" si="284"/>
        <v>29700</v>
      </c>
      <c r="AZ316" s="31">
        <f t="shared" si="285"/>
        <v>165353</v>
      </c>
      <c r="BA316" s="31">
        <f t="shared" ref="BA316" si="338">SUMIF($B$2:$B$571,$B316,$Q$2:$Q$571)</f>
        <v>866</v>
      </c>
      <c r="BB316" s="30">
        <f t="shared" si="287"/>
        <v>5.2372802428743356E-3</v>
      </c>
    </row>
    <row r="317" spans="2:54" x14ac:dyDescent="0.5">
      <c r="B317" s="4">
        <v>2010</v>
      </c>
      <c r="C317" t="s">
        <v>68</v>
      </c>
      <c r="D317" t="s">
        <v>69</v>
      </c>
      <c r="E317">
        <v>3</v>
      </c>
      <c r="F317" t="s">
        <v>38</v>
      </c>
      <c r="G317" t="s">
        <v>38</v>
      </c>
      <c r="H317" t="s">
        <v>38</v>
      </c>
      <c r="I317" t="s">
        <v>38</v>
      </c>
      <c r="J317">
        <v>77</v>
      </c>
      <c r="K317">
        <v>85</v>
      </c>
      <c r="L317">
        <v>750</v>
      </c>
      <c r="M317" s="20">
        <v>5606</v>
      </c>
      <c r="N317" s="20">
        <v>1471</v>
      </c>
      <c r="O317" s="20">
        <f t="shared" si="274"/>
        <v>963</v>
      </c>
      <c r="P317" s="20">
        <v>293</v>
      </c>
      <c r="Q317" s="20">
        <v>33</v>
      </c>
      <c r="R317" s="20">
        <v>182</v>
      </c>
      <c r="S317" s="20">
        <v>546</v>
      </c>
      <c r="T317" s="20">
        <v>81</v>
      </c>
      <c r="U317" s="20">
        <f t="shared" si="275"/>
        <v>3508</v>
      </c>
      <c r="V317">
        <v>1216</v>
      </c>
      <c r="W317">
        <v>81</v>
      </c>
      <c r="X317">
        <v>26</v>
      </c>
      <c r="Y317">
        <v>35</v>
      </c>
      <c r="Z317">
        <v>804</v>
      </c>
      <c r="AA317">
        <v>733</v>
      </c>
      <c r="AB317">
        <v>4.58</v>
      </c>
      <c r="AC317">
        <v>3</v>
      </c>
      <c r="AD317">
        <v>7</v>
      </c>
      <c r="AE317">
        <v>35</v>
      </c>
      <c r="AF317" s="27">
        <f t="shared" ca="1" si="332"/>
        <v>6144</v>
      </c>
      <c r="AG317" s="27">
        <f t="shared" ca="1" si="276"/>
        <v>1659</v>
      </c>
      <c r="AH317" s="27">
        <f t="shared" ca="1" si="277"/>
        <v>1182</v>
      </c>
      <c r="AI317" s="27">
        <f t="shared" ca="1" si="278"/>
        <v>242</v>
      </c>
      <c r="AJ317" s="27">
        <f t="shared" ca="1" si="279"/>
        <v>29</v>
      </c>
      <c r="AK317" s="27">
        <f t="shared" ca="1" si="280"/>
        <v>206</v>
      </c>
      <c r="AL317" s="27">
        <f t="shared" ca="1" si="281"/>
        <v>673</v>
      </c>
      <c r="AM317" s="27">
        <f t="shared" ca="1" si="282"/>
        <v>47</v>
      </c>
      <c r="AN317" s="27">
        <f t="shared" ca="1" si="283"/>
        <v>3765</v>
      </c>
      <c r="AO317">
        <v>4317</v>
      </c>
      <c r="AP317">
        <v>1487</v>
      </c>
      <c r="AQ317">
        <v>173</v>
      </c>
      <c r="AR317">
        <v>582</v>
      </c>
      <c r="AS317">
        <v>1258</v>
      </c>
      <c r="AT317">
        <v>101</v>
      </c>
      <c r="AU317">
        <v>142</v>
      </c>
      <c r="AV317">
        <v>0.98299999999999998</v>
      </c>
      <c r="AW317" s="1"/>
      <c r="AX317" s="1"/>
      <c r="AY317" s="29">
        <f t="shared" si="284"/>
        <v>29700</v>
      </c>
      <c r="AZ317" s="31">
        <f t="shared" si="285"/>
        <v>165353</v>
      </c>
      <c r="BA317" s="31">
        <f t="shared" ref="BA317" si="339">SUMIF($B$2:$B$571,$B317,$R$2:$R$571)</f>
        <v>4613</v>
      </c>
      <c r="BB317" s="30">
        <f t="shared" si="287"/>
        <v>2.78978911782671E-2</v>
      </c>
    </row>
    <row r="318" spans="2:54" x14ac:dyDescent="0.5">
      <c r="B318" s="4">
        <v>2010</v>
      </c>
      <c r="C318" t="s">
        <v>70</v>
      </c>
      <c r="D318" t="s">
        <v>71</v>
      </c>
      <c r="E318">
        <v>1</v>
      </c>
      <c r="F318" t="s">
        <v>43</v>
      </c>
      <c r="G318" t="s">
        <v>38</v>
      </c>
      <c r="H318" t="s">
        <v>38</v>
      </c>
      <c r="I318" t="s">
        <v>38</v>
      </c>
      <c r="J318">
        <v>94</v>
      </c>
      <c r="K318">
        <v>68</v>
      </c>
      <c r="L318">
        <v>781</v>
      </c>
      <c r="M318" s="20">
        <v>5568</v>
      </c>
      <c r="N318" s="20">
        <v>1521</v>
      </c>
      <c r="O318" s="20">
        <f t="shared" si="274"/>
        <v>1020</v>
      </c>
      <c r="P318" s="20">
        <v>318</v>
      </c>
      <c r="Q318" s="20">
        <v>41</v>
      </c>
      <c r="R318" s="20">
        <v>142</v>
      </c>
      <c r="S318" s="20">
        <v>559</v>
      </c>
      <c r="T318" s="20">
        <v>39</v>
      </c>
      <c r="U318" s="20">
        <f t="shared" si="275"/>
        <v>3449</v>
      </c>
      <c r="V318">
        <v>967</v>
      </c>
      <c r="W318">
        <v>68</v>
      </c>
      <c r="X318">
        <v>28</v>
      </c>
      <c r="Y318">
        <v>53</v>
      </c>
      <c r="Z318">
        <v>671</v>
      </c>
      <c r="AA318">
        <v>638</v>
      </c>
      <c r="AB318">
        <v>3.95</v>
      </c>
      <c r="AC318">
        <v>9</v>
      </c>
      <c r="AD318">
        <v>13</v>
      </c>
      <c r="AE318">
        <v>40</v>
      </c>
      <c r="AF318" s="27">
        <f t="shared" ca="1" si="332"/>
        <v>6102</v>
      </c>
      <c r="AG318" s="27">
        <f t="shared" ca="1" si="276"/>
        <v>1624</v>
      </c>
      <c r="AH318" s="27">
        <f t="shared" ca="1" si="277"/>
        <v>1121</v>
      </c>
      <c r="AI318" s="27">
        <f t="shared" ca="1" si="278"/>
        <v>219</v>
      </c>
      <c r="AJ318" s="27">
        <f t="shared" ca="1" si="279"/>
        <v>44</v>
      </c>
      <c r="AK318" s="27">
        <f t="shared" ca="1" si="280"/>
        <v>240</v>
      </c>
      <c r="AL318" s="27">
        <f t="shared" ca="1" si="281"/>
        <v>544</v>
      </c>
      <c r="AM318" s="27">
        <f t="shared" ca="1" si="282"/>
        <v>86</v>
      </c>
      <c r="AN318" s="27">
        <f t="shared" ca="1" si="283"/>
        <v>3848</v>
      </c>
      <c r="AO318">
        <v>4358</v>
      </c>
      <c r="AP318">
        <v>1493</v>
      </c>
      <c r="AQ318">
        <v>155</v>
      </c>
      <c r="AR318">
        <v>383</v>
      </c>
      <c r="AS318">
        <v>1048</v>
      </c>
      <c r="AT318">
        <v>78</v>
      </c>
      <c r="AU318">
        <v>150</v>
      </c>
      <c r="AV318">
        <v>0.98699999999999999</v>
      </c>
      <c r="AW318" s="1"/>
      <c r="AX318" s="1"/>
      <c r="AY318" s="29">
        <f t="shared" si="284"/>
        <v>29700</v>
      </c>
      <c r="AZ318" s="31">
        <f t="shared" si="285"/>
        <v>165353</v>
      </c>
      <c r="BA318" s="31">
        <f t="shared" ref="BA318" si="340">SUMIF($B$2:$B$571,$B318,$S$2:$S$571)</f>
        <v>15778</v>
      </c>
      <c r="BB318" s="30">
        <f t="shared" si="287"/>
        <v>9.5420101237957577E-2</v>
      </c>
    </row>
    <row r="319" spans="2:54" x14ac:dyDescent="0.5">
      <c r="B319" s="4">
        <v>2010</v>
      </c>
      <c r="C319" t="s">
        <v>74</v>
      </c>
      <c r="D319" t="s">
        <v>75</v>
      </c>
      <c r="E319">
        <v>2</v>
      </c>
      <c r="F319" t="s">
        <v>38</v>
      </c>
      <c r="G319" t="s">
        <v>43</v>
      </c>
      <c r="H319" t="s">
        <v>38</v>
      </c>
      <c r="I319" t="s">
        <v>38</v>
      </c>
      <c r="J319">
        <v>95</v>
      </c>
      <c r="K319">
        <v>67</v>
      </c>
      <c r="L319">
        <v>859</v>
      </c>
      <c r="M319" s="20">
        <v>5567</v>
      </c>
      <c r="N319" s="20">
        <v>1485</v>
      </c>
      <c r="O319" s="20">
        <f t="shared" si="274"/>
        <v>977</v>
      </c>
      <c r="P319" s="20">
        <v>275</v>
      </c>
      <c r="Q319" s="20">
        <v>32</v>
      </c>
      <c r="R319" s="20">
        <v>201</v>
      </c>
      <c r="S319" s="20">
        <v>662</v>
      </c>
      <c r="T319" s="20">
        <v>73</v>
      </c>
      <c r="U319" s="20">
        <f t="shared" si="275"/>
        <v>3347</v>
      </c>
      <c r="V319">
        <v>1136</v>
      </c>
      <c r="W319">
        <v>103</v>
      </c>
      <c r="X319">
        <v>30</v>
      </c>
      <c r="Y319">
        <v>44</v>
      </c>
      <c r="Z319">
        <v>693</v>
      </c>
      <c r="AA319">
        <v>651</v>
      </c>
      <c r="AB319">
        <v>4.0599999999999996</v>
      </c>
      <c r="AC319">
        <v>3</v>
      </c>
      <c r="AD319">
        <v>8</v>
      </c>
      <c r="AE319">
        <v>39</v>
      </c>
      <c r="AF319" s="27">
        <f t="shared" ca="1" si="332"/>
        <v>6133</v>
      </c>
      <c r="AG319" s="27">
        <f t="shared" ca="1" si="276"/>
        <v>1566</v>
      </c>
      <c r="AH319" s="27">
        <f t="shared" ca="1" si="277"/>
        <v>1002</v>
      </c>
      <c r="AI319" s="27">
        <f t="shared" ca="1" si="278"/>
        <v>319</v>
      </c>
      <c r="AJ319" s="27">
        <f t="shared" ca="1" si="279"/>
        <v>22</v>
      </c>
      <c r="AK319" s="27">
        <f t="shared" ca="1" si="280"/>
        <v>223</v>
      </c>
      <c r="AL319" s="27">
        <f t="shared" ca="1" si="281"/>
        <v>595</v>
      </c>
      <c r="AM319" s="27">
        <f t="shared" ca="1" si="282"/>
        <v>62</v>
      </c>
      <c r="AN319" s="27">
        <f t="shared" ca="1" si="283"/>
        <v>3910</v>
      </c>
      <c r="AO319">
        <v>4327</v>
      </c>
      <c r="AP319">
        <v>1349</v>
      </c>
      <c r="AQ319">
        <v>179</v>
      </c>
      <c r="AR319">
        <v>540</v>
      </c>
      <c r="AS319">
        <v>1154</v>
      </c>
      <c r="AT319">
        <v>69</v>
      </c>
      <c r="AU319">
        <v>161</v>
      </c>
      <c r="AV319">
        <v>0.98799999999999999</v>
      </c>
      <c r="AW319" s="1"/>
      <c r="AX319" s="1"/>
      <c r="AY319" s="29">
        <f t="shared" si="284"/>
        <v>29700</v>
      </c>
      <c r="AZ319" s="31">
        <f t="shared" si="285"/>
        <v>165353</v>
      </c>
      <c r="BA319" s="31">
        <f t="shared" ref="BA319" si="341">SUMIF($B$2:$B$571,$B319,$T$2:$T$571)</f>
        <v>1549</v>
      </c>
      <c r="BB319" s="30">
        <f t="shared" si="287"/>
        <v>9.3678372935477438E-3</v>
      </c>
    </row>
    <row r="320" spans="2:54" x14ac:dyDescent="0.5">
      <c r="B320" s="4">
        <v>2010</v>
      </c>
      <c r="C320" t="s">
        <v>76</v>
      </c>
      <c r="D320" t="s">
        <v>77</v>
      </c>
      <c r="E320">
        <v>4</v>
      </c>
      <c r="F320" t="s">
        <v>38</v>
      </c>
      <c r="G320" t="s">
        <v>38</v>
      </c>
      <c r="H320" t="s">
        <v>38</v>
      </c>
      <c r="I320" t="s">
        <v>38</v>
      </c>
      <c r="J320">
        <v>79</v>
      </c>
      <c r="K320">
        <v>83</v>
      </c>
      <c r="L320">
        <v>656</v>
      </c>
      <c r="M320" s="20">
        <v>5465</v>
      </c>
      <c r="N320" s="20">
        <v>1361</v>
      </c>
      <c r="O320" s="20">
        <f t="shared" si="274"/>
        <v>927</v>
      </c>
      <c r="P320" s="20">
        <v>266</v>
      </c>
      <c r="Q320" s="20">
        <v>40</v>
      </c>
      <c r="R320" s="20">
        <v>128</v>
      </c>
      <c r="S320" s="20">
        <v>502</v>
      </c>
      <c r="T320" s="20">
        <v>46</v>
      </c>
      <c r="U320" s="20">
        <f t="shared" si="275"/>
        <v>3556</v>
      </c>
      <c r="V320">
        <v>1095</v>
      </c>
      <c r="W320">
        <v>130</v>
      </c>
      <c r="X320">
        <v>44</v>
      </c>
      <c r="Y320">
        <v>57</v>
      </c>
      <c r="Z320">
        <v>652</v>
      </c>
      <c r="AA320">
        <v>597</v>
      </c>
      <c r="AB320">
        <v>3.7</v>
      </c>
      <c r="AC320">
        <v>8</v>
      </c>
      <c r="AD320">
        <v>19</v>
      </c>
      <c r="AE320">
        <v>36</v>
      </c>
      <c r="AF320" s="27">
        <f t="shared" ca="1" si="332"/>
        <v>6402</v>
      </c>
      <c r="AG320" s="27">
        <f t="shared" ca="1" si="276"/>
        <v>1369</v>
      </c>
      <c r="AH320" s="27">
        <f t="shared" ca="1" si="277"/>
        <v>793</v>
      </c>
      <c r="AI320" s="27">
        <f t="shared" ca="1" si="278"/>
        <v>321</v>
      </c>
      <c r="AJ320" s="27">
        <f t="shared" ca="1" si="279"/>
        <v>29</v>
      </c>
      <c r="AK320" s="27">
        <f t="shared" ca="1" si="280"/>
        <v>226</v>
      </c>
      <c r="AL320" s="27">
        <f t="shared" ca="1" si="281"/>
        <v>424</v>
      </c>
      <c r="AM320" s="27">
        <f t="shared" ca="1" si="282"/>
        <v>82</v>
      </c>
      <c r="AN320" s="27">
        <f t="shared" ca="1" si="283"/>
        <v>4527</v>
      </c>
      <c r="AO320">
        <v>4359</v>
      </c>
      <c r="AP320">
        <v>1438</v>
      </c>
      <c r="AQ320">
        <v>135</v>
      </c>
      <c r="AR320">
        <v>545</v>
      </c>
      <c r="AS320">
        <v>1106</v>
      </c>
      <c r="AT320">
        <v>87</v>
      </c>
      <c r="AU320">
        <v>159</v>
      </c>
      <c r="AV320">
        <v>0.98599999999999999</v>
      </c>
      <c r="AW320" s="1"/>
      <c r="AX320" s="1"/>
      <c r="AY320" s="29">
        <f t="shared" si="284"/>
        <v>29700</v>
      </c>
      <c r="AZ320" s="31">
        <f t="shared" si="285"/>
        <v>165353</v>
      </c>
      <c r="BA320" s="31">
        <f t="shared" ref="BA320" si="342">SUMIF($B$2:$B$571,$B320,$U$2:$U$571)</f>
        <v>105472</v>
      </c>
      <c r="BB320" s="30">
        <f t="shared" si="287"/>
        <v>0.63785960944161879</v>
      </c>
    </row>
    <row r="321" spans="2:54" x14ac:dyDescent="0.5">
      <c r="B321" s="4">
        <v>2010</v>
      </c>
      <c r="C321" t="s">
        <v>78</v>
      </c>
      <c r="D321" t="s">
        <v>79</v>
      </c>
      <c r="E321">
        <v>2</v>
      </c>
      <c r="F321" t="s">
        <v>38</v>
      </c>
      <c r="G321" t="s">
        <v>38</v>
      </c>
      <c r="H321" t="s">
        <v>38</v>
      </c>
      <c r="I321" t="s">
        <v>38</v>
      </c>
      <c r="J321">
        <v>81</v>
      </c>
      <c r="K321">
        <v>81</v>
      </c>
      <c r="L321">
        <v>663</v>
      </c>
      <c r="M321" s="20">
        <v>5448</v>
      </c>
      <c r="N321" s="20">
        <v>1396</v>
      </c>
      <c r="O321" s="20">
        <f t="shared" si="274"/>
        <v>981</v>
      </c>
      <c r="P321" s="20">
        <v>276</v>
      </c>
      <c r="Q321" s="20">
        <v>30</v>
      </c>
      <c r="R321" s="20">
        <v>109</v>
      </c>
      <c r="S321" s="20">
        <v>527</v>
      </c>
      <c r="T321" s="20">
        <v>47</v>
      </c>
      <c r="U321" s="20">
        <f t="shared" si="275"/>
        <v>3478</v>
      </c>
      <c r="V321">
        <v>1061</v>
      </c>
      <c r="W321">
        <v>156</v>
      </c>
      <c r="X321">
        <v>38</v>
      </c>
      <c r="Y321">
        <v>51</v>
      </c>
      <c r="Z321">
        <v>626</v>
      </c>
      <c r="AA321">
        <v>566</v>
      </c>
      <c r="AB321">
        <v>3.56</v>
      </c>
      <c r="AC321">
        <v>7</v>
      </c>
      <c r="AD321">
        <v>17</v>
      </c>
      <c r="AE321">
        <v>38</v>
      </c>
      <c r="AF321" s="27">
        <f t="shared" ca="1" si="332"/>
        <v>6407</v>
      </c>
      <c r="AG321" s="27">
        <f t="shared" ca="1" si="276"/>
        <v>1301</v>
      </c>
      <c r="AH321" s="27">
        <f t="shared" ca="1" si="277"/>
        <v>727</v>
      </c>
      <c r="AI321" s="27">
        <f t="shared" ca="1" si="278"/>
        <v>350</v>
      </c>
      <c r="AJ321" s="27">
        <f t="shared" ca="1" si="279"/>
        <v>24</v>
      </c>
      <c r="AK321" s="27">
        <f t="shared" ca="1" si="280"/>
        <v>200</v>
      </c>
      <c r="AL321" s="27">
        <f t="shared" ca="1" si="281"/>
        <v>577</v>
      </c>
      <c r="AM321" s="27">
        <f t="shared" ca="1" si="282"/>
        <v>79</v>
      </c>
      <c r="AN321" s="27">
        <f t="shared" ca="1" si="283"/>
        <v>4450</v>
      </c>
      <c r="AO321">
        <v>4295</v>
      </c>
      <c r="AP321">
        <v>1315</v>
      </c>
      <c r="AQ321">
        <v>153</v>
      </c>
      <c r="AR321">
        <v>512</v>
      </c>
      <c r="AS321">
        <v>1070</v>
      </c>
      <c r="AT321">
        <v>99</v>
      </c>
      <c r="AU321">
        <v>147</v>
      </c>
      <c r="AV321">
        <v>0.98399999999999999</v>
      </c>
      <c r="AW321" s="1"/>
      <c r="AX321" s="1"/>
      <c r="AY321" s="29">
        <f t="shared" si="284"/>
        <v>29700</v>
      </c>
      <c r="AZ321" s="31">
        <f t="shared" si="285"/>
        <v>165353</v>
      </c>
      <c r="BA321" s="31"/>
      <c r="BB321" s="30">
        <f t="shared" si="287"/>
        <v>0</v>
      </c>
    </row>
    <row r="322" spans="2:54" x14ac:dyDescent="0.5">
      <c r="B322" s="4">
        <v>2010</v>
      </c>
      <c r="C322" t="s">
        <v>80</v>
      </c>
      <c r="D322" t="s">
        <v>81</v>
      </c>
      <c r="E322">
        <v>1</v>
      </c>
      <c r="F322" t="s">
        <v>43</v>
      </c>
      <c r="G322" t="s">
        <v>38</v>
      </c>
      <c r="H322" t="s">
        <v>38</v>
      </c>
      <c r="I322" t="s">
        <v>38</v>
      </c>
      <c r="J322">
        <v>97</v>
      </c>
      <c r="K322">
        <v>65</v>
      </c>
      <c r="L322">
        <v>772</v>
      </c>
      <c r="M322" s="20">
        <v>5581</v>
      </c>
      <c r="N322" s="20">
        <v>1451</v>
      </c>
      <c r="O322" s="20">
        <f t="shared" si="274"/>
        <v>961</v>
      </c>
      <c r="P322" s="20">
        <v>290</v>
      </c>
      <c r="Q322" s="20">
        <v>34</v>
      </c>
      <c r="R322" s="20">
        <v>166</v>
      </c>
      <c r="S322" s="20">
        <v>560</v>
      </c>
      <c r="T322" s="20">
        <v>63</v>
      </c>
      <c r="U322" s="20">
        <f t="shared" si="275"/>
        <v>3507</v>
      </c>
      <c r="V322">
        <v>1064</v>
      </c>
      <c r="W322">
        <v>108</v>
      </c>
      <c r="X322">
        <v>21</v>
      </c>
      <c r="Y322">
        <v>43</v>
      </c>
      <c r="Z322">
        <v>640</v>
      </c>
      <c r="AA322">
        <v>594</v>
      </c>
      <c r="AB322">
        <v>3.67</v>
      </c>
      <c r="AC322">
        <v>14</v>
      </c>
      <c r="AD322">
        <v>21</v>
      </c>
      <c r="AE322">
        <v>40</v>
      </c>
      <c r="AF322" s="27">
        <f t="shared" ca="1" si="332"/>
        <v>6167</v>
      </c>
      <c r="AG322" s="27">
        <f t="shared" ca="1" si="276"/>
        <v>1330</v>
      </c>
      <c r="AH322" s="27">
        <f t="shared" ca="1" si="277"/>
        <v>780</v>
      </c>
      <c r="AI322" s="27">
        <f t="shared" ca="1" si="278"/>
        <v>373</v>
      </c>
      <c r="AJ322" s="27">
        <f t="shared" ca="1" si="279"/>
        <v>20</v>
      </c>
      <c r="AK322" s="27">
        <f t="shared" ca="1" si="280"/>
        <v>157</v>
      </c>
      <c r="AL322" s="27">
        <f t="shared" ca="1" si="281"/>
        <v>679</v>
      </c>
      <c r="AM322" s="27">
        <f t="shared" ca="1" si="282"/>
        <v>54</v>
      </c>
      <c r="AN322" s="27">
        <f t="shared" ca="1" si="283"/>
        <v>4104</v>
      </c>
      <c r="AO322">
        <v>4369</v>
      </c>
      <c r="AP322">
        <v>1402</v>
      </c>
      <c r="AQ322">
        <v>168</v>
      </c>
      <c r="AR322">
        <v>416</v>
      </c>
      <c r="AS322">
        <v>1183</v>
      </c>
      <c r="AT322">
        <v>83</v>
      </c>
      <c r="AU322">
        <v>158</v>
      </c>
      <c r="AV322">
        <v>0.98599999999999999</v>
      </c>
      <c r="AW322" s="1"/>
      <c r="AX322" s="1"/>
      <c r="AY322" s="29">
        <f t="shared" si="284"/>
        <v>29700</v>
      </c>
      <c r="AZ322" s="31">
        <f t="shared" si="285"/>
        <v>165353</v>
      </c>
      <c r="BA322" s="31">
        <f t="shared" ref="BA322" si="343">SUMIF($B$2:$B$571,$B322,$O$2:$O$571)</f>
        <v>28589</v>
      </c>
      <c r="BB322" s="30">
        <f t="shared" si="287"/>
        <v>0.17289677235973946</v>
      </c>
    </row>
    <row r="323" spans="2:54" x14ac:dyDescent="0.5">
      <c r="B323" s="4">
        <v>2010</v>
      </c>
      <c r="C323" t="s">
        <v>82</v>
      </c>
      <c r="D323" t="s">
        <v>83</v>
      </c>
      <c r="E323">
        <v>6</v>
      </c>
      <c r="F323" t="s">
        <v>38</v>
      </c>
      <c r="G323" t="s">
        <v>38</v>
      </c>
      <c r="H323" t="s">
        <v>38</v>
      </c>
      <c r="I323" t="s">
        <v>38</v>
      </c>
      <c r="J323">
        <v>57</v>
      </c>
      <c r="K323">
        <v>105</v>
      </c>
      <c r="L323">
        <v>587</v>
      </c>
      <c r="M323" s="20">
        <v>5386</v>
      </c>
      <c r="N323" s="20">
        <v>1303</v>
      </c>
      <c r="O323" s="20">
        <f t="shared" ref="O323:O386" si="344">N323-(P323+Q323+R323)</f>
        <v>874</v>
      </c>
      <c r="P323" s="20">
        <v>276</v>
      </c>
      <c r="Q323" s="20">
        <v>27</v>
      </c>
      <c r="R323" s="20">
        <v>126</v>
      </c>
      <c r="S323" s="20">
        <v>463</v>
      </c>
      <c r="T323" s="20">
        <v>33</v>
      </c>
      <c r="U323" s="20">
        <f t="shared" ref="U323:U386" si="345">M323-(N323+S323+T323)</f>
        <v>3587</v>
      </c>
      <c r="V323">
        <v>1207</v>
      </c>
      <c r="W323">
        <v>87</v>
      </c>
      <c r="X323">
        <v>36</v>
      </c>
      <c r="Y323">
        <v>33</v>
      </c>
      <c r="Z323">
        <v>866</v>
      </c>
      <c r="AA323">
        <v>784</v>
      </c>
      <c r="AB323">
        <v>5</v>
      </c>
      <c r="AC323">
        <v>1</v>
      </c>
      <c r="AD323">
        <v>6</v>
      </c>
      <c r="AE323">
        <v>31</v>
      </c>
      <c r="AF323" s="27">
        <f t="shared" ca="1" si="332"/>
        <v>6489</v>
      </c>
      <c r="AG323" s="27">
        <f t="shared" ref="AG323:AG386" ca="1" si="346">RANDBETWEEN(1300,1700)</f>
        <v>1446</v>
      </c>
      <c r="AH323" s="27">
        <f t="shared" ref="AH323:AH386" ca="1" si="347">AG323-(AI323+AJ323+AK323)</f>
        <v>973</v>
      </c>
      <c r="AI323" s="27">
        <f t="shared" ref="AI323:AI386" ca="1" si="348">RANDBETWEEN(219,400)</f>
        <v>263</v>
      </c>
      <c r="AJ323" s="27">
        <f t="shared" ref="AJ323:AJ386" ca="1" si="349">RANDBETWEEN(20,50)</f>
        <v>46</v>
      </c>
      <c r="AK323" s="27">
        <f t="shared" ref="AK323:AK386" ca="1" si="350">RANDBETWEEN(130,240)</f>
        <v>164</v>
      </c>
      <c r="AL323" s="27">
        <f t="shared" ref="AL323:AL386" ca="1" si="351">RANDBETWEEN(400,700)</f>
        <v>542</v>
      </c>
      <c r="AM323" s="27">
        <f t="shared" ref="AM323:AM386" ca="1" si="352">RANDBETWEEN(30,90)</f>
        <v>80</v>
      </c>
      <c r="AN323" s="27">
        <f t="shared" ref="AN323:AN386" ca="1" si="353">AF323-(AG323+AL323+AM323)</f>
        <v>4421</v>
      </c>
      <c r="AO323">
        <v>4235</v>
      </c>
      <c r="AP323">
        <v>1567</v>
      </c>
      <c r="AQ323">
        <v>167</v>
      </c>
      <c r="AR323">
        <v>538</v>
      </c>
      <c r="AS323">
        <v>1026</v>
      </c>
      <c r="AT323">
        <v>127</v>
      </c>
      <c r="AU323">
        <v>120</v>
      </c>
      <c r="AV323">
        <v>0.97899999999999998</v>
      </c>
      <c r="AW323" s="1"/>
      <c r="AX323" s="1"/>
      <c r="AY323" s="29">
        <f t="shared" ref="AY323:AY386" si="354">SUM(O$2:O$31)</f>
        <v>29700</v>
      </c>
      <c r="AZ323" s="31">
        <f t="shared" ref="AZ323:AZ386" si="355">SUMIF($B$2:$B$571,$B323,$M$2:$M$571)</f>
        <v>165353</v>
      </c>
      <c r="BA323" s="31">
        <f t="shared" ref="BA323" si="356">SUMIF($B$2:$B$571,$B323,$P$2:$P$571)</f>
        <v>8486</v>
      </c>
      <c r="BB323" s="30">
        <f t="shared" ref="BB323:BB386" si="357">BA323/AZ323</f>
        <v>5.1320508245994934E-2</v>
      </c>
    </row>
    <row r="324" spans="2:54" x14ac:dyDescent="0.5">
      <c r="B324" s="4">
        <v>2010</v>
      </c>
      <c r="C324" t="s">
        <v>84</v>
      </c>
      <c r="D324" t="s">
        <v>85</v>
      </c>
      <c r="E324">
        <v>2</v>
      </c>
      <c r="F324" t="s">
        <v>38</v>
      </c>
      <c r="G324" t="s">
        <v>38</v>
      </c>
      <c r="H324" t="s">
        <v>38</v>
      </c>
      <c r="I324" t="s">
        <v>38</v>
      </c>
      <c r="J324">
        <v>90</v>
      </c>
      <c r="K324">
        <v>72</v>
      </c>
      <c r="L324">
        <v>665</v>
      </c>
      <c r="M324" s="20">
        <v>5434</v>
      </c>
      <c r="N324" s="20">
        <v>1338</v>
      </c>
      <c r="O324" s="20">
        <f t="shared" si="344"/>
        <v>946</v>
      </c>
      <c r="P324" s="20">
        <v>236</v>
      </c>
      <c r="Q324" s="20">
        <v>24</v>
      </c>
      <c r="R324" s="20">
        <v>132</v>
      </c>
      <c r="S324" s="20">
        <v>538</v>
      </c>
      <c r="T324" s="20">
        <v>50</v>
      </c>
      <c r="U324" s="20">
        <f t="shared" si="345"/>
        <v>3508</v>
      </c>
      <c r="V324">
        <v>1183</v>
      </c>
      <c r="W324">
        <v>124</v>
      </c>
      <c r="X324">
        <v>50</v>
      </c>
      <c r="Y324">
        <v>46</v>
      </c>
      <c r="Z324">
        <v>581</v>
      </c>
      <c r="AA324">
        <v>549</v>
      </c>
      <c r="AB324">
        <v>3.39</v>
      </c>
      <c r="AC324">
        <v>2</v>
      </c>
      <c r="AD324">
        <v>20</v>
      </c>
      <c r="AE324">
        <v>49</v>
      </c>
      <c r="AF324" s="27">
        <f t="shared" ca="1" si="332"/>
        <v>6141</v>
      </c>
      <c r="AG324" s="27">
        <f t="shared" ca="1" si="346"/>
        <v>1683</v>
      </c>
      <c r="AH324" s="27">
        <f t="shared" ca="1" si="347"/>
        <v>1240</v>
      </c>
      <c r="AI324" s="27">
        <f t="shared" ca="1" si="348"/>
        <v>274</v>
      </c>
      <c r="AJ324" s="27">
        <f t="shared" ca="1" si="349"/>
        <v>38</v>
      </c>
      <c r="AK324" s="27">
        <f t="shared" ca="1" si="350"/>
        <v>131</v>
      </c>
      <c r="AL324" s="27">
        <f t="shared" ca="1" si="351"/>
        <v>699</v>
      </c>
      <c r="AM324" s="27">
        <f t="shared" ca="1" si="352"/>
        <v>73</v>
      </c>
      <c r="AN324" s="27">
        <f t="shared" ca="1" si="353"/>
        <v>3686</v>
      </c>
      <c r="AO324">
        <v>4369</v>
      </c>
      <c r="AP324">
        <v>1305</v>
      </c>
      <c r="AQ324">
        <v>139</v>
      </c>
      <c r="AR324">
        <v>517</v>
      </c>
      <c r="AS324">
        <v>1295</v>
      </c>
      <c r="AT324">
        <v>72</v>
      </c>
      <c r="AU324">
        <v>141</v>
      </c>
      <c r="AV324">
        <v>0.98799999999999999</v>
      </c>
      <c r="AW324" s="1"/>
      <c r="AX324" s="1"/>
      <c r="AY324" s="29">
        <f t="shared" si="354"/>
        <v>29700</v>
      </c>
      <c r="AZ324" s="31">
        <f t="shared" si="355"/>
        <v>165353</v>
      </c>
      <c r="BA324" s="31">
        <f t="shared" ref="BA324" si="358">SUMIF($B$2:$B$571,$B324,$Q$2:$Q$571)</f>
        <v>866</v>
      </c>
      <c r="BB324" s="30">
        <f t="shared" si="357"/>
        <v>5.2372802428743356E-3</v>
      </c>
    </row>
    <row r="325" spans="2:54" x14ac:dyDescent="0.5">
      <c r="B325" s="4">
        <v>2010</v>
      </c>
      <c r="C325" t="s">
        <v>86</v>
      </c>
      <c r="D325" t="s">
        <v>87</v>
      </c>
      <c r="E325">
        <v>4</v>
      </c>
      <c r="F325" t="s">
        <v>38</v>
      </c>
      <c r="G325" t="s">
        <v>38</v>
      </c>
      <c r="H325" t="s">
        <v>38</v>
      </c>
      <c r="I325" t="s">
        <v>38</v>
      </c>
      <c r="J325">
        <v>61</v>
      </c>
      <c r="K325">
        <v>101</v>
      </c>
      <c r="L325">
        <v>513</v>
      </c>
      <c r="M325" s="20">
        <v>5409</v>
      </c>
      <c r="N325" s="20">
        <v>1274</v>
      </c>
      <c r="O325" s="20">
        <f t="shared" si="344"/>
        <v>930</v>
      </c>
      <c r="P325" s="20">
        <v>227</v>
      </c>
      <c r="Q325" s="20">
        <v>16</v>
      </c>
      <c r="R325" s="20">
        <v>101</v>
      </c>
      <c r="S325" s="20">
        <v>459</v>
      </c>
      <c r="T325" s="20">
        <v>39</v>
      </c>
      <c r="U325" s="20">
        <f t="shared" si="345"/>
        <v>3637</v>
      </c>
      <c r="V325">
        <v>1184</v>
      </c>
      <c r="W325">
        <v>142</v>
      </c>
      <c r="X325">
        <v>39</v>
      </c>
      <c r="Y325">
        <v>40</v>
      </c>
      <c r="Z325">
        <v>698</v>
      </c>
      <c r="AA325">
        <v>628</v>
      </c>
      <c r="AB325">
        <v>3.93</v>
      </c>
      <c r="AC325">
        <v>11</v>
      </c>
      <c r="AD325">
        <v>10</v>
      </c>
      <c r="AE325">
        <v>38</v>
      </c>
      <c r="AF325" s="27">
        <f t="shared" ca="1" si="332"/>
        <v>6470</v>
      </c>
      <c r="AG325" s="27">
        <f t="shared" ca="1" si="346"/>
        <v>1507</v>
      </c>
      <c r="AH325" s="27">
        <f t="shared" ca="1" si="347"/>
        <v>908</v>
      </c>
      <c r="AI325" s="27">
        <f t="shared" ca="1" si="348"/>
        <v>344</v>
      </c>
      <c r="AJ325" s="27">
        <f t="shared" ca="1" si="349"/>
        <v>21</v>
      </c>
      <c r="AK325" s="27">
        <f t="shared" ca="1" si="350"/>
        <v>234</v>
      </c>
      <c r="AL325" s="27">
        <f t="shared" ca="1" si="351"/>
        <v>583</v>
      </c>
      <c r="AM325" s="27">
        <f t="shared" ca="1" si="352"/>
        <v>84</v>
      </c>
      <c r="AN325" s="27">
        <f t="shared" ca="1" si="353"/>
        <v>4296</v>
      </c>
      <c r="AO325">
        <v>4314</v>
      </c>
      <c r="AP325">
        <v>1402</v>
      </c>
      <c r="AQ325">
        <v>157</v>
      </c>
      <c r="AR325">
        <v>452</v>
      </c>
      <c r="AS325">
        <v>973</v>
      </c>
      <c r="AT325">
        <v>110</v>
      </c>
      <c r="AU325">
        <v>145</v>
      </c>
      <c r="AV325">
        <v>0.98199999999999998</v>
      </c>
      <c r="AW325" s="1"/>
      <c r="AX325" s="1"/>
      <c r="AY325" s="29">
        <f t="shared" si="354"/>
        <v>29700</v>
      </c>
      <c r="AZ325" s="31">
        <f t="shared" si="355"/>
        <v>165353</v>
      </c>
      <c r="BA325" s="31">
        <f t="shared" ref="BA325" si="359">SUMIF($B$2:$B$571,$B325,$R$2:$R$571)</f>
        <v>4613</v>
      </c>
      <c r="BB325" s="30">
        <f t="shared" si="357"/>
        <v>2.78978911782671E-2</v>
      </c>
    </row>
    <row r="326" spans="2:54" x14ac:dyDescent="0.5">
      <c r="B326" s="4">
        <v>2010</v>
      </c>
      <c r="C326" t="s">
        <v>88</v>
      </c>
      <c r="D326" t="s">
        <v>89</v>
      </c>
      <c r="E326">
        <v>1</v>
      </c>
      <c r="F326" t="s">
        <v>43</v>
      </c>
      <c r="G326" t="s">
        <v>38</v>
      </c>
      <c r="H326" t="s">
        <v>43</v>
      </c>
      <c r="I326" t="s">
        <v>43</v>
      </c>
      <c r="J326">
        <v>92</v>
      </c>
      <c r="K326">
        <v>70</v>
      </c>
      <c r="L326">
        <v>697</v>
      </c>
      <c r="M326" s="20">
        <v>5488</v>
      </c>
      <c r="N326" s="20">
        <v>1411</v>
      </c>
      <c r="O326" s="20">
        <f t="shared" si="344"/>
        <v>935</v>
      </c>
      <c r="P326" s="20">
        <v>284</v>
      </c>
      <c r="Q326" s="20">
        <v>30</v>
      </c>
      <c r="R326" s="20">
        <v>162</v>
      </c>
      <c r="S326" s="20">
        <v>487</v>
      </c>
      <c r="T326" s="20">
        <v>50</v>
      </c>
      <c r="U326" s="20">
        <f t="shared" si="345"/>
        <v>3540</v>
      </c>
      <c r="V326">
        <v>1099</v>
      </c>
      <c r="W326">
        <v>55</v>
      </c>
      <c r="X326">
        <v>32</v>
      </c>
      <c r="Y326">
        <v>41</v>
      </c>
      <c r="Z326">
        <v>583</v>
      </c>
      <c r="AA326">
        <v>546</v>
      </c>
      <c r="AB326">
        <v>3.36</v>
      </c>
      <c r="AC326">
        <v>6</v>
      </c>
      <c r="AD326">
        <v>17</v>
      </c>
      <c r="AE326">
        <v>57</v>
      </c>
      <c r="AF326" s="27">
        <f t="shared" ca="1" si="332"/>
        <v>6175</v>
      </c>
      <c r="AG326" s="27">
        <f t="shared" ca="1" si="346"/>
        <v>1605</v>
      </c>
      <c r="AH326" s="27">
        <f t="shared" ca="1" si="347"/>
        <v>1106</v>
      </c>
      <c r="AI326" s="27">
        <f t="shared" ca="1" si="348"/>
        <v>325</v>
      </c>
      <c r="AJ326" s="27">
        <f t="shared" ca="1" si="349"/>
        <v>43</v>
      </c>
      <c r="AK326" s="27">
        <f t="shared" ca="1" si="350"/>
        <v>131</v>
      </c>
      <c r="AL326" s="27">
        <f t="shared" ca="1" si="351"/>
        <v>539</v>
      </c>
      <c r="AM326" s="27">
        <f t="shared" ca="1" si="352"/>
        <v>88</v>
      </c>
      <c r="AN326" s="27">
        <f t="shared" ca="1" si="353"/>
        <v>3943</v>
      </c>
      <c r="AO326">
        <v>4383</v>
      </c>
      <c r="AP326">
        <v>1279</v>
      </c>
      <c r="AQ326">
        <v>134</v>
      </c>
      <c r="AR326">
        <v>578</v>
      </c>
      <c r="AS326">
        <v>1331</v>
      </c>
      <c r="AT326">
        <v>73</v>
      </c>
      <c r="AU326">
        <v>110</v>
      </c>
      <c r="AV326">
        <v>0.98799999999999999</v>
      </c>
      <c r="AW326" s="1"/>
      <c r="AX326" s="1"/>
      <c r="AY326" s="29">
        <f t="shared" si="354"/>
        <v>29700</v>
      </c>
      <c r="AZ326" s="31">
        <f t="shared" si="355"/>
        <v>165353</v>
      </c>
      <c r="BA326" s="31">
        <f t="shared" ref="BA326" si="360">SUMIF($B$2:$B$571,$B326,$S$2:$S$571)</f>
        <v>15778</v>
      </c>
      <c r="BB326" s="30">
        <f t="shared" si="357"/>
        <v>9.5420101237957577E-2</v>
      </c>
    </row>
    <row r="327" spans="2:54" x14ac:dyDescent="0.5">
      <c r="B327" s="4">
        <v>2010</v>
      </c>
      <c r="C327" t="s">
        <v>90</v>
      </c>
      <c r="D327" t="s">
        <v>91</v>
      </c>
      <c r="E327">
        <v>2</v>
      </c>
      <c r="F327" t="s">
        <v>38</v>
      </c>
      <c r="G327" t="s">
        <v>38</v>
      </c>
      <c r="H327" t="s">
        <v>38</v>
      </c>
      <c r="I327" t="s">
        <v>38</v>
      </c>
      <c r="J327">
        <v>86</v>
      </c>
      <c r="K327">
        <v>76</v>
      </c>
      <c r="L327">
        <v>736</v>
      </c>
      <c r="M327" s="20">
        <v>5542</v>
      </c>
      <c r="N327" s="20">
        <v>1456</v>
      </c>
      <c r="O327" s="20">
        <f t="shared" si="344"/>
        <v>1003</v>
      </c>
      <c r="P327" s="20">
        <v>285</v>
      </c>
      <c r="Q327" s="20">
        <v>18</v>
      </c>
      <c r="R327" s="20">
        <v>150</v>
      </c>
      <c r="S327" s="20">
        <v>541</v>
      </c>
      <c r="T327" s="20">
        <v>50</v>
      </c>
      <c r="U327" s="20">
        <f t="shared" si="345"/>
        <v>3495</v>
      </c>
      <c r="V327">
        <v>1027</v>
      </c>
      <c r="W327">
        <v>79</v>
      </c>
      <c r="X327">
        <v>41</v>
      </c>
      <c r="Y327">
        <v>40</v>
      </c>
      <c r="Z327">
        <v>641</v>
      </c>
      <c r="AA327">
        <v>577</v>
      </c>
      <c r="AB327">
        <v>3.57</v>
      </c>
      <c r="AC327">
        <v>7</v>
      </c>
      <c r="AD327">
        <v>16</v>
      </c>
      <c r="AE327">
        <v>32</v>
      </c>
      <c r="AF327" s="27">
        <f t="shared" ca="1" si="332"/>
        <v>6093</v>
      </c>
      <c r="AG327" s="27">
        <f t="shared" ca="1" si="346"/>
        <v>1580</v>
      </c>
      <c r="AH327" s="27">
        <f t="shared" ca="1" si="347"/>
        <v>1015</v>
      </c>
      <c r="AI327" s="27">
        <f t="shared" ca="1" si="348"/>
        <v>311</v>
      </c>
      <c r="AJ327" s="27">
        <f t="shared" ca="1" si="349"/>
        <v>37</v>
      </c>
      <c r="AK327" s="27">
        <f t="shared" ca="1" si="350"/>
        <v>217</v>
      </c>
      <c r="AL327" s="27">
        <f t="shared" ca="1" si="351"/>
        <v>529</v>
      </c>
      <c r="AM327" s="27">
        <f t="shared" ca="1" si="352"/>
        <v>71</v>
      </c>
      <c r="AN327" s="27">
        <f t="shared" ca="1" si="353"/>
        <v>3913</v>
      </c>
      <c r="AO327">
        <v>4361</v>
      </c>
      <c r="AP327">
        <v>1412</v>
      </c>
      <c r="AQ327">
        <v>133</v>
      </c>
      <c r="AR327">
        <v>477</v>
      </c>
      <c r="AS327">
        <v>1094</v>
      </c>
      <c r="AT327">
        <v>99</v>
      </c>
      <c r="AU327">
        <v>172</v>
      </c>
      <c r="AV327">
        <v>0.98399999999999999</v>
      </c>
      <c r="AW327" s="1"/>
      <c r="AX327" s="1"/>
      <c r="AY327" s="29">
        <f t="shared" si="354"/>
        <v>29700</v>
      </c>
      <c r="AZ327" s="31">
        <f t="shared" si="355"/>
        <v>165353</v>
      </c>
      <c r="BA327" s="31">
        <f t="shared" ref="BA327" si="361">SUMIF($B$2:$B$571,$B327,$T$2:$T$571)</f>
        <v>1549</v>
      </c>
      <c r="BB327" s="30">
        <f t="shared" si="357"/>
        <v>9.3678372935477438E-3</v>
      </c>
    </row>
    <row r="328" spans="2:54" x14ac:dyDescent="0.5">
      <c r="B328" s="4">
        <v>2010</v>
      </c>
      <c r="C328" t="s">
        <v>102</v>
      </c>
      <c r="D328" t="s">
        <v>93</v>
      </c>
      <c r="E328">
        <v>1</v>
      </c>
      <c r="F328" t="s">
        <v>43</v>
      </c>
      <c r="G328" t="s">
        <v>38</v>
      </c>
      <c r="H328" t="s">
        <v>38</v>
      </c>
      <c r="I328" t="s">
        <v>38</v>
      </c>
      <c r="J328">
        <v>96</v>
      </c>
      <c r="K328">
        <v>66</v>
      </c>
      <c r="L328">
        <v>802</v>
      </c>
      <c r="M328" s="20">
        <v>5439</v>
      </c>
      <c r="N328" s="20">
        <v>1343</v>
      </c>
      <c r="O328" s="20">
        <f t="shared" si="344"/>
        <v>851</v>
      </c>
      <c r="P328" s="20">
        <v>295</v>
      </c>
      <c r="Q328" s="20">
        <v>37</v>
      </c>
      <c r="R328" s="20">
        <v>160</v>
      </c>
      <c r="S328" s="20">
        <v>672</v>
      </c>
      <c r="T328" s="20">
        <v>57</v>
      </c>
      <c r="U328" s="20">
        <f t="shared" si="345"/>
        <v>3367</v>
      </c>
      <c r="V328">
        <v>1292</v>
      </c>
      <c r="W328">
        <v>172</v>
      </c>
      <c r="X328">
        <v>47</v>
      </c>
      <c r="Y328">
        <v>57</v>
      </c>
      <c r="Z328">
        <v>649</v>
      </c>
      <c r="AA328">
        <v>611</v>
      </c>
      <c r="AB328">
        <v>3.78</v>
      </c>
      <c r="AC328">
        <v>6</v>
      </c>
      <c r="AD328">
        <v>12</v>
      </c>
      <c r="AE328">
        <v>51</v>
      </c>
      <c r="AF328" s="27">
        <f t="shared" ca="1" si="332"/>
        <v>6483</v>
      </c>
      <c r="AG328" s="27">
        <f t="shared" ca="1" si="346"/>
        <v>1455</v>
      </c>
      <c r="AH328" s="27">
        <f t="shared" ca="1" si="347"/>
        <v>916</v>
      </c>
      <c r="AI328" s="27">
        <f t="shared" ca="1" si="348"/>
        <v>361</v>
      </c>
      <c r="AJ328" s="27">
        <f t="shared" ca="1" si="349"/>
        <v>25</v>
      </c>
      <c r="AK328" s="27">
        <f t="shared" ca="1" si="350"/>
        <v>153</v>
      </c>
      <c r="AL328" s="27">
        <f t="shared" ca="1" si="351"/>
        <v>469</v>
      </c>
      <c r="AM328" s="27">
        <f t="shared" ca="1" si="352"/>
        <v>87</v>
      </c>
      <c r="AN328" s="27">
        <f t="shared" ca="1" si="353"/>
        <v>4472</v>
      </c>
      <c r="AO328">
        <v>4361</v>
      </c>
      <c r="AP328">
        <v>1347</v>
      </c>
      <c r="AQ328">
        <v>175</v>
      </c>
      <c r="AR328">
        <v>478</v>
      </c>
      <c r="AS328">
        <v>1189</v>
      </c>
      <c r="AT328">
        <v>85</v>
      </c>
      <c r="AU328">
        <v>134</v>
      </c>
      <c r="AV328">
        <v>0.98599999999999999</v>
      </c>
      <c r="AW328" s="1"/>
      <c r="AX328" s="1"/>
      <c r="AY328" s="29">
        <f t="shared" si="354"/>
        <v>29700</v>
      </c>
      <c r="AZ328" s="31">
        <f t="shared" si="355"/>
        <v>165353</v>
      </c>
      <c r="BA328" s="31">
        <f t="shared" ref="BA328" si="362">SUMIF($B$2:$B$571,$B328,$U$2:$U$571)</f>
        <v>105472</v>
      </c>
      <c r="BB328" s="30">
        <f t="shared" si="357"/>
        <v>0.63785960944161879</v>
      </c>
    </row>
    <row r="329" spans="2:54" x14ac:dyDescent="0.5">
      <c r="B329" s="4">
        <v>2010</v>
      </c>
      <c r="C329" t="s">
        <v>94</v>
      </c>
      <c r="D329" t="s">
        <v>95</v>
      </c>
      <c r="E329">
        <v>1</v>
      </c>
      <c r="F329" t="s">
        <v>43</v>
      </c>
      <c r="G329" t="s">
        <v>38</v>
      </c>
      <c r="H329" t="s">
        <v>43</v>
      </c>
      <c r="I329" t="s">
        <v>38</v>
      </c>
      <c r="J329">
        <v>90</v>
      </c>
      <c r="K329">
        <v>72</v>
      </c>
      <c r="L329">
        <v>787</v>
      </c>
      <c r="M329" s="20">
        <v>5635</v>
      </c>
      <c r="N329" s="20">
        <v>1556</v>
      </c>
      <c r="O329" s="20">
        <f t="shared" si="344"/>
        <v>1101</v>
      </c>
      <c r="P329" s="20">
        <v>268</v>
      </c>
      <c r="Q329" s="20">
        <v>25</v>
      </c>
      <c r="R329" s="20">
        <v>162</v>
      </c>
      <c r="S329" s="20">
        <v>511</v>
      </c>
      <c r="T329" s="20">
        <v>45</v>
      </c>
      <c r="U329" s="20">
        <f t="shared" si="345"/>
        <v>3523</v>
      </c>
      <c r="V329">
        <v>986</v>
      </c>
      <c r="W329">
        <v>123</v>
      </c>
      <c r="X329">
        <v>48</v>
      </c>
      <c r="Y329">
        <v>54</v>
      </c>
      <c r="Z329">
        <v>687</v>
      </c>
      <c r="AA329">
        <v>636</v>
      </c>
      <c r="AB329">
        <v>3.93</v>
      </c>
      <c r="AC329">
        <v>7</v>
      </c>
      <c r="AD329">
        <v>8</v>
      </c>
      <c r="AE329">
        <v>46</v>
      </c>
      <c r="AF329" s="27">
        <f t="shared" ca="1" si="332"/>
        <v>6121</v>
      </c>
      <c r="AG329" s="27">
        <f t="shared" ca="1" si="346"/>
        <v>1368</v>
      </c>
      <c r="AH329" s="27">
        <f t="shared" ca="1" si="347"/>
        <v>938</v>
      </c>
      <c r="AI329" s="27">
        <f t="shared" ca="1" si="348"/>
        <v>246</v>
      </c>
      <c r="AJ329" s="27">
        <f t="shared" ca="1" si="349"/>
        <v>20</v>
      </c>
      <c r="AK329" s="27">
        <f t="shared" ca="1" si="350"/>
        <v>164</v>
      </c>
      <c r="AL329" s="27">
        <f t="shared" ca="1" si="351"/>
        <v>470</v>
      </c>
      <c r="AM329" s="27">
        <f t="shared" ca="1" si="352"/>
        <v>67</v>
      </c>
      <c r="AN329" s="27">
        <f t="shared" ca="1" si="353"/>
        <v>4216</v>
      </c>
      <c r="AO329">
        <v>4366</v>
      </c>
      <c r="AP329">
        <v>1355</v>
      </c>
      <c r="AQ329">
        <v>162</v>
      </c>
      <c r="AR329">
        <v>551</v>
      </c>
      <c r="AS329">
        <v>1181</v>
      </c>
      <c r="AT329">
        <v>105</v>
      </c>
      <c r="AU329">
        <v>133</v>
      </c>
      <c r="AV329">
        <v>0.98199999999999998</v>
      </c>
      <c r="AW329" s="1"/>
      <c r="AX329" s="1"/>
      <c r="AY329" s="29">
        <f t="shared" si="354"/>
        <v>29700</v>
      </c>
      <c r="AZ329" s="31">
        <f t="shared" si="355"/>
        <v>165353</v>
      </c>
      <c r="BA329" s="31"/>
      <c r="BB329" s="30">
        <f t="shared" si="357"/>
        <v>0</v>
      </c>
    </row>
    <row r="330" spans="2:54" x14ac:dyDescent="0.5">
      <c r="B330" s="4">
        <v>2010</v>
      </c>
      <c r="C330" t="s">
        <v>96</v>
      </c>
      <c r="D330" t="s">
        <v>97</v>
      </c>
      <c r="E330">
        <v>4</v>
      </c>
      <c r="F330" t="s">
        <v>38</v>
      </c>
      <c r="G330" t="s">
        <v>38</v>
      </c>
      <c r="H330" t="s">
        <v>38</v>
      </c>
      <c r="I330" t="s">
        <v>38</v>
      </c>
      <c r="J330">
        <v>85</v>
      </c>
      <c r="K330">
        <v>77</v>
      </c>
      <c r="L330">
        <v>755</v>
      </c>
      <c r="M330" s="20">
        <v>5495</v>
      </c>
      <c r="N330" s="20">
        <v>1364</v>
      </c>
      <c r="O330" s="20">
        <f t="shared" si="344"/>
        <v>767</v>
      </c>
      <c r="P330" s="20">
        <v>319</v>
      </c>
      <c r="Q330" s="20">
        <v>21</v>
      </c>
      <c r="R330" s="20">
        <v>257</v>
      </c>
      <c r="S330" s="20">
        <v>471</v>
      </c>
      <c r="T330" s="20">
        <v>55</v>
      </c>
      <c r="U330" s="20">
        <f t="shared" si="345"/>
        <v>3605</v>
      </c>
      <c r="V330">
        <v>1164</v>
      </c>
      <c r="W330">
        <v>58</v>
      </c>
      <c r="X330">
        <v>20</v>
      </c>
      <c r="Y330">
        <v>34</v>
      </c>
      <c r="Z330">
        <v>728</v>
      </c>
      <c r="AA330">
        <v>676</v>
      </c>
      <c r="AB330">
        <v>4.22</v>
      </c>
      <c r="AC330">
        <v>5</v>
      </c>
      <c r="AD330">
        <v>11</v>
      </c>
      <c r="AE330">
        <v>45</v>
      </c>
      <c r="AF330" s="27">
        <f t="shared" ca="1" si="332"/>
        <v>6202</v>
      </c>
      <c r="AG330" s="27">
        <f t="shared" ca="1" si="346"/>
        <v>1300</v>
      </c>
      <c r="AH330" s="27">
        <f t="shared" ca="1" si="347"/>
        <v>797</v>
      </c>
      <c r="AI330" s="27">
        <f t="shared" ca="1" si="348"/>
        <v>246</v>
      </c>
      <c r="AJ330" s="27">
        <f t="shared" ca="1" si="349"/>
        <v>32</v>
      </c>
      <c r="AK330" s="27">
        <f t="shared" ca="1" si="350"/>
        <v>225</v>
      </c>
      <c r="AL330" s="27">
        <f t="shared" ca="1" si="351"/>
        <v>577</v>
      </c>
      <c r="AM330" s="27">
        <f t="shared" ca="1" si="352"/>
        <v>90</v>
      </c>
      <c r="AN330" s="27">
        <f t="shared" ca="1" si="353"/>
        <v>4235</v>
      </c>
      <c r="AO330">
        <v>4322</v>
      </c>
      <c r="AP330">
        <v>1407</v>
      </c>
      <c r="AQ330">
        <v>150</v>
      </c>
      <c r="AR330">
        <v>539</v>
      </c>
      <c r="AS330">
        <v>1184</v>
      </c>
      <c r="AT330">
        <v>92</v>
      </c>
      <c r="AU330">
        <v>172</v>
      </c>
      <c r="AV330">
        <v>0.98499999999999999</v>
      </c>
      <c r="AW330" s="1"/>
      <c r="AX330" s="1"/>
      <c r="AY330" s="29">
        <f t="shared" si="354"/>
        <v>29700</v>
      </c>
      <c r="AZ330" s="31">
        <f t="shared" si="355"/>
        <v>165353</v>
      </c>
      <c r="BA330" s="31">
        <f t="shared" ref="BA330" si="363">SUMIF($B$2:$B$571,$B330,$O$2:$O$571)</f>
        <v>28589</v>
      </c>
      <c r="BB330" s="30">
        <f t="shared" si="357"/>
        <v>0.17289677235973946</v>
      </c>
    </row>
    <row r="331" spans="2:54" x14ac:dyDescent="0.5">
      <c r="B331" s="4">
        <v>2010</v>
      </c>
      <c r="C331" t="s">
        <v>100</v>
      </c>
      <c r="D331" t="s">
        <v>101</v>
      </c>
      <c r="E331">
        <v>5</v>
      </c>
      <c r="F331" t="s">
        <v>38</v>
      </c>
      <c r="G331" t="s">
        <v>38</v>
      </c>
      <c r="H331" t="s">
        <v>38</v>
      </c>
      <c r="I331" t="s">
        <v>38</v>
      </c>
      <c r="J331">
        <v>69</v>
      </c>
      <c r="K331">
        <v>93</v>
      </c>
      <c r="L331">
        <v>655</v>
      </c>
      <c r="M331" s="20">
        <v>5418</v>
      </c>
      <c r="N331" s="20">
        <v>1355</v>
      </c>
      <c r="O331" s="20">
        <f t="shared" si="344"/>
        <v>925</v>
      </c>
      <c r="P331" s="20">
        <v>250</v>
      </c>
      <c r="Q331" s="20">
        <v>31</v>
      </c>
      <c r="R331" s="20">
        <v>149</v>
      </c>
      <c r="S331" s="20">
        <v>503</v>
      </c>
      <c r="T331" s="20">
        <v>60</v>
      </c>
      <c r="U331" s="20">
        <f t="shared" si="345"/>
        <v>3500</v>
      </c>
      <c r="V331">
        <v>1220</v>
      </c>
      <c r="W331">
        <v>110</v>
      </c>
      <c r="X331">
        <v>41</v>
      </c>
      <c r="Y331">
        <v>47</v>
      </c>
      <c r="Z331">
        <v>742</v>
      </c>
      <c r="AA331">
        <v>658</v>
      </c>
      <c r="AB331">
        <v>4.13</v>
      </c>
      <c r="AC331">
        <v>2</v>
      </c>
      <c r="AD331">
        <v>5</v>
      </c>
      <c r="AE331">
        <v>37</v>
      </c>
      <c r="AF331" s="27">
        <f t="shared" ca="1" si="332"/>
        <v>6245</v>
      </c>
      <c r="AG331" s="27">
        <f t="shared" ca="1" si="346"/>
        <v>1494</v>
      </c>
      <c r="AH331" s="27">
        <f t="shared" ca="1" si="347"/>
        <v>832</v>
      </c>
      <c r="AI331" s="27">
        <f t="shared" ca="1" si="348"/>
        <v>398</v>
      </c>
      <c r="AJ331" s="27">
        <f t="shared" ca="1" si="349"/>
        <v>50</v>
      </c>
      <c r="AK331" s="27">
        <f t="shared" ca="1" si="350"/>
        <v>214</v>
      </c>
      <c r="AL331" s="27">
        <f t="shared" ca="1" si="351"/>
        <v>510</v>
      </c>
      <c r="AM331" s="27">
        <f t="shared" ca="1" si="352"/>
        <v>51</v>
      </c>
      <c r="AN331" s="27">
        <f t="shared" ca="1" si="353"/>
        <v>4190</v>
      </c>
      <c r="AO331">
        <v>4305</v>
      </c>
      <c r="AP331">
        <v>1469</v>
      </c>
      <c r="AQ331">
        <v>151</v>
      </c>
      <c r="AR331">
        <v>512</v>
      </c>
      <c r="AS331">
        <v>1068</v>
      </c>
      <c r="AT331">
        <v>127</v>
      </c>
      <c r="AU331">
        <v>148</v>
      </c>
      <c r="AV331">
        <v>0.97899999999999998</v>
      </c>
      <c r="AW331" s="1"/>
      <c r="AX331" s="1"/>
      <c r="AY331" s="29">
        <f t="shared" si="354"/>
        <v>29700</v>
      </c>
      <c r="AZ331" s="31">
        <f t="shared" si="355"/>
        <v>165353</v>
      </c>
      <c r="BA331" s="31">
        <f t="shared" ref="BA331" si="364">SUMIF($B$2:$B$571,$B331,$P$2:$P$571)</f>
        <v>8486</v>
      </c>
      <c r="BB331" s="30">
        <f t="shared" si="357"/>
        <v>5.1320508245994934E-2</v>
      </c>
    </row>
    <row r="332" spans="2:54" x14ac:dyDescent="0.5">
      <c r="B332" s="4">
        <v>2011</v>
      </c>
      <c r="C332" t="s">
        <v>39</v>
      </c>
      <c r="D332" t="s">
        <v>40</v>
      </c>
      <c r="E332">
        <v>1</v>
      </c>
      <c r="F332" t="s">
        <v>43</v>
      </c>
      <c r="G332" t="s">
        <v>38</v>
      </c>
      <c r="H332" t="s">
        <v>38</v>
      </c>
      <c r="I332" t="s">
        <v>38</v>
      </c>
      <c r="J332">
        <v>94</v>
      </c>
      <c r="K332">
        <v>68</v>
      </c>
      <c r="L332">
        <v>731</v>
      </c>
      <c r="M332" s="20">
        <v>5421</v>
      </c>
      <c r="N332" s="20">
        <v>1357</v>
      </c>
      <c r="O332" s="20">
        <f t="shared" si="344"/>
        <v>855</v>
      </c>
      <c r="P332" s="20">
        <v>293</v>
      </c>
      <c r="Q332" s="20">
        <v>37</v>
      </c>
      <c r="R332" s="20">
        <v>172</v>
      </c>
      <c r="S332" s="20">
        <v>531</v>
      </c>
      <c r="T332" s="20">
        <v>61</v>
      </c>
      <c r="U332" s="20">
        <f t="shared" si="345"/>
        <v>3472</v>
      </c>
      <c r="V332">
        <v>1249</v>
      </c>
      <c r="W332">
        <v>133</v>
      </c>
      <c r="X332">
        <v>55</v>
      </c>
      <c r="Y332">
        <v>33</v>
      </c>
      <c r="Z332">
        <v>662</v>
      </c>
      <c r="AA332">
        <v>609</v>
      </c>
      <c r="AB332">
        <v>3.8</v>
      </c>
      <c r="AC332">
        <v>5</v>
      </c>
      <c r="AD332">
        <v>12</v>
      </c>
      <c r="AE332">
        <v>58</v>
      </c>
      <c r="AF332" s="27">
        <f t="shared" ca="1" si="332"/>
        <v>6216</v>
      </c>
      <c r="AG332" s="27">
        <f t="shared" ca="1" si="346"/>
        <v>1524</v>
      </c>
      <c r="AH332" s="27">
        <f t="shared" ca="1" si="347"/>
        <v>1128</v>
      </c>
      <c r="AI332" s="27">
        <f t="shared" ca="1" si="348"/>
        <v>226</v>
      </c>
      <c r="AJ332" s="27">
        <f t="shared" ca="1" si="349"/>
        <v>39</v>
      </c>
      <c r="AK332" s="27">
        <f t="shared" ca="1" si="350"/>
        <v>131</v>
      </c>
      <c r="AL332" s="27">
        <f t="shared" ca="1" si="351"/>
        <v>451</v>
      </c>
      <c r="AM332" s="27">
        <f t="shared" ca="1" si="352"/>
        <v>37</v>
      </c>
      <c r="AN332" s="27">
        <f t="shared" ca="1" si="353"/>
        <v>4204</v>
      </c>
      <c r="AO332">
        <v>4330</v>
      </c>
      <c r="AP332">
        <v>1414</v>
      </c>
      <c r="AQ332">
        <v>159</v>
      </c>
      <c r="AR332">
        <v>442</v>
      </c>
      <c r="AS332">
        <v>1058</v>
      </c>
      <c r="AT332">
        <v>90</v>
      </c>
      <c r="AU332">
        <v>131</v>
      </c>
      <c r="AV332">
        <v>0.98499999999999999</v>
      </c>
      <c r="AW332" s="1"/>
      <c r="AX332" s="1"/>
      <c r="AY332" s="29">
        <f t="shared" si="354"/>
        <v>29700</v>
      </c>
      <c r="AZ332" s="31">
        <f t="shared" si="355"/>
        <v>165705</v>
      </c>
      <c r="BA332" s="31">
        <f t="shared" ref="BA332" si="365">SUMIF($B$2:$B$571,$B332,$Q$2:$Q$571)</f>
        <v>898</v>
      </c>
      <c r="BB332" s="30">
        <f t="shared" si="357"/>
        <v>5.419269183186989E-3</v>
      </c>
    </row>
    <row r="333" spans="2:54" x14ac:dyDescent="0.5">
      <c r="B333" s="4">
        <v>2011</v>
      </c>
      <c r="C333" t="s">
        <v>41</v>
      </c>
      <c r="D333" t="s">
        <v>42</v>
      </c>
      <c r="E333">
        <v>2</v>
      </c>
      <c r="F333" t="s">
        <v>38</v>
      </c>
      <c r="G333" t="s">
        <v>38</v>
      </c>
      <c r="H333" t="s">
        <v>38</v>
      </c>
      <c r="I333" t="s">
        <v>38</v>
      </c>
      <c r="J333">
        <v>89</v>
      </c>
      <c r="K333">
        <v>73</v>
      </c>
      <c r="L333">
        <v>641</v>
      </c>
      <c r="M333" s="20">
        <v>5528</v>
      </c>
      <c r="N333" s="20">
        <v>1345</v>
      </c>
      <c r="O333" s="20">
        <f t="shared" si="344"/>
        <v>912</v>
      </c>
      <c r="P333" s="20">
        <v>244</v>
      </c>
      <c r="Q333" s="20">
        <v>16</v>
      </c>
      <c r="R333" s="20">
        <v>173</v>
      </c>
      <c r="S333" s="20">
        <v>504</v>
      </c>
      <c r="T333" s="20">
        <v>28</v>
      </c>
      <c r="U333" s="20">
        <f t="shared" si="345"/>
        <v>3651</v>
      </c>
      <c r="V333">
        <v>1260</v>
      </c>
      <c r="W333">
        <v>77</v>
      </c>
      <c r="X333">
        <v>44</v>
      </c>
      <c r="Y333">
        <v>30</v>
      </c>
      <c r="Z333">
        <v>605</v>
      </c>
      <c r="AA333">
        <v>572</v>
      </c>
      <c r="AB333">
        <v>3.48</v>
      </c>
      <c r="AC333">
        <v>3</v>
      </c>
      <c r="AD333">
        <v>16</v>
      </c>
      <c r="AE333">
        <v>52</v>
      </c>
      <c r="AF333" s="27">
        <f t="shared" ca="1" si="332"/>
        <v>6250</v>
      </c>
      <c r="AG333" s="27">
        <f t="shared" ca="1" si="346"/>
        <v>1493</v>
      </c>
      <c r="AH333" s="27">
        <f t="shared" ca="1" si="347"/>
        <v>988</v>
      </c>
      <c r="AI333" s="27">
        <f t="shared" ca="1" si="348"/>
        <v>329</v>
      </c>
      <c r="AJ333" s="27">
        <f t="shared" ca="1" si="349"/>
        <v>35</v>
      </c>
      <c r="AK333" s="27">
        <f t="shared" ca="1" si="350"/>
        <v>141</v>
      </c>
      <c r="AL333" s="27">
        <f t="shared" ca="1" si="351"/>
        <v>640</v>
      </c>
      <c r="AM333" s="27">
        <f t="shared" ca="1" si="352"/>
        <v>39</v>
      </c>
      <c r="AN333" s="27">
        <f t="shared" ca="1" si="353"/>
        <v>4078</v>
      </c>
      <c r="AO333">
        <v>4439</v>
      </c>
      <c r="AP333">
        <v>1332</v>
      </c>
      <c r="AQ333">
        <v>125</v>
      </c>
      <c r="AR333">
        <v>521</v>
      </c>
      <c r="AS333">
        <v>1332</v>
      </c>
      <c r="AT333">
        <v>83</v>
      </c>
      <c r="AU333">
        <v>131</v>
      </c>
      <c r="AV333">
        <v>0.98699999999999999</v>
      </c>
      <c r="AW333" s="1"/>
      <c r="AX333" s="1"/>
      <c r="AY333" s="29">
        <f t="shared" si="354"/>
        <v>29700</v>
      </c>
      <c r="AZ333" s="31">
        <f t="shared" si="355"/>
        <v>165705</v>
      </c>
      <c r="BA333" s="31">
        <f t="shared" ref="BA333" si="366">SUMIF($B$2:$B$571,$B333,$R$2:$R$571)</f>
        <v>4552</v>
      </c>
      <c r="BB333" s="30">
        <f t="shared" si="357"/>
        <v>2.7470504812769681E-2</v>
      </c>
    </row>
    <row r="334" spans="2:54" x14ac:dyDescent="0.5">
      <c r="B334" s="4">
        <v>2011</v>
      </c>
      <c r="C334" t="s">
        <v>44</v>
      </c>
      <c r="D334" t="s">
        <v>45</v>
      </c>
      <c r="E334">
        <v>5</v>
      </c>
      <c r="F334" t="s">
        <v>38</v>
      </c>
      <c r="G334" t="s">
        <v>38</v>
      </c>
      <c r="H334" t="s">
        <v>38</v>
      </c>
      <c r="I334" t="s">
        <v>38</v>
      </c>
      <c r="J334">
        <v>69</v>
      </c>
      <c r="K334">
        <v>93</v>
      </c>
      <c r="L334">
        <v>708</v>
      </c>
      <c r="M334" s="20">
        <v>5585</v>
      </c>
      <c r="N334" s="20">
        <v>1434</v>
      </c>
      <c r="O334" s="20">
        <f t="shared" si="344"/>
        <v>957</v>
      </c>
      <c r="P334" s="20">
        <v>273</v>
      </c>
      <c r="Q334" s="20">
        <v>13</v>
      </c>
      <c r="R334" s="20">
        <v>191</v>
      </c>
      <c r="S334" s="20">
        <v>452</v>
      </c>
      <c r="T334" s="20">
        <v>52</v>
      </c>
      <c r="U334" s="20">
        <f t="shared" si="345"/>
        <v>3647</v>
      </c>
      <c r="V334">
        <v>1120</v>
      </c>
      <c r="W334">
        <v>81</v>
      </c>
      <c r="X334">
        <v>25</v>
      </c>
      <c r="Y334">
        <v>43</v>
      </c>
      <c r="Z334">
        <v>860</v>
      </c>
      <c r="AA334">
        <v>786</v>
      </c>
      <c r="AB334">
        <v>4.8899999999999997</v>
      </c>
      <c r="AC334">
        <v>3</v>
      </c>
      <c r="AD334">
        <v>7</v>
      </c>
      <c r="AE334">
        <v>32</v>
      </c>
      <c r="AF334" s="27">
        <f t="shared" ca="1" si="332"/>
        <v>6128</v>
      </c>
      <c r="AG334" s="27">
        <f t="shared" ca="1" si="346"/>
        <v>1530</v>
      </c>
      <c r="AH334" s="27">
        <f t="shared" ca="1" si="347"/>
        <v>1047</v>
      </c>
      <c r="AI334" s="27">
        <f t="shared" ca="1" si="348"/>
        <v>322</v>
      </c>
      <c r="AJ334" s="27">
        <f t="shared" ca="1" si="349"/>
        <v>26</v>
      </c>
      <c r="AK334" s="27">
        <f t="shared" ca="1" si="350"/>
        <v>135</v>
      </c>
      <c r="AL334" s="27">
        <f t="shared" ca="1" si="351"/>
        <v>432</v>
      </c>
      <c r="AM334" s="27">
        <f t="shared" ca="1" si="352"/>
        <v>81</v>
      </c>
      <c r="AN334" s="27">
        <f t="shared" ca="1" si="353"/>
        <v>4085</v>
      </c>
      <c r="AO334">
        <v>4340</v>
      </c>
      <c r="AP334">
        <v>1568</v>
      </c>
      <c r="AQ334">
        <v>210</v>
      </c>
      <c r="AR334">
        <v>535</v>
      </c>
      <c r="AS334">
        <v>1044</v>
      </c>
      <c r="AT334">
        <v>110</v>
      </c>
      <c r="AU334">
        <v>159</v>
      </c>
      <c r="AV334">
        <v>0.98199999999999998</v>
      </c>
      <c r="AW334" s="1"/>
      <c r="AX334" s="1"/>
      <c r="AY334" s="29">
        <f t="shared" si="354"/>
        <v>29700</v>
      </c>
      <c r="AZ334" s="31">
        <f t="shared" si="355"/>
        <v>165705</v>
      </c>
      <c r="BA334" s="31">
        <f t="shared" ref="BA334" si="367">SUMIF($B$2:$B$571,$B334,$S$2:$S$571)</f>
        <v>15018</v>
      </c>
      <c r="BB334" s="30">
        <f t="shared" si="357"/>
        <v>9.063094052683987E-2</v>
      </c>
    </row>
    <row r="335" spans="2:54" x14ac:dyDescent="0.5">
      <c r="B335" s="4">
        <v>2011</v>
      </c>
      <c r="C335" t="s">
        <v>46</v>
      </c>
      <c r="D335" t="s">
        <v>47</v>
      </c>
      <c r="E335">
        <v>3</v>
      </c>
      <c r="F335" t="s">
        <v>38</v>
      </c>
      <c r="G335" t="s">
        <v>38</v>
      </c>
      <c r="H335" t="s">
        <v>38</v>
      </c>
      <c r="I335" t="s">
        <v>38</v>
      </c>
      <c r="J335">
        <v>90</v>
      </c>
      <c r="K335">
        <v>72</v>
      </c>
      <c r="L335">
        <v>875</v>
      </c>
      <c r="M335" s="20">
        <v>5710</v>
      </c>
      <c r="N335" s="20">
        <v>1600</v>
      </c>
      <c r="O335" s="20">
        <f t="shared" si="344"/>
        <v>1010</v>
      </c>
      <c r="P335" s="20">
        <v>352</v>
      </c>
      <c r="Q335" s="20">
        <v>35</v>
      </c>
      <c r="R335" s="20">
        <v>203</v>
      </c>
      <c r="S335" s="20">
        <v>578</v>
      </c>
      <c r="T335" s="20">
        <v>50</v>
      </c>
      <c r="U335" s="20">
        <f t="shared" si="345"/>
        <v>3482</v>
      </c>
      <c r="V335">
        <v>1108</v>
      </c>
      <c r="W335">
        <v>102</v>
      </c>
      <c r="X335">
        <v>42</v>
      </c>
      <c r="Y335">
        <v>50</v>
      </c>
      <c r="Z335">
        <v>737</v>
      </c>
      <c r="AA335">
        <v>680</v>
      </c>
      <c r="AB335">
        <v>4.2</v>
      </c>
      <c r="AC335">
        <v>2</v>
      </c>
      <c r="AD335">
        <v>13</v>
      </c>
      <c r="AE335">
        <v>36</v>
      </c>
      <c r="AF335" s="27">
        <f t="shared" ca="1" si="332"/>
        <v>6117</v>
      </c>
      <c r="AG335" s="27">
        <f t="shared" ca="1" si="346"/>
        <v>1464</v>
      </c>
      <c r="AH335" s="27">
        <f t="shared" ca="1" si="347"/>
        <v>996</v>
      </c>
      <c r="AI335" s="27">
        <f t="shared" ca="1" si="348"/>
        <v>259</v>
      </c>
      <c r="AJ335" s="27">
        <f t="shared" ca="1" si="349"/>
        <v>41</v>
      </c>
      <c r="AK335" s="27">
        <f t="shared" ca="1" si="350"/>
        <v>168</v>
      </c>
      <c r="AL335" s="27">
        <f t="shared" ca="1" si="351"/>
        <v>665</v>
      </c>
      <c r="AM335" s="27">
        <f t="shared" ca="1" si="352"/>
        <v>37</v>
      </c>
      <c r="AN335" s="27">
        <f t="shared" ca="1" si="353"/>
        <v>3951</v>
      </c>
      <c r="AO335">
        <v>4372</v>
      </c>
      <c r="AP335">
        <v>1366</v>
      </c>
      <c r="AQ335">
        <v>156</v>
      </c>
      <c r="AR335">
        <v>540</v>
      </c>
      <c r="AS335">
        <v>1213</v>
      </c>
      <c r="AT335">
        <v>92</v>
      </c>
      <c r="AU335">
        <v>120</v>
      </c>
      <c r="AV335">
        <v>0.98499999999999999</v>
      </c>
      <c r="AW335" s="1"/>
      <c r="AX335" s="1"/>
      <c r="AY335" s="29">
        <f t="shared" si="354"/>
        <v>29700</v>
      </c>
      <c r="AZ335" s="31">
        <f t="shared" si="355"/>
        <v>165705</v>
      </c>
      <c r="BA335" s="31">
        <f t="shared" ref="BA335" si="368">SUMIF($B$2:$B$571,$B335,$T$2:$T$571)</f>
        <v>1554</v>
      </c>
      <c r="BB335" s="30">
        <f t="shared" si="357"/>
        <v>9.3781117045351678E-3</v>
      </c>
    </row>
    <row r="336" spans="2:54" x14ac:dyDescent="0.5">
      <c r="B336" s="4">
        <v>2011</v>
      </c>
      <c r="C336" t="s">
        <v>48</v>
      </c>
      <c r="D336" t="s">
        <v>49</v>
      </c>
      <c r="E336">
        <v>3</v>
      </c>
      <c r="F336" t="s">
        <v>38</v>
      </c>
      <c r="G336" t="s">
        <v>38</v>
      </c>
      <c r="H336" t="s">
        <v>38</v>
      </c>
      <c r="I336" t="s">
        <v>38</v>
      </c>
      <c r="J336">
        <v>79</v>
      </c>
      <c r="K336">
        <v>83</v>
      </c>
      <c r="L336">
        <v>654</v>
      </c>
      <c r="M336" s="20">
        <v>5502</v>
      </c>
      <c r="N336" s="20">
        <v>1387</v>
      </c>
      <c r="O336" s="20">
        <f t="shared" si="344"/>
        <v>965</v>
      </c>
      <c r="P336" s="20">
        <v>252</v>
      </c>
      <c r="Q336" s="20">
        <v>16</v>
      </c>
      <c r="R336" s="20">
        <v>154</v>
      </c>
      <c r="S336" s="20">
        <v>475</v>
      </c>
      <c r="T336" s="20">
        <v>84</v>
      </c>
      <c r="U336" s="20">
        <f t="shared" si="345"/>
        <v>3556</v>
      </c>
      <c r="V336">
        <v>989</v>
      </c>
      <c r="W336">
        <v>81</v>
      </c>
      <c r="X336">
        <v>53</v>
      </c>
      <c r="Y336">
        <v>46</v>
      </c>
      <c r="Z336">
        <v>706</v>
      </c>
      <c r="AA336">
        <v>665</v>
      </c>
      <c r="AB336">
        <v>4.0999999999999996</v>
      </c>
      <c r="AC336">
        <v>6</v>
      </c>
      <c r="AD336">
        <v>14</v>
      </c>
      <c r="AE336">
        <v>42</v>
      </c>
      <c r="AF336" s="27">
        <f t="shared" ca="1" si="332"/>
        <v>6205</v>
      </c>
      <c r="AG336" s="27">
        <f t="shared" ca="1" si="346"/>
        <v>1576</v>
      </c>
      <c r="AH336" s="27">
        <f t="shared" ca="1" si="347"/>
        <v>1002</v>
      </c>
      <c r="AI336" s="27">
        <f t="shared" ca="1" si="348"/>
        <v>376</v>
      </c>
      <c r="AJ336" s="27">
        <f t="shared" ca="1" si="349"/>
        <v>25</v>
      </c>
      <c r="AK336" s="27">
        <f t="shared" ca="1" si="350"/>
        <v>173</v>
      </c>
      <c r="AL336" s="27">
        <f t="shared" ca="1" si="351"/>
        <v>550</v>
      </c>
      <c r="AM336" s="27">
        <f t="shared" ca="1" si="352"/>
        <v>35</v>
      </c>
      <c r="AN336" s="27">
        <f t="shared" ca="1" si="353"/>
        <v>4044</v>
      </c>
      <c r="AO336">
        <v>4380</v>
      </c>
      <c r="AP336">
        <v>1463</v>
      </c>
      <c r="AQ336">
        <v>147</v>
      </c>
      <c r="AR336">
        <v>439</v>
      </c>
      <c r="AS336">
        <v>1220</v>
      </c>
      <c r="AT336">
        <v>79</v>
      </c>
      <c r="AU336">
        <v>129</v>
      </c>
      <c r="AV336">
        <v>0.98699999999999999</v>
      </c>
      <c r="AW336" s="1"/>
      <c r="AX336" s="1"/>
      <c r="AY336" s="29">
        <f t="shared" si="354"/>
        <v>29700</v>
      </c>
      <c r="AZ336" s="31">
        <f t="shared" si="355"/>
        <v>165705</v>
      </c>
      <c r="BA336" s="31">
        <f t="shared" ref="BA336" si="369">SUMIF($B$2:$B$571,$B336,$U$2:$U$571)</f>
        <v>106866</v>
      </c>
      <c r="BB336" s="30">
        <f t="shared" si="357"/>
        <v>0.64491717208291843</v>
      </c>
    </row>
    <row r="337" spans="2:54" x14ac:dyDescent="0.5">
      <c r="B337" s="4">
        <v>2011</v>
      </c>
      <c r="C337" t="s">
        <v>50</v>
      </c>
      <c r="D337" t="s">
        <v>51</v>
      </c>
      <c r="E337">
        <v>5</v>
      </c>
      <c r="F337" t="s">
        <v>38</v>
      </c>
      <c r="G337" t="s">
        <v>38</v>
      </c>
      <c r="H337" t="s">
        <v>38</v>
      </c>
      <c r="I337" t="s">
        <v>38</v>
      </c>
      <c r="J337">
        <v>71</v>
      </c>
      <c r="K337">
        <v>91</v>
      </c>
      <c r="L337">
        <v>654</v>
      </c>
      <c r="M337" s="20">
        <v>5549</v>
      </c>
      <c r="N337" s="20">
        <v>1423</v>
      </c>
      <c r="O337" s="20">
        <f t="shared" si="344"/>
        <v>954</v>
      </c>
      <c r="P337" s="20">
        <v>285</v>
      </c>
      <c r="Q337" s="20">
        <v>36</v>
      </c>
      <c r="R337" s="20">
        <v>148</v>
      </c>
      <c r="S337" s="20">
        <v>425</v>
      </c>
      <c r="T337" s="20">
        <v>59</v>
      </c>
      <c r="U337" s="20">
        <f t="shared" si="345"/>
        <v>3642</v>
      </c>
      <c r="V337">
        <v>1202</v>
      </c>
      <c r="W337">
        <v>69</v>
      </c>
      <c r="X337">
        <v>23</v>
      </c>
      <c r="Y337">
        <v>35</v>
      </c>
      <c r="Z337">
        <v>756</v>
      </c>
      <c r="AA337">
        <v>690</v>
      </c>
      <c r="AB337">
        <v>4.33</v>
      </c>
      <c r="AC337">
        <v>4</v>
      </c>
      <c r="AD337">
        <v>5</v>
      </c>
      <c r="AE337">
        <v>40</v>
      </c>
      <c r="AF337" s="27">
        <f t="shared" ca="1" si="332"/>
        <v>6403</v>
      </c>
      <c r="AG337" s="27">
        <f t="shared" ca="1" si="346"/>
        <v>1517</v>
      </c>
      <c r="AH337" s="27">
        <f t="shared" ca="1" si="347"/>
        <v>896</v>
      </c>
      <c r="AI337" s="27">
        <f t="shared" ca="1" si="348"/>
        <v>347</v>
      </c>
      <c r="AJ337" s="27">
        <f t="shared" ca="1" si="349"/>
        <v>39</v>
      </c>
      <c r="AK337" s="27">
        <f t="shared" ca="1" si="350"/>
        <v>235</v>
      </c>
      <c r="AL337" s="27">
        <f t="shared" ca="1" si="351"/>
        <v>616</v>
      </c>
      <c r="AM337" s="27">
        <f t="shared" ca="1" si="352"/>
        <v>83</v>
      </c>
      <c r="AN337" s="27">
        <f t="shared" ca="1" si="353"/>
        <v>4187</v>
      </c>
      <c r="AO337">
        <v>4303</v>
      </c>
      <c r="AP337">
        <v>1439</v>
      </c>
      <c r="AQ337">
        <v>162</v>
      </c>
      <c r="AR337">
        <v>580</v>
      </c>
      <c r="AS337">
        <v>1224</v>
      </c>
      <c r="AT337">
        <v>134</v>
      </c>
      <c r="AU337">
        <v>128</v>
      </c>
      <c r="AV337">
        <v>0.97799999999999998</v>
      </c>
      <c r="AW337" s="1"/>
      <c r="AX337" s="1"/>
      <c r="AY337" s="29">
        <f t="shared" si="354"/>
        <v>29700</v>
      </c>
      <c r="AZ337" s="31">
        <f t="shared" si="355"/>
        <v>165705</v>
      </c>
      <c r="BA337" s="31"/>
      <c r="BB337" s="30">
        <f t="shared" si="357"/>
        <v>0</v>
      </c>
    </row>
    <row r="338" spans="2:54" x14ac:dyDescent="0.5">
      <c r="B338" s="4">
        <v>2011</v>
      </c>
      <c r="C338" t="s">
        <v>52</v>
      </c>
      <c r="D338" t="s">
        <v>53</v>
      </c>
      <c r="E338">
        <v>3</v>
      </c>
      <c r="F338" t="s">
        <v>38</v>
      </c>
      <c r="G338" t="s">
        <v>38</v>
      </c>
      <c r="H338" t="s">
        <v>38</v>
      </c>
      <c r="I338" t="s">
        <v>38</v>
      </c>
      <c r="J338">
        <v>79</v>
      </c>
      <c r="K338">
        <v>83</v>
      </c>
      <c r="L338">
        <v>735</v>
      </c>
      <c r="M338" s="20">
        <v>5612</v>
      </c>
      <c r="N338" s="20">
        <v>1438</v>
      </c>
      <c r="O338" s="20">
        <f t="shared" si="344"/>
        <v>972</v>
      </c>
      <c r="P338" s="20">
        <v>264</v>
      </c>
      <c r="Q338" s="20">
        <v>19</v>
      </c>
      <c r="R338" s="20">
        <v>183</v>
      </c>
      <c r="S338" s="20">
        <v>535</v>
      </c>
      <c r="T338" s="20">
        <v>63</v>
      </c>
      <c r="U338" s="20">
        <f t="shared" si="345"/>
        <v>3576</v>
      </c>
      <c r="V338">
        <v>1250</v>
      </c>
      <c r="W338">
        <v>97</v>
      </c>
      <c r="X338">
        <v>50</v>
      </c>
      <c r="Y338">
        <v>40</v>
      </c>
      <c r="Z338">
        <v>720</v>
      </c>
      <c r="AA338">
        <v>678</v>
      </c>
      <c r="AB338">
        <v>4.16</v>
      </c>
      <c r="AC338">
        <v>4</v>
      </c>
      <c r="AD338">
        <v>5</v>
      </c>
      <c r="AE338">
        <v>39</v>
      </c>
      <c r="AF338" s="27">
        <f t="shared" ca="1" si="332"/>
        <v>6375</v>
      </c>
      <c r="AG338" s="27">
        <f t="shared" ca="1" si="346"/>
        <v>1604</v>
      </c>
      <c r="AH338" s="27">
        <f t="shared" ca="1" si="347"/>
        <v>1054</v>
      </c>
      <c r="AI338" s="27">
        <f t="shared" ca="1" si="348"/>
        <v>371</v>
      </c>
      <c r="AJ338" s="27">
        <f t="shared" ca="1" si="349"/>
        <v>46</v>
      </c>
      <c r="AK338" s="27">
        <f t="shared" ca="1" si="350"/>
        <v>133</v>
      </c>
      <c r="AL338" s="27">
        <f t="shared" ca="1" si="351"/>
        <v>465</v>
      </c>
      <c r="AM338" s="27">
        <f t="shared" ca="1" si="352"/>
        <v>34</v>
      </c>
      <c r="AN338" s="27">
        <f t="shared" ca="1" si="353"/>
        <v>4272</v>
      </c>
      <c r="AO338">
        <v>4403</v>
      </c>
      <c r="AP338">
        <v>1414</v>
      </c>
      <c r="AQ338">
        <v>185</v>
      </c>
      <c r="AR338">
        <v>539</v>
      </c>
      <c r="AS338">
        <v>1112</v>
      </c>
      <c r="AT338">
        <v>91</v>
      </c>
      <c r="AU338">
        <v>146</v>
      </c>
      <c r="AV338">
        <v>0.98499999999999999</v>
      </c>
      <c r="AW338" s="1"/>
      <c r="AX338" s="1"/>
      <c r="AY338" s="29">
        <f t="shared" si="354"/>
        <v>29700</v>
      </c>
      <c r="AZ338" s="31">
        <f t="shared" si="355"/>
        <v>165705</v>
      </c>
      <c r="BA338" s="31">
        <f t="shared" ref="BA338" si="370">SUMIF($B$2:$B$571,$B338,$O$2:$O$571)</f>
        <v>28418</v>
      </c>
      <c r="BB338" s="30">
        <f t="shared" si="357"/>
        <v>0.17149754081047644</v>
      </c>
    </row>
    <row r="339" spans="2:54" x14ac:dyDescent="0.5">
      <c r="B339" s="4">
        <v>2011</v>
      </c>
      <c r="C339" t="s">
        <v>54</v>
      </c>
      <c r="D339" t="s">
        <v>55</v>
      </c>
      <c r="E339">
        <v>2</v>
      </c>
      <c r="F339" t="s">
        <v>38</v>
      </c>
      <c r="G339" t="s">
        <v>38</v>
      </c>
      <c r="H339" t="s">
        <v>38</v>
      </c>
      <c r="I339" t="s">
        <v>38</v>
      </c>
      <c r="J339">
        <v>80</v>
      </c>
      <c r="K339">
        <v>82</v>
      </c>
      <c r="L339">
        <v>704</v>
      </c>
      <c r="M339" s="20">
        <v>5509</v>
      </c>
      <c r="N339" s="20">
        <v>1380</v>
      </c>
      <c r="O339" s="20">
        <f t="shared" si="344"/>
        <v>910</v>
      </c>
      <c r="P339" s="20">
        <v>290</v>
      </c>
      <c r="Q339" s="20">
        <v>26</v>
      </c>
      <c r="R339" s="20">
        <v>154</v>
      </c>
      <c r="S339" s="20">
        <v>494</v>
      </c>
      <c r="T339" s="20">
        <v>65</v>
      </c>
      <c r="U339" s="20">
        <f t="shared" si="345"/>
        <v>3570</v>
      </c>
      <c r="V339">
        <v>1269</v>
      </c>
      <c r="W339">
        <v>89</v>
      </c>
      <c r="X339">
        <v>42</v>
      </c>
      <c r="Y339">
        <v>43</v>
      </c>
      <c r="Z339">
        <v>760</v>
      </c>
      <c r="AA339">
        <v>683</v>
      </c>
      <c r="AB339">
        <v>4.2300000000000004</v>
      </c>
      <c r="AC339">
        <v>2</v>
      </c>
      <c r="AD339">
        <v>4</v>
      </c>
      <c r="AE339">
        <v>38</v>
      </c>
      <c r="AF339" s="27">
        <f t="shared" ca="1" si="332"/>
        <v>6107</v>
      </c>
      <c r="AG339" s="27">
        <f t="shared" ca="1" si="346"/>
        <v>1434</v>
      </c>
      <c r="AH339" s="27">
        <f t="shared" ca="1" si="347"/>
        <v>833</v>
      </c>
      <c r="AI339" s="27">
        <f t="shared" ca="1" si="348"/>
        <v>384</v>
      </c>
      <c r="AJ339" s="27">
        <f t="shared" ca="1" si="349"/>
        <v>20</v>
      </c>
      <c r="AK339" s="27">
        <f t="shared" ca="1" si="350"/>
        <v>197</v>
      </c>
      <c r="AL339" s="27">
        <f t="shared" ca="1" si="351"/>
        <v>516</v>
      </c>
      <c r="AM339" s="27">
        <f t="shared" ca="1" si="352"/>
        <v>30</v>
      </c>
      <c r="AN339" s="27">
        <f t="shared" ca="1" si="353"/>
        <v>4127</v>
      </c>
      <c r="AO339">
        <v>4360</v>
      </c>
      <c r="AP339">
        <v>1482</v>
      </c>
      <c r="AQ339">
        <v>153</v>
      </c>
      <c r="AR339">
        <v>463</v>
      </c>
      <c r="AS339">
        <v>1024</v>
      </c>
      <c r="AT339">
        <v>110</v>
      </c>
      <c r="AU339">
        <v>130</v>
      </c>
      <c r="AV339">
        <v>0.98199999999999998</v>
      </c>
      <c r="AW339" s="1"/>
      <c r="AX339" s="1"/>
      <c r="AY339" s="29">
        <f t="shared" si="354"/>
        <v>29700</v>
      </c>
      <c r="AZ339" s="31">
        <f t="shared" si="355"/>
        <v>165705</v>
      </c>
      <c r="BA339" s="31">
        <f t="shared" ref="BA339" si="371">SUMIF($B$2:$B$571,$B339,$P$2:$P$571)</f>
        <v>8399</v>
      </c>
      <c r="BB339" s="30">
        <f t="shared" si="357"/>
        <v>5.0686460879273407E-2</v>
      </c>
    </row>
    <row r="340" spans="2:54" x14ac:dyDescent="0.5">
      <c r="B340" s="4">
        <v>2011</v>
      </c>
      <c r="C340" t="s">
        <v>56</v>
      </c>
      <c r="D340" t="s">
        <v>57</v>
      </c>
      <c r="E340">
        <v>4</v>
      </c>
      <c r="F340" t="s">
        <v>38</v>
      </c>
      <c r="G340" t="s">
        <v>38</v>
      </c>
      <c r="H340" t="s">
        <v>38</v>
      </c>
      <c r="I340" t="s">
        <v>38</v>
      </c>
      <c r="J340">
        <v>73</v>
      </c>
      <c r="K340">
        <v>89</v>
      </c>
      <c r="L340">
        <v>735</v>
      </c>
      <c r="M340" s="20">
        <v>5544</v>
      </c>
      <c r="N340" s="20">
        <v>1429</v>
      </c>
      <c r="O340" s="20">
        <f t="shared" si="344"/>
        <v>952</v>
      </c>
      <c r="P340" s="20">
        <v>274</v>
      </c>
      <c r="Q340" s="20">
        <v>40</v>
      </c>
      <c r="R340" s="20">
        <v>163</v>
      </c>
      <c r="S340" s="20">
        <v>555</v>
      </c>
      <c r="T340" s="20">
        <v>57</v>
      </c>
      <c r="U340" s="20">
        <f t="shared" si="345"/>
        <v>3503</v>
      </c>
      <c r="V340">
        <v>1201</v>
      </c>
      <c r="W340">
        <v>118</v>
      </c>
      <c r="X340">
        <v>42</v>
      </c>
      <c r="Y340">
        <v>44</v>
      </c>
      <c r="Z340">
        <v>774</v>
      </c>
      <c r="AA340">
        <v>713</v>
      </c>
      <c r="AB340">
        <v>4.43</v>
      </c>
      <c r="AC340">
        <v>5</v>
      </c>
      <c r="AD340">
        <v>7</v>
      </c>
      <c r="AE340">
        <v>41</v>
      </c>
      <c r="AF340" s="27">
        <f t="shared" ca="1" si="332"/>
        <v>6148</v>
      </c>
      <c r="AG340" s="27">
        <f t="shared" ca="1" si="346"/>
        <v>1509</v>
      </c>
      <c r="AH340" s="27">
        <f t="shared" ca="1" si="347"/>
        <v>1076</v>
      </c>
      <c r="AI340" s="27">
        <f t="shared" ca="1" si="348"/>
        <v>258</v>
      </c>
      <c r="AJ340" s="27">
        <f t="shared" ca="1" si="349"/>
        <v>24</v>
      </c>
      <c r="AK340" s="27">
        <f t="shared" ca="1" si="350"/>
        <v>151</v>
      </c>
      <c r="AL340" s="27">
        <f t="shared" ca="1" si="351"/>
        <v>678</v>
      </c>
      <c r="AM340" s="27">
        <f t="shared" ca="1" si="352"/>
        <v>38</v>
      </c>
      <c r="AN340" s="27">
        <f t="shared" ca="1" si="353"/>
        <v>3923</v>
      </c>
      <c r="AO340">
        <v>4343</v>
      </c>
      <c r="AP340">
        <v>1471</v>
      </c>
      <c r="AQ340">
        <v>176</v>
      </c>
      <c r="AR340">
        <v>522</v>
      </c>
      <c r="AS340">
        <v>1118</v>
      </c>
      <c r="AT340">
        <v>98</v>
      </c>
      <c r="AU340">
        <v>156</v>
      </c>
      <c r="AV340">
        <v>0.98399999999999999</v>
      </c>
      <c r="AW340" s="1"/>
      <c r="AX340" s="1"/>
      <c r="AY340" s="29">
        <f t="shared" si="354"/>
        <v>29700</v>
      </c>
      <c r="AZ340" s="31">
        <f t="shared" si="355"/>
        <v>165705</v>
      </c>
      <c r="BA340" s="31">
        <f t="shared" ref="BA340" si="372">SUMIF($B$2:$B$571,$B340,$Q$2:$Q$571)</f>
        <v>898</v>
      </c>
      <c r="BB340" s="30">
        <f t="shared" si="357"/>
        <v>5.419269183186989E-3</v>
      </c>
    </row>
    <row r="341" spans="2:54" x14ac:dyDescent="0.5">
      <c r="B341" s="4">
        <v>2011</v>
      </c>
      <c r="C341" t="s">
        <v>58</v>
      </c>
      <c r="D341" t="s">
        <v>59</v>
      </c>
      <c r="E341">
        <v>1</v>
      </c>
      <c r="F341" t="s">
        <v>43</v>
      </c>
      <c r="G341" t="s">
        <v>38</v>
      </c>
      <c r="H341" t="s">
        <v>38</v>
      </c>
      <c r="I341" t="s">
        <v>38</v>
      </c>
      <c r="J341">
        <v>95</v>
      </c>
      <c r="K341">
        <v>67</v>
      </c>
      <c r="L341">
        <v>787</v>
      </c>
      <c r="M341" s="20">
        <v>5563</v>
      </c>
      <c r="N341" s="20">
        <v>1540</v>
      </c>
      <c r="O341" s="20">
        <f t="shared" si="344"/>
        <v>1040</v>
      </c>
      <c r="P341" s="20">
        <v>297</v>
      </c>
      <c r="Q341" s="20">
        <v>34</v>
      </c>
      <c r="R341" s="20">
        <v>169</v>
      </c>
      <c r="S341" s="20">
        <v>521</v>
      </c>
      <c r="T341" s="20">
        <v>39</v>
      </c>
      <c r="U341" s="20">
        <f t="shared" si="345"/>
        <v>3463</v>
      </c>
      <c r="V341">
        <v>1143</v>
      </c>
      <c r="W341">
        <v>49</v>
      </c>
      <c r="X341">
        <v>20</v>
      </c>
      <c r="Y341">
        <v>58</v>
      </c>
      <c r="Z341">
        <v>711</v>
      </c>
      <c r="AA341">
        <v>647</v>
      </c>
      <c r="AB341">
        <v>4.04</v>
      </c>
      <c r="AC341">
        <v>4</v>
      </c>
      <c r="AD341">
        <v>14</v>
      </c>
      <c r="AE341">
        <v>52</v>
      </c>
      <c r="AF341" s="27">
        <f t="shared" ca="1" si="332"/>
        <v>6423</v>
      </c>
      <c r="AG341" s="27">
        <f t="shared" ca="1" si="346"/>
        <v>1420</v>
      </c>
      <c r="AH341" s="27">
        <f t="shared" ca="1" si="347"/>
        <v>816</v>
      </c>
      <c r="AI341" s="27">
        <f t="shared" ca="1" si="348"/>
        <v>374</v>
      </c>
      <c r="AJ341" s="27">
        <f t="shared" ca="1" si="349"/>
        <v>50</v>
      </c>
      <c r="AK341" s="27">
        <f t="shared" ca="1" si="350"/>
        <v>180</v>
      </c>
      <c r="AL341" s="27">
        <f t="shared" ca="1" si="351"/>
        <v>658</v>
      </c>
      <c r="AM341" s="27">
        <f t="shared" ca="1" si="352"/>
        <v>64</v>
      </c>
      <c r="AN341" s="27">
        <f t="shared" ca="1" si="353"/>
        <v>4281</v>
      </c>
      <c r="AO341">
        <v>4320</v>
      </c>
      <c r="AP341">
        <v>1406</v>
      </c>
      <c r="AQ341">
        <v>149</v>
      </c>
      <c r="AR341">
        <v>492</v>
      </c>
      <c r="AS341">
        <v>1115</v>
      </c>
      <c r="AT341">
        <v>103</v>
      </c>
      <c r="AU341">
        <v>148</v>
      </c>
      <c r="AV341">
        <v>0.98299999999999998</v>
      </c>
      <c r="AW341" s="1"/>
      <c r="AX341" s="1"/>
      <c r="AY341" s="29">
        <f t="shared" si="354"/>
        <v>29700</v>
      </c>
      <c r="AZ341" s="31">
        <f t="shared" si="355"/>
        <v>165705</v>
      </c>
      <c r="BA341" s="31">
        <f t="shared" ref="BA341" si="373">SUMIF($B$2:$B$571,$B341,$R$2:$R$571)</f>
        <v>4552</v>
      </c>
      <c r="BB341" s="30">
        <f t="shared" si="357"/>
        <v>2.7470504812769681E-2</v>
      </c>
    </row>
    <row r="342" spans="2:54" x14ac:dyDescent="0.5">
      <c r="B342" s="4">
        <v>2011</v>
      </c>
      <c r="C342" t="s">
        <v>60</v>
      </c>
      <c r="D342" t="s">
        <v>61</v>
      </c>
      <c r="E342">
        <v>5</v>
      </c>
      <c r="F342" t="s">
        <v>38</v>
      </c>
      <c r="G342" t="s">
        <v>38</v>
      </c>
      <c r="H342" t="s">
        <v>38</v>
      </c>
      <c r="I342" t="s">
        <v>38</v>
      </c>
      <c r="J342">
        <v>72</v>
      </c>
      <c r="K342">
        <v>90</v>
      </c>
      <c r="L342">
        <v>625</v>
      </c>
      <c r="M342" s="20">
        <v>5508</v>
      </c>
      <c r="N342" s="20">
        <v>1358</v>
      </c>
      <c r="O342" s="20">
        <f t="shared" si="344"/>
        <v>905</v>
      </c>
      <c r="P342" s="20">
        <v>274</v>
      </c>
      <c r="Q342" s="20">
        <v>30</v>
      </c>
      <c r="R342" s="20">
        <v>149</v>
      </c>
      <c r="S342" s="20">
        <v>542</v>
      </c>
      <c r="T342" s="20">
        <v>51</v>
      </c>
      <c r="U342" s="20">
        <f t="shared" si="345"/>
        <v>3557</v>
      </c>
      <c r="V342">
        <v>1244</v>
      </c>
      <c r="W342">
        <v>95</v>
      </c>
      <c r="X342">
        <v>41</v>
      </c>
      <c r="Y342">
        <v>42</v>
      </c>
      <c r="Z342">
        <v>702</v>
      </c>
      <c r="AA342">
        <v>640</v>
      </c>
      <c r="AB342">
        <v>3.95</v>
      </c>
      <c r="AC342">
        <v>7</v>
      </c>
      <c r="AD342">
        <v>11</v>
      </c>
      <c r="AE342">
        <v>40</v>
      </c>
      <c r="AF342" s="27">
        <f t="shared" ca="1" si="332"/>
        <v>6348</v>
      </c>
      <c r="AG342" s="27">
        <f t="shared" ca="1" si="346"/>
        <v>1327</v>
      </c>
      <c r="AH342" s="27">
        <f t="shared" ca="1" si="347"/>
        <v>849</v>
      </c>
      <c r="AI342" s="27">
        <f t="shared" ca="1" si="348"/>
        <v>229</v>
      </c>
      <c r="AJ342" s="27">
        <f t="shared" ca="1" si="349"/>
        <v>33</v>
      </c>
      <c r="AK342" s="27">
        <f t="shared" ca="1" si="350"/>
        <v>216</v>
      </c>
      <c r="AL342" s="27">
        <f t="shared" ca="1" si="351"/>
        <v>545</v>
      </c>
      <c r="AM342" s="27">
        <f t="shared" ca="1" si="352"/>
        <v>78</v>
      </c>
      <c r="AN342" s="27">
        <f t="shared" ca="1" si="353"/>
        <v>4398</v>
      </c>
      <c r="AO342">
        <v>4379</v>
      </c>
      <c r="AP342">
        <v>1403</v>
      </c>
      <c r="AQ342">
        <v>149</v>
      </c>
      <c r="AR342">
        <v>500</v>
      </c>
      <c r="AS342">
        <v>1218</v>
      </c>
      <c r="AT342">
        <v>93</v>
      </c>
      <c r="AU342">
        <v>126</v>
      </c>
      <c r="AV342">
        <v>0.98499999999999999</v>
      </c>
      <c r="AW342" s="1"/>
      <c r="AX342" s="1"/>
      <c r="AY342" s="29">
        <f t="shared" si="354"/>
        <v>29700</v>
      </c>
      <c r="AZ342" s="31">
        <f t="shared" si="355"/>
        <v>165705</v>
      </c>
      <c r="BA342" s="31">
        <f t="shared" ref="BA342" si="374">SUMIF($B$2:$B$571,$B342,$S$2:$S$571)</f>
        <v>15018</v>
      </c>
      <c r="BB342" s="30">
        <f t="shared" si="357"/>
        <v>9.063094052683987E-2</v>
      </c>
    </row>
    <row r="343" spans="2:54" x14ac:dyDescent="0.5">
      <c r="B343" s="4">
        <v>2011</v>
      </c>
      <c r="C343" t="s">
        <v>62</v>
      </c>
      <c r="D343" t="s">
        <v>63</v>
      </c>
      <c r="E343">
        <v>6</v>
      </c>
      <c r="F343" t="s">
        <v>38</v>
      </c>
      <c r="G343" t="s">
        <v>38</v>
      </c>
      <c r="H343" t="s">
        <v>38</v>
      </c>
      <c r="I343" t="s">
        <v>38</v>
      </c>
      <c r="J343">
        <v>56</v>
      </c>
      <c r="K343">
        <v>106</v>
      </c>
      <c r="L343">
        <v>615</v>
      </c>
      <c r="M343" s="20">
        <v>5598</v>
      </c>
      <c r="N343" s="20">
        <v>1442</v>
      </c>
      <c r="O343" s="20">
        <f t="shared" si="344"/>
        <v>1010</v>
      </c>
      <c r="P343" s="20">
        <v>309</v>
      </c>
      <c r="Q343" s="20">
        <v>28</v>
      </c>
      <c r="R343" s="20">
        <v>95</v>
      </c>
      <c r="S343" s="20">
        <v>401</v>
      </c>
      <c r="T343" s="20">
        <v>46</v>
      </c>
      <c r="U343" s="20">
        <f t="shared" si="345"/>
        <v>3709</v>
      </c>
      <c r="V343">
        <v>1164</v>
      </c>
      <c r="W343">
        <v>118</v>
      </c>
      <c r="X343">
        <v>33</v>
      </c>
      <c r="Y343">
        <v>37</v>
      </c>
      <c r="Z343">
        <v>796</v>
      </c>
      <c r="AA343">
        <v>719</v>
      </c>
      <c r="AB343">
        <v>4.51</v>
      </c>
      <c r="AC343">
        <v>2</v>
      </c>
      <c r="AD343">
        <v>6</v>
      </c>
      <c r="AE343">
        <v>25</v>
      </c>
      <c r="AF343" s="27">
        <f t="shared" ca="1" si="332"/>
        <v>6277</v>
      </c>
      <c r="AG343" s="27">
        <f t="shared" ca="1" si="346"/>
        <v>1471</v>
      </c>
      <c r="AH343" s="27">
        <f t="shared" ca="1" si="347"/>
        <v>1050</v>
      </c>
      <c r="AI343" s="27">
        <f t="shared" ca="1" si="348"/>
        <v>235</v>
      </c>
      <c r="AJ343" s="27">
        <f t="shared" ca="1" si="349"/>
        <v>38</v>
      </c>
      <c r="AK343" s="27">
        <f t="shared" ca="1" si="350"/>
        <v>148</v>
      </c>
      <c r="AL343" s="27">
        <f t="shared" ca="1" si="351"/>
        <v>564</v>
      </c>
      <c r="AM343" s="27">
        <f t="shared" ca="1" si="352"/>
        <v>89</v>
      </c>
      <c r="AN343" s="27">
        <f t="shared" ca="1" si="353"/>
        <v>4153</v>
      </c>
      <c r="AO343">
        <v>4305</v>
      </c>
      <c r="AP343">
        <v>1477</v>
      </c>
      <c r="AQ343">
        <v>188</v>
      </c>
      <c r="AR343">
        <v>560</v>
      </c>
      <c r="AS343">
        <v>1191</v>
      </c>
      <c r="AT343">
        <v>116</v>
      </c>
      <c r="AU343">
        <v>140</v>
      </c>
      <c r="AV343">
        <v>0.98099999999999998</v>
      </c>
      <c r="AW343" s="1"/>
      <c r="AX343" s="1"/>
      <c r="AY343" s="29">
        <f t="shared" si="354"/>
        <v>29700</v>
      </c>
      <c r="AZ343" s="31">
        <f t="shared" si="355"/>
        <v>165705</v>
      </c>
      <c r="BA343" s="31">
        <f t="shared" ref="BA343" si="375">SUMIF($B$2:$B$571,$B343,$T$2:$T$571)</f>
        <v>1554</v>
      </c>
      <c r="BB343" s="30">
        <f t="shared" si="357"/>
        <v>9.3781117045351678E-3</v>
      </c>
    </row>
    <row r="344" spans="2:54" x14ac:dyDescent="0.5">
      <c r="B344" s="4">
        <v>2011</v>
      </c>
      <c r="C344" t="s">
        <v>64</v>
      </c>
      <c r="D344" t="s">
        <v>65</v>
      </c>
      <c r="E344">
        <v>4</v>
      </c>
      <c r="F344" t="s">
        <v>38</v>
      </c>
      <c r="G344" t="s">
        <v>38</v>
      </c>
      <c r="H344" t="s">
        <v>38</v>
      </c>
      <c r="I344" t="s">
        <v>38</v>
      </c>
      <c r="J344">
        <v>71</v>
      </c>
      <c r="K344">
        <v>91</v>
      </c>
      <c r="L344">
        <v>730</v>
      </c>
      <c r="M344" s="20">
        <v>5672</v>
      </c>
      <c r="N344" s="20">
        <v>1560</v>
      </c>
      <c r="O344" s="20">
        <f t="shared" si="344"/>
        <v>1065</v>
      </c>
      <c r="P344" s="20">
        <v>325</v>
      </c>
      <c r="Q344" s="20">
        <v>41</v>
      </c>
      <c r="R344" s="20">
        <v>129</v>
      </c>
      <c r="S344" s="20">
        <v>442</v>
      </c>
      <c r="T344" s="20">
        <v>39</v>
      </c>
      <c r="U344" s="20">
        <f t="shared" si="345"/>
        <v>3631</v>
      </c>
      <c r="V344">
        <v>1006</v>
      </c>
      <c r="W344">
        <v>153</v>
      </c>
      <c r="X344">
        <v>58</v>
      </c>
      <c r="Y344">
        <v>57</v>
      </c>
      <c r="Z344">
        <v>762</v>
      </c>
      <c r="AA344">
        <v>716</v>
      </c>
      <c r="AB344">
        <v>4.4400000000000004</v>
      </c>
      <c r="AC344">
        <v>2</v>
      </c>
      <c r="AD344">
        <v>6</v>
      </c>
      <c r="AE344">
        <v>37</v>
      </c>
      <c r="AF344" s="27">
        <f t="shared" ca="1" si="332"/>
        <v>6158</v>
      </c>
      <c r="AG344" s="27">
        <f t="shared" ca="1" si="346"/>
        <v>1514</v>
      </c>
      <c r="AH344" s="27">
        <f t="shared" ca="1" si="347"/>
        <v>988</v>
      </c>
      <c r="AI344" s="27">
        <f t="shared" ca="1" si="348"/>
        <v>313</v>
      </c>
      <c r="AJ344" s="27">
        <f t="shared" ca="1" si="349"/>
        <v>43</v>
      </c>
      <c r="AK344" s="27">
        <f t="shared" ca="1" si="350"/>
        <v>170</v>
      </c>
      <c r="AL344" s="27">
        <f t="shared" ca="1" si="351"/>
        <v>635</v>
      </c>
      <c r="AM344" s="27">
        <f t="shared" ca="1" si="352"/>
        <v>47</v>
      </c>
      <c r="AN344" s="27">
        <f t="shared" ca="1" si="353"/>
        <v>3962</v>
      </c>
      <c r="AO344">
        <v>4354</v>
      </c>
      <c r="AP344">
        <v>1487</v>
      </c>
      <c r="AQ344">
        <v>163</v>
      </c>
      <c r="AR344">
        <v>557</v>
      </c>
      <c r="AS344">
        <v>1080</v>
      </c>
      <c r="AT344">
        <v>95</v>
      </c>
      <c r="AU344">
        <v>149</v>
      </c>
      <c r="AV344">
        <v>0.98499999999999999</v>
      </c>
      <c r="AW344" s="1"/>
      <c r="AX344" s="1"/>
      <c r="AY344" s="29">
        <f t="shared" si="354"/>
        <v>29700</v>
      </c>
      <c r="AZ344" s="31">
        <f t="shared" si="355"/>
        <v>165705</v>
      </c>
      <c r="BA344" s="31">
        <f t="shared" ref="BA344" si="376">SUMIF($B$2:$B$571,$B344,$U$2:$U$571)</f>
        <v>106866</v>
      </c>
      <c r="BB344" s="30">
        <f t="shared" si="357"/>
        <v>0.64491717208291843</v>
      </c>
    </row>
    <row r="345" spans="2:54" x14ac:dyDescent="0.5">
      <c r="B345" s="4">
        <v>2011</v>
      </c>
      <c r="C345" t="s">
        <v>98</v>
      </c>
      <c r="D345" t="s">
        <v>99</v>
      </c>
      <c r="E345">
        <v>2</v>
      </c>
      <c r="F345" t="s">
        <v>38</v>
      </c>
      <c r="G345" t="s">
        <v>38</v>
      </c>
      <c r="H345" t="s">
        <v>38</v>
      </c>
      <c r="I345" t="s">
        <v>38</v>
      </c>
      <c r="J345">
        <v>86</v>
      </c>
      <c r="K345">
        <v>76</v>
      </c>
      <c r="L345">
        <v>667</v>
      </c>
      <c r="M345" s="20">
        <v>5513</v>
      </c>
      <c r="N345" s="20">
        <v>1394</v>
      </c>
      <c r="O345" s="20">
        <f t="shared" si="344"/>
        <v>916</v>
      </c>
      <c r="P345" s="20">
        <v>289</v>
      </c>
      <c r="Q345" s="20">
        <v>34</v>
      </c>
      <c r="R345" s="20">
        <v>155</v>
      </c>
      <c r="S345" s="20">
        <v>442</v>
      </c>
      <c r="T345" s="20">
        <v>51</v>
      </c>
      <c r="U345" s="20">
        <f t="shared" si="345"/>
        <v>3626</v>
      </c>
      <c r="V345">
        <v>1086</v>
      </c>
      <c r="W345">
        <v>135</v>
      </c>
      <c r="X345">
        <v>52</v>
      </c>
      <c r="Y345">
        <v>32</v>
      </c>
      <c r="Z345">
        <v>633</v>
      </c>
      <c r="AA345">
        <v>581</v>
      </c>
      <c r="AB345">
        <v>3.57</v>
      </c>
      <c r="AC345">
        <v>12</v>
      </c>
      <c r="AD345">
        <v>11</v>
      </c>
      <c r="AE345">
        <v>39</v>
      </c>
      <c r="AF345" s="27">
        <f t="shared" ca="1" si="332"/>
        <v>6411</v>
      </c>
      <c r="AG345" s="27">
        <f t="shared" ca="1" si="346"/>
        <v>1671</v>
      </c>
      <c r="AH345" s="27">
        <f t="shared" ca="1" si="347"/>
        <v>1074</v>
      </c>
      <c r="AI345" s="27">
        <f t="shared" ca="1" si="348"/>
        <v>387</v>
      </c>
      <c r="AJ345" s="27">
        <f t="shared" ca="1" si="349"/>
        <v>22</v>
      </c>
      <c r="AK345" s="27">
        <f t="shared" ca="1" si="350"/>
        <v>188</v>
      </c>
      <c r="AL345" s="27">
        <f t="shared" ca="1" si="351"/>
        <v>651</v>
      </c>
      <c r="AM345" s="27">
        <f t="shared" ca="1" si="352"/>
        <v>89</v>
      </c>
      <c r="AN345" s="27">
        <f t="shared" ca="1" si="353"/>
        <v>4000</v>
      </c>
      <c r="AO345">
        <v>4395</v>
      </c>
      <c r="AP345">
        <v>1388</v>
      </c>
      <c r="AQ345">
        <v>142</v>
      </c>
      <c r="AR345">
        <v>476</v>
      </c>
      <c r="AS345">
        <v>1058</v>
      </c>
      <c r="AT345">
        <v>93</v>
      </c>
      <c r="AU345">
        <v>157</v>
      </c>
      <c r="AV345">
        <v>0.98499999999999999</v>
      </c>
      <c r="AW345" s="1"/>
      <c r="AX345" s="1"/>
      <c r="AY345" s="29">
        <f t="shared" si="354"/>
        <v>29700</v>
      </c>
      <c r="AZ345" s="31">
        <f t="shared" si="355"/>
        <v>165705</v>
      </c>
      <c r="BA345" s="31"/>
      <c r="BB345" s="30">
        <f t="shared" si="357"/>
        <v>0</v>
      </c>
    </row>
    <row r="346" spans="2:54" x14ac:dyDescent="0.5">
      <c r="B346" s="4">
        <v>2011</v>
      </c>
      <c r="C346" t="s">
        <v>66</v>
      </c>
      <c r="D346" t="s">
        <v>67</v>
      </c>
      <c r="E346">
        <v>3</v>
      </c>
      <c r="F346" t="s">
        <v>38</v>
      </c>
      <c r="G346" t="s">
        <v>38</v>
      </c>
      <c r="H346" t="s">
        <v>38</v>
      </c>
      <c r="I346" t="s">
        <v>38</v>
      </c>
      <c r="J346">
        <v>82</v>
      </c>
      <c r="K346">
        <v>79</v>
      </c>
      <c r="L346">
        <v>644</v>
      </c>
      <c r="M346" s="20">
        <v>5436</v>
      </c>
      <c r="N346" s="20">
        <v>1395</v>
      </c>
      <c r="O346" s="20">
        <f t="shared" si="344"/>
        <v>1013</v>
      </c>
      <c r="P346" s="20">
        <v>237</v>
      </c>
      <c r="Q346" s="20">
        <v>28</v>
      </c>
      <c r="R346" s="20">
        <v>117</v>
      </c>
      <c r="S346" s="20">
        <v>498</v>
      </c>
      <c r="T346" s="20">
        <v>45</v>
      </c>
      <c r="U346" s="20">
        <f t="shared" si="345"/>
        <v>3498</v>
      </c>
      <c r="V346">
        <v>1087</v>
      </c>
      <c r="W346">
        <v>126</v>
      </c>
      <c r="X346">
        <v>40</v>
      </c>
      <c r="Y346">
        <v>43</v>
      </c>
      <c r="Z346">
        <v>612</v>
      </c>
      <c r="AA346">
        <v>563</v>
      </c>
      <c r="AB346">
        <v>3.54</v>
      </c>
      <c r="AC346">
        <v>7</v>
      </c>
      <c r="AD346">
        <v>17</v>
      </c>
      <c r="AE346">
        <v>40</v>
      </c>
      <c r="AF346" s="27">
        <f t="shared" ca="1" si="332"/>
        <v>6355</v>
      </c>
      <c r="AG346" s="27">
        <f t="shared" ca="1" si="346"/>
        <v>1602</v>
      </c>
      <c r="AH346" s="27">
        <f t="shared" ca="1" si="347"/>
        <v>1077</v>
      </c>
      <c r="AI346" s="27">
        <f t="shared" ca="1" si="348"/>
        <v>252</v>
      </c>
      <c r="AJ346" s="27">
        <f t="shared" ca="1" si="349"/>
        <v>39</v>
      </c>
      <c r="AK346" s="27">
        <f t="shared" ca="1" si="350"/>
        <v>234</v>
      </c>
      <c r="AL346" s="27">
        <f t="shared" ca="1" si="351"/>
        <v>562</v>
      </c>
      <c r="AM346" s="27">
        <f t="shared" ca="1" si="352"/>
        <v>90</v>
      </c>
      <c r="AN346" s="27">
        <f t="shared" ca="1" si="353"/>
        <v>4101</v>
      </c>
      <c r="AO346">
        <v>4296</v>
      </c>
      <c r="AP346">
        <v>1287</v>
      </c>
      <c r="AQ346">
        <v>132</v>
      </c>
      <c r="AR346">
        <v>507</v>
      </c>
      <c r="AS346">
        <v>1265</v>
      </c>
      <c r="AT346">
        <v>85</v>
      </c>
      <c r="AU346">
        <v>121</v>
      </c>
      <c r="AV346">
        <v>0.98599999999999999</v>
      </c>
      <c r="AW346" s="1"/>
      <c r="AX346" s="1"/>
      <c r="AY346" s="29">
        <f t="shared" si="354"/>
        <v>29700</v>
      </c>
      <c r="AZ346" s="31">
        <f t="shared" si="355"/>
        <v>165705</v>
      </c>
      <c r="BA346" s="31">
        <f t="shared" ref="BA346" si="377">SUMIF($B$2:$B$571,$B346,$O$2:$O$571)</f>
        <v>28418</v>
      </c>
      <c r="BB346" s="30">
        <f t="shared" si="357"/>
        <v>0.17149754081047644</v>
      </c>
    </row>
    <row r="347" spans="2:54" x14ac:dyDescent="0.5">
      <c r="B347" s="4">
        <v>2011</v>
      </c>
      <c r="C347" t="s">
        <v>68</v>
      </c>
      <c r="D347" t="s">
        <v>69</v>
      </c>
      <c r="E347">
        <v>1</v>
      </c>
      <c r="F347" t="s">
        <v>43</v>
      </c>
      <c r="G347" t="s">
        <v>38</v>
      </c>
      <c r="H347" t="s">
        <v>38</v>
      </c>
      <c r="I347" t="s">
        <v>38</v>
      </c>
      <c r="J347">
        <v>96</v>
      </c>
      <c r="K347">
        <v>66</v>
      </c>
      <c r="L347">
        <v>721</v>
      </c>
      <c r="M347" s="20">
        <v>5447</v>
      </c>
      <c r="N347" s="20">
        <v>1422</v>
      </c>
      <c r="O347" s="20">
        <f t="shared" si="344"/>
        <v>930</v>
      </c>
      <c r="P347" s="20">
        <v>276</v>
      </c>
      <c r="Q347" s="20">
        <v>31</v>
      </c>
      <c r="R347" s="20">
        <v>185</v>
      </c>
      <c r="S347" s="20">
        <v>481</v>
      </c>
      <c r="T347" s="20">
        <v>56</v>
      </c>
      <c r="U347" s="20">
        <f t="shared" si="345"/>
        <v>3488</v>
      </c>
      <c r="V347">
        <v>1083</v>
      </c>
      <c r="W347">
        <v>94</v>
      </c>
      <c r="X347">
        <v>31</v>
      </c>
      <c r="Y347">
        <v>44</v>
      </c>
      <c r="Z347">
        <v>638</v>
      </c>
      <c r="AA347">
        <v>582</v>
      </c>
      <c r="AB347">
        <v>3.63</v>
      </c>
      <c r="AC347">
        <v>1</v>
      </c>
      <c r="AD347">
        <v>13</v>
      </c>
      <c r="AE347">
        <v>47</v>
      </c>
      <c r="AF347" s="27">
        <f t="shared" ca="1" si="332"/>
        <v>6216</v>
      </c>
      <c r="AG347" s="27">
        <f t="shared" ca="1" si="346"/>
        <v>1560</v>
      </c>
      <c r="AH347" s="27">
        <f t="shared" ca="1" si="347"/>
        <v>1149</v>
      </c>
      <c r="AI347" s="27">
        <f t="shared" ca="1" si="348"/>
        <v>223</v>
      </c>
      <c r="AJ347" s="27">
        <f t="shared" ca="1" si="349"/>
        <v>37</v>
      </c>
      <c r="AK347" s="27">
        <f t="shared" ca="1" si="350"/>
        <v>151</v>
      </c>
      <c r="AL347" s="27">
        <f t="shared" ca="1" si="351"/>
        <v>643</v>
      </c>
      <c r="AM347" s="27">
        <f t="shared" ca="1" si="352"/>
        <v>85</v>
      </c>
      <c r="AN347" s="27">
        <f t="shared" ca="1" si="353"/>
        <v>3928</v>
      </c>
      <c r="AO347">
        <v>4325</v>
      </c>
      <c r="AP347">
        <v>1348</v>
      </c>
      <c r="AQ347">
        <v>147</v>
      </c>
      <c r="AR347">
        <v>440</v>
      </c>
      <c r="AS347">
        <v>1257</v>
      </c>
      <c r="AT347">
        <v>111</v>
      </c>
      <c r="AU347">
        <v>130</v>
      </c>
      <c r="AV347">
        <v>0.98199999999999998</v>
      </c>
      <c r="AW347" s="1"/>
      <c r="AX347" s="1"/>
      <c r="AY347" s="29">
        <f t="shared" si="354"/>
        <v>29700</v>
      </c>
      <c r="AZ347" s="31">
        <f t="shared" si="355"/>
        <v>165705</v>
      </c>
      <c r="BA347" s="31">
        <f t="shared" ref="BA347" si="378">SUMIF($B$2:$B$571,$B347,$P$2:$P$571)</f>
        <v>8399</v>
      </c>
      <c r="BB347" s="30">
        <f t="shared" si="357"/>
        <v>5.0686460879273407E-2</v>
      </c>
    </row>
    <row r="348" spans="2:54" x14ac:dyDescent="0.5">
      <c r="B348" s="4">
        <v>2011</v>
      </c>
      <c r="C348" t="s">
        <v>70</v>
      </c>
      <c r="D348" t="s">
        <v>71</v>
      </c>
      <c r="E348">
        <v>5</v>
      </c>
      <c r="F348" t="s">
        <v>38</v>
      </c>
      <c r="G348" t="s">
        <v>38</v>
      </c>
      <c r="H348" t="s">
        <v>38</v>
      </c>
      <c r="I348" t="s">
        <v>38</v>
      </c>
      <c r="J348">
        <v>63</v>
      </c>
      <c r="K348">
        <v>99</v>
      </c>
      <c r="L348">
        <v>619</v>
      </c>
      <c r="M348" s="20">
        <v>5487</v>
      </c>
      <c r="N348" s="20">
        <v>1357</v>
      </c>
      <c r="O348" s="20">
        <f t="shared" si="344"/>
        <v>970</v>
      </c>
      <c r="P348" s="20">
        <v>259</v>
      </c>
      <c r="Q348" s="20">
        <v>25</v>
      </c>
      <c r="R348" s="20">
        <v>103</v>
      </c>
      <c r="S348" s="20">
        <v>440</v>
      </c>
      <c r="T348" s="20">
        <v>37</v>
      </c>
      <c r="U348" s="20">
        <f t="shared" si="345"/>
        <v>3653</v>
      </c>
      <c r="V348">
        <v>1048</v>
      </c>
      <c r="W348">
        <v>92</v>
      </c>
      <c r="X348">
        <v>39</v>
      </c>
      <c r="Y348">
        <v>25</v>
      </c>
      <c r="Z348">
        <v>804</v>
      </c>
      <c r="AA348">
        <v>724</v>
      </c>
      <c r="AB348">
        <v>4.58</v>
      </c>
      <c r="AC348">
        <v>7</v>
      </c>
      <c r="AD348">
        <v>8</v>
      </c>
      <c r="AE348">
        <v>32</v>
      </c>
      <c r="AF348" s="27">
        <f t="shared" ca="1" si="332"/>
        <v>6202</v>
      </c>
      <c r="AG348" s="27">
        <f t="shared" ca="1" si="346"/>
        <v>1599</v>
      </c>
      <c r="AH348" s="27">
        <f t="shared" ca="1" si="347"/>
        <v>1029</v>
      </c>
      <c r="AI348" s="27">
        <f t="shared" ca="1" si="348"/>
        <v>387</v>
      </c>
      <c r="AJ348" s="27">
        <f t="shared" ca="1" si="349"/>
        <v>47</v>
      </c>
      <c r="AK348" s="27">
        <f t="shared" ca="1" si="350"/>
        <v>136</v>
      </c>
      <c r="AL348" s="27">
        <f t="shared" ca="1" si="351"/>
        <v>667</v>
      </c>
      <c r="AM348" s="27">
        <f t="shared" ca="1" si="352"/>
        <v>89</v>
      </c>
      <c r="AN348" s="27">
        <f t="shared" ca="1" si="353"/>
        <v>3847</v>
      </c>
      <c r="AO348">
        <v>4265</v>
      </c>
      <c r="AP348">
        <v>1564</v>
      </c>
      <c r="AQ348">
        <v>161</v>
      </c>
      <c r="AR348">
        <v>480</v>
      </c>
      <c r="AS348">
        <v>940</v>
      </c>
      <c r="AT348">
        <v>119</v>
      </c>
      <c r="AU348">
        <v>153</v>
      </c>
      <c r="AV348">
        <v>0.98</v>
      </c>
      <c r="AW348" s="1"/>
      <c r="AX348" s="1"/>
      <c r="AY348" s="29">
        <f t="shared" si="354"/>
        <v>29700</v>
      </c>
      <c r="AZ348" s="31">
        <f t="shared" si="355"/>
        <v>165705</v>
      </c>
      <c r="BA348" s="31">
        <f t="shared" ref="BA348" si="379">SUMIF($B$2:$B$571,$B348,$Q$2:$Q$571)</f>
        <v>898</v>
      </c>
      <c r="BB348" s="30">
        <f t="shared" si="357"/>
        <v>5.419269183186989E-3</v>
      </c>
    </row>
    <row r="349" spans="2:54" x14ac:dyDescent="0.5">
      <c r="B349" s="4">
        <v>2011</v>
      </c>
      <c r="C349" t="s">
        <v>74</v>
      </c>
      <c r="D349" t="s">
        <v>75</v>
      </c>
      <c r="E349">
        <v>1</v>
      </c>
      <c r="F349" t="s">
        <v>43</v>
      </c>
      <c r="G349" t="s">
        <v>38</v>
      </c>
      <c r="H349" t="s">
        <v>38</v>
      </c>
      <c r="I349" t="s">
        <v>38</v>
      </c>
      <c r="J349">
        <v>97</v>
      </c>
      <c r="K349">
        <v>65</v>
      </c>
      <c r="L349">
        <v>867</v>
      </c>
      <c r="M349" s="20">
        <v>5518</v>
      </c>
      <c r="N349" s="20">
        <v>1452</v>
      </c>
      <c r="O349" s="20">
        <f t="shared" si="344"/>
        <v>930</v>
      </c>
      <c r="P349" s="20">
        <v>267</v>
      </c>
      <c r="Q349" s="20">
        <v>33</v>
      </c>
      <c r="R349" s="20">
        <v>222</v>
      </c>
      <c r="S349" s="20">
        <v>627</v>
      </c>
      <c r="T349" s="20">
        <v>74</v>
      </c>
      <c r="U349" s="20">
        <f t="shared" si="345"/>
        <v>3365</v>
      </c>
      <c r="V349">
        <v>1138</v>
      </c>
      <c r="W349">
        <v>147</v>
      </c>
      <c r="X349">
        <v>46</v>
      </c>
      <c r="Y349">
        <v>51</v>
      </c>
      <c r="Z349">
        <v>657</v>
      </c>
      <c r="AA349">
        <v>605</v>
      </c>
      <c r="AB349">
        <v>3.73</v>
      </c>
      <c r="AC349">
        <v>5</v>
      </c>
      <c r="AD349">
        <v>8</v>
      </c>
      <c r="AE349">
        <v>47</v>
      </c>
      <c r="AF349" s="27">
        <f t="shared" ca="1" si="332"/>
        <v>6360</v>
      </c>
      <c r="AG349" s="27">
        <f t="shared" ca="1" si="346"/>
        <v>1463</v>
      </c>
      <c r="AH349" s="27">
        <f t="shared" ca="1" si="347"/>
        <v>928</v>
      </c>
      <c r="AI349" s="27">
        <f t="shared" ca="1" si="348"/>
        <v>336</v>
      </c>
      <c r="AJ349" s="27">
        <f t="shared" ca="1" si="349"/>
        <v>41</v>
      </c>
      <c r="AK349" s="27">
        <f t="shared" ca="1" si="350"/>
        <v>158</v>
      </c>
      <c r="AL349" s="27">
        <f t="shared" ca="1" si="351"/>
        <v>625</v>
      </c>
      <c r="AM349" s="27">
        <f t="shared" ca="1" si="352"/>
        <v>57</v>
      </c>
      <c r="AN349" s="27">
        <f t="shared" ca="1" si="353"/>
        <v>4215</v>
      </c>
      <c r="AO349">
        <v>4375</v>
      </c>
      <c r="AP349">
        <v>1423</v>
      </c>
      <c r="AQ349">
        <v>152</v>
      </c>
      <c r="AR349">
        <v>507</v>
      </c>
      <c r="AS349">
        <v>1222</v>
      </c>
      <c r="AT349">
        <v>102</v>
      </c>
      <c r="AU349">
        <v>141</v>
      </c>
      <c r="AV349">
        <v>0.98299999999999998</v>
      </c>
      <c r="AW349" s="1"/>
      <c r="AX349" s="1"/>
      <c r="AY349" s="29">
        <f t="shared" si="354"/>
        <v>29700</v>
      </c>
      <c r="AZ349" s="31">
        <f t="shared" si="355"/>
        <v>165705</v>
      </c>
      <c r="BA349" s="31">
        <f t="shared" ref="BA349" si="380">SUMIF($B$2:$B$571,$B349,$R$2:$R$571)</f>
        <v>4552</v>
      </c>
      <c r="BB349" s="30">
        <f t="shared" si="357"/>
        <v>2.7470504812769681E-2</v>
      </c>
    </row>
    <row r="350" spans="2:54" x14ac:dyDescent="0.5">
      <c r="B350" s="4">
        <v>2011</v>
      </c>
      <c r="C350" t="s">
        <v>76</v>
      </c>
      <c r="D350" t="s">
        <v>77</v>
      </c>
      <c r="E350">
        <v>4</v>
      </c>
      <c r="F350" t="s">
        <v>38</v>
      </c>
      <c r="G350" t="s">
        <v>38</v>
      </c>
      <c r="H350" t="s">
        <v>38</v>
      </c>
      <c r="I350" t="s">
        <v>38</v>
      </c>
      <c r="J350">
        <v>77</v>
      </c>
      <c r="K350">
        <v>85</v>
      </c>
      <c r="L350">
        <v>718</v>
      </c>
      <c r="M350" s="20">
        <v>5600</v>
      </c>
      <c r="N350" s="20">
        <v>1477</v>
      </c>
      <c r="O350" s="20">
        <f t="shared" si="344"/>
        <v>1021</v>
      </c>
      <c r="P350" s="20">
        <v>309</v>
      </c>
      <c r="Q350" s="20">
        <v>39</v>
      </c>
      <c r="R350" s="20">
        <v>108</v>
      </c>
      <c r="S350" s="20">
        <v>571</v>
      </c>
      <c r="T350" s="20">
        <v>51</v>
      </c>
      <c r="U350" s="20">
        <f t="shared" si="345"/>
        <v>3501</v>
      </c>
      <c r="V350">
        <v>1085</v>
      </c>
      <c r="W350">
        <v>130</v>
      </c>
      <c r="X350">
        <v>35</v>
      </c>
      <c r="Y350">
        <v>48</v>
      </c>
      <c r="Z350">
        <v>742</v>
      </c>
      <c r="AA350">
        <v>674</v>
      </c>
      <c r="AB350">
        <v>4.1900000000000004</v>
      </c>
      <c r="AC350">
        <v>6</v>
      </c>
      <c r="AD350">
        <v>9</v>
      </c>
      <c r="AE350">
        <v>43</v>
      </c>
      <c r="AF350" s="27">
        <f t="shared" ca="1" si="332"/>
        <v>6229</v>
      </c>
      <c r="AG350" s="27">
        <f t="shared" ca="1" si="346"/>
        <v>1565</v>
      </c>
      <c r="AH350" s="27">
        <f t="shared" ca="1" si="347"/>
        <v>1138</v>
      </c>
      <c r="AI350" s="27">
        <f t="shared" ca="1" si="348"/>
        <v>249</v>
      </c>
      <c r="AJ350" s="27">
        <f t="shared" ca="1" si="349"/>
        <v>41</v>
      </c>
      <c r="AK350" s="27">
        <f t="shared" ca="1" si="350"/>
        <v>137</v>
      </c>
      <c r="AL350" s="27">
        <f t="shared" ca="1" si="351"/>
        <v>517</v>
      </c>
      <c r="AM350" s="27">
        <f t="shared" ca="1" si="352"/>
        <v>79</v>
      </c>
      <c r="AN350" s="27">
        <f t="shared" ca="1" si="353"/>
        <v>4068</v>
      </c>
      <c r="AO350">
        <v>4344</v>
      </c>
      <c r="AP350">
        <v>1482</v>
      </c>
      <c r="AQ350">
        <v>147</v>
      </c>
      <c r="AR350">
        <v>514</v>
      </c>
      <c r="AS350">
        <v>1126</v>
      </c>
      <c r="AT350">
        <v>116</v>
      </c>
      <c r="AU350">
        <v>126</v>
      </c>
      <c r="AV350">
        <v>0.98099999999999998</v>
      </c>
      <c r="AW350" s="1"/>
      <c r="AX350" s="1"/>
      <c r="AY350" s="29">
        <f t="shared" si="354"/>
        <v>29700</v>
      </c>
      <c r="AZ350" s="31">
        <f t="shared" si="355"/>
        <v>165705</v>
      </c>
      <c r="BA350" s="31">
        <f t="shared" ref="BA350" si="381">SUMIF($B$2:$B$571,$B350,$S$2:$S$571)</f>
        <v>15018</v>
      </c>
      <c r="BB350" s="30">
        <f t="shared" si="357"/>
        <v>9.063094052683987E-2</v>
      </c>
    </row>
    <row r="351" spans="2:54" x14ac:dyDescent="0.5">
      <c r="B351" s="4">
        <v>2011</v>
      </c>
      <c r="C351" t="s">
        <v>78</v>
      </c>
      <c r="D351" t="s">
        <v>79</v>
      </c>
      <c r="E351">
        <v>3</v>
      </c>
      <c r="F351" t="s">
        <v>38</v>
      </c>
      <c r="G351" t="s">
        <v>38</v>
      </c>
      <c r="H351" t="s">
        <v>38</v>
      </c>
      <c r="I351" t="s">
        <v>38</v>
      </c>
      <c r="J351">
        <v>74</v>
      </c>
      <c r="K351">
        <v>88</v>
      </c>
      <c r="L351">
        <v>645</v>
      </c>
      <c r="M351" s="20">
        <v>5452</v>
      </c>
      <c r="N351" s="20">
        <v>1330</v>
      </c>
      <c r="O351" s="20">
        <f t="shared" si="344"/>
        <v>907</v>
      </c>
      <c r="P351" s="20">
        <v>280</v>
      </c>
      <c r="Q351" s="20">
        <v>29</v>
      </c>
      <c r="R351" s="20">
        <v>114</v>
      </c>
      <c r="S351" s="20">
        <v>509</v>
      </c>
      <c r="T351" s="20">
        <v>50</v>
      </c>
      <c r="U351" s="20">
        <f t="shared" si="345"/>
        <v>3563</v>
      </c>
      <c r="V351">
        <v>1094</v>
      </c>
      <c r="W351">
        <v>117</v>
      </c>
      <c r="X351">
        <v>43</v>
      </c>
      <c r="Y351">
        <v>57</v>
      </c>
      <c r="Z351">
        <v>679</v>
      </c>
      <c r="AA351">
        <v>597</v>
      </c>
      <c r="AB351">
        <v>3.71</v>
      </c>
      <c r="AC351">
        <v>6</v>
      </c>
      <c r="AD351">
        <v>12</v>
      </c>
      <c r="AE351">
        <v>39</v>
      </c>
      <c r="AF351" s="27">
        <f t="shared" ca="1" si="332"/>
        <v>6403</v>
      </c>
      <c r="AG351" s="27">
        <f t="shared" ca="1" si="346"/>
        <v>1301</v>
      </c>
      <c r="AH351" s="27">
        <f t="shared" ca="1" si="347"/>
        <v>876</v>
      </c>
      <c r="AI351" s="27">
        <f t="shared" ca="1" si="348"/>
        <v>259</v>
      </c>
      <c r="AJ351" s="27">
        <f t="shared" ca="1" si="349"/>
        <v>33</v>
      </c>
      <c r="AK351" s="27">
        <f t="shared" ca="1" si="350"/>
        <v>133</v>
      </c>
      <c r="AL351" s="27">
        <f t="shared" ca="1" si="351"/>
        <v>594</v>
      </c>
      <c r="AM351" s="27">
        <f t="shared" ca="1" si="352"/>
        <v>34</v>
      </c>
      <c r="AN351" s="27">
        <f t="shared" ca="1" si="353"/>
        <v>4474</v>
      </c>
      <c r="AO351">
        <v>4343</v>
      </c>
      <c r="AP351">
        <v>1380</v>
      </c>
      <c r="AQ351">
        <v>136</v>
      </c>
      <c r="AR351">
        <v>519</v>
      </c>
      <c r="AS351">
        <v>1160</v>
      </c>
      <c r="AT351">
        <v>124</v>
      </c>
      <c r="AU351">
        <v>145</v>
      </c>
      <c r="AV351">
        <v>0.97899999999999998</v>
      </c>
      <c r="AW351" s="1"/>
      <c r="AX351" s="1"/>
      <c r="AY351" s="29">
        <f t="shared" si="354"/>
        <v>29700</v>
      </c>
      <c r="AZ351" s="31">
        <f t="shared" si="355"/>
        <v>165705</v>
      </c>
      <c r="BA351" s="31">
        <f t="shared" ref="BA351" si="382">SUMIF($B$2:$B$571,$B351,$T$2:$T$571)</f>
        <v>1554</v>
      </c>
      <c r="BB351" s="30">
        <f t="shared" si="357"/>
        <v>9.3781117045351678E-3</v>
      </c>
    </row>
    <row r="352" spans="2:54" x14ac:dyDescent="0.5">
      <c r="B352" s="4">
        <v>2011</v>
      </c>
      <c r="C352" t="s">
        <v>80</v>
      </c>
      <c r="D352" t="s">
        <v>81</v>
      </c>
      <c r="E352">
        <v>1</v>
      </c>
      <c r="F352" t="s">
        <v>43</v>
      </c>
      <c r="G352" t="s">
        <v>38</v>
      </c>
      <c r="H352" t="s">
        <v>38</v>
      </c>
      <c r="I352" t="s">
        <v>38</v>
      </c>
      <c r="J352">
        <v>102</v>
      </c>
      <c r="K352">
        <v>60</v>
      </c>
      <c r="L352">
        <v>713</v>
      </c>
      <c r="M352" s="20">
        <v>5579</v>
      </c>
      <c r="N352" s="20">
        <v>1409</v>
      </c>
      <c r="O352" s="20">
        <f t="shared" si="344"/>
        <v>960</v>
      </c>
      <c r="P352" s="20">
        <v>258</v>
      </c>
      <c r="Q352" s="20">
        <v>38</v>
      </c>
      <c r="R352" s="20">
        <v>153</v>
      </c>
      <c r="S352" s="20">
        <v>539</v>
      </c>
      <c r="T352" s="20">
        <v>56</v>
      </c>
      <c r="U352" s="20">
        <f t="shared" si="345"/>
        <v>3575</v>
      </c>
      <c r="V352">
        <v>1024</v>
      </c>
      <c r="W352">
        <v>96</v>
      </c>
      <c r="X352">
        <v>24</v>
      </c>
      <c r="Y352">
        <v>38</v>
      </c>
      <c r="Z352">
        <v>529</v>
      </c>
      <c r="AA352">
        <v>495</v>
      </c>
      <c r="AB352">
        <v>3.02</v>
      </c>
      <c r="AC352">
        <v>18</v>
      </c>
      <c r="AD352">
        <v>21</v>
      </c>
      <c r="AE352">
        <v>47</v>
      </c>
      <c r="AF352" s="27">
        <f t="shared" ca="1" si="332"/>
        <v>6221</v>
      </c>
      <c r="AG352" s="27">
        <f t="shared" ca="1" si="346"/>
        <v>1699</v>
      </c>
      <c r="AH352" s="27">
        <f t="shared" ca="1" si="347"/>
        <v>1189</v>
      </c>
      <c r="AI352" s="27">
        <f t="shared" ca="1" si="348"/>
        <v>256</v>
      </c>
      <c r="AJ352" s="27">
        <f t="shared" ca="1" si="349"/>
        <v>38</v>
      </c>
      <c r="AK352" s="27">
        <f t="shared" ca="1" si="350"/>
        <v>216</v>
      </c>
      <c r="AL352" s="27">
        <f t="shared" ca="1" si="351"/>
        <v>557</v>
      </c>
      <c r="AM352" s="27">
        <f t="shared" ca="1" si="352"/>
        <v>52</v>
      </c>
      <c r="AN352" s="27">
        <f t="shared" ca="1" si="353"/>
        <v>3913</v>
      </c>
      <c r="AO352">
        <v>4431</v>
      </c>
      <c r="AP352">
        <v>1320</v>
      </c>
      <c r="AQ352">
        <v>120</v>
      </c>
      <c r="AR352">
        <v>404</v>
      </c>
      <c r="AS352">
        <v>1299</v>
      </c>
      <c r="AT352">
        <v>74</v>
      </c>
      <c r="AU352">
        <v>135</v>
      </c>
      <c r="AV352">
        <v>0.98799999999999999</v>
      </c>
      <c r="AW352" s="1"/>
      <c r="AX352" s="1"/>
      <c r="AY352" s="29">
        <f t="shared" si="354"/>
        <v>29700</v>
      </c>
      <c r="AZ352" s="31">
        <f t="shared" si="355"/>
        <v>165705</v>
      </c>
      <c r="BA352" s="31">
        <f t="shared" ref="BA352" si="383">SUMIF($B$2:$B$571,$B352,$U$2:$U$571)</f>
        <v>106866</v>
      </c>
      <c r="BB352" s="30">
        <f t="shared" si="357"/>
        <v>0.64491717208291843</v>
      </c>
    </row>
    <row r="353" spans="2:54" x14ac:dyDescent="0.5">
      <c r="B353" s="4">
        <v>2011</v>
      </c>
      <c r="C353" t="s">
        <v>82</v>
      </c>
      <c r="D353" t="s">
        <v>83</v>
      </c>
      <c r="E353">
        <v>4</v>
      </c>
      <c r="F353" t="s">
        <v>38</v>
      </c>
      <c r="G353" t="s">
        <v>38</v>
      </c>
      <c r="H353" t="s">
        <v>38</v>
      </c>
      <c r="I353" t="s">
        <v>38</v>
      </c>
      <c r="J353">
        <v>72</v>
      </c>
      <c r="K353">
        <v>90</v>
      </c>
      <c r="L353">
        <v>610</v>
      </c>
      <c r="M353" s="20">
        <v>5421</v>
      </c>
      <c r="N353" s="20">
        <v>1325</v>
      </c>
      <c r="O353" s="20">
        <f t="shared" si="344"/>
        <v>906</v>
      </c>
      <c r="P353" s="20">
        <v>277</v>
      </c>
      <c r="Q353" s="20">
        <v>35</v>
      </c>
      <c r="R353" s="20">
        <v>107</v>
      </c>
      <c r="S353" s="20">
        <v>489</v>
      </c>
      <c r="T353" s="20">
        <v>34</v>
      </c>
      <c r="U353" s="20">
        <f t="shared" si="345"/>
        <v>3573</v>
      </c>
      <c r="V353">
        <v>1308</v>
      </c>
      <c r="W353">
        <v>108</v>
      </c>
      <c r="X353">
        <v>52</v>
      </c>
      <c r="Y353">
        <v>44</v>
      </c>
      <c r="Z353">
        <v>712</v>
      </c>
      <c r="AA353">
        <v>650</v>
      </c>
      <c r="AB353">
        <v>4.04</v>
      </c>
      <c r="AC353">
        <v>5</v>
      </c>
      <c r="AD353">
        <v>11</v>
      </c>
      <c r="AE353">
        <v>43</v>
      </c>
      <c r="AF353" s="27">
        <f t="shared" ca="1" si="332"/>
        <v>6353</v>
      </c>
      <c r="AG353" s="27">
        <f t="shared" ca="1" si="346"/>
        <v>1600</v>
      </c>
      <c r="AH353" s="27">
        <f t="shared" ca="1" si="347"/>
        <v>1058</v>
      </c>
      <c r="AI353" s="27">
        <f t="shared" ca="1" si="348"/>
        <v>368</v>
      </c>
      <c r="AJ353" s="27">
        <f t="shared" ca="1" si="349"/>
        <v>39</v>
      </c>
      <c r="AK353" s="27">
        <f t="shared" ca="1" si="350"/>
        <v>135</v>
      </c>
      <c r="AL353" s="27">
        <f t="shared" ca="1" si="351"/>
        <v>439</v>
      </c>
      <c r="AM353" s="27">
        <f t="shared" ca="1" si="352"/>
        <v>64</v>
      </c>
      <c r="AN353" s="27">
        <f t="shared" ca="1" si="353"/>
        <v>4250</v>
      </c>
      <c r="AO353">
        <v>4348</v>
      </c>
      <c r="AP353">
        <v>1513</v>
      </c>
      <c r="AQ353">
        <v>152</v>
      </c>
      <c r="AR353">
        <v>535</v>
      </c>
      <c r="AS353">
        <v>1031</v>
      </c>
      <c r="AT353">
        <v>112</v>
      </c>
      <c r="AU353">
        <v>154</v>
      </c>
      <c r="AV353">
        <v>0.98199999999999998</v>
      </c>
      <c r="AW353" s="1"/>
      <c r="AX353" s="1"/>
      <c r="AY353" s="29">
        <f t="shared" si="354"/>
        <v>29700</v>
      </c>
      <c r="AZ353" s="31">
        <f t="shared" si="355"/>
        <v>165705</v>
      </c>
      <c r="BA353" s="31"/>
      <c r="BB353" s="30">
        <f t="shared" si="357"/>
        <v>0</v>
      </c>
    </row>
    <row r="354" spans="2:54" x14ac:dyDescent="0.5">
      <c r="B354" s="4">
        <v>2011</v>
      </c>
      <c r="C354" t="s">
        <v>84</v>
      </c>
      <c r="D354" t="s">
        <v>85</v>
      </c>
      <c r="E354">
        <v>5</v>
      </c>
      <c r="F354" t="s">
        <v>38</v>
      </c>
      <c r="G354" t="s">
        <v>38</v>
      </c>
      <c r="H354" t="s">
        <v>38</v>
      </c>
      <c r="I354" t="s">
        <v>38</v>
      </c>
      <c r="J354">
        <v>71</v>
      </c>
      <c r="K354">
        <v>91</v>
      </c>
      <c r="L354">
        <v>593</v>
      </c>
      <c r="M354" s="20">
        <v>5417</v>
      </c>
      <c r="N354" s="20">
        <v>1284</v>
      </c>
      <c r="O354" s="20">
        <f t="shared" si="344"/>
        <v>904</v>
      </c>
      <c r="P354" s="20">
        <v>247</v>
      </c>
      <c r="Q354" s="20">
        <v>42</v>
      </c>
      <c r="R354" s="20">
        <v>91</v>
      </c>
      <c r="S354" s="20">
        <v>501</v>
      </c>
      <c r="T354" s="20">
        <v>48</v>
      </c>
      <c r="U354" s="20">
        <f t="shared" si="345"/>
        <v>3584</v>
      </c>
      <c r="V354">
        <v>1320</v>
      </c>
      <c r="W354">
        <v>170</v>
      </c>
      <c r="X354">
        <v>44</v>
      </c>
      <c r="Y354">
        <v>47</v>
      </c>
      <c r="Z354">
        <v>611</v>
      </c>
      <c r="AA354">
        <v>551</v>
      </c>
      <c r="AB354">
        <v>3.42</v>
      </c>
      <c r="AC354">
        <v>0</v>
      </c>
      <c r="AD354">
        <v>10</v>
      </c>
      <c r="AE354">
        <v>44</v>
      </c>
      <c r="AF354" s="27">
        <f t="shared" ca="1" si="332"/>
        <v>6481</v>
      </c>
      <c r="AG354" s="27">
        <f t="shared" ca="1" si="346"/>
        <v>1647</v>
      </c>
      <c r="AH354" s="27">
        <f t="shared" ca="1" si="347"/>
        <v>1080</v>
      </c>
      <c r="AI354" s="27">
        <f t="shared" ca="1" si="348"/>
        <v>329</v>
      </c>
      <c r="AJ354" s="27">
        <f t="shared" ca="1" si="349"/>
        <v>37</v>
      </c>
      <c r="AK354" s="27">
        <f t="shared" ca="1" si="350"/>
        <v>201</v>
      </c>
      <c r="AL354" s="27">
        <f t="shared" ca="1" si="351"/>
        <v>588</v>
      </c>
      <c r="AM354" s="27">
        <f t="shared" ca="1" si="352"/>
        <v>82</v>
      </c>
      <c r="AN354" s="27">
        <f t="shared" ca="1" si="353"/>
        <v>4164</v>
      </c>
      <c r="AO354">
        <v>4348</v>
      </c>
      <c r="AP354">
        <v>1324</v>
      </c>
      <c r="AQ354">
        <v>125</v>
      </c>
      <c r="AR354">
        <v>521</v>
      </c>
      <c r="AS354">
        <v>1139</v>
      </c>
      <c r="AT354">
        <v>94</v>
      </c>
      <c r="AU354">
        <v>139</v>
      </c>
      <c r="AV354">
        <v>0.98499999999999999</v>
      </c>
      <c r="AW354" s="1"/>
      <c r="AX354" s="1"/>
      <c r="AY354" s="29">
        <f t="shared" si="354"/>
        <v>29700</v>
      </c>
      <c r="AZ354" s="31">
        <f t="shared" si="355"/>
        <v>165705</v>
      </c>
      <c r="BA354" s="31">
        <f t="shared" ref="BA354" si="384">SUMIF($B$2:$B$571,$B354,$O$2:$O$571)</f>
        <v>28418</v>
      </c>
      <c r="BB354" s="30">
        <f t="shared" si="357"/>
        <v>0.17149754081047644</v>
      </c>
    </row>
    <row r="355" spans="2:54" x14ac:dyDescent="0.5">
      <c r="B355" s="4">
        <v>2011</v>
      </c>
      <c r="C355" t="s">
        <v>86</v>
      </c>
      <c r="D355" t="s">
        <v>87</v>
      </c>
      <c r="E355">
        <v>4</v>
      </c>
      <c r="F355" t="s">
        <v>38</v>
      </c>
      <c r="G355" t="s">
        <v>38</v>
      </c>
      <c r="H355" t="s">
        <v>38</v>
      </c>
      <c r="I355" t="s">
        <v>38</v>
      </c>
      <c r="J355">
        <v>67</v>
      </c>
      <c r="K355">
        <v>95</v>
      </c>
      <c r="L355">
        <v>556</v>
      </c>
      <c r="M355" s="20">
        <v>5421</v>
      </c>
      <c r="N355" s="20">
        <v>1263</v>
      </c>
      <c r="O355" s="20">
        <f t="shared" si="344"/>
        <v>879</v>
      </c>
      <c r="P355" s="20">
        <v>253</v>
      </c>
      <c r="Q355" s="20">
        <v>22</v>
      </c>
      <c r="R355" s="20">
        <v>109</v>
      </c>
      <c r="S355" s="20">
        <v>435</v>
      </c>
      <c r="T355" s="20">
        <v>37</v>
      </c>
      <c r="U355" s="20">
        <f t="shared" si="345"/>
        <v>3686</v>
      </c>
      <c r="V355">
        <v>1280</v>
      </c>
      <c r="W355">
        <v>125</v>
      </c>
      <c r="X355">
        <v>40</v>
      </c>
      <c r="Y355">
        <v>41</v>
      </c>
      <c r="Z355">
        <v>675</v>
      </c>
      <c r="AA355">
        <v>621</v>
      </c>
      <c r="AB355">
        <v>3.9</v>
      </c>
      <c r="AC355">
        <v>12</v>
      </c>
      <c r="AD355">
        <v>10</v>
      </c>
      <c r="AE355">
        <v>39</v>
      </c>
      <c r="AF355" s="27">
        <f t="shared" ca="1" si="332"/>
        <v>6099</v>
      </c>
      <c r="AG355" s="27">
        <f t="shared" ca="1" si="346"/>
        <v>1312</v>
      </c>
      <c r="AH355" s="27">
        <f t="shared" ca="1" si="347"/>
        <v>832</v>
      </c>
      <c r="AI355" s="27">
        <f t="shared" ca="1" si="348"/>
        <v>248</v>
      </c>
      <c r="AJ355" s="27">
        <f t="shared" ca="1" si="349"/>
        <v>47</v>
      </c>
      <c r="AK355" s="27">
        <f t="shared" ca="1" si="350"/>
        <v>185</v>
      </c>
      <c r="AL355" s="27">
        <f t="shared" ca="1" si="351"/>
        <v>477</v>
      </c>
      <c r="AM355" s="27">
        <f t="shared" ca="1" si="352"/>
        <v>31</v>
      </c>
      <c r="AN355" s="27">
        <f t="shared" ca="1" si="353"/>
        <v>4279</v>
      </c>
      <c r="AO355">
        <v>4299</v>
      </c>
      <c r="AP355">
        <v>1369</v>
      </c>
      <c r="AQ355">
        <v>145</v>
      </c>
      <c r="AR355">
        <v>436</v>
      </c>
      <c r="AS355">
        <v>1088</v>
      </c>
      <c r="AT355">
        <v>108</v>
      </c>
      <c r="AU355">
        <v>152</v>
      </c>
      <c r="AV355">
        <v>0.98199999999999998</v>
      </c>
      <c r="AW355" s="1"/>
      <c r="AX355" s="1"/>
      <c r="AY355" s="29">
        <f t="shared" si="354"/>
        <v>29700</v>
      </c>
      <c r="AZ355" s="31">
        <f t="shared" si="355"/>
        <v>165705</v>
      </c>
      <c r="BA355" s="31">
        <f t="shared" ref="BA355" si="385">SUMIF($B$2:$B$571,$B355,$P$2:$P$571)</f>
        <v>8399</v>
      </c>
      <c r="BB355" s="30">
        <f t="shared" si="357"/>
        <v>5.0686460879273407E-2</v>
      </c>
    </row>
    <row r="356" spans="2:54" x14ac:dyDescent="0.5">
      <c r="B356" s="4">
        <v>2011</v>
      </c>
      <c r="C356" t="s">
        <v>88</v>
      </c>
      <c r="D356" t="s">
        <v>89</v>
      </c>
      <c r="E356">
        <v>2</v>
      </c>
      <c r="F356" t="s">
        <v>38</v>
      </c>
      <c r="G356" t="s">
        <v>38</v>
      </c>
      <c r="H356" t="s">
        <v>38</v>
      </c>
      <c r="I356" t="s">
        <v>38</v>
      </c>
      <c r="J356">
        <v>86</v>
      </c>
      <c r="K356">
        <v>76</v>
      </c>
      <c r="L356">
        <v>570</v>
      </c>
      <c r="M356" s="20">
        <v>5486</v>
      </c>
      <c r="N356" s="20">
        <v>1327</v>
      </c>
      <c r="O356" s="20">
        <f t="shared" si="344"/>
        <v>900</v>
      </c>
      <c r="P356" s="20">
        <v>282</v>
      </c>
      <c r="Q356" s="20">
        <v>24</v>
      </c>
      <c r="R356" s="20">
        <v>121</v>
      </c>
      <c r="S356" s="20">
        <v>448</v>
      </c>
      <c r="T356" s="20">
        <v>52</v>
      </c>
      <c r="U356" s="20">
        <f t="shared" si="345"/>
        <v>3659</v>
      </c>
      <c r="V356">
        <v>1122</v>
      </c>
      <c r="W356">
        <v>85</v>
      </c>
      <c r="X356">
        <v>51</v>
      </c>
      <c r="Y356">
        <v>43</v>
      </c>
      <c r="Z356">
        <v>578</v>
      </c>
      <c r="AA356">
        <v>522</v>
      </c>
      <c r="AB356">
        <v>3.2</v>
      </c>
      <c r="AC356">
        <v>3</v>
      </c>
      <c r="AD356">
        <v>12</v>
      </c>
      <c r="AE356">
        <v>52</v>
      </c>
      <c r="AF356" s="27">
        <f t="shared" ca="1" si="332"/>
        <v>6222</v>
      </c>
      <c r="AG356" s="27">
        <f t="shared" ca="1" si="346"/>
        <v>1587</v>
      </c>
      <c r="AH356" s="27">
        <f t="shared" ca="1" si="347"/>
        <v>1125</v>
      </c>
      <c r="AI356" s="27">
        <f t="shared" ca="1" si="348"/>
        <v>250</v>
      </c>
      <c r="AJ356" s="27">
        <f t="shared" ca="1" si="349"/>
        <v>48</v>
      </c>
      <c r="AK356" s="27">
        <f t="shared" ca="1" si="350"/>
        <v>164</v>
      </c>
      <c r="AL356" s="27">
        <f t="shared" ca="1" si="351"/>
        <v>423</v>
      </c>
      <c r="AM356" s="27">
        <f t="shared" ca="1" si="352"/>
        <v>61</v>
      </c>
      <c r="AN356" s="27">
        <f t="shared" ca="1" si="353"/>
        <v>4151</v>
      </c>
      <c r="AO356">
        <v>4404</v>
      </c>
      <c r="AP356">
        <v>1260</v>
      </c>
      <c r="AQ356">
        <v>96</v>
      </c>
      <c r="AR356">
        <v>559</v>
      </c>
      <c r="AS356">
        <v>1316</v>
      </c>
      <c r="AT356">
        <v>104</v>
      </c>
      <c r="AU356">
        <v>127</v>
      </c>
      <c r="AV356">
        <v>0.98299999999999998</v>
      </c>
      <c r="AW356" s="1"/>
      <c r="AX356" s="1"/>
      <c r="AY356" s="29">
        <f t="shared" si="354"/>
        <v>29700</v>
      </c>
      <c r="AZ356" s="31">
        <f t="shared" si="355"/>
        <v>165705</v>
      </c>
      <c r="BA356" s="31">
        <f t="shared" ref="BA356" si="386">SUMIF($B$2:$B$571,$B356,$Q$2:$Q$571)</f>
        <v>898</v>
      </c>
      <c r="BB356" s="30">
        <f t="shared" si="357"/>
        <v>5.419269183186989E-3</v>
      </c>
    </row>
    <row r="357" spans="2:54" x14ac:dyDescent="0.5">
      <c r="B357" s="4">
        <v>2011</v>
      </c>
      <c r="C357" t="s">
        <v>90</v>
      </c>
      <c r="D357" t="s">
        <v>91</v>
      </c>
      <c r="E357">
        <v>2</v>
      </c>
      <c r="F357" t="s">
        <v>38</v>
      </c>
      <c r="G357" t="s">
        <v>43</v>
      </c>
      <c r="H357" t="s">
        <v>43</v>
      </c>
      <c r="I357" t="s">
        <v>43</v>
      </c>
      <c r="J357">
        <v>90</v>
      </c>
      <c r="K357">
        <v>72</v>
      </c>
      <c r="L357">
        <v>762</v>
      </c>
      <c r="M357" s="20">
        <v>5532</v>
      </c>
      <c r="N357" s="20">
        <v>1513</v>
      </c>
      <c r="O357" s="20">
        <f t="shared" si="344"/>
        <v>1021</v>
      </c>
      <c r="P357" s="20">
        <v>308</v>
      </c>
      <c r="Q357" s="20">
        <v>22</v>
      </c>
      <c r="R357" s="20">
        <v>162</v>
      </c>
      <c r="S357" s="20">
        <v>542</v>
      </c>
      <c r="T357" s="20">
        <v>44</v>
      </c>
      <c r="U357" s="20">
        <f t="shared" si="345"/>
        <v>3433</v>
      </c>
      <c r="V357">
        <v>978</v>
      </c>
      <c r="W357">
        <v>57</v>
      </c>
      <c r="X357">
        <v>39</v>
      </c>
      <c r="Y357">
        <v>40</v>
      </c>
      <c r="Z357">
        <v>692</v>
      </c>
      <c r="AA357">
        <v>608</v>
      </c>
      <c r="AB357">
        <v>3.74</v>
      </c>
      <c r="AC357">
        <v>7</v>
      </c>
      <c r="AD357">
        <v>9</v>
      </c>
      <c r="AE357">
        <v>47</v>
      </c>
      <c r="AF357" s="27">
        <f t="shared" ca="1" si="332"/>
        <v>6150</v>
      </c>
      <c r="AG357" s="27">
        <f t="shared" ca="1" si="346"/>
        <v>1424</v>
      </c>
      <c r="AH357" s="27">
        <f t="shared" ca="1" si="347"/>
        <v>831</v>
      </c>
      <c r="AI357" s="27">
        <f t="shared" ca="1" si="348"/>
        <v>391</v>
      </c>
      <c r="AJ357" s="27">
        <f t="shared" ca="1" si="349"/>
        <v>43</v>
      </c>
      <c r="AK357" s="27">
        <f t="shared" ca="1" si="350"/>
        <v>159</v>
      </c>
      <c r="AL357" s="27">
        <f t="shared" ca="1" si="351"/>
        <v>466</v>
      </c>
      <c r="AM357" s="27">
        <f t="shared" ca="1" si="352"/>
        <v>61</v>
      </c>
      <c r="AN357" s="27">
        <f t="shared" ca="1" si="353"/>
        <v>4199</v>
      </c>
      <c r="AO357">
        <v>4386</v>
      </c>
      <c r="AP357">
        <v>1461</v>
      </c>
      <c r="AQ357">
        <v>136</v>
      </c>
      <c r="AR357">
        <v>448</v>
      </c>
      <c r="AS357">
        <v>1098</v>
      </c>
      <c r="AT357">
        <v>116</v>
      </c>
      <c r="AU357">
        <v>167</v>
      </c>
      <c r="AV357">
        <v>0.98199999999999998</v>
      </c>
      <c r="AW357" s="1"/>
      <c r="AX357" s="1"/>
      <c r="AY357" s="29">
        <f t="shared" si="354"/>
        <v>29700</v>
      </c>
      <c r="AZ357" s="31">
        <f t="shared" si="355"/>
        <v>165705</v>
      </c>
      <c r="BA357" s="31">
        <f t="shared" ref="BA357" si="387">SUMIF($B$2:$B$571,$B357,$R$2:$R$571)</f>
        <v>4552</v>
      </c>
      <c r="BB357" s="30">
        <f t="shared" si="357"/>
        <v>2.7470504812769681E-2</v>
      </c>
    </row>
    <row r="358" spans="2:54" x14ac:dyDescent="0.5">
      <c r="B358" s="4">
        <v>2011</v>
      </c>
      <c r="C358" t="s">
        <v>102</v>
      </c>
      <c r="D358" t="s">
        <v>93</v>
      </c>
      <c r="E358">
        <v>2</v>
      </c>
      <c r="F358" t="s">
        <v>38</v>
      </c>
      <c r="G358" t="s">
        <v>43</v>
      </c>
      <c r="H358" t="s">
        <v>38</v>
      </c>
      <c r="I358" t="s">
        <v>38</v>
      </c>
      <c r="J358">
        <v>91</v>
      </c>
      <c r="K358">
        <v>71</v>
      </c>
      <c r="L358">
        <v>707</v>
      </c>
      <c r="M358" s="20">
        <v>5436</v>
      </c>
      <c r="N358" s="20">
        <v>1324</v>
      </c>
      <c r="O358" s="20">
        <f t="shared" si="344"/>
        <v>842</v>
      </c>
      <c r="P358" s="20">
        <v>273</v>
      </c>
      <c r="Q358" s="20">
        <v>37</v>
      </c>
      <c r="R358" s="20">
        <v>172</v>
      </c>
      <c r="S358" s="20">
        <v>571</v>
      </c>
      <c r="T358" s="20">
        <v>73</v>
      </c>
      <c r="U358" s="20">
        <f t="shared" si="345"/>
        <v>3468</v>
      </c>
      <c r="V358">
        <v>1193</v>
      </c>
      <c r="W358">
        <v>155</v>
      </c>
      <c r="X358">
        <v>62</v>
      </c>
      <c r="Y358">
        <v>35</v>
      </c>
      <c r="Z358">
        <v>614</v>
      </c>
      <c r="AA358">
        <v>577</v>
      </c>
      <c r="AB358">
        <v>3.58</v>
      </c>
      <c r="AC358">
        <v>15</v>
      </c>
      <c r="AD358">
        <v>13</v>
      </c>
      <c r="AE358">
        <v>32</v>
      </c>
      <c r="AF358" s="27">
        <f t="shared" ca="1" si="332"/>
        <v>6330</v>
      </c>
      <c r="AG358" s="27">
        <f t="shared" ca="1" si="346"/>
        <v>1310</v>
      </c>
      <c r="AH358" s="27">
        <f t="shared" ca="1" si="347"/>
        <v>635</v>
      </c>
      <c r="AI358" s="27">
        <f t="shared" ca="1" si="348"/>
        <v>395</v>
      </c>
      <c r="AJ358" s="27">
        <f t="shared" ca="1" si="349"/>
        <v>44</v>
      </c>
      <c r="AK358" s="27">
        <f t="shared" ca="1" si="350"/>
        <v>236</v>
      </c>
      <c r="AL358" s="27">
        <f t="shared" ca="1" si="351"/>
        <v>671</v>
      </c>
      <c r="AM358" s="27">
        <f t="shared" ca="1" si="352"/>
        <v>70</v>
      </c>
      <c r="AN358" s="27">
        <f t="shared" ca="1" si="353"/>
        <v>4279</v>
      </c>
      <c r="AO358">
        <v>4347</v>
      </c>
      <c r="AP358">
        <v>1263</v>
      </c>
      <c r="AQ358">
        <v>161</v>
      </c>
      <c r="AR358">
        <v>504</v>
      </c>
      <c r="AS358">
        <v>1143</v>
      </c>
      <c r="AT358">
        <v>73</v>
      </c>
      <c r="AU358">
        <v>138</v>
      </c>
      <c r="AV358">
        <v>0.98799999999999999</v>
      </c>
      <c r="AW358" s="1"/>
      <c r="AX358" s="1"/>
      <c r="AY358" s="29">
        <f t="shared" si="354"/>
        <v>29700</v>
      </c>
      <c r="AZ358" s="31">
        <f t="shared" si="355"/>
        <v>165705</v>
      </c>
      <c r="BA358" s="31">
        <f t="shared" ref="BA358" si="388">SUMIF($B$2:$B$571,$B358,$S$2:$S$571)</f>
        <v>15018</v>
      </c>
      <c r="BB358" s="30">
        <f t="shared" si="357"/>
        <v>9.063094052683987E-2</v>
      </c>
    </row>
    <row r="359" spans="2:54" x14ac:dyDescent="0.5">
      <c r="B359" s="4">
        <v>2011</v>
      </c>
      <c r="C359" t="s">
        <v>94</v>
      </c>
      <c r="D359" t="s">
        <v>95</v>
      </c>
      <c r="E359">
        <v>1</v>
      </c>
      <c r="F359" t="s">
        <v>43</v>
      </c>
      <c r="G359" t="s">
        <v>38</v>
      </c>
      <c r="H359" t="s">
        <v>43</v>
      </c>
      <c r="I359" t="s">
        <v>38</v>
      </c>
      <c r="J359">
        <v>96</v>
      </c>
      <c r="K359">
        <v>66</v>
      </c>
      <c r="L359">
        <v>855</v>
      </c>
      <c r="M359" s="20">
        <v>5659</v>
      </c>
      <c r="N359" s="20">
        <v>1599</v>
      </c>
      <c r="O359" s="20">
        <f t="shared" si="344"/>
        <v>1047</v>
      </c>
      <c r="P359" s="20">
        <v>310</v>
      </c>
      <c r="Q359" s="20">
        <v>32</v>
      </c>
      <c r="R359" s="20">
        <v>210</v>
      </c>
      <c r="S359" s="20">
        <v>475</v>
      </c>
      <c r="T359" s="20">
        <v>39</v>
      </c>
      <c r="U359" s="20">
        <f t="shared" si="345"/>
        <v>3546</v>
      </c>
      <c r="V359">
        <v>930</v>
      </c>
      <c r="W359">
        <v>143</v>
      </c>
      <c r="X359">
        <v>45</v>
      </c>
      <c r="Y359">
        <v>49</v>
      </c>
      <c r="Z359">
        <v>677</v>
      </c>
      <c r="AA359">
        <v>607</v>
      </c>
      <c r="AB359">
        <v>3.79</v>
      </c>
      <c r="AC359">
        <v>10</v>
      </c>
      <c r="AD359">
        <v>19</v>
      </c>
      <c r="AE359">
        <v>38</v>
      </c>
      <c r="AF359" s="27">
        <f t="shared" ca="1" si="332"/>
        <v>6189</v>
      </c>
      <c r="AG359" s="27">
        <f t="shared" ca="1" si="346"/>
        <v>1456</v>
      </c>
      <c r="AH359" s="27">
        <f t="shared" ca="1" si="347"/>
        <v>941</v>
      </c>
      <c r="AI359" s="27">
        <f t="shared" ca="1" si="348"/>
        <v>331</v>
      </c>
      <c r="AJ359" s="27">
        <f t="shared" ca="1" si="349"/>
        <v>44</v>
      </c>
      <c r="AK359" s="27">
        <f t="shared" ca="1" si="350"/>
        <v>140</v>
      </c>
      <c r="AL359" s="27">
        <f t="shared" ca="1" si="351"/>
        <v>433</v>
      </c>
      <c r="AM359" s="27">
        <f t="shared" ca="1" si="352"/>
        <v>60</v>
      </c>
      <c r="AN359" s="27">
        <f t="shared" ca="1" si="353"/>
        <v>4240</v>
      </c>
      <c r="AO359">
        <v>4324</v>
      </c>
      <c r="AP359">
        <v>1327</v>
      </c>
      <c r="AQ359">
        <v>170</v>
      </c>
      <c r="AR359">
        <v>461</v>
      </c>
      <c r="AS359">
        <v>1179</v>
      </c>
      <c r="AT359">
        <v>114</v>
      </c>
      <c r="AU359">
        <v>164</v>
      </c>
      <c r="AV359">
        <v>0.98099999999999998</v>
      </c>
      <c r="AW359" s="1"/>
      <c r="AX359" s="1"/>
      <c r="AY359" s="29">
        <f t="shared" si="354"/>
        <v>29700</v>
      </c>
      <c r="AZ359" s="31">
        <f t="shared" si="355"/>
        <v>165705</v>
      </c>
      <c r="BA359" s="31">
        <f t="shared" ref="BA359" si="389">SUMIF($B$2:$B$571,$B359,$T$2:$T$571)</f>
        <v>1554</v>
      </c>
      <c r="BB359" s="30">
        <f t="shared" si="357"/>
        <v>9.3781117045351678E-3</v>
      </c>
    </row>
    <row r="360" spans="2:54" x14ac:dyDescent="0.5">
      <c r="B360" s="4">
        <v>2011</v>
      </c>
      <c r="C360" t="s">
        <v>96</v>
      </c>
      <c r="D360" t="s">
        <v>97</v>
      </c>
      <c r="E360">
        <v>4</v>
      </c>
      <c r="F360" t="s">
        <v>38</v>
      </c>
      <c r="G360" t="s">
        <v>38</v>
      </c>
      <c r="H360" t="s">
        <v>38</v>
      </c>
      <c r="I360" t="s">
        <v>38</v>
      </c>
      <c r="J360">
        <v>81</v>
      </c>
      <c r="K360">
        <v>81</v>
      </c>
      <c r="L360">
        <v>743</v>
      </c>
      <c r="M360" s="20">
        <v>5559</v>
      </c>
      <c r="N360" s="20">
        <v>1384</v>
      </c>
      <c r="O360" s="20">
        <f t="shared" si="344"/>
        <v>879</v>
      </c>
      <c r="P360" s="20">
        <v>285</v>
      </c>
      <c r="Q360" s="20">
        <v>34</v>
      </c>
      <c r="R360" s="20">
        <v>186</v>
      </c>
      <c r="S360" s="20">
        <v>525</v>
      </c>
      <c r="T360" s="20">
        <v>48</v>
      </c>
      <c r="U360" s="20">
        <f t="shared" si="345"/>
        <v>3602</v>
      </c>
      <c r="V360">
        <v>1184</v>
      </c>
      <c r="W360">
        <v>131</v>
      </c>
      <c r="X360">
        <v>52</v>
      </c>
      <c r="Y360">
        <v>47</v>
      </c>
      <c r="Z360">
        <v>761</v>
      </c>
      <c r="AA360">
        <v>700</v>
      </c>
      <c r="AB360">
        <v>4.32</v>
      </c>
      <c r="AC360">
        <v>7</v>
      </c>
      <c r="AD360">
        <v>10</v>
      </c>
      <c r="AE360">
        <v>33</v>
      </c>
      <c r="AF360" s="27">
        <f t="shared" ca="1" si="332"/>
        <v>6452</v>
      </c>
      <c r="AG360" s="27">
        <f t="shared" ca="1" si="346"/>
        <v>1352</v>
      </c>
      <c r="AH360" s="27">
        <f t="shared" ca="1" si="347"/>
        <v>713</v>
      </c>
      <c r="AI360" s="27">
        <f t="shared" ca="1" si="348"/>
        <v>368</v>
      </c>
      <c r="AJ360" s="27">
        <f t="shared" ca="1" si="349"/>
        <v>35</v>
      </c>
      <c r="AK360" s="27">
        <f t="shared" ca="1" si="350"/>
        <v>236</v>
      </c>
      <c r="AL360" s="27">
        <f t="shared" ca="1" si="351"/>
        <v>442</v>
      </c>
      <c r="AM360" s="27">
        <f t="shared" ca="1" si="352"/>
        <v>49</v>
      </c>
      <c r="AN360" s="27">
        <f t="shared" ca="1" si="353"/>
        <v>4609</v>
      </c>
      <c r="AO360">
        <v>4376</v>
      </c>
      <c r="AP360">
        <v>1433</v>
      </c>
      <c r="AQ360">
        <v>179</v>
      </c>
      <c r="AR360">
        <v>540</v>
      </c>
      <c r="AS360">
        <v>1169</v>
      </c>
      <c r="AT360">
        <v>110</v>
      </c>
      <c r="AU360">
        <v>148</v>
      </c>
      <c r="AV360">
        <v>0.98199999999999998</v>
      </c>
      <c r="AW360" s="1"/>
      <c r="AX360" s="1"/>
      <c r="AY360" s="29">
        <f t="shared" si="354"/>
        <v>29700</v>
      </c>
      <c r="AZ360" s="31">
        <f t="shared" si="355"/>
        <v>165705</v>
      </c>
      <c r="BA360" s="31">
        <f t="shared" ref="BA360" si="390">SUMIF($B$2:$B$571,$B360,$U$2:$U$571)</f>
        <v>106866</v>
      </c>
      <c r="BB360" s="30">
        <f t="shared" si="357"/>
        <v>0.64491717208291843</v>
      </c>
    </row>
    <row r="361" spans="2:54" x14ac:dyDescent="0.5">
      <c r="B361" s="4">
        <v>2011</v>
      </c>
      <c r="C361" t="s">
        <v>100</v>
      </c>
      <c r="D361" t="s">
        <v>101</v>
      </c>
      <c r="E361">
        <v>3</v>
      </c>
      <c r="F361" t="s">
        <v>38</v>
      </c>
      <c r="G361" t="s">
        <v>38</v>
      </c>
      <c r="H361" t="s">
        <v>38</v>
      </c>
      <c r="I361" t="s">
        <v>38</v>
      </c>
      <c r="J361">
        <v>80</v>
      </c>
      <c r="K361">
        <v>81</v>
      </c>
      <c r="L361">
        <v>624</v>
      </c>
      <c r="M361" s="20">
        <v>5441</v>
      </c>
      <c r="N361" s="20">
        <v>1319</v>
      </c>
      <c r="O361" s="20">
        <f t="shared" si="344"/>
        <v>886</v>
      </c>
      <c r="P361" s="20">
        <v>257</v>
      </c>
      <c r="Q361" s="20">
        <v>22</v>
      </c>
      <c r="R361" s="20">
        <v>154</v>
      </c>
      <c r="S361" s="20">
        <v>470</v>
      </c>
      <c r="T361" s="20">
        <v>65</v>
      </c>
      <c r="U361" s="20">
        <f t="shared" si="345"/>
        <v>3587</v>
      </c>
      <c r="V361">
        <v>1323</v>
      </c>
      <c r="W361">
        <v>106</v>
      </c>
      <c r="X361">
        <v>38</v>
      </c>
      <c r="Y361">
        <v>32</v>
      </c>
      <c r="Z361">
        <v>643</v>
      </c>
      <c r="AA361">
        <v>577</v>
      </c>
      <c r="AB361">
        <v>3.58</v>
      </c>
      <c r="AC361">
        <v>3</v>
      </c>
      <c r="AD361">
        <v>10</v>
      </c>
      <c r="AE361">
        <v>49</v>
      </c>
      <c r="AF361" s="27">
        <f t="shared" ca="1" si="332"/>
        <v>6359</v>
      </c>
      <c r="AG361" s="27">
        <f t="shared" ca="1" si="346"/>
        <v>1531</v>
      </c>
      <c r="AH361" s="27">
        <f t="shared" ca="1" si="347"/>
        <v>903</v>
      </c>
      <c r="AI361" s="27">
        <f t="shared" ca="1" si="348"/>
        <v>350</v>
      </c>
      <c r="AJ361" s="27">
        <f t="shared" ca="1" si="349"/>
        <v>49</v>
      </c>
      <c r="AK361" s="27">
        <f t="shared" ca="1" si="350"/>
        <v>229</v>
      </c>
      <c r="AL361" s="27">
        <f t="shared" ca="1" si="351"/>
        <v>636</v>
      </c>
      <c r="AM361" s="27">
        <f t="shared" ca="1" si="352"/>
        <v>71</v>
      </c>
      <c r="AN361" s="27">
        <f t="shared" ca="1" si="353"/>
        <v>4121</v>
      </c>
      <c r="AO361">
        <v>4348</v>
      </c>
      <c r="AP361">
        <v>1403</v>
      </c>
      <c r="AQ361">
        <v>129</v>
      </c>
      <c r="AR361">
        <v>477</v>
      </c>
      <c r="AS361">
        <v>1049</v>
      </c>
      <c r="AT361">
        <v>104</v>
      </c>
      <c r="AU361">
        <v>145</v>
      </c>
      <c r="AV361">
        <v>0.98299999999999998</v>
      </c>
      <c r="AW361" s="1"/>
      <c r="AX361" s="1"/>
      <c r="AY361" s="29">
        <f t="shared" si="354"/>
        <v>29700</v>
      </c>
      <c r="AZ361" s="31">
        <f t="shared" si="355"/>
        <v>165705</v>
      </c>
      <c r="BA361" s="31"/>
      <c r="BB361" s="30">
        <f t="shared" si="357"/>
        <v>0</v>
      </c>
    </row>
    <row r="362" spans="2:54" x14ac:dyDescent="0.5">
      <c r="B362" s="4">
        <v>2012</v>
      </c>
      <c r="C362" t="s">
        <v>39</v>
      </c>
      <c r="D362" t="s">
        <v>40</v>
      </c>
      <c r="E362">
        <v>3</v>
      </c>
      <c r="F362" t="s">
        <v>38</v>
      </c>
      <c r="G362" t="s">
        <v>38</v>
      </c>
      <c r="H362" t="s">
        <v>38</v>
      </c>
      <c r="I362" t="s">
        <v>38</v>
      </c>
      <c r="J362">
        <v>81</v>
      </c>
      <c r="K362">
        <v>81</v>
      </c>
      <c r="L362">
        <v>734</v>
      </c>
      <c r="M362" s="20">
        <v>5462</v>
      </c>
      <c r="N362" s="20">
        <v>1416</v>
      </c>
      <c r="O362" s="20">
        <f t="shared" si="344"/>
        <v>911</v>
      </c>
      <c r="P362" s="20">
        <v>307</v>
      </c>
      <c r="Q362" s="20">
        <v>33</v>
      </c>
      <c r="R362" s="20">
        <v>165</v>
      </c>
      <c r="S362" s="20">
        <v>539</v>
      </c>
      <c r="T362" s="20">
        <v>41</v>
      </c>
      <c r="U362" s="20">
        <f t="shared" si="345"/>
        <v>3466</v>
      </c>
      <c r="V362">
        <v>1266</v>
      </c>
      <c r="W362">
        <v>93</v>
      </c>
      <c r="X362">
        <v>51</v>
      </c>
      <c r="Y362">
        <v>45</v>
      </c>
      <c r="Z362">
        <v>688</v>
      </c>
      <c r="AA362">
        <v>626</v>
      </c>
      <c r="AB362">
        <v>3.93</v>
      </c>
      <c r="AC362">
        <v>4</v>
      </c>
      <c r="AD362">
        <v>9</v>
      </c>
      <c r="AE362">
        <v>39</v>
      </c>
      <c r="AF362" s="27">
        <f t="shared" ca="1" si="332"/>
        <v>6152</v>
      </c>
      <c r="AG362" s="27">
        <f t="shared" ca="1" si="346"/>
        <v>1657</v>
      </c>
      <c r="AH362" s="27">
        <f t="shared" ca="1" si="347"/>
        <v>1053</v>
      </c>
      <c r="AI362" s="27">
        <f t="shared" ca="1" si="348"/>
        <v>347</v>
      </c>
      <c r="AJ362" s="27">
        <f t="shared" ca="1" si="349"/>
        <v>48</v>
      </c>
      <c r="AK362" s="27">
        <f t="shared" ca="1" si="350"/>
        <v>209</v>
      </c>
      <c r="AL362" s="27">
        <f t="shared" ca="1" si="351"/>
        <v>478</v>
      </c>
      <c r="AM362" s="27">
        <f t="shared" ca="1" si="352"/>
        <v>74</v>
      </c>
      <c r="AN362" s="27">
        <f t="shared" ca="1" si="353"/>
        <v>3943</v>
      </c>
      <c r="AO362">
        <v>4301</v>
      </c>
      <c r="AP362">
        <v>1432</v>
      </c>
      <c r="AQ362">
        <v>155</v>
      </c>
      <c r="AR362">
        <v>417</v>
      </c>
      <c r="AS362">
        <v>1200</v>
      </c>
      <c r="AT362">
        <v>90</v>
      </c>
      <c r="AU362">
        <v>146</v>
      </c>
      <c r="AV362">
        <v>0.98499999999999999</v>
      </c>
      <c r="AW362" s="1"/>
      <c r="AX362" s="1"/>
      <c r="AY362" s="29">
        <f t="shared" si="354"/>
        <v>29700</v>
      </c>
      <c r="AZ362" s="31">
        <f t="shared" si="355"/>
        <v>165251</v>
      </c>
      <c r="BA362" s="31">
        <f t="shared" ref="BA362" si="391">SUMIF($B$2:$B$571,$B362,$O$2:$O$571)</f>
        <v>27941</v>
      </c>
      <c r="BB362" s="30">
        <f t="shared" si="357"/>
        <v>0.16908218407150336</v>
      </c>
    </row>
    <row r="363" spans="2:54" x14ac:dyDescent="0.5">
      <c r="B363" s="4">
        <v>2012</v>
      </c>
      <c r="C363" t="s">
        <v>41</v>
      </c>
      <c r="D363" t="s">
        <v>42</v>
      </c>
      <c r="E363">
        <v>2</v>
      </c>
      <c r="F363" t="s">
        <v>38</v>
      </c>
      <c r="G363" t="s">
        <v>43</v>
      </c>
      <c r="H363" t="s">
        <v>38</v>
      </c>
      <c r="I363" t="s">
        <v>38</v>
      </c>
      <c r="J363">
        <v>94</v>
      </c>
      <c r="K363">
        <v>68</v>
      </c>
      <c r="L363">
        <v>700</v>
      </c>
      <c r="M363" s="20">
        <v>5425</v>
      </c>
      <c r="N363" s="20">
        <v>1341</v>
      </c>
      <c r="O363" s="20">
        <f t="shared" si="344"/>
        <v>899</v>
      </c>
      <c r="P363" s="20">
        <v>263</v>
      </c>
      <c r="Q363" s="20">
        <v>30</v>
      </c>
      <c r="R363" s="20">
        <v>149</v>
      </c>
      <c r="S363" s="20">
        <v>567</v>
      </c>
      <c r="T363" s="20">
        <v>34</v>
      </c>
      <c r="U363" s="20">
        <f t="shared" si="345"/>
        <v>3483</v>
      </c>
      <c r="V363">
        <v>1289</v>
      </c>
      <c r="W363">
        <v>101</v>
      </c>
      <c r="X363">
        <v>32</v>
      </c>
      <c r="Y363">
        <v>46</v>
      </c>
      <c r="Z363">
        <v>600</v>
      </c>
      <c r="AA363">
        <v>549</v>
      </c>
      <c r="AB363">
        <v>3.42</v>
      </c>
      <c r="AC363">
        <v>5</v>
      </c>
      <c r="AD363">
        <v>16</v>
      </c>
      <c r="AE363">
        <v>47</v>
      </c>
      <c r="AF363" s="27">
        <f t="shared" ca="1" si="332"/>
        <v>6463</v>
      </c>
      <c r="AG363" s="27">
        <f t="shared" ca="1" si="346"/>
        <v>1596</v>
      </c>
      <c r="AH363" s="27">
        <f t="shared" ca="1" si="347"/>
        <v>1095</v>
      </c>
      <c r="AI363" s="27">
        <f t="shared" ca="1" si="348"/>
        <v>341</v>
      </c>
      <c r="AJ363" s="27">
        <f t="shared" ca="1" si="349"/>
        <v>28</v>
      </c>
      <c r="AK363" s="27">
        <f t="shared" ca="1" si="350"/>
        <v>132</v>
      </c>
      <c r="AL363" s="27">
        <f t="shared" ca="1" si="351"/>
        <v>421</v>
      </c>
      <c r="AM363" s="27">
        <f t="shared" ca="1" si="352"/>
        <v>77</v>
      </c>
      <c r="AN363" s="27">
        <f t="shared" ca="1" si="353"/>
        <v>4369</v>
      </c>
      <c r="AO363">
        <v>4336</v>
      </c>
      <c r="AP363">
        <v>1310</v>
      </c>
      <c r="AQ363">
        <v>145</v>
      </c>
      <c r="AR363">
        <v>464</v>
      </c>
      <c r="AS363">
        <v>1232</v>
      </c>
      <c r="AT363">
        <v>86</v>
      </c>
      <c r="AU363">
        <v>147</v>
      </c>
      <c r="AV363">
        <v>0.98599999999999999</v>
      </c>
      <c r="AW363" s="1"/>
      <c r="AX363" s="1"/>
      <c r="AY363" s="29">
        <f t="shared" si="354"/>
        <v>29700</v>
      </c>
      <c r="AZ363" s="31">
        <f t="shared" si="355"/>
        <v>165251</v>
      </c>
      <c r="BA363" s="31">
        <f t="shared" ref="BA363" si="392">SUMIF($B$2:$B$571,$B363,$P$2:$P$571)</f>
        <v>8261</v>
      </c>
      <c r="BB363" s="30">
        <f t="shared" si="357"/>
        <v>4.9990620329075162E-2</v>
      </c>
    </row>
    <row r="364" spans="2:54" x14ac:dyDescent="0.5">
      <c r="B364" s="4">
        <v>2012</v>
      </c>
      <c r="C364" t="s">
        <v>44</v>
      </c>
      <c r="D364" t="s">
        <v>45</v>
      </c>
      <c r="E364">
        <v>2</v>
      </c>
      <c r="F364" t="s">
        <v>38</v>
      </c>
      <c r="G364" t="s">
        <v>43</v>
      </c>
      <c r="H364" t="s">
        <v>38</v>
      </c>
      <c r="I364" t="s">
        <v>38</v>
      </c>
      <c r="J364">
        <v>93</v>
      </c>
      <c r="K364">
        <v>69</v>
      </c>
      <c r="L364">
        <v>712</v>
      </c>
      <c r="M364" s="20">
        <v>5560</v>
      </c>
      <c r="N364" s="20">
        <v>1375</v>
      </c>
      <c r="O364" s="20">
        <f t="shared" si="344"/>
        <v>875</v>
      </c>
      <c r="P364" s="20">
        <v>270</v>
      </c>
      <c r="Q364" s="20">
        <v>16</v>
      </c>
      <c r="R364" s="20">
        <v>214</v>
      </c>
      <c r="S364" s="20">
        <v>480</v>
      </c>
      <c r="T364" s="20">
        <v>50</v>
      </c>
      <c r="U364" s="20">
        <f t="shared" si="345"/>
        <v>3655</v>
      </c>
      <c r="V364">
        <v>1315</v>
      </c>
      <c r="W364">
        <v>58</v>
      </c>
      <c r="X364">
        <v>29</v>
      </c>
      <c r="Y364">
        <v>30</v>
      </c>
      <c r="Z364">
        <v>705</v>
      </c>
      <c r="AA364">
        <v>642</v>
      </c>
      <c r="AB364">
        <v>3.9</v>
      </c>
      <c r="AC364">
        <v>1</v>
      </c>
      <c r="AD364">
        <v>10</v>
      </c>
      <c r="AE364">
        <v>55</v>
      </c>
      <c r="AF364" s="27">
        <f t="shared" ca="1" si="332"/>
        <v>6114</v>
      </c>
      <c r="AG364" s="27">
        <f t="shared" ca="1" si="346"/>
        <v>1340</v>
      </c>
      <c r="AH364" s="27">
        <f t="shared" ca="1" si="347"/>
        <v>850</v>
      </c>
      <c r="AI364" s="27">
        <f t="shared" ca="1" si="348"/>
        <v>253</v>
      </c>
      <c r="AJ364" s="27">
        <f t="shared" ca="1" si="349"/>
        <v>50</v>
      </c>
      <c r="AK364" s="27">
        <f t="shared" ca="1" si="350"/>
        <v>187</v>
      </c>
      <c r="AL364" s="27">
        <f t="shared" ca="1" si="351"/>
        <v>467</v>
      </c>
      <c r="AM364" s="27">
        <f t="shared" ca="1" si="352"/>
        <v>61</v>
      </c>
      <c r="AN364" s="27">
        <f t="shared" ca="1" si="353"/>
        <v>4246</v>
      </c>
      <c r="AO364">
        <v>4449</v>
      </c>
      <c r="AP364">
        <v>1433</v>
      </c>
      <c r="AQ364">
        <v>184</v>
      </c>
      <c r="AR364">
        <v>481</v>
      </c>
      <c r="AS364">
        <v>1177</v>
      </c>
      <c r="AT364">
        <v>106</v>
      </c>
      <c r="AU364">
        <v>151</v>
      </c>
      <c r="AV364">
        <v>0.98299999999999998</v>
      </c>
      <c r="AW364" s="1"/>
      <c r="AX364" s="1"/>
      <c r="AY364" s="29">
        <f t="shared" si="354"/>
        <v>29700</v>
      </c>
      <c r="AZ364" s="31">
        <f t="shared" si="355"/>
        <v>165251</v>
      </c>
      <c r="BA364" s="31">
        <f t="shared" ref="BA364" si="393">SUMIF($B$2:$B$571,$B364,$Q$2:$Q$571)</f>
        <v>927</v>
      </c>
      <c r="BB364" s="30">
        <f t="shared" si="357"/>
        <v>5.6096483531113276E-3</v>
      </c>
    </row>
    <row r="365" spans="2:54" x14ac:dyDescent="0.5">
      <c r="B365" s="4">
        <v>2012</v>
      </c>
      <c r="C365" t="s">
        <v>46</v>
      </c>
      <c r="D365" t="s">
        <v>47</v>
      </c>
      <c r="E365">
        <v>5</v>
      </c>
      <c r="F365" t="s">
        <v>38</v>
      </c>
      <c r="G365" t="s">
        <v>38</v>
      </c>
      <c r="H365" t="s">
        <v>38</v>
      </c>
      <c r="I365" t="s">
        <v>38</v>
      </c>
      <c r="J365">
        <v>69</v>
      </c>
      <c r="K365">
        <v>93</v>
      </c>
      <c r="L365">
        <v>734</v>
      </c>
      <c r="M365" s="20">
        <v>5604</v>
      </c>
      <c r="N365" s="20">
        <v>1459</v>
      </c>
      <c r="O365" s="20">
        <f t="shared" si="344"/>
        <v>939</v>
      </c>
      <c r="P365" s="20">
        <v>339</v>
      </c>
      <c r="Q365" s="20">
        <v>16</v>
      </c>
      <c r="R365" s="20">
        <v>165</v>
      </c>
      <c r="S365" s="20">
        <v>428</v>
      </c>
      <c r="T365" s="20">
        <v>45</v>
      </c>
      <c r="U365" s="20">
        <f t="shared" si="345"/>
        <v>3672</v>
      </c>
      <c r="V365">
        <v>1197</v>
      </c>
      <c r="W365">
        <v>97</v>
      </c>
      <c r="X365">
        <v>31</v>
      </c>
      <c r="Y365">
        <v>55</v>
      </c>
      <c r="Z365">
        <v>806</v>
      </c>
      <c r="AA365">
        <v>754</v>
      </c>
      <c r="AB365">
        <v>4.7</v>
      </c>
      <c r="AC365">
        <v>6</v>
      </c>
      <c r="AD365">
        <v>4</v>
      </c>
      <c r="AE365">
        <v>35</v>
      </c>
      <c r="AF365" s="27">
        <f t="shared" ca="1" si="332"/>
        <v>6088</v>
      </c>
      <c r="AG365" s="27">
        <f t="shared" ca="1" si="346"/>
        <v>1675</v>
      </c>
      <c r="AH365" s="27">
        <f t="shared" ca="1" si="347"/>
        <v>1134</v>
      </c>
      <c r="AI365" s="27">
        <f t="shared" ca="1" si="348"/>
        <v>309</v>
      </c>
      <c r="AJ365" s="27">
        <f t="shared" ca="1" si="349"/>
        <v>37</v>
      </c>
      <c r="AK365" s="27">
        <f t="shared" ca="1" si="350"/>
        <v>195</v>
      </c>
      <c r="AL365" s="27">
        <f t="shared" ca="1" si="351"/>
        <v>417</v>
      </c>
      <c r="AM365" s="27">
        <f t="shared" ca="1" si="352"/>
        <v>37</v>
      </c>
      <c r="AN365" s="27">
        <f t="shared" ca="1" si="353"/>
        <v>3959</v>
      </c>
      <c r="AO365">
        <v>4329</v>
      </c>
      <c r="AP365">
        <v>1449</v>
      </c>
      <c r="AQ365">
        <v>190</v>
      </c>
      <c r="AR365">
        <v>529</v>
      </c>
      <c r="AS365">
        <v>1176</v>
      </c>
      <c r="AT365">
        <v>101</v>
      </c>
      <c r="AU365">
        <v>159</v>
      </c>
      <c r="AV365">
        <v>0.98299999999999998</v>
      </c>
      <c r="AW365" s="1"/>
      <c r="AX365" s="1"/>
      <c r="AY365" s="29">
        <f t="shared" si="354"/>
        <v>29700</v>
      </c>
      <c r="AZ365" s="31">
        <f t="shared" si="355"/>
        <v>165251</v>
      </c>
      <c r="BA365" s="31">
        <f t="shared" ref="BA365" si="394">SUMIF($B$2:$B$571,$B365,$R$2:$R$571)</f>
        <v>4934</v>
      </c>
      <c r="BB365" s="30">
        <f t="shared" si="357"/>
        <v>2.9857610543960401E-2</v>
      </c>
    </row>
    <row r="366" spans="2:54" x14ac:dyDescent="0.5">
      <c r="B366" s="4">
        <v>2012</v>
      </c>
      <c r="C366" t="s">
        <v>48</v>
      </c>
      <c r="D366" t="s">
        <v>49</v>
      </c>
      <c r="E366">
        <v>2</v>
      </c>
      <c r="F366" t="s">
        <v>38</v>
      </c>
      <c r="G366" t="s">
        <v>38</v>
      </c>
      <c r="H366" t="s">
        <v>38</v>
      </c>
      <c r="I366" t="s">
        <v>38</v>
      </c>
      <c r="J366">
        <v>85</v>
      </c>
      <c r="K366">
        <v>77</v>
      </c>
      <c r="L366">
        <v>748</v>
      </c>
      <c r="M366" s="20">
        <v>5518</v>
      </c>
      <c r="N366" s="20">
        <v>1409</v>
      </c>
      <c r="O366" s="20">
        <f t="shared" si="344"/>
        <v>941</v>
      </c>
      <c r="P366" s="20">
        <v>228</v>
      </c>
      <c r="Q366" s="20">
        <v>29</v>
      </c>
      <c r="R366" s="20">
        <v>211</v>
      </c>
      <c r="S366" s="20">
        <v>461</v>
      </c>
      <c r="T366" s="20">
        <v>65</v>
      </c>
      <c r="U366" s="20">
        <f t="shared" si="345"/>
        <v>3583</v>
      </c>
      <c r="V366">
        <v>1203</v>
      </c>
      <c r="W366">
        <v>109</v>
      </c>
      <c r="X366">
        <v>43</v>
      </c>
      <c r="Y366">
        <v>36</v>
      </c>
      <c r="Z366">
        <v>676</v>
      </c>
      <c r="AA366">
        <v>646</v>
      </c>
      <c r="AB366">
        <v>4.0199999999999996</v>
      </c>
      <c r="AC366">
        <v>6</v>
      </c>
      <c r="AD366">
        <v>11</v>
      </c>
      <c r="AE366">
        <v>37</v>
      </c>
      <c r="AF366" s="27">
        <f t="shared" ca="1" si="332"/>
        <v>6075</v>
      </c>
      <c r="AG366" s="27">
        <f t="shared" ca="1" si="346"/>
        <v>1403</v>
      </c>
      <c r="AH366" s="27">
        <f t="shared" ca="1" si="347"/>
        <v>953</v>
      </c>
      <c r="AI366" s="27">
        <f t="shared" ca="1" si="348"/>
        <v>275</v>
      </c>
      <c r="AJ366" s="27">
        <f t="shared" ca="1" si="349"/>
        <v>37</v>
      </c>
      <c r="AK366" s="27">
        <f t="shared" ca="1" si="350"/>
        <v>138</v>
      </c>
      <c r="AL366" s="27">
        <f t="shared" ca="1" si="351"/>
        <v>561</v>
      </c>
      <c r="AM366" s="27">
        <f t="shared" ca="1" si="352"/>
        <v>64</v>
      </c>
      <c r="AN366" s="27">
        <f t="shared" ca="1" si="353"/>
        <v>4047</v>
      </c>
      <c r="AO366">
        <v>4337</v>
      </c>
      <c r="AP366">
        <v>1365</v>
      </c>
      <c r="AQ366">
        <v>186</v>
      </c>
      <c r="AR366">
        <v>503</v>
      </c>
      <c r="AS366">
        <v>1246</v>
      </c>
      <c r="AT366">
        <v>70</v>
      </c>
      <c r="AU366">
        <v>154</v>
      </c>
      <c r="AV366">
        <v>0.98799999999999999</v>
      </c>
      <c r="AW366" s="1"/>
      <c r="AX366" s="1"/>
      <c r="AY366" s="29">
        <f t="shared" si="354"/>
        <v>29700</v>
      </c>
      <c r="AZ366" s="31">
        <f t="shared" si="355"/>
        <v>165251</v>
      </c>
      <c r="BA366" s="31">
        <f t="shared" ref="BA366" si="395">SUMIF($B$2:$B$571,$B366,$S$2:$S$571)</f>
        <v>14709</v>
      </c>
      <c r="BB366" s="30">
        <f t="shared" si="357"/>
        <v>8.9010051376391064E-2</v>
      </c>
    </row>
    <row r="367" spans="2:54" x14ac:dyDescent="0.5">
      <c r="B367" s="4">
        <v>2012</v>
      </c>
      <c r="C367" t="s">
        <v>50</v>
      </c>
      <c r="D367" t="s">
        <v>51</v>
      </c>
      <c r="E367">
        <v>5</v>
      </c>
      <c r="F367" t="s">
        <v>38</v>
      </c>
      <c r="G367" t="s">
        <v>38</v>
      </c>
      <c r="H367" t="s">
        <v>38</v>
      </c>
      <c r="I367" t="s">
        <v>38</v>
      </c>
      <c r="J367">
        <v>61</v>
      </c>
      <c r="K367">
        <v>101</v>
      </c>
      <c r="L367">
        <v>613</v>
      </c>
      <c r="M367" s="20">
        <v>5411</v>
      </c>
      <c r="N367" s="20">
        <v>1297</v>
      </c>
      <c r="O367" s="20">
        <f t="shared" si="344"/>
        <v>859</v>
      </c>
      <c r="P367" s="20">
        <v>265</v>
      </c>
      <c r="Q367" s="20">
        <v>36</v>
      </c>
      <c r="R367" s="20">
        <v>137</v>
      </c>
      <c r="S367" s="20">
        <v>447</v>
      </c>
      <c r="T367" s="20">
        <v>43</v>
      </c>
      <c r="U367" s="20">
        <f t="shared" si="345"/>
        <v>3624</v>
      </c>
      <c r="V367">
        <v>1235</v>
      </c>
      <c r="W367">
        <v>94</v>
      </c>
      <c r="X367">
        <v>45</v>
      </c>
      <c r="Y367">
        <v>24</v>
      </c>
      <c r="Z367">
        <v>759</v>
      </c>
      <c r="AA367">
        <v>708</v>
      </c>
      <c r="AB367">
        <v>4.51</v>
      </c>
      <c r="AC367">
        <v>1</v>
      </c>
      <c r="AD367">
        <v>9</v>
      </c>
      <c r="AE367">
        <v>28</v>
      </c>
      <c r="AF367" s="27">
        <f t="shared" ca="1" si="332"/>
        <v>6080</v>
      </c>
      <c r="AG367" s="27">
        <f t="shared" ca="1" si="346"/>
        <v>1395</v>
      </c>
      <c r="AH367" s="27">
        <f t="shared" ca="1" si="347"/>
        <v>961</v>
      </c>
      <c r="AI367" s="27">
        <f t="shared" ca="1" si="348"/>
        <v>255</v>
      </c>
      <c r="AJ367" s="27">
        <f t="shared" ca="1" si="349"/>
        <v>34</v>
      </c>
      <c r="AK367" s="27">
        <f t="shared" ca="1" si="350"/>
        <v>145</v>
      </c>
      <c r="AL367" s="27">
        <f t="shared" ca="1" si="351"/>
        <v>483</v>
      </c>
      <c r="AM367" s="27">
        <f t="shared" ca="1" si="352"/>
        <v>49</v>
      </c>
      <c r="AN367" s="27">
        <f t="shared" ca="1" si="353"/>
        <v>4153</v>
      </c>
      <c r="AO367">
        <v>4241</v>
      </c>
      <c r="AP367">
        <v>1399</v>
      </c>
      <c r="AQ367">
        <v>175</v>
      </c>
      <c r="AR367">
        <v>573</v>
      </c>
      <c r="AS367">
        <v>1128</v>
      </c>
      <c r="AT367">
        <v>105</v>
      </c>
      <c r="AU367">
        <v>148</v>
      </c>
      <c r="AV367">
        <v>0.98199999999999998</v>
      </c>
      <c r="AW367" s="1"/>
      <c r="AX367" s="1"/>
      <c r="AY367" s="29">
        <f t="shared" si="354"/>
        <v>29700</v>
      </c>
      <c r="AZ367" s="31">
        <f t="shared" si="355"/>
        <v>165251</v>
      </c>
      <c r="BA367" s="31">
        <f t="shared" ref="BA367" si="396">SUMIF($B$2:$B$571,$B367,$T$2:$T$571)</f>
        <v>1494</v>
      </c>
      <c r="BB367" s="30">
        <f t="shared" si="357"/>
        <v>9.0407924914221397E-3</v>
      </c>
    </row>
    <row r="368" spans="2:54" x14ac:dyDescent="0.5">
      <c r="B368" s="4">
        <v>2012</v>
      </c>
      <c r="C368" t="s">
        <v>52</v>
      </c>
      <c r="D368" t="s">
        <v>53</v>
      </c>
      <c r="E368">
        <v>1</v>
      </c>
      <c r="F368" t="s">
        <v>43</v>
      </c>
      <c r="G368" t="s">
        <v>38</v>
      </c>
      <c r="H368" t="s">
        <v>38</v>
      </c>
      <c r="I368" t="s">
        <v>38</v>
      </c>
      <c r="J368">
        <v>97</v>
      </c>
      <c r="K368">
        <v>65</v>
      </c>
      <c r="L368">
        <v>669</v>
      </c>
      <c r="M368" s="20">
        <v>5477</v>
      </c>
      <c r="N368" s="20">
        <v>1377</v>
      </c>
      <c r="O368" s="20">
        <f t="shared" si="344"/>
        <v>879</v>
      </c>
      <c r="P368" s="20">
        <v>296</v>
      </c>
      <c r="Q368" s="20">
        <v>30</v>
      </c>
      <c r="R368" s="20">
        <v>172</v>
      </c>
      <c r="S368" s="20">
        <v>481</v>
      </c>
      <c r="T368" s="20">
        <v>47</v>
      </c>
      <c r="U368" s="20">
        <f t="shared" si="345"/>
        <v>3572</v>
      </c>
      <c r="V368">
        <v>1266</v>
      </c>
      <c r="W368">
        <v>87</v>
      </c>
      <c r="X368">
        <v>27</v>
      </c>
      <c r="Y368">
        <v>37</v>
      </c>
      <c r="Z368">
        <v>588</v>
      </c>
      <c r="AA368">
        <v>540</v>
      </c>
      <c r="AB368">
        <v>3.34</v>
      </c>
      <c r="AC368">
        <v>9</v>
      </c>
      <c r="AD368">
        <v>12</v>
      </c>
      <c r="AE368">
        <v>56</v>
      </c>
      <c r="AF368" s="27">
        <f t="shared" ca="1" si="332"/>
        <v>6218</v>
      </c>
      <c r="AG368" s="27">
        <f t="shared" ca="1" si="346"/>
        <v>1434</v>
      </c>
      <c r="AH368" s="27">
        <f t="shared" ca="1" si="347"/>
        <v>920</v>
      </c>
      <c r="AI368" s="27">
        <f t="shared" ca="1" si="348"/>
        <v>322</v>
      </c>
      <c r="AJ368" s="27">
        <f t="shared" ca="1" si="349"/>
        <v>27</v>
      </c>
      <c r="AK368" s="27">
        <f t="shared" ca="1" si="350"/>
        <v>165</v>
      </c>
      <c r="AL368" s="27">
        <f t="shared" ca="1" si="351"/>
        <v>578</v>
      </c>
      <c r="AM368" s="27">
        <f t="shared" ca="1" si="352"/>
        <v>48</v>
      </c>
      <c r="AN368" s="27">
        <f t="shared" ca="1" si="353"/>
        <v>4158</v>
      </c>
      <c r="AO368">
        <v>4359</v>
      </c>
      <c r="AP368">
        <v>1356</v>
      </c>
      <c r="AQ368">
        <v>152</v>
      </c>
      <c r="AR368">
        <v>427</v>
      </c>
      <c r="AS368">
        <v>1248</v>
      </c>
      <c r="AT368">
        <v>89</v>
      </c>
      <c r="AU368">
        <v>113</v>
      </c>
      <c r="AV368">
        <v>0.98499999999999999</v>
      </c>
      <c r="AW368" s="1"/>
      <c r="AX368" s="1"/>
      <c r="AY368" s="29">
        <f t="shared" si="354"/>
        <v>29700</v>
      </c>
      <c r="AZ368" s="31">
        <f t="shared" si="355"/>
        <v>165251</v>
      </c>
      <c r="BA368" s="31">
        <f t="shared" ref="BA368" si="397">SUMIF($B$2:$B$571,$B368,$U$2:$U$571)</f>
        <v>106985</v>
      </c>
      <c r="BB368" s="30">
        <f t="shared" si="357"/>
        <v>0.64740909283453651</v>
      </c>
    </row>
    <row r="369" spans="2:54" x14ac:dyDescent="0.5">
      <c r="B369" s="4">
        <v>2012</v>
      </c>
      <c r="C369" t="s">
        <v>54</v>
      </c>
      <c r="D369" t="s">
        <v>55</v>
      </c>
      <c r="E369">
        <v>4</v>
      </c>
      <c r="F369" t="s">
        <v>38</v>
      </c>
      <c r="G369" t="s">
        <v>38</v>
      </c>
      <c r="H369" t="s">
        <v>38</v>
      </c>
      <c r="I369" t="s">
        <v>38</v>
      </c>
      <c r="J369">
        <v>68</v>
      </c>
      <c r="K369">
        <v>94</v>
      </c>
      <c r="L369">
        <v>667</v>
      </c>
      <c r="M369" s="20">
        <v>5525</v>
      </c>
      <c r="N369" s="20">
        <v>1385</v>
      </c>
      <c r="O369" s="20">
        <f t="shared" si="344"/>
        <v>959</v>
      </c>
      <c r="P369" s="20">
        <v>266</v>
      </c>
      <c r="Q369" s="20">
        <v>24</v>
      </c>
      <c r="R369" s="20">
        <v>136</v>
      </c>
      <c r="S369" s="20">
        <v>555</v>
      </c>
      <c r="T369" s="20">
        <v>59</v>
      </c>
      <c r="U369" s="20">
        <f t="shared" si="345"/>
        <v>3526</v>
      </c>
      <c r="V369">
        <v>1087</v>
      </c>
      <c r="W369">
        <v>110</v>
      </c>
      <c r="X369">
        <v>44</v>
      </c>
      <c r="Y369">
        <v>39</v>
      </c>
      <c r="Z369">
        <v>845</v>
      </c>
      <c r="AA369">
        <v>766</v>
      </c>
      <c r="AB369">
        <v>4.78</v>
      </c>
      <c r="AC369">
        <v>2</v>
      </c>
      <c r="AD369">
        <v>6</v>
      </c>
      <c r="AE369">
        <v>43</v>
      </c>
      <c r="AF369" s="27">
        <f t="shared" ca="1" si="332"/>
        <v>6294</v>
      </c>
      <c r="AG369" s="27">
        <f t="shared" ca="1" si="346"/>
        <v>1344</v>
      </c>
      <c r="AH369" s="27">
        <f t="shared" ca="1" si="347"/>
        <v>800</v>
      </c>
      <c r="AI369" s="27">
        <f t="shared" ca="1" si="348"/>
        <v>354</v>
      </c>
      <c r="AJ369" s="27">
        <f t="shared" ca="1" si="349"/>
        <v>40</v>
      </c>
      <c r="AK369" s="27">
        <f t="shared" ca="1" si="350"/>
        <v>150</v>
      </c>
      <c r="AL369" s="27">
        <f t="shared" ca="1" si="351"/>
        <v>492</v>
      </c>
      <c r="AM369" s="27">
        <f t="shared" ca="1" si="352"/>
        <v>71</v>
      </c>
      <c r="AN369" s="27">
        <f t="shared" ca="1" si="353"/>
        <v>4387</v>
      </c>
      <c r="AO369">
        <v>4326</v>
      </c>
      <c r="AP369">
        <v>1503</v>
      </c>
      <c r="AQ369">
        <v>174</v>
      </c>
      <c r="AR369">
        <v>543</v>
      </c>
      <c r="AS369">
        <v>1086</v>
      </c>
      <c r="AT369">
        <v>96</v>
      </c>
      <c r="AU369">
        <v>157</v>
      </c>
      <c r="AV369">
        <v>0.98399999999999999</v>
      </c>
      <c r="AW369" s="1"/>
      <c r="AX369" s="1"/>
      <c r="AY369" s="29">
        <f t="shared" si="354"/>
        <v>29700</v>
      </c>
      <c r="AZ369" s="31">
        <f t="shared" si="355"/>
        <v>165251</v>
      </c>
      <c r="BA369" s="31"/>
      <c r="BB369" s="30">
        <f t="shared" si="357"/>
        <v>0</v>
      </c>
    </row>
    <row r="370" spans="2:54" x14ac:dyDescent="0.5">
      <c r="B370" s="4">
        <v>2012</v>
      </c>
      <c r="C370" t="s">
        <v>56</v>
      </c>
      <c r="D370" t="s">
        <v>57</v>
      </c>
      <c r="E370">
        <v>5</v>
      </c>
      <c r="F370" t="s">
        <v>38</v>
      </c>
      <c r="G370" t="s">
        <v>38</v>
      </c>
      <c r="H370" t="s">
        <v>38</v>
      </c>
      <c r="I370" t="s">
        <v>38</v>
      </c>
      <c r="J370">
        <v>64</v>
      </c>
      <c r="K370">
        <v>98</v>
      </c>
      <c r="L370">
        <v>758</v>
      </c>
      <c r="M370" s="20">
        <v>5577</v>
      </c>
      <c r="N370" s="20">
        <v>1526</v>
      </c>
      <c r="O370" s="20">
        <f t="shared" si="344"/>
        <v>1002</v>
      </c>
      <c r="P370" s="20">
        <v>306</v>
      </c>
      <c r="Q370" s="20">
        <v>52</v>
      </c>
      <c r="R370" s="20">
        <v>166</v>
      </c>
      <c r="S370" s="20">
        <v>450</v>
      </c>
      <c r="T370" s="20">
        <v>36</v>
      </c>
      <c r="U370" s="20">
        <f t="shared" si="345"/>
        <v>3565</v>
      </c>
      <c r="V370">
        <v>1213</v>
      </c>
      <c r="W370">
        <v>100</v>
      </c>
      <c r="X370">
        <v>40</v>
      </c>
      <c r="Y370">
        <v>39</v>
      </c>
      <c r="Z370">
        <v>890</v>
      </c>
      <c r="AA370">
        <v>824</v>
      </c>
      <c r="AB370">
        <v>5.22</v>
      </c>
      <c r="AC370">
        <v>0</v>
      </c>
      <c r="AD370">
        <v>7</v>
      </c>
      <c r="AE370">
        <v>36</v>
      </c>
      <c r="AF370" s="27">
        <f t="shared" ca="1" si="332"/>
        <v>6161</v>
      </c>
      <c r="AG370" s="27">
        <f t="shared" ca="1" si="346"/>
        <v>1556</v>
      </c>
      <c r="AH370" s="27">
        <f t="shared" ca="1" si="347"/>
        <v>1078</v>
      </c>
      <c r="AI370" s="27">
        <f t="shared" ca="1" si="348"/>
        <v>252</v>
      </c>
      <c r="AJ370" s="27">
        <f t="shared" ca="1" si="349"/>
        <v>23</v>
      </c>
      <c r="AK370" s="27">
        <f t="shared" ca="1" si="350"/>
        <v>203</v>
      </c>
      <c r="AL370" s="27">
        <f t="shared" ca="1" si="351"/>
        <v>488</v>
      </c>
      <c r="AM370" s="27">
        <f t="shared" ca="1" si="352"/>
        <v>40</v>
      </c>
      <c r="AN370" s="27">
        <f t="shared" ca="1" si="353"/>
        <v>4077</v>
      </c>
      <c r="AO370">
        <v>4266</v>
      </c>
      <c r="AP370">
        <v>1637</v>
      </c>
      <c r="AQ370">
        <v>198</v>
      </c>
      <c r="AR370">
        <v>566</v>
      </c>
      <c r="AS370">
        <v>1144</v>
      </c>
      <c r="AT370">
        <v>122</v>
      </c>
      <c r="AU370">
        <v>139</v>
      </c>
      <c r="AV370">
        <v>0.98</v>
      </c>
      <c r="AW370" s="1"/>
      <c r="AX370" s="1"/>
      <c r="AY370" s="29">
        <f t="shared" si="354"/>
        <v>29700</v>
      </c>
      <c r="AZ370" s="31">
        <f t="shared" si="355"/>
        <v>165251</v>
      </c>
      <c r="BA370" s="31">
        <f t="shared" ref="BA370" si="398">SUMIF($B$2:$B$571,$B370,$O$2:$O$571)</f>
        <v>27941</v>
      </c>
      <c r="BB370" s="30">
        <f t="shared" si="357"/>
        <v>0.16908218407150336</v>
      </c>
    </row>
    <row r="371" spans="2:54" x14ac:dyDescent="0.5">
      <c r="B371" s="4">
        <v>2012</v>
      </c>
      <c r="C371" t="s">
        <v>58</v>
      </c>
      <c r="D371" t="s">
        <v>59</v>
      </c>
      <c r="E371">
        <v>1</v>
      </c>
      <c r="F371" t="s">
        <v>43</v>
      </c>
      <c r="G371" t="s">
        <v>38</v>
      </c>
      <c r="H371" t="s">
        <v>43</v>
      </c>
      <c r="I371" t="s">
        <v>38</v>
      </c>
      <c r="J371">
        <v>88</v>
      </c>
      <c r="K371">
        <v>74</v>
      </c>
      <c r="L371">
        <v>726</v>
      </c>
      <c r="M371" s="20">
        <v>5476</v>
      </c>
      <c r="N371" s="20">
        <v>1467</v>
      </c>
      <c r="O371" s="20">
        <f t="shared" si="344"/>
        <v>986</v>
      </c>
      <c r="P371" s="20">
        <v>279</v>
      </c>
      <c r="Q371" s="20">
        <v>39</v>
      </c>
      <c r="R371" s="20">
        <v>163</v>
      </c>
      <c r="S371" s="20">
        <v>511</v>
      </c>
      <c r="T371" s="20">
        <v>57</v>
      </c>
      <c r="U371" s="20">
        <f t="shared" si="345"/>
        <v>3441</v>
      </c>
      <c r="V371">
        <v>1103</v>
      </c>
      <c r="W371">
        <v>59</v>
      </c>
      <c r="X371">
        <v>23</v>
      </c>
      <c r="Y371">
        <v>39</v>
      </c>
      <c r="Z371">
        <v>670</v>
      </c>
      <c r="AA371">
        <v>596</v>
      </c>
      <c r="AB371">
        <v>3.75</v>
      </c>
      <c r="AC371">
        <v>9</v>
      </c>
      <c r="AD371">
        <v>8</v>
      </c>
      <c r="AE371">
        <v>40</v>
      </c>
      <c r="AF371" s="27">
        <f t="shared" ca="1" si="332"/>
        <v>6352</v>
      </c>
      <c r="AG371" s="27">
        <f t="shared" ca="1" si="346"/>
        <v>1672</v>
      </c>
      <c r="AH371" s="27">
        <f t="shared" ca="1" si="347"/>
        <v>1092</v>
      </c>
      <c r="AI371" s="27">
        <f t="shared" ca="1" si="348"/>
        <v>397</v>
      </c>
      <c r="AJ371" s="27">
        <f t="shared" ca="1" si="349"/>
        <v>20</v>
      </c>
      <c r="AK371" s="27">
        <f t="shared" ca="1" si="350"/>
        <v>163</v>
      </c>
      <c r="AL371" s="27">
        <f t="shared" ca="1" si="351"/>
        <v>443</v>
      </c>
      <c r="AM371" s="27">
        <f t="shared" ca="1" si="352"/>
        <v>67</v>
      </c>
      <c r="AN371" s="27">
        <f t="shared" ca="1" si="353"/>
        <v>4170</v>
      </c>
      <c r="AO371">
        <v>4292</v>
      </c>
      <c r="AP371">
        <v>1409</v>
      </c>
      <c r="AQ371">
        <v>151</v>
      </c>
      <c r="AR371">
        <v>438</v>
      </c>
      <c r="AS371">
        <v>1318</v>
      </c>
      <c r="AT371">
        <v>99</v>
      </c>
      <c r="AU371">
        <v>127</v>
      </c>
      <c r="AV371">
        <v>0.98299999999999998</v>
      </c>
      <c r="AW371" s="1"/>
      <c r="AX371" s="1"/>
      <c r="AY371" s="29">
        <f t="shared" si="354"/>
        <v>29700</v>
      </c>
      <c r="AZ371" s="31">
        <f t="shared" si="355"/>
        <v>165251</v>
      </c>
      <c r="BA371" s="31">
        <f t="shared" ref="BA371" si="399">SUMIF($B$2:$B$571,$B371,$P$2:$P$571)</f>
        <v>8261</v>
      </c>
      <c r="BB371" s="30">
        <f t="shared" si="357"/>
        <v>4.9990620329075162E-2</v>
      </c>
    </row>
    <row r="372" spans="2:54" x14ac:dyDescent="0.5">
      <c r="B372" s="4">
        <v>2012</v>
      </c>
      <c r="C372" t="s">
        <v>62</v>
      </c>
      <c r="D372" t="s">
        <v>63</v>
      </c>
      <c r="E372">
        <v>6</v>
      </c>
      <c r="F372" t="s">
        <v>38</v>
      </c>
      <c r="G372" t="s">
        <v>38</v>
      </c>
      <c r="H372" t="s">
        <v>38</v>
      </c>
      <c r="I372" t="s">
        <v>38</v>
      </c>
      <c r="J372">
        <v>55</v>
      </c>
      <c r="K372">
        <v>107</v>
      </c>
      <c r="L372">
        <v>583</v>
      </c>
      <c r="M372" s="20">
        <v>5407</v>
      </c>
      <c r="N372" s="20">
        <v>1276</v>
      </c>
      <c r="O372" s="20">
        <f t="shared" si="344"/>
        <v>864</v>
      </c>
      <c r="P372" s="20">
        <v>238</v>
      </c>
      <c r="Q372" s="20">
        <v>28</v>
      </c>
      <c r="R372" s="20">
        <v>146</v>
      </c>
      <c r="S372" s="20">
        <v>463</v>
      </c>
      <c r="T372" s="20">
        <v>58</v>
      </c>
      <c r="U372" s="20">
        <f t="shared" si="345"/>
        <v>3610</v>
      </c>
      <c r="V372">
        <v>1365</v>
      </c>
      <c r="W372">
        <v>105</v>
      </c>
      <c r="X372">
        <v>46</v>
      </c>
      <c r="Y372">
        <v>30</v>
      </c>
      <c r="Z372">
        <v>794</v>
      </c>
      <c r="AA372">
        <v>721</v>
      </c>
      <c r="AB372">
        <v>4.5599999999999996</v>
      </c>
      <c r="AC372">
        <v>3</v>
      </c>
      <c r="AD372">
        <v>11</v>
      </c>
      <c r="AE372">
        <v>31</v>
      </c>
      <c r="AF372" s="27">
        <f t="shared" ca="1" si="332"/>
        <v>6199</v>
      </c>
      <c r="AG372" s="27">
        <f t="shared" ca="1" si="346"/>
        <v>1356</v>
      </c>
      <c r="AH372" s="27">
        <f t="shared" ca="1" si="347"/>
        <v>947</v>
      </c>
      <c r="AI372" s="27">
        <f t="shared" ca="1" si="348"/>
        <v>220</v>
      </c>
      <c r="AJ372" s="27">
        <f t="shared" ca="1" si="349"/>
        <v>23</v>
      </c>
      <c r="AK372" s="27">
        <f t="shared" ca="1" si="350"/>
        <v>166</v>
      </c>
      <c r="AL372" s="27">
        <f t="shared" ca="1" si="351"/>
        <v>681</v>
      </c>
      <c r="AM372" s="27">
        <f t="shared" ca="1" si="352"/>
        <v>57</v>
      </c>
      <c r="AN372" s="27">
        <f t="shared" ca="1" si="353"/>
        <v>4105</v>
      </c>
      <c r="AO372">
        <v>4270</v>
      </c>
      <c r="AP372">
        <v>1493</v>
      </c>
      <c r="AQ372">
        <v>173</v>
      </c>
      <c r="AR372">
        <v>540</v>
      </c>
      <c r="AS372">
        <v>1170</v>
      </c>
      <c r="AT372">
        <v>118</v>
      </c>
      <c r="AU372">
        <v>132</v>
      </c>
      <c r="AV372">
        <v>0.98099999999999998</v>
      </c>
      <c r="AW372" s="1"/>
      <c r="AX372" s="1"/>
      <c r="AY372" s="29">
        <f t="shared" si="354"/>
        <v>29700</v>
      </c>
      <c r="AZ372" s="31">
        <f t="shared" si="355"/>
        <v>165251</v>
      </c>
      <c r="BA372" s="31">
        <f t="shared" ref="BA372" si="400">SUMIF($B$2:$B$571,$B372,$Q$2:$Q$571)</f>
        <v>927</v>
      </c>
      <c r="BB372" s="30">
        <f t="shared" si="357"/>
        <v>5.6096483531113276E-3</v>
      </c>
    </row>
    <row r="373" spans="2:54" x14ac:dyDescent="0.5">
      <c r="B373" s="4">
        <v>2012</v>
      </c>
      <c r="C373" t="s">
        <v>64</v>
      </c>
      <c r="D373" t="s">
        <v>65</v>
      </c>
      <c r="E373">
        <v>3</v>
      </c>
      <c r="F373" t="s">
        <v>38</v>
      </c>
      <c r="G373" t="s">
        <v>38</v>
      </c>
      <c r="H373" t="s">
        <v>38</v>
      </c>
      <c r="I373" t="s">
        <v>38</v>
      </c>
      <c r="J373">
        <v>72</v>
      </c>
      <c r="K373">
        <v>90</v>
      </c>
      <c r="L373">
        <v>676</v>
      </c>
      <c r="M373" s="20">
        <v>5636</v>
      </c>
      <c r="N373" s="20">
        <v>1492</v>
      </c>
      <c r="O373" s="20">
        <f t="shared" si="344"/>
        <v>1029</v>
      </c>
      <c r="P373" s="20">
        <v>295</v>
      </c>
      <c r="Q373" s="20">
        <v>37</v>
      </c>
      <c r="R373" s="20">
        <v>131</v>
      </c>
      <c r="S373" s="20">
        <v>404</v>
      </c>
      <c r="T373" s="20">
        <v>42</v>
      </c>
      <c r="U373" s="20">
        <f t="shared" si="345"/>
        <v>3698</v>
      </c>
      <c r="V373">
        <v>1032</v>
      </c>
      <c r="W373">
        <v>132</v>
      </c>
      <c r="X373">
        <v>38</v>
      </c>
      <c r="Y373">
        <v>41</v>
      </c>
      <c r="Z373">
        <v>746</v>
      </c>
      <c r="AA373">
        <v>693</v>
      </c>
      <c r="AB373">
        <v>4.3</v>
      </c>
      <c r="AC373">
        <v>2</v>
      </c>
      <c r="AD373">
        <v>12</v>
      </c>
      <c r="AE373">
        <v>44</v>
      </c>
      <c r="AF373" s="27">
        <f t="shared" ca="1" si="332"/>
        <v>6179</v>
      </c>
      <c r="AG373" s="27">
        <f t="shared" ca="1" si="346"/>
        <v>1496</v>
      </c>
      <c r="AH373" s="27">
        <f t="shared" ca="1" si="347"/>
        <v>954</v>
      </c>
      <c r="AI373" s="27">
        <f t="shared" ca="1" si="348"/>
        <v>290</v>
      </c>
      <c r="AJ373" s="27">
        <f t="shared" ca="1" si="349"/>
        <v>40</v>
      </c>
      <c r="AK373" s="27">
        <f t="shared" ca="1" si="350"/>
        <v>212</v>
      </c>
      <c r="AL373" s="27">
        <f t="shared" ca="1" si="351"/>
        <v>484</v>
      </c>
      <c r="AM373" s="27">
        <f t="shared" ca="1" si="352"/>
        <v>43</v>
      </c>
      <c r="AN373" s="27">
        <f t="shared" ca="1" si="353"/>
        <v>4156</v>
      </c>
      <c r="AO373">
        <v>4354</v>
      </c>
      <c r="AP373">
        <v>1504</v>
      </c>
      <c r="AQ373">
        <v>163</v>
      </c>
      <c r="AR373">
        <v>542</v>
      </c>
      <c r="AS373">
        <v>1177</v>
      </c>
      <c r="AT373">
        <v>113</v>
      </c>
      <c r="AU373">
        <v>171</v>
      </c>
      <c r="AV373">
        <v>0.98099999999999998</v>
      </c>
      <c r="AW373" s="1"/>
      <c r="AX373" s="1"/>
      <c r="AY373" s="29">
        <f t="shared" si="354"/>
        <v>29700</v>
      </c>
      <c r="AZ373" s="31">
        <f t="shared" si="355"/>
        <v>165251</v>
      </c>
      <c r="BA373" s="31">
        <f t="shared" ref="BA373" si="401">SUMIF($B$2:$B$571,$B373,$R$2:$R$571)</f>
        <v>4934</v>
      </c>
      <c r="BB373" s="30">
        <f t="shared" si="357"/>
        <v>2.9857610543960401E-2</v>
      </c>
    </row>
    <row r="374" spans="2:54" x14ac:dyDescent="0.5">
      <c r="B374" s="4">
        <v>2012</v>
      </c>
      <c r="C374" t="s">
        <v>98</v>
      </c>
      <c r="D374" t="s">
        <v>99</v>
      </c>
      <c r="E374">
        <v>3</v>
      </c>
      <c r="F374" t="s">
        <v>38</v>
      </c>
      <c r="G374" t="s">
        <v>38</v>
      </c>
      <c r="H374" t="s">
        <v>38</v>
      </c>
      <c r="I374" t="s">
        <v>38</v>
      </c>
      <c r="J374">
        <v>89</v>
      </c>
      <c r="K374">
        <v>73</v>
      </c>
      <c r="L374">
        <v>767</v>
      </c>
      <c r="M374" s="20">
        <v>5536</v>
      </c>
      <c r="N374" s="20">
        <v>1518</v>
      </c>
      <c r="O374" s="20">
        <f t="shared" si="344"/>
        <v>1036</v>
      </c>
      <c r="P374" s="20">
        <v>273</v>
      </c>
      <c r="Q374" s="20">
        <v>22</v>
      </c>
      <c r="R374" s="20">
        <v>187</v>
      </c>
      <c r="S374" s="20">
        <v>449</v>
      </c>
      <c r="T374" s="20">
        <v>47</v>
      </c>
      <c r="U374" s="20">
        <f t="shared" si="345"/>
        <v>3522</v>
      </c>
      <c r="V374">
        <v>1113</v>
      </c>
      <c r="W374">
        <v>134</v>
      </c>
      <c r="X374">
        <v>33</v>
      </c>
      <c r="Y374">
        <v>41</v>
      </c>
      <c r="Z374">
        <v>699</v>
      </c>
      <c r="AA374">
        <v>640</v>
      </c>
      <c r="AB374">
        <v>4.0199999999999996</v>
      </c>
      <c r="AC374">
        <v>6</v>
      </c>
      <c r="AD374">
        <v>16</v>
      </c>
      <c r="AE374">
        <v>38</v>
      </c>
      <c r="AF374" s="27">
        <f t="shared" ref="AF374:AF437" ca="1" si="402">RANDBETWEEN(6049,6490)</f>
        <v>6088</v>
      </c>
      <c r="AG374" s="27">
        <f t="shared" ca="1" si="346"/>
        <v>1344</v>
      </c>
      <c r="AH374" s="27">
        <f t="shared" ca="1" si="347"/>
        <v>886</v>
      </c>
      <c r="AI374" s="27">
        <f t="shared" ca="1" si="348"/>
        <v>262</v>
      </c>
      <c r="AJ374" s="27">
        <f t="shared" ca="1" si="349"/>
        <v>23</v>
      </c>
      <c r="AK374" s="27">
        <f t="shared" ca="1" si="350"/>
        <v>173</v>
      </c>
      <c r="AL374" s="27">
        <f t="shared" ca="1" si="351"/>
        <v>537</v>
      </c>
      <c r="AM374" s="27">
        <f t="shared" ca="1" si="352"/>
        <v>67</v>
      </c>
      <c r="AN374" s="27">
        <f t="shared" ca="1" si="353"/>
        <v>4140</v>
      </c>
      <c r="AO374">
        <v>4300</v>
      </c>
      <c r="AP374">
        <v>1339</v>
      </c>
      <c r="AQ374">
        <v>186</v>
      </c>
      <c r="AR374">
        <v>483</v>
      </c>
      <c r="AS374">
        <v>1157</v>
      </c>
      <c r="AT374">
        <v>98</v>
      </c>
      <c r="AU374">
        <v>141</v>
      </c>
      <c r="AV374">
        <v>0.98399999999999999</v>
      </c>
      <c r="AW374" s="1"/>
      <c r="AX374" s="1"/>
      <c r="AY374" s="29">
        <f t="shared" si="354"/>
        <v>29700</v>
      </c>
      <c r="AZ374" s="31">
        <f t="shared" si="355"/>
        <v>165251</v>
      </c>
      <c r="BA374" s="31">
        <f t="shared" ref="BA374" si="403">SUMIF($B$2:$B$571,$B374,$S$2:$S$571)</f>
        <v>14709</v>
      </c>
      <c r="BB374" s="30">
        <f t="shared" si="357"/>
        <v>8.9010051376391064E-2</v>
      </c>
    </row>
    <row r="375" spans="2:54" x14ac:dyDescent="0.5">
      <c r="B375" s="4">
        <v>2012</v>
      </c>
      <c r="C375" t="s">
        <v>66</v>
      </c>
      <c r="D375" t="s">
        <v>67</v>
      </c>
      <c r="E375">
        <v>2</v>
      </c>
      <c r="F375" t="s">
        <v>38</v>
      </c>
      <c r="G375" t="s">
        <v>38</v>
      </c>
      <c r="H375" t="s">
        <v>38</v>
      </c>
      <c r="I375" t="s">
        <v>38</v>
      </c>
      <c r="J375">
        <v>86</v>
      </c>
      <c r="K375">
        <v>76</v>
      </c>
      <c r="L375">
        <v>637</v>
      </c>
      <c r="M375" s="20">
        <v>5438</v>
      </c>
      <c r="N375" s="20">
        <v>1369</v>
      </c>
      <c r="O375" s="20">
        <f t="shared" si="344"/>
        <v>961</v>
      </c>
      <c r="P375" s="20">
        <v>269</v>
      </c>
      <c r="Q375" s="20">
        <v>23</v>
      </c>
      <c r="R375" s="20">
        <v>116</v>
      </c>
      <c r="S375" s="20">
        <v>481</v>
      </c>
      <c r="T375" s="20">
        <v>52</v>
      </c>
      <c r="U375" s="20">
        <f t="shared" si="345"/>
        <v>3536</v>
      </c>
      <c r="V375">
        <v>1156</v>
      </c>
      <c r="W375">
        <v>104</v>
      </c>
      <c r="X375">
        <v>44</v>
      </c>
      <c r="Y375">
        <v>38</v>
      </c>
      <c r="Z375">
        <v>597</v>
      </c>
      <c r="AA375">
        <v>538</v>
      </c>
      <c r="AB375">
        <v>3.34</v>
      </c>
      <c r="AC375">
        <v>2</v>
      </c>
      <c r="AD375">
        <v>10</v>
      </c>
      <c r="AE375">
        <v>40</v>
      </c>
      <c r="AF375" s="27">
        <f t="shared" ca="1" si="402"/>
        <v>6165</v>
      </c>
      <c r="AG375" s="27">
        <f t="shared" ca="1" si="346"/>
        <v>1463</v>
      </c>
      <c r="AH375" s="27">
        <f t="shared" ca="1" si="347"/>
        <v>923</v>
      </c>
      <c r="AI375" s="27">
        <f t="shared" ca="1" si="348"/>
        <v>335</v>
      </c>
      <c r="AJ375" s="27">
        <f t="shared" ca="1" si="349"/>
        <v>46</v>
      </c>
      <c r="AK375" s="27">
        <f t="shared" ca="1" si="350"/>
        <v>159</v>
      </c>
      <c r="AL375" s="27">
        <f t="shared" ca="1" si="351"/>
        <v>441</v>
      </c>
      <c r="AM375" s="27">
        <f t="shared" ca="1" si="352"/>
        <v>38</v>
      </c>
      <c r="AN375" s="27">
        <f t="shared" ca="1" si="353"/>
        <v>4223</v>
      </c>
      <c r="AO375">
        <v>4349</v>
      </c>
      <c r="AP375">
        <v>1277</v>
      </c>
      <c r="AQ375">
        <v>122</v>
      </c>
      <c r="AR375">
        <v>539</v>
      </c>
      <c r="AS375">
        <v>1276</v>
      </c>
      <c r="AT375">
        <v>98</v>
      </c>
      <c r="AU375">
        <v>138</v>
      </c>
      <c r="AV375">
        <v>0.98399999999999999</v>
      </c>
      <c r="AW375" s="1"/>
      <c r="AX375" s="1"/>
      <c r="AY375" s="29">
        <f t="shared" si="354"/>
        <v>29700</v>
      </c>
      <c r="AZ375" s="31">
        <f t="shared" si="355"/>
        <v>165251</v>
      </c>
      <c r="BA375" s="31">
        <f t="shared" ref="BA375" si="404">SUMIF($B$2:$B$571,$B375,$T$2:$T$571)</f>
        <v>1494</v>
      </c>
      <c r="BB375" s="30">
        <f t="shared" si="357"/>
        <v>9.0407924914221397E-3</v>
      </c>
    </row>
    <row r="376" spans="2:54" x14ac:dyDescent="0.5">
      <c r="B376" s="4">
        <v>2012</v>
      </c>
      <c r="C376" t="s">
        <v>103</v>
      </c>
      <c r="D376" t="s">
        <v>104</v>
      </c>
      <c r="E376">
        <v>5</v>
      </c>
      <c r="F376" t="s">
        <v>38</v>
      </c>
      <c r="G376" t="s">
        <v>38</v>
      </c>
      <c r="H376" t="s">
        <v>38</v>
      </c>
      <c r="I376" t="s">
        <v>38</v>
      </c>
      <c r="J376">
        <v>69</v>
      </c>
      <c r="K376">
        <v>93</v>
      </c>
      <c r="L376">
        <v>609</v>
      </c>
      <c r="M376" s="20">
        <v>5437</v>
      </c>
      <c r="N376" s="20">
        <v>1327</v>
      </c>
      <c r="O376" s="20">
        <f t="shared" si="344"/>
        <v>890</v>
      </c>
      <c r="P376" s="20">
        <v>261</v>
      </c>
      <c r="Q376" s="20">
        <v>39</v>
      </c>
      <c r="R376" s="20">
        <v>137</v>
      </c>
      <c r="S376" s="20">
        <v>484</v>
      </c>
      <c r="T376" s="20">
        <v>35</v>
      </c>
      <c r="U376" s="20">
        <f t="shared" si="345"/>
        <v>3591</v>
      </c>
      <c r="V376">
        <v>1228</v>
      </c>
      <c r="W376">
        <v>149</v>
      </c>
      <c r="X376">
        <v>41</v>
      </c>
      <c r="Y376">
        <v>40</v>
      </c>
      <c r="Z376">
        <v>724</v>
      </c>
      <c r="AA376">
        <v>655</v>
      </c>
      <c r="AB376">
        <v>4.09</v>
      </c>
      <c r="AC376">
        <v>5</v>
      </c>
      <c r="AD376">
        <v>7</v>
      </c>
      <c r="AE376">
        <v>38</v>
      </c>
      <c r="AF376" s="27">
        <f t="shared" ca="1" si="402"/>
        <v>6292</v>
      </c>
      <c r="AG376" s="27">
        <f t="shared" ca="1" si="346"/>
        <v>1461</v>
      </c>
      <c r="AH376" s="27">
        <f t="shared" ca="1" si="347"/>
        <v>913</v>
      </c>
      <c r="AI376" s="27">
        <f t="shared" ca="1" si="348"/>
        <v>352</v>
      </c>
      <c r="AJ376" s="27">
        <f t="shared" ca="1" si="349"/>
        <v>30</v>
      </c>
      <c r="AK376" s="27">
        <f t="shared" ca="1" si="350"/>
        <v>166</v>
      </c>
      <c r="AL376" s="27">
        <f t="shared" ca="1" si="351"/>
        <v>603</v>
      </c>
      <c r="AM376" s="27">
        <f t="shared" ca="1" si="352"/>
        <v>32</v>
      </c>
      <c r="AN376" s="27">
        <f t="shared" ca="1" si="353"/>
        <v>4196</v>
      </c>
      <c r="AO376">
        <v>4322</v>
      </c>
      <c r="AP376">
        <v>1448</v>
      </c>
      <c r="AQ376">
        <v>133</v>
      </c>
      <c r="AR376">
        <v>495</v>
      </c>
      <c r="AS376">
        <v>1113</v>
      </c>
      <c r="AT376">
        <v>103</v>
      </c>
      <c r="AU376">
        <v>154</v>
      </c>
      <c r="AV376">
        <v>0.98299999999999998</v>
      </c>
      <c r="AW376" s="1"/>
      <c r="AX376" s="1"/>
      <c r="AY376" s="29">
        <f t="shared" si="354"/>
        <v>29700</v>
      </c>
      <c r="AZ376" s="31">
        <f t="shared" si="355"/>
        <v>165251</v>
      </c>
      <c r="BA376" s="31">
        <f t="shared" ref="BA376" si="405">SUMIF($B$2:$B$571,$B376,$U$2:$U$571)</f>
        <v>106985</v>
      </c>
      <c r="BB376" s="30">
        <f t="shared" si="357"/>
        <v>0.64740909283453651</v>
      </c>
    </row>
    <row r="377" spans="2:54" x14ac:dyDescent="0.5">
      <c r="B377" s="4">
        <v>2012</v>
      </c>
      <c r="C377" t="s">
        <v>68</v>
      </c>
      <c r="D377" t="s">
        <v>69</v>
      </c>
      <c r="E377">
        <v>3</v>
      </c>
      <c r="F377" t="s">
        <v>38</v>
      </c>
      <c r="G377" t="s">
        <v>38</v>
      </c>
      <c r="H377" t="s">
        <v>38</v>
      </c>
      <c r="I377" t="s">
        <v>38</v>
      </c>
      <c r="J377">
        <v>83</v>
      </c>
      <c r="K377">
        <v>79</v>
      </c>
      <c r="L377">
        <v>776</v>
      </c>
      <c r="M377" s="20">
        <v>5557</v>
      </c>
      <c r="N377" s="20">
        <v>1442</v>
      </c>
      <c r="O377" s="20">
        <f t="shared" si="344"/>
        <v>901</v>
      </c>
      <c r="P377" s="20">
        <v>300</v>
      </c>
      <c r="Q377" s="20">
        <v>39</v>
      </c>
      <c r="R377" s="20">
        <v>202</v>
      </c>
      <c r="S377" s="20">
        <v>466</v>
      </c>
      <c r="T377" s="20">
        <v>90</v>
      </c>
      <c r="U377" s="20">
        <f t="shared" si="345"/>
        <v>3559</v>
      </c>
      <c r="V377">
        <v>1240</v>
      </c>
      <c r="W377">
        <v>158</v>
      </c>
      <c r="X377">
        <v>39</v>
      </c>
      <c r="Y377">
        <v>35</v>
      </c>
      <c r="Z377">
        <v>733</v>
      </c>
      <c r="AA377">
        <v>682</v>
      </c>
      <c r="AB377">
        <v>4.22</v>
      </c>
      <c r="AC377">
        <v>0</v>
      </c>
      <c r="AD377">
        <v>9</v>
      </c>
      <c r="AE377">
        <v>44</v>
      </c>
      <c r="AF377" s="27">
        <f t="shared" ca="1" si="402"/>
        <v>6461</v>
      </c>
      <c r="AG377" s="27">
        <f t="shared" ca="1" si="346"/>
        <v>1367</v>
      </c>
      <c r="AH377" s="27">
        <f t="shared" ca="1" si="347"/>
        <v>844</v>
      </c>
      <c r="AI377" s="27">
        <f t="shared" ca="1" si="348"/>
        <v>358</v>
      </c>
      <c r="AJ377" s="27">
        <f t="shared" ca="1" si="349"/>
        <v>24</v>
      </c>
      <c r="AK377" s="27">
        <f t="shared" ca="1" si="350"/>
        <v>141</v>
      </c>
      <c r="AL377" s="27">
        <f t="shared" ca="1" si="351"/>
        <v>637</v>
      </c>
      <c r="AM377" s="27">
        <f t="shared" ca="1" si="352"/>
        <v>79</v>
      </c>
      <c r="AN377" s="27">
        <f t="shared" ca="1" si="353"/>
        <v>4378</v>
      </c>
      <c r="AO377">
        <v>4361</v>
      </c>
      <c r="AP377">
        <v>1458</v>
      </c>
      <c r="AQ377">
        <v>169</v>
      </c>
      <c r="AR377">
        <v>525</v>
      </c>
      <c r="AS377">
        <v>1402</v>
      </c>
      <c r="AT377">
        <v>99</v>
      </c>
      <c r="AU377">
        <v>133</v>
      </c>
      <c r="AV377">
        <v>0.98299999999999998</v>
      </c>
      <c r="AW377" s="1"/>
      <c r="AX377" s="1"/>
      <c r="AY377" s="29">
        <f t="shared" si="354"/>
        <v>29700</v>
      </c>
      <c r="AZ377" s="31">
        <f t="shared" si="355"/>
        <v>165251</v>
      </c>
      <c r="BA377" s="31"/>
      <c r="BB377" s="30">
        <f t="shared" si="357"/>
        <v>0</v>
      </c>
    </row>
    <row r="378" spans="2:54" x14ac:dyDescent="0.5">
      <c r="B378" s="4">
        <v>2012</v>
      </c>
      <c r="C378" t="s">
        <v>70</v>
      </c>
      <c r="D378" t="s">
        <v>71</v>
      </c>
      <c r="E378">
        <v>5</v>
      </c>
      <c r="F378" t="s">
        <v>38</v>
      </c>
      <c r="G378" t="s">
        <v>38</v>
      </c>
      <c r="H378" t="s">
        <v>38</v>
      </c>
      <c r="I378" t="s">
        <v>38</v>
      </c>
      <c r="J378">
        <v>66</v>
      </c>
      <c r="K378">
        <v>96</v>
      </c>
      <c r="L378">
        <v>701</v>
      </c>
      <c r="M378" s="20">
        <v>5562</v>
      </c>
      <c r="N378" s="20">
        <v>1448</v>
      </c>
      <c r="O378" s="20">
        <f t="shared" si="344"/>
        <v>1017</v>
      </c>
      <c r="P378" s="20">
        <v>270</v>
      </c>
      <c r="Q378" s="20">
        <v>30</v>
      </c>
      <c r="R378" s="20">
        <v>131</v>
      </c>
      <c r="S378" s="20">
        <v>505</v>
      </c>
      <c r="T378" s="20">
        <v>53</v>
      </c>
      <c r="U378" s="20">
        <f t="shared" si="345"/>
        <v>3556</v>
      </c>
      <c r="V378">
        <v>1069</v>
      </c>
      <c r="W378">
        <v>135</v>
      </c>
      <c r="X378">
        <v>37</v>
      </c>
      <c r="Y378">
        <v>56</v>
      </c>
      <c r="Z378">
        <v>832</v>
      </c>
      <c r="AA378">
        <v>762</v>
      </c>
      <c r="AB378">
        <v>4.7699999999999996</v>
      </c>
      <c r="AC378">
        <v>3</v>
      </c>
      <c r="AD378">
        <v>6</v>
      </c>
      <c r="AE378">
        <v>35</v>
      </c>
      <c r="AF378" s="27">
        <f t="shared" ca="1" si="402"/>
        <v>6369</v>
      </c>
      <c r="AG378" s="27">
        <f t="shared" ca="1" si="346"/>
        <v>1490</v>
      </c>
      <c r="AH378" s="27">
        <f t="shared" ca="1" si="347"/>
        <v>1045</v>
      </c>
      <c r="AI378" s="27">
        <f t="shared" ca="1" si="348"/>
        <v>231</v>
      </c>
      <c r="AJ378" s="27">
        <f t="shared" ca="1" si="349"/>
        <v>46</v>
      </c>
      <c r="AK378" s="27">
        <f t="shared" ca="1" si="350"/>
        <v>168</v>
      </c>
      <c r="AL378" s="27">
        <f t="shared" ca="1" si="351"/>
        <v>576</v>
      </c>
      <c r="AM378" s="27">
        <f t="shared" ca="1" si="352"/>
        <v>36</v>
      </c>
      <c r="AN378" s="27">
        <f t="shared" ca="1" si="353"/>
        <v>4267</v>
      </c>
      <c r="AO378">
        <v>4316</v>
      </c>
      <c r="AP378">
        <v>1536</v>
      </c>
      <c r="AQ378">
        <v>198</v>
      </c>
      <c r="AR378">
        <v>465</v>
      </c>
      <c r="AS378">
        <v>943</v>
      </c>
      <c r="AT378">
        <v>107</v>
      </c>
      <c r="AU378">
        <v>188</v>
      </c>
      <c r="AV378">
        <v>0.98299999999999998</v>
      </c>
      <c r="AW378" s="1"/>
      <c r="AX378" s="1"/>
      <c r="AY378" s="29">
        <f t="shared" si="354"/>
        <v>29700</v>
      </c>
      <c r="AZ378" s="31">
        <f t="shared" si="355"/>
        <v>165251</v>
      </c>
      <c r="BA378" s="31">
        <f t="shared" ref="BA378" si="406">SUMIF($B$2:$B$571,$B378,$O$2:$O$571)</f>
        <v>27941</v>
      </c>
      <c r="BB378" s="30">
        <f t="shared" si="357"/>
        <v>0.16908218407150336</v>
      </c>
    </row>
    <row r="379" spans="2:54" x14ac:dyDescent="0.5">
      <c r="B379" s="4">
        <v>2012</v>
      </c>
      <c r="C379" t="s">
        <v>74</v>
      </c>
      <c r="D379" t="s">
        <v>75</v>
      </c>
      <c r="E379">
        <v>1</v>
      </c>
      <c r="F379" t="s">
        <v>43</v>
      </c>
      <c r="G379" t="s">
        <v>38</v>
      </c>
      <c r="H379" t="s">
        <v>38</v>
      </c>
      <c r="I379" t="s">
        <v>38</v>
      </c>
      <c r="J379">
        <v>95</v>
      </c>
      <c r="K379">
        <v>67</v>
      </c>
      <c r="L379">
        <v>804</v>
      </c>
      <c r="M379" s="20">
        <v>5524</v>
      </c>
      <c r="N379" s="20">
        <v>1462</v>
      </c>
      <c r="O379" s="20">
        <f t="shared" si="344"/>
        <v>924</v>
      </c>
      <c r="P379" s="20">
        <v>280</v>
      </c>
      <c r="Q379" s="20">
        <v>13</v>
      </c>
      <c r="R379" s="20">
        <v>245</v>
      </c>
      <c r="S379" s="20">
        <v>565</v>
      </c>
      <c r="T379" s="20">
        <v>62</v>
      </c>
      <c r="U379" s="20">
        <f t="shared" si="345"/>
        <v>3435</v>
      </c>
      <c r="V379">
        <v>1176</v>
      </c>
      <c r="W379">
        <v>93</v>
      </c>
      <c r="X379">
        <v>27</v>
      </c>
      <c r="Y379">
        <v>49</v>
      </c>
      <c r="Z379">
        <v>668</v>
      </c>
      <c r="AA379">
        <v>617</v>
      </c>
      <c r="AB379">
        <v>3.84</v>
      </c>
      <c r="AC379">
        <v>6</v>
      </c>
      <c r="AD379">
        <v>9</v>
      </c>
      <c r="AE379">
        <v>51</v>
      </c>
      <c r="AF379" s="27">
        <f t="shared" ca="1" si="402"/>
        <v>6463</v>
      </c>
      <c r="AG379" s="27">
        <f t="shared" ca="1" si="346"/>
        <v>1580</v>
      </c>
      <c r="AH379" s="27">
        <f t="shared" ca="1" si="347"/>
        <v>1033</v>
      </c>
      <c r="AI379" s="27">
        <f t="shared" ca="1" si="348"/>
        <v>326</v>
      </c>
      <c r="AJ379" s="27">
        <f t="shared" ca="1" si="349"/>
        <v>37</v>
      </c>
      <c r="AK379" s="27">
        <f t="shared" ca="1" si="350"/>
        <v>184</v>
      </c>
      <c r="AL379" s="27">
        <f t="shared" ca="1" si="351"/>
        <v>624</v>
      </c>
      <c r="AM379" s="27">
        <f t="shared" ca="1" si="352"/>
        <v>59</v>
      </c>
      <c r="AN379" s="27">
        <f t="shared" ca="1" si="353"/>
        <v>4200</v>
      </c>
      <c r="AO379">
        <v>4336</v>
      </c>
      <c r="AP379">
        <v>1401</v>
      </c>
      <c r="AQ379">
        <v>190</v>
      </c>
      <c r="AR379">
        <v>431</v>
      </c>
      <c r="AS379">
        <v>1318</v>
      </c>
      <c r="AT379">
        <v>75</v>
      </c>
      <c r="AU379">
        <v>135</v>
      </c>
      <c r="AV379">
        <v>0.98699999999999999</v>
      </c>
      <c r="AW379" s="1"/>
      <c r="AX379" s="1"/>
      <c r="AY379" s="29">
        <f t="shared" si="354"/>
        <v>29700</v>
      </c>
      <c r="AZ379" s="31">
        <f t="shared" si="355"/>
        <v>165251</v>
      </c>
      <c r="BA379" s="31">
        <f t="shared" ref="BA379" si="407">SUMIF($B$2:$B$571,$B379,$P$2:$P$571)</f>
        <v>8261</v>
      </c>
      <c r="BB379" s="30">
        <f t="shared" si="357"/>
        <v>4.9990620329075162E-2</v>
      </c>
    </row>
    <row r="380" spans="2:54" x14ac:dyDescent="0.5">
      <c r="B380" s="4">
        <v>2012</v>
      </c>
      <c r="C380" t="s">
        <v>76</v>
      </c>
      <c r="D380" t="s">
        <v>77</v>
      </c>
      <c r="E380">
        <v>4</v>
      </c>
      <c r="F380" t="s">
        <v>38</v>
      </c>
      <c r="G380" t="s">
        <v>38</v>
      </c>
      <c r="H380" t="s">
        <v>38</v>
      </c>
      <c r="I380" t="s">
        <v>38</v>
      </c>
      <c r="J380">
        <v>74</v>
      </c>
      <c r="K380">
        <v>88</v>
      </c>
      <c r="L380">
        <v>650</v>
      </c>
      <c r="M380" s="20">
        <v>5450</v>
      </c>
      <c r="N380" s="20">
        <v>1357</v>
      </c>
      <c r="O380" s="20">
        <f t="shared" si="344"/>
        <v>911</v>
      </c>
      <c r="P380" s="20">
        <v>286</v>
      </c>
      <c r="Q380" s="20">
        <v>21</v>
      </c>
      <c r="R380" s="20">
        <v>139</v>
      </c>
      <c r="S380" s="20">
        <v>503</v>
      </c>
      <c r="T380" s="20">
        <v>42</v>
      </c>
      <c r="U380" s="20">
        <f t="shared" si="345"/>
        <v>3548</v>
      </c>
      <c r="V380">
        <v>1250</v>
      </c>
      <c r="W380">
        <v>79</v>
      </c>
      <c r="X380">
        <v>38</v>
      </c>
      <c r="Y380">
        <v>30</v>
      </c>
      <c r="Z380">
        <v>709</v>
      </c>
      <c r="AA380">
        <v>651</v>
      </c>
      <c r="AB380">
        <v>4.09</v>
      </c>
      <c r="AC380">
        <v>7</v>
      </c>
      <c r="AD380">
        <v>13</v>
      </c>
      <c r="AE380">
        <v>36</v>
      </c>
      <c r="AF380" s="27">
        <f t="shared" ca="1" si="402"/>
        <v>6195</v>
      </c>
      <c r="AG380" s="27">
        <f t="shared" ca="1" si="346"/>
        <v>1658</v>
      </c>
      <c r="AH380" s="27">
        <f t="shared" ca="1" si="347"/>
        <v>1079</v>
      </c>
      <c r="AI380" s="27">
        <f t="shared" ca="1" si="348"/>
        <v>374</v>
      </c>
      <c r="AJ380" s="27">
        <f t="shared" ca="1" si="349"/>
        <v>34</v>
      </c>
      <c r="AK380" s="27">
        <f t="shared" ca="1" si="350"/>
        <v>171</v>
      </c>
      <c r="AL380" s="27">
        <f t="shared" ca="1" si="351"/>
        <v>570</v>
      </c>
      <c r="AM380" s="27">
        <f t="shared" ca="1" si="352"/>
        <v>67</v>
      </c>
      <c r="AN380" s="27">
        <f t="shared" ca="1" si="353"/>
        <v>3900</v>
      </c>
      <c r="AO380">
        <v>4302</v>
      </c>
      <c r="AP380">
        <v>1368</v>
      </c>
      <c r="AQ380">
        <v>161</v>
      </c>
      <c r="AR380">
        <v>488</v>
      </c>
      <c r="AS380">
        <v>1240</v>
      </c>
      <c r="AT380">
        <v>101</v>
      </c>
      <c r="AU380">
        <v>135</v>
      </c>
      <c r="AV380">
        <v>0.98299999999999998</v>
      </c>
      <c r="AW380" s="1"/>
      <c r="AX380" s="1"/>
      <c r="AY380" s="29">
        <f t="shared" si="354"/>
        <v>29700</v>
      </c>
      <c r="AZ380" s="31">
        <f t="shared" si="355"/>
        <v>165251</v>
      </c>
      <c r="BA380" s="31">
        <f t="shared" ref="BA380" si="408">SUMIF($B$2:$B$571,$B380,$Q$2:$Q$571)</f>
        <v>927</v>
      </c>
      <c r="BB380" s="30">
        <f t="shared" si="357"/>
        <v>5.6096483531113276E-3</v>
      </c>
    </row>
    <row r="381" spans="2:54" x14ac:dyDescent="0.5">
      <c r="B381" s="4">
        <v>2012</v>
      </c>
      <c r="C381" t="s">
        <v>78</v>
      </c>
      <c r="D381" t="s">
        <v>79</v>
      </c>
      <c r="E381">
        <v>1</v>
      </c>
      <c r="F381" t="s">
        <v>43</v>
      </c>
      <c r="G381" t="s">
        <v>38</v>
      </c>
      <c r="H381" t="s">
        <v>38</v>
      </c>
      <c r="I381" t="s">
        <v>38</v>
      </c>
      <c r="J381">
        <v>94</v>
      </c>
      <c r="K381">
        <v>68</v>
      </c>
      <c r="L381">
        <v>713</v>
      </c>
      <c r="M381" s="20">
        <v>5527</v>
      </c>
      <c r="N381" s="20">
        <v>1315</v>
      </c>
      <c r="O381" s="20">
        <f t="shared" si="344"/>
        <v>821</v>
      </c>
      <c r="P381" s="20">
        <v>267</v>
      </c>
      <c r="Q381" s="20">
        <v>32</v>
      </c>
      <c r="R381" s="20">
        <v>195</v>
      </c>
      <c r="S381" s="20">
        <v>550</v>
      </c>
      <c r="T381" s="20">
        <v>45</v>
      </c>
      <c r="U381" s="20">
        <f t="shared" si="345"/>
        <v>3617</v>
      </c>
      <c r="V381">
        <v>1387</v>
      </c>
      <c r="W381">
        <v>122</v>
      </c>
      <c r="X381">
        <v>32</v>
      </c>
      <c r="Y381">
        <v>34</v>
      </c>
      <c r="Z381">
        <v>614</v>
      </c>
      <c r="AA381">
        <v>569</v>
      </c>
      <c r="AB381">
        <v>3.48</v>
      </c>
      <c r="AC381">
        <v>1</v>
      </c>
      <c r="AD381">
        <v>13</v>
      </c>
      <c r="AE381">
        <v>47</v>
      </c>
      <c r="AF381" s="27">
        <f t="shared" ca="1" si="402"/>
        <v>6089</v>
      </c>
      <c r="AG381" s="27">
        <f t="shared" ca="1" si="346"/>
        <v>1559</v>
      </c>
      <c r="AH381" s="27">
        <f t="shared" ca="1" si="347"/>
        <v>956</v>
      </c>
      <c r="AI381" s="27">
        <f t="shared" ca="1" si="348"/>
        <v>320</v>
      </c>
      <c r="AJ381" s="27">
        <f t="shared" ca="1" si="349"/>
        <v>50</v>
      </c>
      <c r="AK381" s="27">
        <f t="shared" ca="1" si="350"/>
        <v>233</v>
      </c>
      <c r="AL381" s="27">
        <f t="shared" ca="1" si="351"/>
        <v>615</v>
      </c>
      <c r="AM381" s="27">
        <f t="shared" ca="1" si="352"/>
        <v>40</v>
      </c>
      <c r="AN381" s="27">
        <f t="shared" ca="1" si="353"/>
        <v>3875</v>
      </c>
      <c r="AO381">
        <v>4410</v>
      </c>
      <c r="AP381">
        <v>1360</v>
      </c>
      <c r="AQ381">
        <v>147</v>
      </c>
      <c r="AR381">
        <v>462</v>
      </c>
      <c r="AS381">
        <v>1136</v>
      </c>
      <c r="AT381">
        <v>111</v>
      </c>
      <c r="AU381">
        <v>135</v>
      </c>
      <c r="AV381">
        <v>0.98199999999999998</v>
      </c>
      <c r="AW381" s="1"/>
      <c r="AX381" s="1"/>
      <c r="AY381" s="29">
        <f t="shared" si="354"/>
        <v>29700</v>
      </c>
      <c r="AZ381" s="31">
        <f t="shared" si="355"/>
        <v>165251</v>
      </c>
      <c r="BA381" s="31">
        <f t="shared" ref="BA381" si="409">SUMIF($B$2:$B$571,$B381,$R$2:$R$571)</f>
        <v>4934</v>
      </c>
      <c r="BB381" s="30">
        <f t="shared" si="357"/>
        <v>2.9857610543960401E-2</v>
      </c>
    </row>
    <row r="382" spans="2:54" x14ac:dyDescent="0.5">
      <c r="B382" s="4">
        <v>2012</v>
      </c>
      <c r="C382" t="s">
        <v>80</v>
      </c>
      <c r="D382" t="s">
        <v>81</v>
      </c>
      <c r="E382">
        <v>3</v>
      </c>
      <c r="F382" t="s">
        <v>38</v>
      </c>
      <c r="G382" t="s">
        <v>38</v>
      </c>
      <c r="H382" t="s">
        <v>38</v>
      </c>
      <c r="I382" t="s">
        <v>38</v>
      </c>
      <c r="J382">
        <v>81</v>
      </c>
      <c r="K382">
        <v>81</v>
      </c>
      <c r="L382">
        <v>684</v>
      </c>
      <c r="M382" s="20">
        <v>5544</v>
      </c>
      <c r="N382" s="20">
        <v>1414</v>
      </c>
      <c r="O382" s="20">
        <f t="shared" si="344"/>
        <v>957</v>
      </c>
      <c r="P382" s="20">
        <v>271</v>
      </c>
      <c r="Q382" s="20">
        <v>28</v>
      </c>
      <c r="R382" s="20">
        <v>158</v>
      </c>
      <c r="S382" s="20">
        <v>454</v>
      </c>
      <c r="T382" s="20">
        <v>63</v>
      </c>
      <c r="U382" s="20">
        <f t="shared" si="345"/>
        <v>3613</v>
      </c>
      <c r="V382">
        <v>1094</v>
      </c>
      <c r="W382">
        <v>116</v>
      </c>
      <c r="X382">
        <v>23</v>
      </c>
      <c r="Y382">
        <v>39</v>
      </c>
      <c r="Z382">
        <v>680</v>
      </c>
      <c r="AA382">
        <v>618</v>
      </c>
      <c r="AB382">
        <v>3.83</v>
      </c>
      <c r="AC382">
        <v>5</v>
      </c>
      <c r="AD382">
        <v>11</v>
      </c>
      <c r="AE382">
        <v>42</v>
      </c>
      <c r="AF382" s="27">
        <f t="shared" ca="1" si="402"/>
        <v>6465</v>
      </c>
      <c r="AG382" s="27">
        <f t="shared" ca="1" si="346"/>
        <v>1572</v>
      </c>
      <c r="AH382" s="27">
        <f t="shared" ca="1" si="347"/>
        <v>1053</v>
      </c>
      <c r="AI382" s="27">
        <f t="shared" ca="1" si="348"/>
        <v>333</v>
      </c>
      <c r="AJ382" s="27">
        <f t="shared" ca="1" si="349"/>
        <v>21</v>
      </c>
      <c r="AK382" s="27">
        <f t="shared" ca="1" si="350"/>
        <v>165</v>
      </c>
      <c r="AL382" s="27">
        <f t="shared" ca="1" si="351"/>
        <v>608</v>
      </c>
      <c r="AM382" s="27">
        <f t="shared" ca="1" si="352"/>
        <v>40</v>
      </c>
      <c r="AN382" s="27">
        <f t="shared" ca="1" si="353"/>
        <v>4245</v>
      </c>
      <c r="AO382">
        <v>4354</v>
      </c>
      <c r="AP382">
        <v>1387</v>
      </c>
      <c r="AQ382">
        <v>178</v>
      </c>
      <c r="AR382">
        <v>409</v>
      </c>
      <c r="AS382">
        <v>1385</v>
      </c>
      <c r="AT382">
        <v>101</v>
      </c>
      <c r="AU382">
        <v>118</v>
      </c>
      <c r="AV382">
        <v>0.98299999999999998</v>
      </c>
      <c r="AW382" s="1"/>
      <c r="AX382" s="1"/>
      <c r="AY382" s="29">
        <f t="shared" si="354"/>
        <v>29700</v>
      </c>
      <c r="AZ382" s="31">
        <f t="shared" si="355"/>
        <v>165251</v>
      </c>
      <c r="BA382" s="31">
        <f t="shared" ref="BA382" si="410">SUMIF($B$2:$B$571,$B382,$S$2:$S$571)</f>
        <v>14709</v>
      </c>
      <c r="BB382" s="30">
        <f t="shared" si="357"/>
        <v>8.9010051376391064E-2</v>
      </c>
    </row>
    <row r="383" spans="2:54" x14ac:dyDescent="0.5">
      <c r="B383" s="4">
        <v>2012</v>
      </c>
      <c r="C383" t="s">
        <v>82</v>
      </c>
      <c r="D383" t="s">
        <v>83</v>
      </c>
      <c r="E383">
        <v>4</v>
      </c>
      <c r="F383" t="s">
        <v>38</v>
      </c>
      <c r="G383" t="s">
        <v>38</v>
      </c>
      <c r="H383" t="s">
        <v>38</v>
      </c>
      <c r="I383" t="s">
        <v>38</v>
      </c>
      <c r="J383">
        <v>79</v>
      </c>
      <c r="K383">
        <v>83</v>
      </c>
      <c r="L383">
        <v>651</v>
      </c>
      <c r="M383" s="20">
        <v>5412</v>
      </c>
      <c r="N383" s="20">
        <v>1313</v>
      </c>
      <c r="O383" s="20">
        <f t="shared" si="344"/>
        <v>865</v>
      </c>
      <c r="P383" s="20">
        <v>241</v>
      </c>
      <c r="Q383" s="20">
        <v>37</v>
      </c>
      <c r="R383" s="20">
        <v>170</v>
      </c>
      <c r="S383" s="20">
        <v>444</v>
      </c>
      <c r="T383" s="20">
        <v>51</v>
      </c>
      <c r="U383" s="20">
        <f t="shared" si="345"/>
        <v>3604</v>
      </c>
      <c r="V383">
        <v>1354</v>
      </c>
      <c r="W383">
        <v>73</v>
      </c>
      <c r="X383">
        <v>52</v>
      </c>
      <c r="Y383">
        <v>45</v>
      </c>
      <c r="Z383">
        <v>674</v>
      </c>
      <c r="AA383">
        <v>615</v>
      </c>
      <c r="AB383">
        <v>3.86</v>
      </c>
      <c r="AC383">
        <v>2</v>
      </c>
      <c r="AD383">
        <v>10</v>
      </c>
      <c r="AE383">
        <v>45</v>
      </c>
      <c r="AF383" s="27">
        <f t="shared" ca="1" si="402"/>
        <v>6299</v>
      </c>
      <c r="AG383" s="27">
        <f t="shared" ca="1" si="346"/>
        <v>1304</v>
      </c>
      <c r="AH383" s="27">
        <f t="shared" ca="1" si="347"/>
        <v>666</v>
      </c>
      <c r="AI383" s="27">
        <f t="shared" ca="1" si="348"/>
        <v>367</v>
      </c>
      <c r="AJ383" s="27">
        <f t="shared" ca="1" si="349"/>
        <v>49</v>
      </c>
      <c r="AK383" s="27">
        <f t="shared" ca="1" si="350"/>
        <v>222</v>
      </c>
      <c r="AL383" s="27">
        <f t="shared" ca="1" si="351"/>
        <v>409</v>
      </c>
      <c r="AM383" s="27">
        <f t="shared" ca="1" si="352"/>
        <v>69</v>
      </c>
      <c r="AN383" s="27">
        <f t="shared" ca="1" si="353"/>
        <v>4517</v>
      </c>
      <c r="AO383">
        <v>4300</v>
      </c>
      <c r="AP383">
        <v>1357</v>
      </c>
      <c r="AQ383">
        <v>153</v>
      </c>
      <c r="AR383">
        <v>490</v>
      </c>
      <c r="AS383">
        <v>1192</v>
      </c>
      <c r="AT383">
        <v>112</v>
      </c>
      <c r="AU383">
        <v>126</v>
      </c>
      <c r="AV383">
        <v>0.98199999999999998</v>
      </c>
      <c r="AW383" s="1"/>
      <c r="AX383" s="1"/>
      <c r="AY383" s="29">
        <f t="shared" si="354"/>
        <v>29700</v>
      </c>
      <c r="AZ383" s="31">
        <f t="shared" si="355"/>
        <v>165251</v>
      </c>
      <c r="BA383" s="31">
        <f t="shared" ref="BA383" si="411">SUMIF($B$2:$B$571,$B383,$T$2:$T$571)</f>
        <v>1494</v>
      </c>
      <c r="BB383" s="30">
        <f t="shared" si="357"/>
        <v>9.0407924914221397E-3</v>
      </c>
    </row>
    <row r="384" spans="2:54" x14ac:dyDescent="0.5">
      <c r="B384" s="4">
        <v>2012</v>
      </c>
      <c r="C384" t="s">
        <v>84</v>
      </c>
      <c r="D384" t="s">
        <v>85</v>
      </c>
      <c r="E384">
        <v>4</v>
      </c>
      <c r="F384" t="s">
        <v>38</v>
      </c>
      <c r="G384" t="s">
        <v>38</v>
      </c>
      <c r="H384" t="s">
        <v>38</v>
      </c>
      <c r="I384" t="s">
        <v>38</v>
      </c>
      <c r="J384">
        <v>76</v>
      </c>
      <c r="K384">
        <v>86</v>
      </c>
      <c r="L384">
        <v>651</v>
      </c>
      <c r="M384" s="20">
        <v>5422</v>
      </c>
      <c r="N384" s="20">
        <v>1339</v>
      </c>
      <c r="O384" s="20">
        <f t="shared" si="344"/>
        <v>903</v>
      </c>
      <c r="P384" s="20">
        <v>272</v>
      </c>
      <c r="Q384" s="20">
        <v>43</v>
      </c>
      <c r="R384" s="20">
        <v>121</v>
      </c>
      <c r="S384" s="20">
        <v>539</v>
      </c>
      <c r="T384" s="20">
        <v>54</v>
      </c>
      <c r="U384" s="20">
        <f t="shared" si="345"/>
        <v>3490</v>
      </c>
      <c r="V384">
        <v>1238</v>
      </c>
      <c r="W384">
        <v>155</v>
      </c>
      <c r="X384">
        <v>46</v>
      </c>
      <c r="Y384">
        <v>34</v>
      </c>
      <c r="Z384">
        <v>710</v>
      </c>
      <c r="AA384">
        <v>640</v>
      </c>
      <c r="AB384">
        <v>4.01</v>
      </c>
      <c r="AC384">
        <v>4</v>
      </c>
      <c r="AD384">
        <v>11</v>
      </c>
      <c r="AE384">
        <v>43</v>
      </c>
      <c r="AF384" s="27">
        <f t="shared" ca="1" si="402"/>
        <v>6256</v>
      </c>
      <c r="AG384" s="27">
        <f t="shared" ca="1" si="346"/>
        <v>1501</v>
      </c>
      <c r="AH384" s="27">
        <f t="shared" ca="1" si="347"/>
        <v>1034</v>
      </c>
      <c r="AI384" s="27">
        <f t="shared" ca="1" si="348"/>
        <v>300</v>
      </c>
      <c r="AJ384" s="27">
        <f t="shared" ca="1" si="349"/>
        <v>31</v>
      </c>
      <c r="AK384" s="27">
        <f t="shared" ca="1" si="350"/>
        <v>136</v>
      </c>
      <c r="AL384" s="27">
        <f t="shared" ca="1" si="351"/>
        <v>458</v>
      </c>
      <c r="AM384" s="27">
        <f t="shared" ca="1" si="352"/>
        <v>65</v>
      </c>
      <c r="AN384" s="27">
        <f t="shared" ca="1" si="353"/>
        <v>4232</v>
      </c>
      <c r="AO384">
        <v>4304</v>
      </c>
      <c r="AP384">
        <v>1356</v>
      </c>
      <c r="AQ384">
        <v>162</v>
      </c>
      <c r="AR384">
        <v>539</v>
      </c>
      <c r="AS384">
        <v>1205</v>
      </c>
      <c r="AT384">
        <v>121</v>
      </c>
      <c r="AU384">
        <v>97</v>
      </c>
      <c r="AV384">
        <v>0.98</v>
      </c>
      <c r="AW384" s="1"/>
      <c r="AX384" s="1"/>
      <c r="AY384" s="29">
        <f t="shared" si="354"/>
        <v>29700</v>
      </c>
      <c r="AZ384" s="31">
        <f t="shared" si="355"/>
        <v>165251</v>
      </c>
      <c r="BA384" s="31">
        <f t="shared" ref="BA384" si="412">SUMIF($B$2:$B$571,$B384,$U$2:$U$571)</f>
        <v>106985</v>
      </c>
      <c r="BB384" s="30">
        <f t="shared" si="357"/>
        <v>0.64740909283453651</v>
      </c>
    </row>
    <row r="385" spans="2:54" x14ac:dyDescent="0.5">
      <c r="B385" s="4">
        <v>2012</v>
      </c>
      <c r="C385" t="s">
        <v>86</v>
      </c>
      <c r="D385" t="s">
        <v>87</v>
      </c>
      <c r="E385">
        <v>4</v>
      </c>
      <c r="F385" t="s">
        <v>38</v>
      </c>
      <c r="G385" t="s">
        <v>38</v>
      </c>
      <c r="H385" t="s">
        <v>38</v>
      </c>
      <c r="I385" t="s">
        <v>38</v>
      </c>
      <c r="J385">
        <v>75</v>
      </c>
      <c r="K385">
        <v>87</v>
      </c>
      <c r="L385">
        <v>619</v>
      </c>
      <c r="M385" s="20">
        <v>5494</v>
      </c>
      <c r="N385" s="20">
        <v>1285</v>
      </c>
      <c r="O385" s="20">
        <f t="shared" si="344"/>
        <v>868</v>
      </c>
      <c r="P385" s="20">
        <v>241</v>
      </c>
      <c r="Q385" s="20">
        <v>27</v>
      </c>
      <c r="R385" s="20">
        <v>149</v>
      </c>
      <c r="S385" s="20">
        <v>466</v>
      </c>
      <c r="T385" s="20">
        <v>30</v>
      </c>
      <c r="U385" s="20">
        <f t="shared" si="345"/>
        <v>3713</v>
      </c>
      <c r="V385">
        <v>1259</v>
      </c>
      <c r="W385">
        <v>104</v>
      </c>
      <c r="X385">
        <v>35</v>
      </c>
      <c r="Y385">
        <v>35</v>
      </c>
      <c r="Z385">
        <v>651</v>
      </c>
      <c r="AA385">
        <v>608</v>
      </c>
      <c r="AB385">
        <v>3.76</v>
      </c>
      <c r="AC385">
        <v>8</v>
      </c>
      <c r="AD385">
        <v>11</v>
      </c>
      <c r="AE385">
        <v>43</v>
      </c>
      <c r="AF385" s="27">
        <f t="shared" ca="1" si="402"/>
        <v>6174</v>
      </c>
      <c r="AG385" s="27">
        <f t="shared" ca="1" si="346"/>
        <v>1519</v>
      </c>
      <c r="AH385" s="27">
        <f t="shared" ca="1" si="347"/>
        <v>1035</v>
      </c>
      <c r="AI385" s="27">
        <f t="shared" ca="1" si="348"/>
        <v>237</v>
      </c>
      <c r="AJ385" s="27">
        <f t="shared" ca="1" si="349"/>
        <v>32</v>
      </c>
      <c r="AK385" s="27">
        <f t="shared" ca="1" si="350"/>
        <v>215</v>
      </c>
      <c r="AL385" s="27">
        <f t="shared" ca="1" si="351"/>
        <v>692</v>
      </c>
      <c r="AM385" s="27">
        <f t="shared" ca="1" si="352"/>
        <v>88</v>
      </c>
      <c r="AN385" s="27">
        <f t="shared" ca="1" si="353"/>
        <v>3875</v>
      </c>
      <c r="AO385">
        <v>4370</v>
      </c>
      <c r="AP385">
        <v>1359</v>
      </c>
      <c r="AQ385">
        <v>166</v>
      </c>
      <c r="AR385">
        <v>449</v>
      </c>
      <c r="AS385">
        <v>1166</v>
      </c>
      <c r="AT385">
        <v>72</v>
      </c>
      <c r="AU385">
        <v>155</v>
      </c>
      <c r="AV385">
        <v>0.98799999999999999</v>
      </c>
      <c r="AW385" s="1"/>
      <c r="AX385" s="1"/>
      <c r="AY385" s="29">
        <f t="shared" si="354"/>
        <v>29700</v>
      </c>
      <c r="AZ385" s="31">
        <f t="shared" si="355"/>
        <v>165251</v>
      </c>
      <c r="BA385" s="31"/>
      <c r="BB385" s="30">
        <f t="shared" si="357"/>
        <v>0</v>
      </c>
    </row>
    <row r="386" spans="2:54" x14ac:dyDescent="0.5">
      <c r="B386" s="4">
        <v>2012</v>
      </c>
      <c r="C386" t="s">
        <v>88</v>
      </c>
      <c r="D386" t="s">
        <v>89</v>
      </c>
      <c r="E386">
        <v>1</v>
      </c>
      <c r="F386" t="s">
        <v>43</v>
      </c>
      <c r="G386" t="s">
        <v>38</v>
      </c>
      <c r="H386" t="s">
        <v>43</v>
      </c>
      <c r="I386" t="s">
        <v>43</v>
      </c>
      <c r="J386">
        <v>94</v>
      </c>
      <c r="K386">
        <v>68</v>
      </c>
      <c r="L386">
        <v>718</v>
      </c>
      <c r="M386" s="20">
        <v>5558</v>
      </c>
      <c r="N386" s="20">
        <v>1495</v>
      </c>
      <c r="O386" s="20">
        <f t="shared" si="344"/>
        <v>1048</v>
      </c>
      <c r="P386" s="20">
        <v>287</v>
      </c>
      <c r="Q386" s="20">
        <v>57</v>
      </c>
      <c r="R386" s="20">
        <v>103</v>
      </c>
      <c r="S386" s="20">
        <v>483</v>
      </c>
      <c r="T386" s="20">
        <v>29</v>
      </c>
      <c r="U386" s="20">
        <f t="shared" si="345"/>
        <v>3551</v>
      </c>
      <c r="V386">
        <v>1097</v>
      </c>
      <c r="W386">
        <v>118</v>
      </c>
      <c r="X386">
        <v>39</v>
      </c>
      <c r="Y386">
        <v>61</v>
      </c>
      <c r="Z386">
        <v>649</v>
      </c>
      <c r="AA386">
        <v>593</v>
      </c>
      <c r="AB386">
        <v>3.68</v>
      </c>
      <c r="AC386">
        <v>5</v>
      </c>
      <c r="AD386">
        <v>14</v>
      </c>
      <c r="AE386">
        <v>53</v>
      </c>
      <c r="AF386" s="27">
        <f t="shared" ca="1" si="402"/>
        <v>6131</v>
      </c>
      <c r="AG386" s="27">
        <f t="shared" ca="1" si="346"/>
        <v>1623</v>
      </c>
      <c r="AH386" s="27">
        <f t="shared" ca="1" si="347"/>
        <v>1186</v>
      </c>
      <c r="AI386" s="27">
        <f t="shared" ca="1" si="348"/>
        <v>247</v>
      </c>
      <c r="AJ386" s="27">
        <f t="shared" ca="1" si="349"/>
        <v>30</v>
      </c>
      <c r="AK386" s="27">
        <f t="shared" ca="1" si="350"/>
        <v>160</v>
      </c>
      <c r="AL386" s="27">
        <f t="shared" ca="1" si="351"/>
        <v>556</v>
      </c>
      <c r="AM386" s="27">
        <f t="shared" ca="1" si="352"/>
        <v>50</v>
      </c>
      <c r="AN386" s="27">
        <f t="shared" ca="1" si="353"/>
        <v>3902</v>
      </c>
      <c r="AO386">
        <v>4353</v>
      </c>
      <c r="AP386">
        <v>1361</v>
      </c>
      <c r="AQ386">
        <v>142</v>
      </c>
      <c r="AR386">
        <v>489</v>
      </c>
      <c r="AS386">
        <v>1237</v>
      </c>
      <c r="AT386">
        <v>115</v>
      </c>
      <c r="AU386">
        <v>134</v>
      </c>
      <c r="AV386">
        <v>0.98099999999999998</v>
      </c>
      <c r="AW386" s="1"/>
      <c r="AX386" s="1"/>
      <c r="AY386" s="29">
        <f t="shared" si="354"/>
        <v>29700</v>
      </c>
      <c r="AZ386" s="31">
        <f t="shared" si="355"/>
        <v>165251</v>
      </c>
      <c r="BA386" s="31">
        <f t="shared" ref="BA386" si="413">SUMIF($B$2:$B$571,$B386,$O$2:$O$571)</f>
        <v>27941</v>
      </c>
      <c r="BB386" s="30">
        <f t="shared" si="357"/>
        <v>0.16908218407150336</v>
      </c>
    </row>
    <row r="387" spans="2:54" x14ac:dyDescent="0.5">
      <c r="B387" s="4">
        <v>2012</v>
      </c>
      <c r="C387" t="s">
        <v>90</v>
      </c>
      <c r="D387" t="s">
        <v>91</v>
      </c>
      <c r="E387">
        <v>2</v>
      </c>
      <c r="F387" t="s">
        <v>38</v>
      </c>
      <c r="G387" t="s">
        <v>43</v>
      </c>
      <c r="H387" t="s">
        <v>38</v>
      </c>
      <c r="I387" t="s">
        <v>38</v>
      </c>
      <c r="J387">
        <v>88</v>
      </c>
      <c r="K387">
        <v>74</v>
      </c>
      <c r="L387">
        <v>765</v>
      </c>
      <c r="M387" s="20">
        <v>5622</v>
      </c>
      <c r="N387" s="20">
        <v>1526</v>
      </c>
      <c r="O387" s="20">
        <f t="shared" ref="O387:O450" si="414">N387-(P387+Q387+R387)</f>
        <v>1040</v>
      </c>
      <c r="P387" s="20">
        <v>290</v>
      </c>
      <c r="Q387" s="20">
        <v>37</v>
      </c>
      <c r="R387" s="20">
        <v>159</v>
      </c>
      <c r="S387" s="20">
        <v>533</v>
      </c>
      <c r="T387" s="20">
        <v>53</v>
      </c>
      <c r="U387" s="20">
        <f t="shared" ref="U387:U450" si="415">M387-(N387+S387+T387)</f>
        <v>3510</v>
      </c>
      <c r="V387">
        <v>1192</v>
      </c>
      <c r="W387">
        <v>91</v>
      </c>
      <c r="X387">
        <v>37</v>
      </c>
      <c r="Y387">
        <v>49</v>
      </c>
      <c r="Z387">
        <v>648</v>
      </c>
      <c r="AA387">
        <v>603</v>
      </c>
      <c r="AB387">
        <v>3.71</v>
      </c>
      <c r="AC387">
        <v>4</v>
      </c>
      <c r="AD387">
        <v>10</v>
      </c>
      <c r="AE387">
        <v>42</v>
      </c>
      <c r="AF387" s="27">
        <f t="shared" ca="1" si="402"/>
        <v>6276</v>
      </c>
      <c r="AG387" s="27">
        <f t="shared" ref="AG387:AG450" ca="1" si="416">RANDBETWEEN(1300,1700)</f>
        <v>1555</v>
      </c>
      <c r="AH387" s="27">
        <f t="shared" ref="AH387:AH450" ca="1" si="417">AG387-(AI387+AJ387+AK387)</f>
        <v>957</v>
      </c>
      <c r="AI387" s="27">
        <f t="shared" ref="AI387:AI450" ca="1" si="418">RANDBETWEEN(219,400)</f>
        <v>354</v>
      </c>
      <c r="AJ387" s="27">
        <f t="shared" ref="AJ387:AJ450" ca="1" si="419">RANDBETWEEN(20,50)</f>
        <v>46</v>
      </c>
      <c r="AK387" s="27">
        <f t="shared" ref="AK387:AK450" ca="1" si="420">RANDBETWEEN(130,240)</f>
        <v>198</v>
      </c>
      <c r="AL387" s="27">
        <f t="shared" ref="AL387:AL450" ca="1" si="421">RANDBETWEEN(400,700)</f>
        <v>585</v>
      </c>
      <c r="AM387" s="27">
        <f t="shared" ref="AM387:AM450" ca="1" si="422">RANDBETWEEN(30,90)</f>
        <v>30</v>
      </c>
      <c r="AN387" s="27">
        <f t="shared" ref="AN387:AN450" ca="1" si="423">AF387-(AG387+AL387+AM387)</f>
        <v>4106</v>
      </c>
      <c r="AO387">
        <v>4388</v>
      </c>
      <c r="AP387">
        <v>1420</v>
      </c>
      <c r="AQ387">
        <v>134</v>
      </c>
      <c r="AR387">
        <v>436</v>
      </c>
      <c r="AS387">
        <v>1218</v>
      </c>
      <c r="AT387">
        <v>107</v>
      </c>
      <c r="AU387">
        <v>149</v>
      </c>
      <c r="AV387">
        <v>0.98299999999999998</v>
      </c>
      <c r="AW387" s="1"/>
      <c r="AX387" s="1"/>
      <c r="AY387" s="29">
        <f t="shared" ref="AY387:AY450" si="424">SUM(O$2:O$31)</f>
        <v>29700</v>
      </c>
      <c r="AZ387" s="31">
        <f t="shared" ref="AZ387:AZ450" si="425">SUMIF($B$2:$B$571,$B387,$M$2:$M$571)</f>
        <v>165251</v>
      </c>
      <c r="BA387" s="31">
        <f t="shared" ref="BA387" si="426">SUMIF($B$2:$B$571,$B387,$P$2:$P$571)</f>
        <v>8261</v>
      </c>
      <c r="BB387" s="30">
        <f t="shared" ref="BB387:BB450" si="427">BA387/AZ387</f>
        <v>4.9990620329075162E-2</v>
      </c>
    </row>
    <row r="388" spans="2:54" x14ac:dyDescent="0.5">
      <c r="B388" s="4">
        <v>2012</v>
      </c>
      <c r="C388" t="s">
        <v>102</v>
      </c>
      <c r="D388" t="s">
        <v>93</v>
      </c>
      <c r="E388">
        <v>3</v>
      </c>
      <c r="F388" t="s">
        <v>38</v>
      </c>
      <c r="G388" t="s">
        <v>38</v>
      </c>
      <c r="H388" t="s">
        <v>38</v>
      </c>
      <c r="I388" t="s">
        <v>38</v>
      </c>
      <c r="J388">
        <v>90</v>
      </c>
      <c r="K388">
        <v>72</v>
      </c>
      <c r="L388">
        <v>697</v>
      </c>
      <c r="M388" s="20">
        <v>5398</v>
      </c>
      <c r="N388" s="20">
        <v>1293</v>
      </c>
      <c r="O388" s="20">
        <f t="shared" si="414"/>
        <v>838</v>
      </c>
      <c r="P388" s="20">
        <v>250</v>
      </c>
      <c r="Q388" s="20">
        <v>30</v>
      </c>
      <c r="R388" s="20">
        <v>175</v>
      </c>
      <c r="S388" s="20">
        <v>571</v>
      </c>
      <c r="T388" s="20">
        <v>58</v>
      </c>
      <c r="U388" s="20">
        <f t="shared" si="415"/>
        <v>3476</v>
      </c>
      <c r="V388">
        <v>1323</v>
      </c>
      <c r="W388">
        <v>134</v>
      </c>
      <c r="X388">
        <v>44</v>
      </c>
      <c r="Y388">
        <v>42</v>
      </c>
      <c r="Z388">
        <v>577</v>
      </c>
      <c r="AA388">
        <v>518</v>
      </c>
      <c r="AB388">
        <v>3.19</v>
      </c>
      <c r="AC388">
        <v>7</v>
      </c>
      <c r="AD388">
        <v>15</v>
      </c>
      <c r="AE388">
        <v>50</v>
      </c>
      <c r="AF388" s="27">
        <f t="shared" ca="1" si="402"/>
        <v>6448</v>
      </c>
      <c r="AG388" s="27">
        <f t="shared" ca="1" si="416"/>
        <v>1384</v>
      </c>
      <c r="AH388" s="27">
        <f t="shared" ca="1" si="417"/>
        <v>982</v>
      </c>
      <c r="AI388" s="27">
        <f t="shared" ca="1" si="418"/>
        <v>221</v>
      </c>
      <c r="AJ388" s="27">
        <f t="shared" ca="1" si="419"/>
        <v>31</v>
      </c>
      <c r="AK388" s="27">
        <f t="shared" ca="1" si="420"/>
        <v>150</v>
      </c>
      <c r="AL388" s="27">
        <f t="shared" ca="1" si="421"/>
        <v>481</v>
      </c>
      <c r="AM388" s="27">
        <f t="shared" ca="1" si="422"/>
        <v>78</v>
      </c>
      <c r="AN388" s="27">
        <f t="shared" ca="1" si="423"/>
        <v>4505</v>
      </c>
      <c r="AO388">
        <v>4379</v>
      </c>
      <c r="AP388">
        <v>1233</v>
      </c>
      <c r="AQ388">
        <v>139</v>
      </c>
      <c r="AR388">
        <v>469</v>
      </c>
      <c r="AS388">
        <v>1383</v>
      </c>
      <c r="AT388">
        <v>114</v>
      </c>
      <c r="AU388">
        <v>155</v>
      </c>
      <c r="AV388">
        <v>0.98099999999999998</v>
      </c>
      <c r="AW388" s="1"/>
      <c r="AX388" s="1"/>
      <c r="AY388" s="29">
        <f t="shared" si="424"/>
        <v>29700</v>
      </c>
      <c r="AZ388" s="31">
        <f t="shared" si="425"/>
        <v>165251</v>
      </c>
      <c r="BA388" s="31">
        <f t="shared" ref="BA388" si="428">SUMIF($B$2:$B$571,$B388,$Q$2:$Q$571)</f>
        <v>927</v>
      </c>
      <c r="BB388" s="30">
        <f t="shared" si="427"/>
        <v>5.6096483531113276E-3</v>
      </c>
    </row>
    <row r="389" spans="2:54" x14ac:dyDescent="0.5">
      <c r="B389" s="4">
        <v>2012</v>
      </c>
      <c r="C389" t="s">
        <v>94</v>
      </c>
      <c r="D389" t="s">
        <v>95</v>
      </c>
      <c r="E389">
        <v>2</v>
      </c>
      <c r="F389" t="s">
        <v>38</v>
      </c>
      <c r="G389" t="s">
        <v>43</v>
      </c>
      <c r="H389" t="s">
        <v>38</v>
      </c>
      <c r="I389" t="s">
        <v>38</v>
      </c>
      <c r="J389">
        <v>93</v>
      </c>
      <c r="K389">
        <v>69</v>
      </c>
      <c r="L389">
        <v>808</v>
      </c>
      <c r="M389" s="20">
        <v>5590</v>
      </c>
      <c r="N389" s="20">
        <v>1526</v>
      </c>
      <c r="O389" s="20">
        <f t="shared" si="414"/>
        <v>991</v>
      </c>
      <c r="P389" s="20">
        <v>303</v>
      </c>
      <c r="Q389" s="20">
        <v>32</v>
      </c>
      <c r="R389" s="20">
        <v>200</v>
      </c>
      <c r="S389" s="20">
        <v>478</v>
      </c>
      <c r="T389" s="20">
        <v>57</v>
      </c>
      <c r="U389" s="20">
        <f t="shared" si="415"/>
        <v>3529</v>
      </c>
      <c r="V389">
        <v>1103</v>
      </c>
      <c r="W389">
        <v>91</v>
      </c>
      <c r="X389">
        <v>44</v>
      </c>
      <c r="Y389">
        <v>53</v>
      </c>
      <c r="Z389">
        <v>707</v>
      </c>
      <c r="AA389">
        <v>639</v>
      </c>
      <c r="AB389">
        <v>3.99</v>
      </c>
      <c r="AC389">
        <v>7</v>
      </c>
      <c r="AD389">
        <v>10</v>
      </c>
      <c r="AE389">
        <v>43</v>
      </c>
      <c r="AF389" s="27">
        <f t="shared" ca="1" si="402"/>
        <v>6281</v>
      </c>
      <c r="AG389" s="27">
        <f t="shared" ca="1" si="416"/>
        <v>1671</v>
      </c>
      <c r="AH389" s="27">
        <f t="shared" ca="1" si="417"/>
        <v>1100</v>
      </c>
      <c r="AI389" s="27">
        <f t="shared" ca="1" si="418"/>
        <v>308</v>
      </c>
      <c r="AJ389" s="27">
        <f t="shared" ca="1" si="419"/>
        <v>42</v>
      </c>
      <c r="AK389" s="27">
        <f t="shared" ca="1" si="420"/>
        <v>221</v>
      </c>
      <c r="AL389" s="27">
        <f t="shared" ca="1" si="421"/>
        <v>450</v>
      </c>
      <c r="AM389" s="27">
        <f t="shared" ca="1" si="422"/>
        <v>65</v>
      </c>
      <c r="AN389" s="27">
        <f t="shared" ca="1" si="423"/>
        <v>4095</v>
      </c>
      <c r="AO389">
        <v>4326</v>
      </c>
      <c r="AP389">
        <v>1378</v>
      </c>
      <c r="AQ389">
        <v>175</v>
      </c>
      <c r="AR389">
        <v>446</v>
      </c>
      <c r="AS389">
        <v>1286</v>
      </c>
      <c r="AT389">
        <v>85</v>
      </c>
      <c r="AU389">
        <v>136</v>
      </c>
      <c r="AV389">
        <v>0.98599999999999999</v>
      </c>
      <c r="AW389" s="1"/>
      <c r="AX389" s="1"/>
      <c r="AY389" s="29">
        <f t="shared" si="424"/>
        <v>29700</v>
      </c>
      <c r="AZ389" s="31">
        <f t="shared" si="425"/>
        <v>165251</v>
      </c>
      <c r="BA389" s="31">
        <f t="shared" ref="BA389" si="429">SUMIF($B$2:$B$571,$B389,$R$2:$R$571)</f>
        <v>4934</v>
      </c>
      <c r="BB389" s="30">
        <f t="shared" si="427"/>
        <v>2.9857610543960401E-2</v>
      </c>
    </row>
    <row r="390" spans="2:54" x14ac:dyDescent="0.5">
      <c r="B390" s="4">
        <v>2012</v>
      </c>
      <c r="C390" t="s">
        <v>96</v>
      </c>
      <c r="D390" t="s">
        <v>97</v>
      </c>
      <c r="E390">
        <v>4</v>
      </c>
      <c r="F390" t="s">
        <v>38</v>
      </c>
      <c r="G390" t="s">
        <v>38</v>
      </c>
      <c r="H390" t="s">
        <v>38</v>
      </c>
      <c r="I390" t="s">
        <v>38</v>
      </c>
      <c r="J390">
        <v>73</v>
      </c>
      <c r="K390">
        <v>89</v>
      </c>
      <c r="L390">
        <v>716</v>
      </c>
      <c r="M390" s="20">
        <v>5487</v>
      </c>
      <c r="N390" s="20">
        <v>1346</v>
      </c>
      <c r="O390" s="20">
        <f t="shared" si="414"/>
        <v>879</v>
      </c>
      <c r="P390" s="20">
        <v>247</v>
      </c>
      <c r="Q390" s="20">
        <v>22</v>
      </c>
      <c r="R390" s="20">
        <v>198</v>
      </c>
      <c r="S390" s="20">
        <v>473</v>
      </c>
      <c r="T390" s="20">
        <v>55</v>
      </c>
      <c r="U390" s="20">
        <f t="shared" si="415"/>
        <v>3613</v>
      </c>
      <c r="V390">
        <v>1251</v>
      </c>
      <c r="W390">
        <v>123</v>
      </c>
      <c r="X390">
        <v>41</v>
      </c>
      <c r="Y390">
        <v>45</v>
      </c>
      <c r="Z390">
        <v>784</v>
      </c>
      <c r="AA390">
        <v>745</v>
      </c>
      <c r="AB390">
        <v>4.6399999999999997</v>
      </c>
      <c r="AC390">
        <v>5</v>
      </c>
      <c r="AD390">
        <v>11</v>
      </c>
      <c r="AE390">
        <v>29</v>
      </c>
      <c r="AF390" s="27">
        <f t="shared" ca="1" si="402"/>
        <v>6086</v>
      </c>
      <c r="AG390" s="27">
        <f t="shared" ca="1" si="416"/>
        <v>1502</v>
      </c>
      <c r="AH390" s="27">
        <f t="shared" ca="1" si="417"/>
        <v>933</v>
      </c>
      <c r="AI390" s="27">
        <f t="shared" ca="1" si="418"/>
        <v>328</v>
      </c>
      <c r="AJ390" s="27">
        <f t="shared" ca="1" si="419"/>
        <v>48</v>
      </c>
      <c r="AK390" s="27">
        <f t="shared" ca="1" si="420"/>
        <v>193</v>
      </c>
      <c r="AL390" s="27">
        <f t="shared" ca="1" si="421"/>
        <v>473</v>
      </c>
      <c r="AM390" s="27">
        <f t="shared" ca="1" si="422"/>
        <v>35</v>
      </c>
      <c r="AN390" s="27">
        <f t="shared" ca="1" si="423"/>
        <v>4076</v>
      </c>
      <c r="AO390">
        <v>4331</v>
      </c>
      <c r="AP390">
        <v>1439</v>
      </c>
      <c r="AQ390">
        <v>204</v>
      </c>
      <c r="AR390">
        <v>574</v>
      </c>
      <c r="AS390">
        <v>1142</v>
      </c>
      <c r="AT390">
        <v>101</v>
      </c>
      <c r="AU390">
        <v>167</v>
      </c>
      <c r="AV390">
        <v>0.98399999999999999</v>
      </c>
      <c r="AW390" s="1"/>
      <c r="AX390" s="1"/>
      <c r="AY390" s="29">
        <f t="shared" si="424"/>
        <v>29700</v>
      </c>
      <c r="AZ390" s="31">
        <f t="shared" si="425"/>
        <v>165251</v>
      </c>
      <c r="BA390" s="31">
        <f t="shared" ref="BA390" si="430">SUMIF($B$2:$B$571,$B390,$S$2:$S$571)</f>
        <v>14709</v>
      </c>
      <c r="BB390" s="30">
        <f t="shared" si="427"/>
        <v>8.9010051376391064E-2</v>
      </c>
    </row>
    <row r="391" spans="2:54" x14ac:dyDescent="0.5">
      <c r="B391" s="4">
        <v>2012</v>
      </c>
      <c r="C391" t="s">
        <v>100</v>
      </c>
      <c r="D391" t="s">
        <v>101</v>
      </c>
      <c r="E391">
        <v>1</v>
      </c>
      <c r="F391" t="s">
        <v>43</v>
      </c>
      <c r="G391" t="s">
        <v>38</v>
      </c>
      <c r="H391" t="s">
        <v>38</v>
      </c>
      <c r="I391" t="s">
        <v>38</v>
      </c>
      <c r="J391">
        <v>98</v>
      </c>
      <c r="K391">
        <v>64</v>
      </c>
      <c r="L391">
        <v>731</v>
      </c>
      <c r="M391" s="20">
        <v>5615</v>
      </c>
      <c r="N391" s="20">
        <v>1468</v>
      </c>
      <c r="O391" s="20">
        <f t="shared" si="414"/>
        <v>948</v>
      </c>
      <c r="P391" s="20">
        <v>301</v>
      </c>
      <c r="Q391" s="20">
        <v>25</v>
      </c>
      <c r="R391" s="20">
        <v>194</v>
      </c>
      <c r="S391" s="20">
        <v>479</v>
      </c>
      <c r="T391" s="20">
        <v>41</v>
      </c>
      <c r="U391" s="20">
        <f t="shared" si="415"/>
        <v>3627</v>
      </c>
      <c r="V391">
        <v>1325</v>
      </c>
      <c r="W391">
        <v>105</v>
      </c>
      <c r="X391">
        <v>35</v>
      </c>
      <c r="Y391">
        <v>36</v>
      </c>
      <c r="Z391">
        <v>594</v>
      </c>
      <c r="AA391">
        <v>543</v>
      </c>
      <c r="AB391">
        <v>3.33</v>
      </c>
      <c r="AC391">
        <v>3</v>
      </c>
      <c r="AD391">
        <v>9</v>
      </c>
      <c r="AE391">
        <v>51</v>
      </c>
      <c r="AF391" s="27">
        <f t="shared" ca="1" si="402"/>
        <v>6438</v>
      </c>
      <c r="AG391" s="27">
        <f t="shared" ca="1" si="416"/>
        <v>1678</v>
      </c>
      <c r="AH391" s="27">
        <f t="shared" ca="1" si="417"/>
        <v>1145</v>
      </c>
      <c r="AI391" s="27">
        <f t="shared" ca="1" si="418"/>
        <v>306</v>
      </c>
      <c r="AJ391" s="27">
        <f t="shared" ca="1" si="419"/>
        <v>32</v>
      </c>
      <c r="AK391" s="27">
        <f t="shared" ca="1" si="420"/>
        <v>195</v>
      </c>
      <c r="AL391" s="27">
        <f t="shared" ca="1" si="421"/>
        <v>487</v>
      </c>
      <c r="AM391" s="27">
        <f t="shared" ca="1" si="422"/>
        <v>45</v>
      </c>
      <c r="AN391" s="27">
        <f t="shared" ca="1" si="423"/>
        <v>4228</v>
      </c>
      <c r="AO391">
        <v>4405</v>
      </c>
      <c r="AP391">
        <v>1296</v>
      </c>
      <c r="AQ391">
        <v>129</v>
      </c>
      <c r="AR391">
        <v>497</v>
      </c>
      <c r="AS391">
        <v>1325</v>
      </c>
      <c r="AT391">
        <v>94</v>
      </c>
      <c r="AU391">
        <v>134</v>
      </c>
      <c r="AV391">
        <v>0.98499999999999999</v>
      </c>
      <c r="AW391" s="1"/>
      <c r="AX391" s="1"/>
      <c r="AY391" s="29">
        <f t="shared" si="424"/>
        <v>29700</v>
      </c>
      <c r="AZ391" s="31">
        <f t="shared" si="425"/>
        <v>165251</v>
      </c>
      <c r="BA391" s="31">
        <f t="shared" ref="BA391" si="431">SUMIF($B$2:$B$571,$B391,$T$2:$T$571)</f>
        <v>1494</v>
      </c>
      <c r="BB391" s="30">
        <f t="shared" si="427"/>
        <v>9.0407924914221397E-3</v>
      </c>
    </row>
    <row r="392" spans="2:54" x14ac:dyDescent="0.5">
      <c r="B392" s="4">
        <v>2013</v>
      </c>
      <c r="C392" t="s">
        <v>39</v>
      </c>
      <c r="D392" t="s">
        <v>40</v>
      </c>
      <c r="E392">
        <v>2</v>
      </c>
      <c r="F392" t="s">
        <v>38</v>
      </c>
      <c r="G392" t="s">
        <v>38</v>
      </c>
      <c r="H392" t="s">
        <v>38</v>
      </c>
      <c r="I392" t="s">
        <v>38</v>
      </c>
      <c r="J392">
        <v>81</v>
      </c>
      <c r="K392">
        <v>81</v>
      </c>
      <c r="L392">
        <v>685</v>
      </c>
      <c r="M392" s="20">
        <v>5676</v>
      </c>
      <c r="N392" s="20">
        <v>1468</v>
      </c>
      <c r="O392" s="20">
        <f t="shared" si="414"/>
        <v>1005</v>
      </c>
      <c r="P392" s="20">
        <v>302</v>
      </c>
      <c r="Q392" s="20">
        <v>31</v>
      </c>
      <c r="R392" s="20">
        <v>130</v>
      </c>
      <c r="S392" s="20">
        <v>519</v>
      </c>
      <c r="T392" s="20">
        <v>43</v>
      </c>
      <c r="U392" s="20">
        <f t="shared" si="415"/>
        <v>3646</v>
      </c>
      <c r="V392">
        <v>1142</v>
      </c>
      <c r="W392">
        <v>62</v>
      </c>
      <c r="X392">
        <v>41</v>
      </c>
      <c r="Y392">
        <v>43</v>
      </c>
      <c r="Z392">
        <v>695</v>
      </c>
      <c r="AA392">
        <v>651</v>
      </c>
      <c r="AB392">
        <v>3.92</v>
      </c>
      <c r="AC392">
        <v>6</v>
      </c>
      <c r="AD392">
        <v>7</v>
      </c>
      <c r="AE392">
        <v>38</v>
      </c>
      <c r="AF392" s="27">
        <f t="shared" ca="1" si="402"/>
        <v>6273</v>
      </c>
      <c r="AG392" s="27">
        <f t="shared" ca="1" si="416"/>
        <v>1406</v>
      </c>
      <c r="AH392" s="27">
        <f t="shared" ca="1" si="417"/>
        <v>830</v>
      </c>
      <c r="AI392" s="27">
        <f t="shared" ca="1" si="418"/>
        <v>373</v>
      </c>
      <c r="AJ392" s="27">
        <f t="shared" ca="1" si="419"/>
        <v>30</v>
      </c>
      <c r="AK392" s="27">
        <f t="shared" ca="1" si="420"/>
        <v>173</v>
      </c>
      <c r="AL392" s="27">
        <f t="shared" ca="1" si="421"/>
        <v>461</v>
      </c>
      <c r="AM392" s="27">
        <f t="shared" ca="1" si="422"/>
        <v>54</v>
      </c>
      <c r="AN392" s="27">
        <f t="shared" ca="1" si="423"/>
        <v>4352</v>
      </c>
      <c r="AO392">
        <v>4485</v>
      </c>
      <c r="AP392">
        <v>1460</v>
      </c>
      <c r="AQ392">
        <v>176</v>
      </c>
      <c r="AR392">
        <v>485</v>
      </c>
      <c r="AS392">
        <v>1218</v>
      </c>
      <c r="AT392">
        <v>75</v>
      </c>
      <c r="AU392">
        <v>135</v>
      </c>
      <c r="AV392">
        <v>0.98799999999999999</v>
      </c>
      <c r="AW392" s="1"/>
      <c r="AX392" s="1"/>
      <c r="AY392" s="29">
        <f t="shared" si="424"/>
        <v>29700</v>
      </c>
      <c r="AZ392" s="31">
        <f t="shared" si="425"/>
        <v>166070</v>
      </c>
      <c r="BA392" s="31">
        <f t="shared" ref="BA392" si="432">SUMIF($B$2:$B$571,$B392,$U$2:$U$571)</f>
        <v>107801</v>
      </c>
      <c r="BB392" s="30">
        <f t="shared" si="427"/>
        <v>0.64912988498825797</v>
      </c>
    </row>
    <row r="393" spans="2:54" x14ac:dyDescent="0.5">
      <c r="B393" s="4">
        <v>2013</v>
      </c>
      <c r="C393" t="s">
        <v>41</v>
      </c>
      <c r="D393" t="s">
        <v>42</v>
      </c>
      <c r="E393">
        <v>1</v>
      </c>
      <c r="F393" t="s">
        <v>43</v>
      </c>
      <c r="G393" t="s">
        <v>38</v>
      </c>
      <c r="H393" t="s">
        <v>38</v>
      </c>
      <c r="I393" t="s">
        <v>38</v>
      </c>
      <c r="J393">
        <v>96</v>
      </c>
      <c r="K393">
        <v>66</v>
      </c>
      <c r="L393">
        <v>688</v>
      </c>
      <c r="M393" s="20">
        <v>5441</v>
      </c>
      <c r="N393" s="20">
        <v>1354</v>
      </c>
      <c r="O393" s="20">
        <f t="shared" si="414"/>
        <v>905</v>
      </c>
      <c r="P393" s="20">
        <v>247</v>
      </c>
      <c r="Q393" s="20">
        <v>21</v>
      </c>
      <c r="R393" s="20">
        <v>181</v>
      </c>
      <c r="S393" s="20">
        <v>542</v>
      </c>
      <c r="T393" s="20">
        <v>55</v>
      </c>
      <c r="U393" s="20">
        <f t="shared" si="415"/>
        <v>3490</v>
      </c>
      <c r="V393">
        <v>1384</v>
      </c>
      <c r="W393">
        <v>64</v>
      </c>
      <c r="X393">
        <v>31</v>
      </c>
      <c r="Y393">
        <v>35</v>
      </c>
      <c r="Z393">
        <v>548</v>
      </c>
      <c r="AA393">
        <v>512</v>
      </c>
      <c r="AB393">
        <v>3.18</v>
      </c>
      <c r="AC393">
        <v>1</v>
      </c>
      <c r="AD393">
        <v>12</v>
      </c>
      <c r="AE393">
        <v>53</v>
      </c>
      <c r="AF393" s="27">
        <f t="shared" ca="1" si="402"/>
        <v>6267</v>
      </c>
      <c r="AG393" s="27">
        <f t="shared" ca="1" si="416"/>
        <v>1522</v>
      </c>
      <c r="AH393" s="27">
        <f t="shared" ca="1" si="417"/>
        <v>1056</v>
      </c>
      <c r="AI393" s="27">
        <f t="shared" ca="1" si="418"/>
        <v>260</v>
      </c>
      <c r="AJ393" s="27">
        <f t="shared" ca="1" si="419"/>
        <v>43</v>
      </c>
      <c r="AK393" s="27">
        <f t="shared" ca="1" si="420"/>
        <v>163</v>
      </c>
      <c r="AL393" s="27">
        <f t="shared" ca="1" si="421"/>
        <v>403</v>
      </c>
      <c r="AM393" s="27">
        <f t="shared" ca="1" si="422"/>
        <v>62</v>
      </c>
      <c r="AN393" s="27">
        <f t="shared" ca="1" si="423"/>
        <v>4280</v>
      </c>
      <c r="AO393">
        <v>4351</v>
      </c>
      <c r="AP393">
        <v>1326</v>
      </c>
      <c r="AQ393">
        <v>127</v>
      </c>
      <c r="AR393">
        <v>409</v>
      </c>
      <c r="AS393">
        <v>1232</v>
      </c>
      <c r="AT393">
        <v>85</v>
      </c>
      <c r="AU393">
        <v>141</v>
      </c>
      <c r="AV393">
        <v>0.98599999999999999</v>
      </c>
      <c r="AW393" s="1"/>
      <c r="AX393" s="1"/>
      <c r="AY393" s="29">
        <f t="shared" si="424"/>
        <v>29700</v>
      </c>
      <c r="AZ393" s="31">
        <f t="shared" si="425"/>
        <v>166070</v>
      </c>
      <c r="BA393" s="31"/>
      <c r="BB393" s="30">
        <f t="shared" si="427"/>
        <v>0</v>
      </c>
    </row>
    <row r="394" spans="2:54" x14ac:dyDescent="0.5">
      <c r="B394" s="4">
        <v>2013</v>
      </c>
      <c r="C394" t="s">
        <v>44</v>
      </c>
      <c r="D394" t="s">
        <v>45</v>
      </c>
      <c r="E394">
        <v>3</v>
      </c>
      <c r="F394" t="s">
        <v>38</v>
      </c>
      <c r="G394" t="s">
        <v>38</v>
      </c>
      <c r="H394" t="s">
        <v>38</v>
      </c>
      <c r="I394" t="s">
        <v>38</v>
      </c>
      <c r="J394">
        <v>85</v>
      </c>
      <c r="K394">
        <v>77</v>
      </c>
      <c r="L394">
        <v>745</v>
      </c>
      <c r="M394" s="20">
        <v>5620</v>
      </c>
      <c r="N394" s="20">
        <v>1460</v>
      </c>
      <c r="O394" s="20">
        <f t="shared" si="414"/>
        <v>936</v>
      </c>
      <c r="P394" s="20">
        <v>298</v>
      </c>
      <c r="Q394" s="20">
        <v>14</v>
      </c>
      <c r="R394" s="20">
        <v>212</v>
      </c>
      <c r="S394" s="20">
        <v>416</v>
      </c>
      <c r="T394" s="20">
        <v>36</v>
      </c>
      <c r="U394" s="20">
        <f t="shared" si="415"/>
        <v>3708</v>
      </c>
      <c r="V394">
        <v>1125</v>
      </c>
      <c r="W394">
        <v>79</v>
      </c>
      <c r="X394">
        <v>29</v>
      </c>
      <c r="Y394">
        <v>45</v>
      </c>
      <c r="Z394">
        <v>709</v>
      </c>
      <c r="AA394">
        <v>678</v>
      </c>
      <c r="AB394">
        <v>4.2</v>
      </c>
      <c r="AC394">
        <v>2</v>
      </c>
      <c r="AD394">
        <v>6</v>
      </c>
      <c r="AE394">
        <v>57</v>
      </c>
      <c r="AF394" s="27">
        <f t="shared" ca="1" si="402"/>
        <v>6133</v>
      </c>
      <c r="AG394" s="27">
        <f t="shared" ca="1" si="416"/>
        <v>1302</v>
      </c>
      <c r="AH394" s="27">
        <f t="shared" ca="1" si="417"/>
        <v>796</v>
      </c>
      <c r="AI394" s="27">
        <f t="shared" ca="1" si="418"/>
        <v>281</v>
      </c>
      <c r="AJ394" s="27">
        <f t="shared" ca="1" si="419"/>
        <v>27</v>
      </c>
      <c r="AK394" s="27">
        <f t="shared" ca="1" si="420"/>
        <v>198</v>
      </c>
      <c r="AL394" s="27">
        <f t="shared" ca="1" si="421"/>
        <v>429</v>
      </c>
      <c r="AM394" s="27">
        <f t="shared" ca="1" si="422"/>
        <v>90</v>
      </c>
      <c r="AN394" s="27">
        <f t="shared" ca="1" si="423"/>
        <v>4312</v>
      </c>
      <c r="AO394">
        <v>4359</v>
      </c>
      <c r="AP394">
        <v>1438</v>
      </c>
      <c r="AQ394">
        <v>202</v>
      </c>
      <c r="AR394">
        <v>473</v>
      </c>
      <c r="AS394">
        <v>1169</v>
      </c>
      <c r="AT394">
        <v>54</v>
      </c>
      <c r="AU394">
        <v>165</v>
      </c>
      <c r="AV394">
        <v>0.99099999999999999</v>
      </c>
      <c r="AW394" s="1"/>
      <c r="AX394" s="1"/>
      <c r="AY394" s="29">
        <f t="shared" si="424"/>
        <v>29700</v>
      </c>
      <c r="AZ394" s="31">
        <f t="shared" si="425"/>
        <v>166070</v>
      </c>
      <c r="BA394" s="31">
        <f t="shared" ref="BA394" si="433">SUMIF($B$2:$B$571,$B394,$O$2:$O$571)</f>
        <v>28438</v>
      </c>
      <c r="BB394" s="30">
        <f t="shared" si="427"/>
        <v>0.17124104293370265</v>
      </c>
    </row>
    <row r="395" spans="2:54" x14ac:dyDescent="0.5">
      <c r="B395" s="4">
        <v>2013</v>
      </c>
      <c r="C395" t="s">
        <v>46</v>
      </c>
      <c r="D395" t="s">
        <v>47</v>
      </c>
      <c r="E395">
        <v>1</v>
      </c>
      <c r="F395" t="s">
        <v>43</v>
      </c>
      <c r="G395" t="s">
        <v>38</v>
      </c>
      <c r="H395" t="s">
        <v>43</v>
      </c>
      <c r="I395" t="s">
        <v>43</v>
      </c>
      <c r="J395">
        <v>97</v>
      </c>
      <c r="K395">
        <v>65</v>
      </c>
      <c r="L395">
        <v>853</v>
      </c>
      <c r="M395" s="20">
        <v>5651</v>
      </c>
      <c r="N395" s="20">
        <v>1566</v>
      </c>
      <c r="O395" s="20">
        <f t="shared" si="414"/>
        <v>996</v>
      </c>
      <c r="P395" s="20">
        <v>363</v>
      </c>
      <c r="Q395" s="20">
        <v>29</v>
      </c>
      <c r="R395" s="20">
        <v>178</v>
      </c>
      <c r="S395" s="20">
        <v>581</v>
      </c>
      <c r="T395" s="20">
        <v>72</v>
      </c>
      <c r="U395" s="20">
        <f t="shared" si="415"/>
        <v>3432</v>
      </c>
      <c r="V395">
        <v>1308</v>
      </c>
      <c r="W395">
        <v>123</v>
      </c>
      <c r="X395">
        <v>19</v>
      </c>
      <c r="Y395">
        <v>50</v>
      </c>
      <c r="Z395">
        <v>656</v>
      </c>
      <c r="AA395">
        <v>613</v>
      </c>
      <c r="AB395">
        <v>3.79</v>
      </c>
      <c r="AC395">
        <v>5</v>
      </c>
      <c r="AD395">
        <v>8</v>
      </c>
      <c r="AE395">
        <v>33</v>
      </c>
      <c r="AF395" s="27">
        <f t="shared" ca="1" si="402"/>
        <v>6157</v>
      </c>
      <c r="AG395" s="27">
        <f t="shared" ca="1" si="416"/>
        <v>1402</v>
      </c>
      <c r="AH395" s="27">
        <f t="shared" ca="1" si="417"/>
        <v>1010</v>
      </c>
      <c r="AI395" s="27">
        <f t="shared" ca="1" si="418"/>
        <v>230</v>
      </c>
      <c r="AJ395" s="27">
        <f t="shared" ca="1" si="419"/>
        <v>29</v>
      </c>
      <c r="AK395" s="27">
        <f t="shared" ca="1" si="420"/>
        <v>133</v>
      </c>
      <c r="AL395" s="27">
        <f t="shared" ca="1" si="421"/>
        <v>435</v>
      </c>
      <c r="AM395" s="27">
        <f t="shared" ca="1" si="422"/>
        <v>43</v>
      </c>
      <c r="AN395" s="27">
        <f t="shared" ca="1" si="423"/>
        <v>4277</v>
      </c>
      <c r="AO395">
        <v>4362</v>
      </c>
      <c r="AP395">
        <v>1366</v>
      </c>
      <c r="AQ395">
        <v>156</v>
      </c>
      <c r="AR395">
        <v>524</v>
      </c>
      <c r="AS395">
        <v>1294</v>
      </c>
      <c r="AT395">
        <v>80</v>
      </c>
      <c r="AU395">
        <v>142</v>
      </c>
      <c r="AV395">
        <v>0.98699999999999999</v>
      </c>
      <c r="AW395" s="1"/>
      <c r="AX395" s="1"/>
      <c r="AY395" s="29">
        <f t="shared" si="424"/>
        <v>29700</v>
      </c>
      <c r="AZ395" s="31">
        <f t="shared" si="425"/>
        <v>166070</v>
      </c>
      <c r="BA395" s="31">
        <f t="shared" ref="BA395" si="434">SUMIF($B$2:$B$571,$B395,$P$2:$P$571)</f>
        <v>8222</v>
      </c>
      <c r="BB395" s="30">
        <f t="shared" si="427"/>
        <v>4.9509243090263139E-2</v>
      </c>
    </row>
    <row r="396" spans="2:54" x14ac:dyDescent="0.5">
      <c r="B396" s="4">
        <v>2013</v>
      </c>
      <c r="C396" t="s">
        <v>48</v>
      </c>
      <c r="D396" t="s">
        <v>49</v>
      </c>
      <c r="E396">
        <v>5</v>
      </c>
      <c r="F396" t="s">
        <v>38</v>
      </c>
      <c r="G396" t="s">
        <v>38</v>
      </c>
      <c r="H396" t="s">
        <v>38</v>
      </c>
      <c r="I396" t="s">
        <v>38</v>
      </c>
      <c r="J396">
        <v>63</v>
      </c>
      <c r="K396">
        <v>99</v>
      </c>
      <c r="L396">
        <v>598</v>
      </c>
      <c r="M396" s="20">
        <v>5563</v>
      </c>
      <c r="N396" s="20">
        <v>1385</v>
      </c>
      <c r="O396" s="20">
        <f t="shared" si="414"/>
        <v>981</v>
      </c>
      <c r="P396" s="20">
        <v>237</v>
      </c>
      <c r="Q396" s="20">
        <v>19</v>
      </c>
      <c r="R396" s="20">
        <v>148</v>
      </c>
      <c r="S396" s="20">
        <v>411</v>
      </c>
      <c r="T396" s="20">
        <v>34</v>
      </c>
      <c r="U396" s="20">
        <f t="shared" si="415"/>
        <v>3733</v>
      </c>
      <c r="V396">
        <v>1207</v>
      </c>
      <c r="W396">
        <v>105</v>
      </c>
      <c r="X396">
        <v>42</v>
      </c>
      <c r="Y396">
        <v>48</v>
      </c>
      <c r="Z396">
        <v>723</v>
      </c>
      <c r="AA396">
        <v>643</v>
      </c>
      <c r="AB396">
        <v>3.98</v>
      </c>
      <c r="AC396">
        <v>5</v>
      </c>
      <c r="AD396">
        <v>5</v>
      </c>
      <c r="AE396">
        <v>40</v>
      </c>
      <c r="AF396" s="27">
        <f t="shared" ca="1" si="402"/>
        <v>6066</v>
      </c>
      <c r="AG396" s="27">
        <f t="shared" ca="1" si="416"/>
        <v>1380</v>
      </c>
      <c r="AH396" s="27">
        <f t="shared" ca="1" si="417"/>
        <v>799</v>
      </c>
      <c r="AI396" s="27">
        <f t="shared" ca="1" si="418"/>
        <v>347</v>
      </c>
      <c r="AJ396" s="27">
        <f t="shared" ca="1" si="419"/>
        <v>29</v>
      </c>
      <c r="AK396" s="27">
        <f t="shared" ca="1" si="420"/>
        <v>205</v>
      </c>
      <c r="AL396" s="27">
        <f t="shared" ca="1" si="421"/>
        <v>455</v>
      </c>
      <c r="AM396" s="27">
        <f t="shared" ca="1" si="422"/>
        <v>59</v>
      </c>
      <c r="AN396" s="27">
        <f t="shared" ca="1" si="423"/>
        <v>4172</v>
      </c>
      <c r="AO396">
        <v>4365</v>
      </c>
      <c r="AP396">
        <v>1424</v>
      </c>
      <c r="AQ396">
        <v>182</v>
      </c>
      <c r="AR396">
        <v>509</v>
      </c>
      <c r="AS396">
        <v>1249</v>
      </c>
      <c r="AT396">
        <v>121</v>
      </c>
      <c r="AU396">
        <v>155</v>
      </c>
      <c r="AV396">
        <v>0.98</v>
      </c>
      <c r="AW396" s="1"/>
      <c r="AX396" s="1"/>
      <c r="AY396" s="29">
        <f t="shared" si="424"/>
        <v>29700</v>
      </c>
      <c r="AZ396" s="31">
        <f t="shared" si="425"/>
        <v>166070</v>
      </c>
      <c r="BA396" s="31">
        <f t="shared" ref="BA396" si="435">SUMIF($B$2:$B$571,$B396,$Q$2:$Q$571)</f>
        <v>772</v>
      </c>
      <c r="BB396" s="30">
        <f t="shared" si="427"/>
        <v>4.6486421388571087E-3</v>
      </c>
    </row>
    <row r="397" spans="2:54" x14ac:dyDescent="0.5">
      <c r="B397" s="4">
        <v>2013</v>
      </c>
      <c r="C397" t="s">
        <v>50</v>
      </c>
      <c r="D397" t="s">
        <v>51</v>
      </c>
      <c r="E397">
        <v>5</v>
      </c>
      <c r="F397" t="s">
        <v>38</v>
      </c>
      <c r="G397" t="s">
        <v>38</v>
      </c>
      <c r="H397" t="s">
        <v>38</v>
      </c>
      <c r="I397" t="s">
        <v>38</v>
      </c>
      <c r="J397">
        <v>66</v>
      </c>
      <c r="K397">
        <v>96</v>
      </c>
      <c r="L397">
        <v>602</v>
      </c>
      <c r="M397" s="20">
        <v>5498</v>
      </c>
      <c r="N397" s="20">
        <v>1307</v>
      </c>
      <c r="O397" s="20">
        <f t="shared" si="414"/>
        <v>820</v>
      </c>
      <c r="P397" s="20">
        <v>297</v>
      </c>
      <c r="Q397" s="20">
        <v>18</v>
      </c>
      <c r="R397" s="20">
        <v>172</v>
      </c>
      <c r="S397" s="20">
        <v>439</v>
      </c>
      <c r="T397" s="20">
        <v>67</v>
      </c>
      <c r="U397" s="20">
        <f t="shared" si="415"/>
        <v>3685</v>
      </c>
      <c r="V397">
        <v>1230</v>
      </c>
      <c r="W397">
        <v>63</v>
      </c>
      <c r="X397">
        <v>32</v>
      </c>
      <c r="Y397">
        <v>30</v>
      </c>
      <c r="Z397">
        <v>689</v>
      </c>
      <c r="AA397">
        <v>643</v>
      </c>
      <c r="AB397">
        <v>4</v>
      </c>
      <c r="AC397">
        <v>3</v>
      </c>
      <c r="AD397">
        <v>6</v>
      </c>
      <c r="AE397">
        <v>39</v>
      </c>
      <c r="AF397" s="27">
        <f t="shared" ca="1" si="402"/>
        <v>6268</v>
      </c>
      <c r="AG397" s="27">
        <f t="shared" ca="1" si="416"/>
        <v>1441</v>
      </c>
      <c r="AH397" s="27">
        <f t="shared" ca="1" si="417"/>
        <v>1010</v>
      </c>
      <c r="AI397" s="27">
        <f t="shared" ca="1" si="418"/>
        <v>233</v>
      </c>
      <c r="AJ397" s="27">
        <f t="shared" ca="1" si="419"/>
        <v>50</v>
      </c>
      <c r="AK397" s="27">
        <f t="shared" ca="1" si="420"/>
        <v>148</v>
      </c>
      <c r="AL397" s="27">
        <f t="shared" ca="1" si="421"/>
        <v>677</v>
      </c>
      <c r="AM397" s="27">
        <f t="shared" ca="1" si="422"/>
        <v>45</v>
      </c>
      <c r="AN397" s="27">
        <f t="shared" ca="1" si="423"/>
        <v>4105</v>
      </c>
      <c r="AO397">
        <v>4344</v>
      </c>
      <c r="AP397">
        <v>1332</v>
      </c>
      <c r="AQ397">
        <v>160</v>
      </c>
      <c r="AR397">
        <v>540</v>
      </c>
      <c r="AS397">
        <v>1184</v>
      </c>
      <c r="AT397">
        <v>100</v>
      </c>
      <c r="AU397">
        <v>129</v>
      </c>
      <c r="AV397">
        <v>0.98299999999999998</v>
      </c>
      <c r="AW397" s="1"/>
      <c r="AX397" s="1"/>
      <c r="AY397" s="29">
        <f t="shared" si="424"/>
        <v>29700</v>
      </c>
      <c r="AZ397" s="31">
        <f t="shared" si="425"/>
        <v>166070</v>
      </c>
      <c r="BA397" s="31">
        <f t="shared" ref="BA397" si="436">SUMIF($B$2:$B$571,$B397,$R$2:$R$571)</f>
        <v>4661</v>
      </c>
      <c r="BB397" s="30">
        <f t="shared" si="427"/>
        <v>2.8066477991208528E-2</v>
      </c>
    </row>
    <row r="398" spans="2:54" x14ac:dyDescent="0.5">
      <c r="B398" s="4">
        <v>2013</v>
      </c>
      <c r="C398" t="s">
        <v>52</v>
      </c>
      <c r="D398" t="s">
        <v>53</v>
      </c>
      <c r="E398">
        <v>3</v>
      </c>
      <c r="F398" t="s">
        <v>38</v>
      </c>
      <c r="G398" t="s">
        <v>43</v>
      </c>
      <c r="H398" t="s">
        <v>38</v>
      </c>
      <c r="I398" t="s">
        <v>38</v>
      </c>
      <c r="J398">
        <v>90</v>
      </c>
      <c r="K398">
        <v>72</v>
      </c>
      <c r="L398">
        <v>698</v>
      </c>
      <c r="M398" s="20">
        <v>5499</v>
      </c>
      <c r="N398" s="20">
        <v>1370</v>
      </c>
      <c r="O398" s="20">
        <f t="shared" si="414"/>
        <v>921</v>
      </c>
      <c r="P398" s="20">
        <v>274</v>
      </c>
      <c r="Q398" s="20">
        <v>20</v>
      </c>
      <c r="R398" s="20">
        <v>155</v>
      </c>
      <c r="S398" s="20">
        <v>585</v>
      </c>
      <c r="T398" s="20">
        <v>76</v>
      </c>
      <c r="U398" s="20">
        <f t="shared" si="415"/>
        <v>3468</v>
      </c>
      <c r="V398">
        <v>1245</v>
      </c>
      <c r="W398">
        <v>67</v>
      </c>
      <c r="X398">
        <v>35</v>
      </c>
      <c r="Y398">
        <v>46</v>
      </c>
      <c r="Z398">
        <v>589</v>
      </c>
      <c r="AA398">
        <v>554</v>
      </c>
      <c r="AB398">
        <v>3.38</v>
      </c>
      <c r="AC398">
        <v>5</v>
      </c>
      <c r="AD398">
        <v>17</v>
      </c>
      <c r="AE398">
        <v>43</v>
      </c>
      <c r="AF398" s="27">
        <f t="shared" ca="1" si="402"/>
        <v>6463</v>
      </c>
      <c r="AG398" s="27">
        <f t="shared" ca="1" si="416"/>
        <v>1697</v>
      </c>
      <c r="AH398" s="27">
        <f t="shared" ca="1" si="417"/>
        <v>1088</v>
      </c>
      <c r="AI398" s="27">
        <f t="shared" ca="1" si="418"/>
        <v>397</v>
      </c>
      <c r="AJ398" s="27">
        <f t="shared" ca="1" si="419"/>
        <v>30</v>
      </c>
      <c r="AK398" s="27">
        <f t="shared" ca="1" si="420"/>
        <v>182</v>
      </c>
      <c r="AL398" s="27">
        <f t="shared" ca="1" si="421"/>
        <v>620</v>
      </c>
      <c r="AM398" s="27">
        <f t="shared" ca="1" si="422"/>
        <v>75</v>
      </c>
      <c r="AN398" s="27">
        <f t="shared" ca="1" si="423"/>
        <v>4071</v>
      </c>
      <c r="AO398">
        <v>4421</v>
      </c>
      <c r="AP398">
        <v>1294</v>
      </c>
      <c r="AQ398">
        <v>170</v>
      </c>
      <c r="AR398">
        <v>435</v>
      </c>
      <c r="AS398">
        <v>1296</v>
      </c>
      <c r="AT398">
        <v>76</v>
      </c>
      <c r="AU398">
        <v>131</v>
      </c>
      <c r="AV398">
        <v>0.98799999999999999</v>
      </c>
      <c r="AW398" s="1"/>
      <c r="AX398" s="1"/>
      <c r="AY398" s="29">
        <f t="shared" si="424"/>
        <v>29700</v>
      </c>
      <c r="AZ398" s="31">
        <f t="shared" si="425"/>
        <v>166070</v>
      </c>
      <c r="BA398" s="31">
        <f t="shared" ref="BA398" si="437">SUMIF($B$2:$B$571,$B398,$S$2:$S$571)</f>
        <v>14640</v>
      </c>
      <c r="BB398" s="30">
        <f t="shared" si="427"/>
        <v>8.8155597037393868E-2</v>
      </c>
    </row>
    <row r="399" spans="2:54" x14ac:dyDescent="0.5">
      <c r="B399" s="4">
        <v>2013</v>
      </c>
      <c r="C399" t="s">
        <v>54</v>
      </c>
      <c r="D399" t="s">
        <v>55</v>
      </c>
      <c r="E399">
        <v>2</v>
      </c>
      <c r="F399" t="s">
        <v>38</v>
      </c>
      <c r="G399" t="s">
        <v>43</v>
      </c>
      <c r="H399" t="s">
        <v>38</v>
      </c>
      <c r="I399" t="s">
        <v>38</v>
      </c>
      <c r="J399">
        <v>92</v>
      </c>
      <c r="K399">
        <v>70</v>
      </c>
      <c r="L399">
        <v>745</v>
      </c>
      <c r="M399" s="20">
        <v>5465</v>
      </c>
      <c r="N399" s="20">
        <v>1391</v>
      </c>
      <c r="O399" s="20">
        <f t="shared" si="414"/>
        <v>907</v>
      </c>
      <c r="P399" s="20">
        <v>290</v>
      </c>
      <c r="Q399" s="20">
        <v>23</v>
      </c>
      <c r="R399" s="20">
        <v>171</v>
      </c>
      <c r="S399" s="20">
        <v>562</v>
      </c>
      <c r="T399" s="20">
        <v>51</v>
      </c>
      <c r="U399" s="20">
        <f t="shared" si="415"/>
        <v>3461</v>
      </c>
      <c r="V399">
        <v>1283</v>
      </c>
      <c r="W399">
        <v>117</v>
      </c>
      <c r="X399">
        <v>36</v>
      </c>
      <c r="Y399">
        <v>56</v>
      </c>
      <c r="Z399">
        <v>662</v>
      </c>
      <c r="AA399">
        <v>611</v>
      </c>
      <c r="AB399">
        <v>3.82</v>
      </c>
      <c r="AC399">
        <v>3</v>
      </c>
      <c r="AD399">
        <v>16</v>
      </c>
      <c r="AE399">
        <v>38</v>
      </c>
      <c r="AF399" s="27">
        <f t="shared" ca="1" si="402"/>
        <v>6276</v>
      </c>
      <c r="AG399" s="27">
        <f t="shared" ca="1" si="416"/>
        <v>1577</v>
      </c>
      <c r="AH399" s="27">
        <f t="shared" ca="1" si="417"/>
        <v>1022</v>
      </c>
      <c r="AI399" s="27">
        <f t="shared" ca="1" si="418"/>
        <v>308</v>
      </c>
      <c r="AJ399" s="27">
        <f t="shared" ca="1" si="419"/>
        <v>36</v>
      </c>
      <c r="AK399" s="27">
        <f t="shared" ca="1" si="420"/>
        <v>211</v>
      </c>
      <c r="AL399" s="27">
        <f t="shared" ca="1" si="421"/>
        <v>515</v>
      </c>
      <c r="AM399" s="27">
        <f t="shared" ca="1" si="422"/>
        <v>78</v>
      </c>
      <c r="AN399" s="27">
        <f t="shared" ca="1" si="423"/>
        <v>4106</v>
      </c>
      <c r="AO399">
        <v>4324</v>
      </c>
      <c r="AP399">
        <v>1359</v>
      </c>
      <c r="AQ399">
        <v>147</v>
      </c>
      <c r="AR399">
        <v>554</v>
      </c>
      <c r="AS399">
        <v>1379</v>
      </c>
      <c r="AT399">
        <v>98</v>
      </c>
      <c r="AU399">
        <v>135</v>
      </c>
      <c r="AV399">
        <v>0.98299999999999998</v>
      </c>
      <c r="AW399" s="1"/>
      <c r="AX399" s="1"/>
      <c r="AY399" s="29">
        <f t="shared" si="424"/>
        <v>29700</v>
      </c>
      <c r="AZ399" s="31">
        <f t="shared" si="425"/>
        <v>166070</v>
      </c>
      <c r="BA399" s="31">
        <f t="shared" ref="BA399" si="438">SUMIF($B$2:$B$571,$B399,$T$2:$T$571)</f>
        <v>1536</v>
      </c>
      <c r="BB399" s="30">
        <f t="shared" si="427"/>
        <v>9.2491118203167338E-3</v>
      </c>
    </row>
    <row r="400" spans="2:54" x14ac:dyDescent="0.5">
      <c r="B400" s="4">
        <v>2013</v>
      </c>
      <c r="C400" t="s">
        <v>56</v>
      </c>
      <c r="D400" t="s">
        <v>57</v>
      </c>
      <c r="E400">
        <v>5</v>
      </c>
      <c r="F400" t="s">
        <v>38</v>
      </c>
      <c r="G400" t="s">
        <v>38</v>
      </c>
      <c r="H400" t="s">
        <v>38</v>
      </c>
      <c r="I400" t="s">
        <v>38</v>
      </c>
      <c r="J400">
        <v>74</v>
      </c>
      <c r="K400">
        <v>88</v>
      </c>
      <c r="L400">
        <v>706</v>
      </c>
      <c r="M400" s="20">
        <v>5599</v>
      </c>
      <c r="N400" s="20">
        <v>1511</v>
      </c>
      <c r="O400" s="20">
        <f t="shared" si="414"/>
        <v>1033</v>
      </c>
      <c r="P400" s="20">
        <v>283</v>
      </c>
      <c r="Q400" s="20">
        <v>36</v>
      </c>
      <c r="R400" s="20">
        <v>159</v>
      </c>
      <c r="S400" s="20">
        <v>427</v>
      </c>
      <c r="T400" s="20">
        <v>26</v>
      </c>
      <c r="U400" s="20">
        <f t="shared" si="415"/>
        <v>3635</v>
      </c>
      <c r="V400">
        <v>1204</v>
      </c>
      <c r="W400">
        <v>112</v>
      </c>
      <c r="X400">
        <v>32</v>
      </c>
      <c r="Y400">
        <v>35</v>
      </c>
      <c r="Z400">
        <v>760</v>
      </c>
      <c r="AA400">
        <v>708</v>
      </c>
      <c r="AB400">
        <v>4.4400000000000004</v>
      </c>
      <c r="AC400">
        <v>1</v>
      </c>
      <c r="AD400">
        <v>5</v>
      </c>
      <c r="AE400">
        <v>35</v>
      </c>
      <c r="AF400" s="27">
        <f t="shared" ca="1" si="402"/>
        <v>6244</v>
      </c>
      <c r="AG400" s="27">
        <f t="shared" ca="1" si="416"/>
        <v>1514</v>
      </c>
      <c r="AH400" s="27">
        <f t="shared" ca="1" si="417"/>
        <v>916</v>
      </c>
      <c r="AI400" s="27">
        <f t="shared" ca="1" si="418"/>
        <v>324</v>
      </c>
      <c r="AJ400" s="27">
        <f t="shared" ca="1" si="419"/>
        <v>47</v>
      </c>
      <c r="AK400" s="27">
        <f t="shared" ca="1" si="420"/>
        <v>227</v>
      </c>
      <c r="AL400" s="27">
        <f t="shared" ca="1" si="421"/>
        <v>409</v>
      </c>
      <c r="AM400" s="27">
        <f t="shared" ca="1" si="422"/>
        <v>30</v>
      </c>
      <c r="AN400" s="27">
        <f t="shared" ca="1" si="423"/>
        <v>4291</v>
      </c>
      <c r="AO400">
        <v>4308</v>
      </c>
      <c r="AP400">
        <v>1545</v>
      </c>
      <c r="AQ400">
        <v>136</v>
      </c>
      <c r="AR400">
        <v>517</v>
      </c>
      <c r="AS400">
        <v>1064</v>
      </c>
      <c r="AT400">
        <v>90</v>
      </c>
      <c r="AU400">
        <v>162</v>
      </c>
      <c r="AV400">
        <v>0.98599999999999999</v>
      </c>
      <c r="AW400" s="1"/>
      <c r="AX400" s="1"/>
      <c r="AY400" s="29">
        <f t="shared" si="424"/>
        <v>29700</v>
      </c>
      <c r="AZ400" s="31">
        <f t="shared" si="425"/>
        <v>166070</v>
      </c>
      <c r="BA400" s="31">
        <f t="shared" ref="BA400" si="439">SUMIF($B$2:$B$571,$B400,$U$2:$U$571)</f>
        <v>107801</v>
      </c>
      <c r="BB400" s="30">
        <f t="shared" si="427"/>
        <v>0.64912988498825797</v>
      </c>
    </row>
    <row r="401" spans="2:54" x14ac:dyDescent="0.5">
      <c r="B401" s="4">
        <v>2013</v>
      </c>
      <c r="C401" t="s">
        <v>58</v>
      </c>
      <c r="D401" t="s">
        <v>59</v>
      </c>
      <c r="E401">
        <v>1</v>
      </c>
      <c r="F401" t="s">
        <v>43</v>
      </c>
      <c r="G401" t="s">
        <v>38</v>
      </c>
      <c r="H401" t="s">
        <v>38</v>
      </c>
      <c r="I401" t="s">
        <v>38</v>
      </c>
      <c r="J401">
        <v>93</v>
      </c>
      <c r="K401">
        <v>69</v>
      </c>
      <c r="L401">
        <v>796</v>
      </c>
      <c r="M401" s="20">
        <v>5735</v>
      </c>
      <c r="N401" s="20">
        <v>1625</v>
      </c>
      <c r="O401" s="20">
        <f t="shared" si="414"/>
        <v>1134</v>
      </c>
      <c r="P401" s="20">
        <v>292</v>
      </c>
      <c r="Q401" s="20">
        <v>23</v>
      </c>
      <c r="R401" s="20">
        <v>176</v>
      </c>
      <c r="S401" s="20">
        <v>531</v>
      </c>
      <c r="T401" s="20">
        <v>43</v>
      </c>
      <c r="U401" s="20">
        <f t="shared" si="415"/>
        <v>3536</v>
      </c>
      <c r="V401">
        <v>1073</v>
      </c>
      <c r="W401">
        <v>35</v>
      </c>
      <c r="X401">
        <v>20</v>
      </c>
      <c r="Y401">
        <v>47</v>
      </c>
      <c r="Z401">
        <v>624</v>
      </c>
      <c r="AA401">
        <v>587</v>
      </c>
      <c r="AB401">
        <v>3.61</v>
      </c>
      <c r="AC401">
        <v>3</v>
      </c>
      <c r="AD401">
        <v>12</v>
      </c>
      <c r="AE401">
        <v>39</v>
      </c>
      <c r="AF401" s="27">
        <f t="shared" ca="1" si="402"/>
        <v>6214</v>
      </c>
      <c r="AG401" s="27">
        <f t="shared" ca="1" si="416"/>
        <v>1634</v>
      </c>
      <c r="AH401" s="27">
        <f t="shared" ca="1" si="417"/>
        <v>1020</v>
      </c>
      <c r="AI401" s="27">
        <f t="shared" ca="1" si="418"/>
        <v>391</v>
      </c>
      <c r="AJ401" s="27">
        <f t="shared" ca="1" si="419"/>
        <v>20</v>
      </c>
      <c r="AK401" s="27">
        <f t="shared" ca="1" si="420"/>
        <v>203</v>
      </c>
      <c r="AL401" s="27">
        <f t="shared" ca="1" si="421"/>
        <v>460</v>
      </c>
      <c r="AM401" s="27">
        <f t="shared" ca="1" si="422"/>
        <v>79</v>
      </c>
      <c r="AN401" s="27">
        <f t="shared" ca="1" si="423"/>
        <v>4041</v>
      </c>
      <c r="AO401">
        <v>4388</v>
      </c>
      <c r="AP401">
        <v>1369</v>
      </c>
      <c r="AQ401">
        <v>128</v>
      </c>
      <c r="AR401">
        <v>462</v>
      </c>
      <c r="AS401">
        <v>1428</v>
      </c>
      <c r="AT401">
        <v>76</v>
      </c>
      <c r="AU401">
        <v>136</v>
      </c>
      <c r="AV401">
        <v>0.98699999999999999</v>
      </c>
      <c r="AW401" s="1"/>
      <c r="AX401" s="1"/>
      <c r="AY401" s="29">
        <f t="shared" si="424"/>
        <v>29700</v>
      </c>
      <c r="AZ401" s="31">
        <f t="shared" si="425"/>
        <v>166070</v>
      </c>
      <c r="BA401" s="31"/>
      <c r="BB401" s="30">
        <f t="shared" si="427"/>
        <v>0</v>
      </c>
    </row>
    <row r="402" spans="2:54" x14ac:dyDescent="0.5">
      <c r="B402" s="4">
        <v>2013</v>
      </c>
      <c r="C402" t="s">
        <v>62</v>
      </c>
      <c r="D402" t="s">
        <v>63</v>
      </c>
      <c r="E402">
        <v>5</v>
      </c>
      <c r="F402" t="s">
        <v>38</v>
      </c>
      <c r="G402" t="s">
        <v>38</v>
      </c>
      <c r="H402" t="s">
        <v>38</v>
      </c>
      <c r="I402" t="s">
        <v>38</v>
      </c>
      <c r="J402">
        <v>51</v>
      </c>
      <c r="K402">
        <v>111</v>
      </c>
      <c r="L402">
        <v>610</v>
      </c>
      <c r="M402" s="20">
        <v>5457</v>
      </c>
      <c r="N402" s="20">
        <v>1307</v>
      </c>
      <c r="O402" s="20">
        <f t="shared" si="414"/>
        <v>877</v>
      </c>
      <c r="P402" s="20">
        <v>266</v>
      </c>
      <c r="Q402" s="20">
        <v>16</v>
      </c>
      <c r="R402" s="20">
        <v>148</v>
      </c>
      <c r="S402" s="20">
        <v>426</v>
      </c>
      <c r="T402" s="20">
        <v>52</v>
      </c>
      <c r="U402" s="20">
        <f t="shared" si="415"/>
        <v>3672</v>
      </c>
      <c r="V402">
        <v>1535</v>
      </c>
      <c r="W402">
        <v>110</v>
      </c>
      <c r="X402">
        <v>61</v>
      </c>
      <c r="Y402">
        <v>38</v>
      </c>
      <c r="Z402">
        <v>848</v>
      </c>
      <c r="AA402">
        <v>766</v>
      </c>
      <c r="AB402">
        <v>4.79</v>
      </c>
      <c r="AC402">
        <v>2</v>
      </c>
      <c r="AD402">
        <v>5</v>
      </c>
      <c r="AE402">
        <v>32</v>
      </c>
      <c r="AF402" s="27">
        <f t="shared" ca="1" si="402"/>
        <v>6393</v>
      </c>
      <c r="AG402" s="27">
        <f t="shared" ca="1" si="416"/>
        <v>1386</v>
      </c>
      <c r="AH402" s="27">
        <f t="shared" ca="1" si="417"/>
        <v>869</v>
      </c>
      <c r="AI402" s="27">
        <f t="shared" ca="1" si="418"/>
        <v>307</v>
      </c>
      <c r="AJ402" s="27">
        <f t="shared" ca="1" si="419"/>
        <v>30</v>
      </c>
      <c r="AK402" s="27">
        <f t="shared" ca="1" si="420"/>
        <v>180</v>
      </c>
      <c r="AL402" s="27">
        <f t="shared" ca="1" si="421"/>
        <v>645</v>
      </c>
      <c r="AM402" s="27">
        <f t="shared" ca="1" si="422"/>
        <v>85</v>
      </c>
      <c r="AN402" s="27">
        <f t="shared" ca="1" si="423"/>
        <v>4277</v>
      </c>
      <c r="AO402">
        <v>4320</v>
      </c>
      <c r="AP402">
        <v>1530</v>
      </c>
      <c r="AQ402">
        <v>191</v>
      </c>
      <c r="AR402">
        <v>616</v>
      </c>
      <c r="AS402">
        <v>1084</v>
      </c>
      <c r="AT402">
        <v>125</v>
      </c>
      <c r="AU402">
        <v>168</v>
      </c>
      <c r="AV402">
        <v>0.97899999999999998</v>
      </c>
      <c r="AW402" s="1"/>
      <c r="AX402" s="1"/>
      <c r="AY402" s="29">
        <f t="shared" si="424"/>
        <v>29700</v>
      </c>
      <c r="AZ402" s="31">
        <f t="shared" si="425"/>
        <v>166070</v>
      </c>
      <c r="BA402" s="31">
        <f t="shared" ref="BA402" si="440">SUMIF($B$2:$B$571,$B402,$O$2:$O$571)</f>
        <v>28438</v>
      </c>
      <c r="BB402" s="30">
        <f t="shared" si="427"/>
        <v>0.17124104293370265</v>
      </c>
    </row>
    <row r="403" spans="2:54" x14ac:dyDescent="0.5">
      <c r="B403" s="4">
        <v>2013</v>
      </c>
      <c r="C403" t="s">
        <v>64</v>
      </c>
      <c r="D403" t="s">
        <v>65</v>
      </c>
      <c r="E403">
        <v>3</v>
      </c>
      <c r="F403" t="s">
        <v>38</v>
      </c>
      <c r="G403" t="s">
        <v>38</v>
      </c>
      <c r="H403" t="s">
        <v>38</v>
      </c>
      <c r="I403" t="s">
        <v>38</v>
      </c>
      <c r="J403">
        <v>86</v>
      </c>
      <c r="K403">
        <v>76</v>
      </c>
      <c r="L403">
        <v>648</v>
      </c>
      <c r="M403" s="20">
        <v>5549</v>
      </c>
      <c r="N403" s="20">
        <v>1443</v>
      </c>
      <c r="O403" s="20">
        <f t="shared" si="414"/>
        <v>1043</v>
      </c>
      <c r="P403" s="20">
        <v>254</v>
      </c>
      <c r="Q403" s="20">
        <v>34</v>
      </c>
      <c r="R403" s="20">
        <v>112</v>
      </c>
      <c r="S403" s="20">
        <v>422</v>
      </c>
      <c r="T403" s="20">
        <v>42</v>
      </c>
      <c r="U403" s="20">
        <f t="shared" si="415"/>
        <v>3642</v>
      </c>
      <c r="V403">
        <v>1048</v>
      </c>
      <c r="W403">
        <v>153</v>
      </c>
      <c r="X403">
        <v>32</v>
      </c>
      <c r="Y403">
        <v>42</v>
      </c>
      <c r="Z403">
        <v>601</v>
      </c>
      <c r="AA403">
        <v>555</v>
      </c>
      <c r="AB403">
        <v>3.45</v>
      </c>
      <c r="AC403">
        <v>5</v>
      </c>
      <c r="AD403">
        <v>12</v>
      </c>
      <c r="AE403">
        <v>52</v>
      </c>
      <c r="AF403" s="27">
        <f t="shared" ca="1" si="402"/>
        <v>6069</v>
      </c>
      <c r="AG403" s="27">
        <f t="shared" ca="1" si="416"/>
        <v>1413</v>
      </c>
      <c r="AH403" s="27">
        <f t="shared" ca="1" si="417"/>
        <v>925</v>
      </c>
      <c r="AI403" s="27">
        <f t="shared" ca="1" si="418"/>
        <v>307</v>
      </c>
      <c r="AJ403" s="27">
        <f t="shared" ca="1" si="419"/>
        <v>38</v>
      </c>
      <c r="AK403" s="27">
        <f t="shared" ca="1" si="420"/>
        <v>143</v>
      </c>
      <c r="AL403" s="27">
        <f t="shared" ca="1" si="421"/>
        <v>483</v>
      </c>
      <c r="AM403" s="27">
        <f t="shared" ca="1" si="422"/>
        <v>65</v>
      </c>
      <c r="AN403" s="27">
        <f t="shared" ca="1" si="423"/>
        <v>4108</v>
      </c>
      <c r="AO403">
        <v>4345</v>
      </c>
      <c r="AP403">
        <v>1366</v>
      </c>
      <c r="AQ403">
        <v>155</v>
      </c>
      <c r="AR403">
        <v>469</v>
      </c>
      <c r="AS403">
        <v>1208</v>
      </c>
      <c r="AT403">
        <v>85</v>
      </c>
      <c r="AU403">
        <v>136</v>
      </c>
      <c r="AV403">
        <v>0.98599999999999999</v>
      </c>
      <c r="AW403" s="1"/>
      <c r="AX403" s="1"/>
      <c r="AY403" s="29">
        <f t="shared" si="424"/>
        <v>29700</v>
      </c>
      <c r="AZ403" s="31">
        <f t="shared" si="425"/>
        <v>166070</v>
      </c>
      <c r="BA403" s="31">
        <f t="shared" ref="BA403" si="441">SUMIF($B$2:$B$571,$B403,$P$2:$P$571)</f>
        <v>8222</v>
      </c>
      <c r="BB403" s="30">
        <f t="shared" si="427"/>
        <v>4.9509243090263139E-2</v>
      </c>
    </row>
    <row r="404" spans="2:54" x14ac:dyDescent="0.5">
      <c r="B404" s="4">
        <v>2013</v>
      </c>
      <c r="C404" t="s">
        <v>98</v>
      </c>
      <c r="D404" t="s">
        <v>99</v>
      </c>
      <c r="E404">
        <v>3</v>
      </c>
      <c r="F404" t="s">
        <v>38</v>
      </c>
      <c r="G404" t="s">
        <v>38</v>
      </c>
      <c r="H404" t="s">
        <v>38</v>
      </c>
      <c r="I404" t="s">
        <v>38</v>
      </c>
      <c r="J404">
        <v>78</v>
      </c>
      <c r="K404">
        <v>84</v>
      </c>
      <c r="L404">
        <v>733</v>
      </c>
      <c r="M404" s="20">
        <v>5588</v>
      </c>
      <c r="N404" s="20">
        <v>1476</v>
      </c>
      <c r="O404" s="20">
        <f t="shared" si="414"/>
        <v>1003</v>
      </c>
      <c r="P404" s="20">
        <v>270</v>
      </c>
      <c r="Q404" s="20">
        <v>39</v>
      </c>
      <c r="R404" s="20">
        <v>164</v>
      </c>
      <c r="S404" s="20">
        <v>523</v>
      </c>
      <c r="T404" s="20">
        <v>48</v>
      </c>
      <c r="U404" s="20">
        <f t="shared" si="415"/>
        <v>3541</v>
      </c>
      <c r="V404">
        <v>1221</v>
      </c>
      <c r="W404">
        <v>82</v>
      </c>
      <c r="X404">
        <v>34</v>
      </c>
      <c r="Y404">
        <v>64</v>
      </c>
      <c r="Z404">
        <v>737</v>
      </c>
      <c r="AA404">
        <v>685</v>
      </c>
      <c r="AB404">
        <v>4.2300000000000004</v>
      </c>
      <c r="AC404">
        <v>4</v>
      </c>
      <c r="AD404">
        <v>12</v>
      </c>
      <c r="AE404">
        <v>41</v>
      </c>
      <c r="AF404" s="27">
        <f t="shared" ca="1" si="402"/>
        <v>6336</v>
      </c>
      <c r="AG404" s="27">
        <f t="shared" ca="1" si="416"/>
        <v>1627</v>
      </c>
      <c r="AH404" s="27">
        <f t="shared" ca="1" si="417"/>
        <v>1188</v>
      </c>
      <c r="AI404" s="27">
        <f t="shared" ca="1" si="418"/>
        <v>225</v>
      </c>
      <c r="AJ404" s="27">
        <f t="shared" ca="1" si="419"/>
        <v>37</v>
      </c>
      <c r="AK404" s="27">
        <f t="shared" ca="1" si="420"/>
        <v>177</v>
      </c>
      <c r="AL404" s="27">
        <f t="shared" ca="1" si="421"/>
        <v>666</v>
      </c>
      <c r="AM404" s="27">
        <f t="shared" ca="1" si="422"/>
        <v>43</v>
      </c>
      <c r="AN404" s="27">
        <f t="shared" ca="1" si="423"/>
        <v>4000</v>
      </c>
      <c r="AO404">
        <v>4373</v>
      </c>
      <c r="AP404">
        <v>1475</v>
      </c>
      <c r="AQ404">
        <v>167</v>
      </c>
      <c r="AR404">
        <v>533</v>
      </c>
      <c r="AS404">
        <v>1200</v>
      </c>
      <c r="AT404">
        <v>112</v>
      </c>
      <c r="AU404">
        <v>135</v>
      </c>
      <c r="AV404">
        <v>0.98099999999999998</v>
      </c>
      <c r="AW404" s="1"/>
      <c r="AX404" s="1"/>
      <c r="AY404" s="29">
        <f t="shared" si="424"/>
        <v>29700</v>
      </c>
      <c r="AZ404" s="31">
        <f t="shared" si="425"/>
        <v>166070</v>
      </c>
      <c r="BA404" s="31">
        <f t="shared" ref="BA404" si="442">SUMIF($B$2:$B$571,$B404,$Q$2:$Q$571)</f>
        <v>772</v>
      </c>
      <c r="BB404" s="30">
        <f t="shared" si="427"/>
        <v>4.6486421388571087E-3</v>
      </c>
    </row>
    <row r="405" spans="2:54" x14ac:dyDescent="0.5">
      <c r="B405" s="4">
        <v>2013</v>
      </c>
      <c r="C405" t="s">
        <v>66</v>
      </c>
      <c r="D405" t="s">
        <v>67</v>
      </c>
      <c r="E405">
        <v>1</v>
      </c>
      <c r="F405" t="s">
        <v>43</v>
      </c>
      <c r="G405" t="s">
        <v>38</v>
      </c>
      <c r="H405" t="s">
        <v>38</v>
      </c>
      <c r="I405" t="s">
        <v>38</v>
      </c>
      <c r="J405">
        <v>92</v>
      </c>
      <c r="K405">
        <v>70</v>
      </c>
      <c r="L405">
        <v>649</v>
      </c>
      <c r="M405" s="20">
        <v>5491</v>
      </c>
      <c r="N405" s="20">
        <v>1447</v>
      </c>
      <c r="O405" s="20">
        <f t="shared" si="414"/>
        <v>1011</v>
      </c>
      <c r="P405" s="20">
        <v>281</v>
      </c>
      <c r="Q405" s="20">
        <v>17</v>
      </c>
      <c r="R405" s="20">
        <v>138</v>
      </c>
      <c r="S405" s="20">
        <v>476</v>
      </c>
      <c r="T405" s="20">
        <v>57</v>
      </c>
      <c r="U405" s="20">
        <f t="shared" si="415"/>
        <v>3511</v>
      </c>
      <c r="V405">
        <v>1146</v>
      </c>
      <c r="W405">
        <v>78</v>
      </c>
      <c r="X405">
        <v>28</v>
      </c>
      <c r="Y405">
        <v>48</v>
      </c>
      <c r="Z405">
        <v>582</v>
      </c>
      <c r="AA405">
        <v>524</v>
      </c>
      <c r="AB405">
        <v>3.25</v>
      </c>
      <c r="AC405">
        <v>7</v>
      </c>
      <c r="AD405">
        <v>22</v>
      </c>
      <c r="AE405">
        <v>46</v>
      </c>
      <c r="AF405" s="27">
        <f t="shared" ca="1" si="402"/>
        <v>6404</v>
      </c>
      <c r="AG405" s="27">
        <f t="shared" ca="1" si="416"/>
        <v>1689</v>
      </c>
      <c r="AH405" s="27">
        <f t="shared" ca="1" si="417"/>
        <v>1200</v>
      </c>
      <c r="AI405" s="27">
        <f t="shared" ca="1" si="418"/>
        <v>238</v>
      </c>
      <c r="AJ405" s="27">
        <f t="shared" ca="1" si="419"/>
        <v>26</v>
      </c>
      <c r="AK405" s="27">
        <f t="shared" ca="1" si="420"/>
        <v>225</v>
      </c>
      <c r="AL405" s="27">
        <f t="shared" ca="1" si="421"/>
        <v>606</v>
      </c>
      <c r="AM405" s="27">
        <f t="shared" ca="1" si="422"/>
        <v>85</v>
      </c>
      <c r="AN405" s="27">
        <f t="shared" ca="1" si="423"/>
        <v>4024</v>
      </c>
      <c r="AO405">
        <v>4351</v>
      </c>
      <c r="AP405">
        <v>1321</v>
      </c>
      <c r="AQ405">
        <v>127</v>
      </c>
      <c r="AR405">
        <v>460</v>
      </c>
      <c r="AS405">
        <v>1292</v>
      </c>
      <c r="AT405">
        <v>109</v>
      </c>
      <c r="AU405">
        <v>160</v>
      </c>
      <c r="AV405">
        <v>0.98199999999999998</v>
      </c>
      <c r="AW405" s="1"/>
      <c r="AX405" s="1"/>
      <c r="AY405" s="29">
        <f t="shared" si="424"/>
        <v>29700</v>
      </c>
      <c r="AZ405" s="31">
        <f t="shared" si="425"/>
        <v>166070</v>
      </c>
      <c r="BA405" s="31">
        <f t="shared" ref="BA405" si="443">SUMIF($B$2:$B$571,$B405,$R$2:$R$571)</f>
        <v>4661</v>
      </c>
      <c r="BB405" s="30">
        <f t="shared" si="427"/>
        <v>2.8066477991208528E-2</v>
      </c>
    </row>
    <row r="406" spans="2:54" x14ac:dyDescent="0.5">
      <c r="B406" s="4">
        <v>2013</v>
      </c>
      <c r="C406" t="s">
        <v>103</v>
      </c>
      <c r="D406" t="s">
        <v>104</v>
      </c>
      <c r="E406">
        <v>5</v>
      </c>
      <c r="F406" t="s">
        <v>38</v>
      </c>
      <c r="G406" t="s">
        <v>38</v>
      </c>
      <c r="H406" t="s">
        <v>38</v>
      </c>
      <c r="I406" t="s">
        <v>38</v>
      </c>
      <c r="J406">
        <v>62</v>
      </c>
      <c r="K406">
        <v>100</v>
      </c>
      <c r="L406">
        <v>513</v>
      </c>
      <c r="M406" s="20">
        <v>5449</v>
      </c>
      <c r="N406" s="20">
        <v>1257</v>
      </c>
      <c r="O406" s="20">
        <f t="shared" si="414"/>
        <v>912</v>
      </c>
      <c r="P406" s="20">
        <v>219</v>
      </c>
      <c r="Q406" s="20">
        <v>31</v>
      </c>
      <c r="R406" s="20">
        <v>95</v>
      </c>
      <c r="S406" s="20">
        <v>432</v>
      </c>
      <c r="T406" s="20">
        <v>56</v>
      </c>
      <c r="U406" s="20">
        <f t="shared" si="415"/>
        <v>3704</v>
      </c>
      <c r="V406">
        <v>1232</v>
      </c>
      <c r="W406">
        <v>78</v>
      </c>
      <c r="X406">
        <v>29</v>
      </c>
      <c r="Y406">
        <v>26</v>
      </c>
      <c r="Z406">
        <v>646</v>
      </c>
      <c r="AA406">
        <v>602</v>
      </c>
      <c r="AB406">
        <v>3.71</v>
      </c>
      <c r="AC406">
        <v>2</v>
      </c>
      <c r="AD406">
        <v>13</v>
      </c>
      <c r="AE406">
        <v>36</v>
      </c>
      <c r="AF406" s="27">
        <f t="shared" ca="1" si="402"/>
        <v>6381</v>
      </c>
      <c r="AG406" s="27">
        <f t="shared" ca="1" si="416"/>
        <v>1480</v>
      </c>
      <c r="AH406" s="27">
        <f t="shared" ca="1" si="417"/>
        <v>855</v>
      </c>
      <c r="AI406" s="27">
        <f t="shared" ca="1" si="418"/>
        <v>357</v>
      </c>
      <c r="AJ406" s="27">
        <f t="shared" ca="1" si="419"/>
        <v>28</v>
      </c>
      <c r="AK406" s="27">
        <f t="shared" ca="1" si="420"/>
        <v>240</v>
      </c>
      <c r="AL406" s="27">
        <f t="shared" ca="1" si="421"/>
        <v>518</v>
      </c>
      <c r="AM406" s="27">
        <f t="shared" ca="1" si="422"/>
        <v>55</v>
      </c>
      <c r="AN406" s="27">
        <f t="shared" ca="1" si="423"/>
        <v>4328</v>
      </c>
      <c r="AO406">
        <v>4380</v>
      </c>
      <c r="AP406">
        <v>1376</v>
      </c>
      <c r="AQ406">
        <v>121</v>
      </c>
      <c r="AR406">
        <v>526</v>
      </c>
      <c r="AS406">
        <v>1177</v>
      </c>
      <c r="AT406">
        <v>88</v>
      </c>
      <c r="AU406">
        <v>144</v>
      </c>
      <c r="AV406">
        <v>0.98599999999999999</v>
      </c>
      <c r="AW406" s="1"/>
      <c r="AX406" s="1"/>
      <c r="AY406" s="29">
        <f t="shared" si="424"/>
        <v>29700</v>
      </c>
      <c r="AZ406" s="31">
        <f t="shared" si="425"/>
        <v>166070</v>
      </c>
      <c r="BA406" s="31">
        <f t="shared" ref="BA406" si="444">SUMIF($B$2:$B$571,$B406,$S$2:$S$571)</f>
        <v>14640</v>
      </c>
      <c r="BB406" s="30">
        <f t="shared" si="427"/>
        <v>8.8155597037393868E-2</v>
      </c>
    </row>
    <row r="407" spans="2:54" x14ac:dyDescent="0.5">
      <c r="B407" s="4">
        <v>2013</v>
      </c>
      <c r="C407" t="s">
        <v>68</v>
      </c>
      <c r="D407" t="s">
        <v>69</v>
      </c>
      <c r="E407">
        <v>4</v>
      </c>
      <c r="F407" t="s">
        <v>38</v>
      </c>
      <c r="G407" t="s">
        <v>38</v>
      </c>
      <c r="H407" t="s">
        <v>38</v>
      </c>
      <c r="I407" t="s">
        <v>38</v>
      </c>
      <c r="J407">
        <v>74</v>
      </c>
      <c r="K407">
        <v>88</v>
      </c>
      <c r="L407">
        <v>640</v>
      </c>
      <c r="M407" s="20">
        <v>5474</v>
      </c>
      <c r="N407" s="20">
        <v>1381</v>
      </c>
      <c r="O407" s="20">
        <f t="shared" si="414"/>
        <v>943</v>
      </c>
      <c r="P407" s="20">
        <v>238</v>
      </c>
      <c r="Q407" s="20">
        <v>43</v>
      </c>
      <c r="R407" s="20">
        <v>157</v>
      </c>
      <c r="S407" s="20">
        <v>407</v>
      </c>
      <c r="T407" s="20">
        <v>71</v>
      </c>
      <c r="U407" s="20">
        <f t="shared" si="415"/>
        <v>3615</v>
      </c>
      <c r="V407">
        <v>1183</v>
      </c>
      <c r="W407">
        <v>142</v>
      </c>
      <c r="X407">
        <v>50</v>
      </c>
      <c r="Y407">
        <v>35</v>
      </c>
      <c r="Z407">
        <v>687</v>
      </c>
      <c r="AA407">
        <v>615</v>
      </c>
      <c r="AB407">
        <v>3.84</v>
      </c>
      <c r="AC407">
        <v>4</v>
      </c>
      <c r="AD407">
        <v>15</v>
      </c>
      <c r="AE407">
        <v>40</v>
      </c>
      <c r="AF407" s="27">
        <f t="shared" ca="1" si="402"/>
        <v>6275</v>
      </c>
      <c r="AG407" s="27">
        <f t="shared" ca="1" si="416"/>
        <v>1508</v>
      </c>
      <c r="AH407" s="27">
        <f t="shared" ca="1" si="417"/>
        <v>994</v>
      </c>
      <c r="AI407" s="27">
        <f t="shared" ca="1" si="418"/>
        <v>357</v>
      </c>
      <c r="AJ407" s="27">
        <f t="shared" ca="1" si="419"/>
        <v>26</v>
      </c>
      <c r="AK407" s="27">
        <f t="shared" ca="1" si="420"/>
        <v>131</v>
      </c>
      <c r="AL407" s="27">
        <f t="shared" ca="1" si="421"/>
        <v>433</v>
      </c>
      <c r="AM407" s="27">
        <f t="shared" ca="1" si="422"/>
        <v>35</v>
      </c>
      <c r="AN407" s="27">
        <f t="shared" ca="1" si="423"/>
        <v>4299</v>
      </c>
      <c r="AO407">
        <v>4328</v>
      </c>
      <c r="AP407">
        <v>1401</v>
      </c>
      <c r="AQ407">
        <v>175</v>
      </c>
      <c r="AR407">
        <v>466</v>
      </c>
      <c r="AS407">
        <v>1125</v>
      </c>
      <c r="AT407">
        <v>114</v>
      </c>
      <c r="AU407">
        <v>153</v>
      </c>
      <c r="AV407">
        <v>0.98099999999999998</v>
      </c>
      <c r="AW407" s="1"/>
      <c r="AX407" s="1"/>
      <c r="AY407" s="29">
        <f t="shared" si="424"/>
        <v>29700</v>
      </c>
      <c r="AZ407" s="31">
        <f t="shared" si="425"/>
        <v>166070</v>
      </c>
      <c r="BA407" s="31">
        <f t="shared" ref="BA407" si="445">SUMIF($B$2:$B$571,$B407,$T$2:$T$571)</f>
        <v>1536</v>
      </c>
      <c r="BB407" s="30">
        <f t="shared" si="427"/>
        <v>9.2491118203167338E-3</v>
      </c>
    </row>
    <row r="408" spans="2:54" x14ac:dyDescent="0.5">
      <c r="B408" s="4">
        <v>2013</v>
      </c>
      <c r="C408" t="s">
        <v>70</v>
      </c>
      <c r="D408" t="s">
        <v>71</v>
      </c>
      <c r="E408">
        <v>4</v>
      </c>
      <c r="F408" t="s">
        <v>38</v>
      </c>
      <c r="G408" t="s">
        <v>38</v>
      </c>
      <c r="H408" t="s">
        <v>38</v>
      </c>
      <c r="I408" t="s">
        <v>38</v>
      </c>
      <c r="J408">
        <v>66</v>
      </c>
      <c r="K408">
        <v>96</v>
      </c>
      <c r="L408">
        <v>614</v>
      </c>
      <c r="M408" s="20">
        <v>5564</v>
      </c>
      <c r="N408" s="20">
        <v>1346</v>
      </c>
      <c r="O408" s="20">
        <f t="shared" si="414"/>
        <v>895</v>
      </c>
      <c r="P408" s="20">
        <v>285</v>
      </c>
      <c r="Q408" s="20">
        <v>15</v>
      </c>
      <c r="R408" s="20">
        <v>151</v>
      </c>
      <c r="S408" s="20">
        <v>533</v>
      </c>
      <c r="T408" s="20">
        <v>52</v>
      </c>
      <c r="U408" s="20">
        <f t="shared" si="415"/>
        <v>3633</v>
      </c>
      <c r="V408">
        <v>1430</v>
      </c>
      <c r="W408">
        <v>52</v>
      </c>
      <c r="X408">
        <v>33</v>
      </c>
      <c r="Y408">
        <v>32</v>
      </c>
      <c r="Z408">
        <v>788</v>
      </c>
      <c r="AA408">
        <v>733</v>
      </c>
      <c r="AB408">
        <v>4.55</v>
      </c>
      <c r="AC408">
        <v>1</v>
      </c>
      <c r="AD408">
        <v>7</v>
      </c>
      <c r="AE408">
        <v>40</v>
      </c>
      <c r="AF408" s="27">
        <f t="shared" ca="1" si="402"/>
        <v>6396</v>
      </c>
      <c r="AG408" s="27">
        <f t="shared" ca="1" si="416"/>
        <v>1615</v>
      </c>
      <c r="AH408" s="27">
        <f t="shared" ca="1" si="417"/>
        <v>1074</v>
      </c>
      <c r="AI408" s="27">
        <f t="shared" ca="1" si="418"/>
        <v>298</v>
      </c>
      <c r="AJ408" s="27">
        <f t="shared" ca="1" si="419"/>
        <v>33</v>
      </c>
      <c r="AK408" s="27">
        <f t="shared" ca="1" si="420"/>
        <v>210</v>
      </c>
      <c r="AL408" s="27">
        <f t="shared" ca="1" si="421"/>
        <v>650</v>
      </c>
      <c r="AM408" s="27">
        <f t="shared" ca="1" si="422"/>
        <v>56</v>
      </c>
      <c r="AN408" s="27">
        <f t="shared" ca="1" si="423"/>
        <v>4075</v>
      </c>
      <c r="AO408">
        <v>4351</v>
      </c>
      <c r="AP408">
        <v>1591</v>
      </c>
      <c r="AQ408">
        <v>168</v>
      </c>
      <c r="AR408">
        <v>458</v>
      </c>
      <c r="AS408">
        <v>985</v>
      </c>
      <c r="AT408">
        <v>81</v>
      </c>
      <c r="AU408">
        <v>178</v>
      </c>
      <c r="AV408">
        <v>0.98699999999999999</v>
      </c>
      <c r="AW408" s="1"/>
      <c r="AX408" s="1"/>
      <c r="AY408" s="29">
        <f t="shared" si="424"/>
        <v>29700</v>
      </c>
      <c r="AZ408" s="31">
        <f t="shared" si="425"/>
        <v>166070</v>
      </c>
      <c r="BA408" s="31">
        <f t="shared" ref="BA408" si="446">SUMIF($B$2:$B$571,$B408,$U$2:$U$571)</f>
        <v>107801</v>
      </c>
      <c r="BB408" s="30">
        <f t="shared" si="427"/>
        <v>0.64912988498825797</v>
      </c>
    </row>
    <row r="409" spans="2:54" x14ac:dyDescent="0.5">
      <c r="B409" s="4">
        <v>2013</v>
      </c>
      <c r="C409" t="s">
        <v>74</v>
      </c>
      <c r="D409" t="s">
        <v>75</v>
      </c>
      <c r="E409">
        <v>4</v>
      </c>
      <c r="F409" t="s">
        <v>38</v>
      </c>
      <c r="G409" t="s">
        <v>38</v>
      </c>
      <c r="H409" t="s">
        <v>38</v>
      </c>
      <c r="I409" t="s">
        <v>38</v>
      </c>
      <c r="J409">
        <v>85</v>
      </c>
      <c r="K409">
        <v>77</v>
      </c>
      <c r="L409">
        <v>650</v>
      </c>
      <c r="M409" s="20">
        <v>5449</v>
      </c>
      <c r="N409" s="20">
        <v>1321</v>
      </c>
      <c r="O409" s="20">
        <f t="shared" si="414"/>
        <v>906</v>
      </c>
      <c r="P409" s="20">
        <v>247</v>
      </c>
      <c r="Q409" s="20">
        <v>24</v>
      </c>
      <c r="R409" s="20">
        <v>144</v>
      </c>
      <c r="S409" s="20">
        <v>466</v>
      </c>
      <c r="T409" s="20">
        <v>57</v>
      </c>
      <c r="U409" s="20">
        <f t="shared" si="415"/>
        <v>3605</v>
      </c>
      <c r="V409">
        <v>1214</v>
      </c>
      <c r="W409">
        <v>115</v>
      </c>
      <c r="X409">
        <v>31</v>
      </c>
      <c r="Y409">
        <v>36</v>
      </c>
      <c r="Z409">
        <v>671</v>
      </c>
      <c r="AA409">
        <v>633</v>
      </c>
      <c r="AB409">
        <v>3.94</v>
      </c>
      <c r="AC409">
        <v>7</v>
      </c>
      <c r="AD409">
        <v>10</v>
      </c>
      <c r="AE409">
        <v>49</v>
      </c>
      <c r="AF409" s="27">
        <f t="shared" ca="1" si="402"/>
        <v>6241</v>
      </c>
      <c r="AG409" s="27">
        <f t="shared" ca="1" si="416"/>
        <v>1488</v>
      </c>
      <c r="AH409" s="27">
        <f t="shared" ca="1" si="417"/>
        <v>949</v>
      </c>
      <c r="AI409" s="27">
        <f t="shared" ca="1" si="418"/>
        <v>281</v>
      </c>
      <c r="AJ409" s="27">
        <f t="shared" ca="1" si="419"/>
        <v>22</v>
      </c>
      <c r="AK409" s="27">
        <f t="shared" ca="1" si="420"/>
        <v>236</v>
      </c>
      <c r="AL409" s="27">
        <f t="shared" ca="1" si="421"/>
        <v>670</v>
      </c>
      <c r="AM409" s="27">
        <f t="shared" ca="1" si="422"/>
        <v>75</v>
      </c>
      <c r="AN409" s="27">
        <f t="shared" ca="1" si="423"/>
        <v>4008</v>
      </c>
      <c r="AO409">
        <v>4342</v>
      </c>
      <c r="AP409">
        <v>1452</v>
      </c>
      <c r="AQ409">
        <v>171</v>
      </c>
      <c r="AR409">
        <v>437</v>
      </c>
      <c r="AS409">
        <v>1233</v>
      </c>
      <c r="AT409">
        <v>69</v>
      </c>
      <c r="AU409">
        <v>139</v>
      </c>
      <c r="AV409">
        <v>0.98799999999999999</v>
      </c>
      <c r="AW409" s="1"/>
      <c r="AX409" s="1"/>
      <c r="AY409" s="29">
        <f t="shared" si="424"/>
        <v>29700</v>
      </c>
      <c r="AZ409" s="31">
        <f t="shared" si="425"/>
        <v>166070</v>
      </c>
      <c r="BA409" s="31"/>
      <c r="BB409" s="30">
        <f t="shared" si="427"/>
        <v>0</v>
      </c>
    </row>
    <row r="410" spans="2:54" x14ac:dyDescent="0.5">
      <c r="B410" s="4">
        <v>2013</v>
      </c>
      <c r="C410" t="s">
        <v>76</v>
      </c>
      <c r="D410" t="s">
        <v>77</v>
      </c>
      <c r="E410">
        <v>4</v>
      </c>
      <c r="F410" t="s">
        <v>38</v>
      </c>
      <c r="G410" t="s">
        <v>38</v>
      </c>
      <c r="H410" t="s">
        <v>38</v>
      </c>
      <c r="I410" t="s">
        <v>38</v>
      </c>
      <c r="J410">
        <v>74</v>
      </c>
      <c r="K410">
        <v>88</v>
      </c>
      <c r="L410">
        <v>619</v>
      </c>
      <c r="M410" s="20">
        <v>5559</v>
      </c>
      <c r="N410" s="20">
        <v>1318</v>
      </c>
      <c r="O410" s="20">
        <f t="shared" si="414"/>
        <v>893</v>
      </c>
      <c r="P410" s="20">
        <v>263</v>
      </c>
      <c r="Q410" s="20">
        <v>32</v>
      </c>
      <c r="R410" s="20">
        <v>130</v>
      </c>
      <c r="S410" s="20">
        <v>512</v>
      </c>
      <c r="T410" s="20">
        <v>51</v>
      </c>
      <c r="U410" s="20">
        <f t="shared" si="415"/>
        <v>3678</v>
      </c>
      <c r="V410">
        <v>1384</v>
      </c>
      <c r="W410">
        <v>114</v>
      </c>
      <c r="X410">
        <v>35</v>
      </c>
      <c r="Y410">
        <v>32</v>
      </c>
      <c r="Z410">
        <v>684</v>
      </c>
      <c r="AA410">
        <v>618</v>
      </c>
      <c r="AB410">
        <v>3.77</v>
      </c>
      <c r="AC410">
        <v>4</v>
      </c>
      <c r="AD410">
        <v>10</v>
      </c>
      <c r="AE410">
        <v>40</v>
      </c>
      <c r="AF410" s="27">
        <f t="shared" ca="1" si="402"/>
        <v>6394</v>
      </c>
      <c r="AG410" s="27">
        <f t="shared" ca="1" si="416"/>
        <v>1556</v>
      </c>
      <c r="AH410" s="27">
        <f t="shared" ca="1" si="417"/>
        <v>1051</v>
      </c>
      <c r="AI410" s="27">
        <f t="shared" ca="1" si="418"/>
        <v>319</v>
      </c>
      <c r="AJ410" s="27">
        <f t="shared" ca="1" si="419"/>
        <v>40</v>
      </c>
      <c r="AK410" s="27">
        <f t="shared" ca="1" si="420"/>
        <v>146</v>
      </c>
      <c r="AL410" s="27">
        <f t="shared" ca="1" si="421"/>
        <v>686</v>
      </c>
      <c r="AM410" s="27">
        <f t="shared" ca="1" si="422"/>
        <v>82</v>
      </c>
      <c r="AN410" s="27">
        <f t="shared" ca="1" si="423"/>
        <v>4070</v>
      </c>
      <c r="AO410">
        <v>4430</v>
      </c>
      <c r="AP410">
        <v>1442</v>
      </c>
      <c r="AQ410">
        <v>152</v>
      </c>
      <c r="AR410">
        <v>458</v>
      </c>
      <c r="AS410">
        <v>1209</v>
      </c>
      <c r="AT410">
        <v>93</v>
      </c>
      <c r="AU410">
        <v>127</v>
      </c>
      <c r="AV410">
        <v>0.98499999999999999</v>
      </c>
      <c r="AW410" s="1"/>
      <c r="AX410" s="1"/>
      <c r="AY410" s="29">
        <f t="shared" si="424"/>
        <v>29700</v>
      </c>
      <c r="AZ410" s="31">
        <f t="shared" si="425"/>
        <v>166070</v>
      </c>
      <c r="BA410" s="31">
        <f t="shared" ref="BA410" si="447">SUMIF($B$2:$B$571,$B410,$O$2:$O$571)</f>
        <v>28438</v>
      </c>
      <c r="BB410" s="30">
        <f t="shared" si="427"/>
        <v>0.17124104293370265</v>
      </c>
    </row>
    <row r="411" spans="2:54" x14ac:dyDescent="0.5">
      <c r="B411" s="4">
        <v>2013</v>
      </c>
      <c r="C411" t="s">
        <v>78</v>
      </c>
      <c r="D411" t="s">
        <v>79</v>
      </c>
      <c r="E411">
        <v>1</v>
      </c>
      <c r="F411" t="s">
        <v>43</v>
      </c>
      <c r="G411" t="s">
        <v>38</v>
      </c>
      <c r="H411" t="s">
        <v>38</v>
      </c>
      <c r="I411" t="s">
        <v>38</v>
      </c>
      <c r="J411">
        <v>96</v>
      </c>
      <c r="K411">
        <v>66</v>
      </c>
      <c r="L411">
        <v>767</v>
      </c>
      <c r="M411" s="20">
        <v>5521</v>
      </c>
      <c r="N411" s="20">
        <v>1403</v>
      </c>
      <c r="O411" s="20">
        <f t="shared" si="414"/>
        <v>891</v>
      </c>
      <c r="P411" s="20">
        <v>301</v>
      </c>
      <c r="Q411" s="20">
        <v>25</v>
      </c>
      <c r="R411" s="20">
        <v>186</v>
      </c>
      <c r="S411" s="20">
        <v>573</v>
      </c>
      <c r="T411" s="20">
        <v>45</v>
      </c>
      <c r="U411" s="20">
        <f t="shared" si="415"/>
        <v>3500</v>
      </c>
      <c r="V411">
        <v>1178</v>
      </c>
      <c r="W411">
        <v>74</v>
      </c>
      <c r="X411">
        <v>28</v>
      </c>
      <c r="Y411">
        <v>49</v>
      </c>
      <c r="Z411">
        <v>625</v>
      </c>
      <c r="AA411">
        <v>574</v>
      </c>
      <c r="AB411">
        <v>3.56</v>
      </c>
      <c r="AC411">
        <v>6</v>
      </c>
      <c r="AD411">
        <v>13</v>
      </c>
      <c r="AE411">
        <v>46</v>
      </c>
      <c r="AF411" s="27">
        <f t="shared" ca="1" si="402"/>
        <v>6479</v>
      </c>
      <c r="AG411" s="27">
        <f t="shared" ca="1" si="416"/>
        <v>1619</v>
      </c>
      <c r="AH411" s="27">
        <f t="shared" ca="1" si="417"/>
        <v>1151</v>
      </c>
      <c r="AI411" s="27">
        <f t="shared" ca="1" si="418"/>
        <v>237</v>
      </c>
      <c r="AJ411" s="27">
        <f t="shared" ca="1" si="419"/>
        <v>43</v>
      </c>
      <c r="AK411" s="27">
        <f t="shared" ca="1" si="420"/>
        <v>188</v>
      </c>
      <c r="AL411" s="27">
        <f t="shared" ca="1" si="421"/>
        <v>572</v>
      </c>
      <c r="AM411" s="27">
        <f t="shared" ca="1" si="422"/>
        <v>30</v>
      </c>
      <c r="AN411" s="27">
        <f t="shared" ca="1" si="423"/>
        <v>4258</v>
      </c>
      <c r="AO411">
        <v>4356</v>
      </c>
      <c r="AP411">
        <v>1339</v>
      </c>
      <c r="AQ411">
        <v>163</v>
      </c>
      <c r="AR411">
        <v>428</v>
      </c>
      <c r="AS411">
        <v>1183</v>
      </c>
      <c r="AT411">
        <v>97</v>
      </c>
      <c r="AU411">
        <v>112</v>
      </c>
      <c r="AV411">
        <v>0.98299999999999998</v>
      </c>
      <c r="AW411" s="1"/>
      <c r="AX411" s="1"/>
      <c r="AY411" s="29">
        <f t="shared" si="424"/>
        <v>29700</v>
      </c>
      <c r="AZ411" s="31">
        <f t="shared" si="425"/>
        <v>166070</v>
      </c>
      <c r="BA411" s="31">
        <f t="shared" ref="BA411" si="448">SUMIF($B$2:$B$571,$B411,$P$2:$P$571)</f>
        <v>8222</v>
      </c>
      <c r="BB411" s="30">
        <f t="shared" si="427"/>
        <v>4.9509243090263139E-2</v>
      </c>
    </row>
    <row r="412" spans="2:54" x14ac:dyDescent="0.5">
      <c r="B412" s="4">
        <v>2013</v>
      </c>
      <c r="C412" t="s">
        <v>80</v>
      </c>
      <c r="D412" t="s">
        <v>81</v>
      </c>
      <c r="E412">
        <v>4</v>
      </c>
      <c r="F412" t="s">
        <v>38</v>
      </c>
      <c r="G412" t="s">
        <v>38</v>
      </c>
      <c r="H412" t="s">
        <v>38</v>
      </c>
      <c r="I412" t="s">
        <v>38</v>
      </c>
      <c r="J412">
        <v>73</v>
      </c>
      <c r="K412">
        <v>89</v>
      </c>
      <c r="L412">
        <v>610</v>
      </c>
      <c r="M412" s="20">
        <v>5456</v>
      </c>
      <c r="N412" s="20">
        <v>1355</v>
      </c>
      <c r="O412" s="20">
        <f t="shared" si="414"/>
        <v>928</v>
      </c>
      <c r="P412" s="20">
        <v>255</v>
      </c>
      <c r="Q412" s="20">
        <v>32</v>
      </c>
      <c r="R412" s="20">
        <v>140</v>
      </c>
      <c r="S412" s="20">
        <v>417</v>
      </c>
      <c r="T412" s="20">
        <v>53</v>
      </c>
      <c r="U412" s="20">
        <f t="shared" si="415"/>
        <v>3631</v>
      </c>
      <c r="V412">
        <v>1205</v>
      </c>
      <c r="W412">
        <v>73</v>
      </c>
      <c r="X412">
        <v>29</v>
      </c>
      <c r="Y412">
        <v>31</v>
      </c>
      <c r="Z412">
        <v>749</v>
      </c>
      <c r="AA412">
        <v>689</v>
      </c>
      <c r="AB412">
        <v>4.32</v>
      </c>
      <c r="AC412">
        <v>6</v>
      </c>
      <c r="AD412">
        <v>3</v>
      </c>
      <c r="AE412">
        <v>32</v>
      </c>
      <c r="AF412" s="27">
        <f t="shared" ca="1" si="402"/>
        <v>6348</v>
      </c>
      <c r="AG412" s="27">
        <f t="shared" ca="1" si="416"/>
        <v>1502</v>
      </c>
      <c r="AH412" s="27">
        <f t="shared" ca="1" si="417"/>
        <v>972</v>
      </c>
      <c r="AI412" s="27">
        <f t="shared" ca="1" si="418"/>
        <v>350</v>
      </c>
      <c r="AJ412" s="27">
        <f t="shared" ca="1" si="419"/>
        <v>32</v>
      </c>
      <c r="AK412" s="27">
        <f t="shared" ca="1" si="420"/>
        <v>148</v>
      </c>
      <c r="AL412" s="27">
        <f t="shared" ca="1" si="421"/>
        <v>484</v>
      </c>
      <c r="AM412" s="27">
        <f t="shared" ca="1" si="422"/>
        <v>52</v>
      </c>
      <c r="AN412" s="27">
        <f t="shared" ca="1" si="423"/>
        <v>4310</v>
      </c>
      <c r="AO412">
        <v>4309</v>
      </c>
      <c r="AP412">
        <v>1465</v>
      </c>
      <c r="AQ412">
        <v>152</v>
      </c>
      <c r="AR412">
        <v>506</v>
      </c>
      <c r="AS412">
        <v>1199</v>
      </c>
      <c r="AT412">
        <v>97</v>
      </c>
      <c r="AU412">
        <v>141</v>
      </c>
      <c r="AV412">
        <v>0.98399999999999999</v>
      </c>
      <c r="AW412" s="1"/>
      <c r="AX412" s="1"/>
      <c r="AY412" s="29">
        <f t="shared" si="424"/>
        <v>29700</v>
      </c>
      <c r="AZ412" s="31">
        <f t="shared" si="425"/>
        <v>166070</v>
      </c>
      <c r="BA412" s="31">
        <f t="shared" ref="BA412" si="449">SUMIF($B$2:$B$571,$B412,$Q$2:$Q$571)</f>
        <v>772</v>
      </c>
      <c r="BB412" s="30">
        <f t="shared" si="427"/>
        <v>4.6486421388571087E-3</v>
      </c>
    </row>
    <row r="413" spans="2:54" x14ac:dyDescent="0.5">
      <c r="B413" s="4">
        <v>2013</v>
      </c>
      <c r="C413" t="s">
        <v>82</v>
      </c>
      <c r="D413" t="s">
        <v>83</v>
      </c>
      <c r="E413">
        <v>2</v>
      </c>
      <c r="F413" t="s">
        <v>38</v>
      </c>
      <c r="G413" t="s">
        <v>43</v>
      </c>
      <c r="H413" t="s">
        <v>38</v>
      </c>
      <c r="I413" t="s">
        <v>38</v>
      </c>
      <c r="J413">
        <v>94</v>
      </c>
      <c r="K413">
        <v>68</v>
      </c>
      <c r="L413">
        <v>634</v>
      </c>
      <c r="M413" s="20">
        <v>5486</v>
      </c>
      <c r="N413" s="20">
        <v>1346</v>
      </c>
      <c r="O413" s="20">
        <f t="shared" si="414"/>
        <v>877</v>
      </c>
      <c r="P413" s="20">
        <v>273</v>
      </c>
      <c r="Q413" s="20">
        <v>35</v>
      </c>
      <c r="R413" s="20">
        <v>161</v>
      </c>
      <c r="S413" s="20">
        <v>469</v>
      </c>
      <c r="T413" s="20">
        <v>88</v>
      </c>
      <c r="U413" s="20">
        <f t="shared" si="415"/>
        <v>3583</v>
      </c>
      <c r="V413">
        <v>1330</v>
      </c>
      <c r="W413">
        <v>94</v>
      </c>
      <c r="X413">
        <v>42</v>
      </c>
      <c r="Y413">
        <v>29</v>
      </c>
      <c r="Z413">
        <v>577</v>
      </c>
      <c r="AA413">
        <v>533</v>
      </c>
      <c r="AB413">
        <v>3.26</v>
      </c>
      <c r="AC413">
        <v>3</v>
      </c>
      <c r="AD413">
        <v>16</v>
      </c>
      <c r="AE413">
        <v>55</v>
      </c>
      <c r="AF413" s="27">
        <f t="shared" ca="1" si="402"/>
        <v>6169</v>
      </c>
      <c r="AG413" s="27">
        <f t="shared" ca="1" si="416"/>
        <v>1477</v>
      </c>
      <c r="AH413" s="27">
        <f t="shared" ca="1" si="417"/>
        <v>967</v>
      </c>
      <c r="AI413" s="27">
        <f t="shared" ca="1" si="418"/>
        <v>238</v>
      </c>
      <c r="AJ413" s="27">
        <f t="shared" ca="1" si="419"/>
        <v>45</v>
      </c>
      <c r="AK413" s="27">
        <f t="shared" ca="1" si="420"/>
        <v>227</v>
      </c>
      <c r="AL413" s="27">
        <f t="shared" ca="1" si="421"/>
        <v>621</v>
      </c>
      <c r="AM413" s="27">
        <f t="shared" ca="1" si="422"/>
        <v>44</v>
      </c>
      <c r="AN413" s="27">
        <f t="shared" ca="1" si="423"/>
        <v>4027</v>
      </c>
      <c r="AO413">
        <v>4412</v>
      </c>
      <c r="AP413">
        <v>1299</v>
      </c>
      <c r="AQ413">
        <v>101</v>
      </c>
      <c r="AR413">
        <v>515</v>
      </c>
      <c r="AS413">
        <v>1261</v>
      </c>
      <c r="AT413">
        <v>106</v>
      </c>
      <c r="AU413">
        <v>154</v>
      </c>
      <c r="AV413">
        <v>0.98399999999999999</v>
      </c>
      <c r="AW413" s="1"/>
      <c r="AX413" s="1"/>
      <c r="AY413" s="29">
        <f t="shared" si="424"/>
        <v>29700</v>
      </c>
      <c r="AZ413" s="31">
        <f t="shared" si="425"/>
        <v>166070</v>
      </c>
      <c r="BA413" s="31">
        <f t="shared" ref="BA413" si="450">SUMIF($B$2:$B$571,$B413,$R$2:$R$571)</f>
        <v>4661</v>
      </c>
      <c r="BB413" s="30">
        <f t="shared" si="427"/>
        <v>2.8066477991208528E-2</v>
      </c>
    </row>
    <row r="414" spans="2:54" x14ac:dyDescent="0.5">
      <c r="B414" s="4">
        <v>2013</v>
      </c>
      <c r="C414" t="s">
        <v>84</v>
      </c>
      <c r="D414" t="s">
        <v>85</v>
      </c>
      <c r="E414">
        <v>3</v>
      </c>
      <c r="F414" t="s">
        <v>38</v>
      </c>
      <c r="G414" t="s">
        <v>38</v>
      </c>
      <c r="H414" t="s">
        <v>38</v>
      </c>
      <c r="I414" t="s">
        <v>38</v>
      </c>
      <c r="J414">
        <v>76</v>
      </c>
      <c r="K414">
        <v>86</v>
      </c>
      <c r="L414">
        <v>618</v>
      </c>
      <c r="M414" s="20">
        <v>5517</v>
      </c>
      <c r="N414" s="20">
        <v>1349</v>
      </c>
      <c r="O414" s="20">
        <f t="shared" si="414"/>
        <v>931</v>
      </c>
      <c r="P414" s="20">
        <v>246</v>
      </c>
      <c r="Q414" s="20">
        <v>26</v>
      </c>
      <c r="R414" s="20">
        <v>146</v>
      </c>
      <c r="S414" s="20">
        <v>467</v>
      </c>
      <c r="T414" s="20">
        <v>52</v>
      </c>
      <c r="U414" s="20">
        <f t="shared" si="415"/>
        <v>3649</v>
      </c>
      <c r="V414">
        <v>1309</v>
      </c>
      <c r="W414">
        <v>118</v>
      </c>
      <c r="X414">
        <v>34</v>
      </c>
      <c r="Y414">
        <v>34</v>
      </c>
      <c r="Z414">
        <v>700</v>
      </c>
      <c r="AA414">
        <v>643</v>
      </c>
      <c r="AB414">
        <v>3.98</v>
      </c>
      <c r="AC414">
        <v>3</v>
      </c>
      <c r="AD414">
        <v>6</v>
      </c>
      <c r="AE414">
        <v>40</v>
      </c>
      <c r="AF414" s="27">
        <f t="shared" ca="1" si="402"/>
        <v>6317</v>
      </c>
      <c r="AG414" s="27">
        <f t="shared" ca="1" si="416"/>
        <v>1694</v>
      </c>
      <c r="AH414" s="27">
        <f t="shared" ca="1" si="417"/>
        <v>1078</v>
      </c>
      <c r="AI414" s="27">
        <f t="shared" ca="1" si="418"/>
        <v>353</v>
      </c>
      <c r="AJ414" s="27">
        <f t="shared" ca="1" si="419"/>
        <v>31</v>
      </c>
      <c r="AK414" s="27">
        <f t="shared" ca="1" si="420"/>
        <v>232</v>
      </c>
      <c r="AL414" s="27">
        <f t="shared" ca="1" si="421"/>
        <v>697</v>
      </c>
      <c r="AM414" s="27">
        <f t="shared" ca="1" si="422"/>
        <v>78</v>
      </c>
      <c r="AN414" s="27">
        <f t="shared" ca="1" si="423"/>
        <v>3848</v>
      </c>
      <c r="AO414">
        <v>4365</v>
      </c>
      <c r="AP414">
        <v>1407</v>
      </c>
      <c r="AQ414">
        <v>156</v>
      </c>
      <c r="AR414">
        <v>525</v>
      </c>
      <c r="AS414">
        <v>1171</v>
      </c>
      <c r="AT414">
        <v>83</v>
      </c>
      <c r="AU414">
        <v>140</v>
      </c>
      <c r="AV414">
        <v>0.98599999999999999</v>
      </c>
      <c r="AW414" s="1"/>
      <c r="AX414" s="1"/>
      <c r="AY414" s="29">
        <f t="shared" si="424"/>
        <v>29700</v>
      </c>
      <c r="AZ414" s="31">
        <f t="shared" si="425"/>
        <v>166070</v>
      </c>
      <c r="BA414" s="31">
        <f t="shared" ref="BA414" si="451">SUMIF($B$2:$B$571,$B414,$S$2:$S$571)</f>
        <v>14640</v>
      </c>
      <c r="BB414" s="30">
        <f t="shared" si="427"/>
        <v>8.8155597037393868E-2</v>
      </c>
    </row>
    <row r="415" spans="2:54" x14ac:dyDescent="0.5">
      <c r="B415" s="4">
        <v>2013</v>
      </c>
      <c r="C415" t="s">
        <v>86</v>
      </c>
      <c r="D415" t="s">
        <v>87</v>
      </c>
      <c r="E415">
        <v>4</v>
      </c>
      <c r="F415" t="s">
        <v>38</v>
      </c>
      <c r="G415" t="s">
        <v>38</v>
      </c>
      <c r="H415" t="s">
        <v>38</v>
      </c>
      <c r="I415" t="s">
        <v>38</v>
      </c>
      <c r="J415">
        <v>71</v>
      </c>
      <c r="K415">
        <v>91</v>
      </c>
      <c r="L415">
        <v>624</v>
      </c>
      <c r="M415" s="20">
        <v>5558</v>
      </c>
      <c r="N415" s="20">
        <v>1318</v>
      </c>
      <c r="O415" s="20">
        <f t="shared" si="414"/>
        <v>864</v>
      </c>
      <c r="P415" s="20">
        <v>249</v>
      </c>
      <c r="Q415" s="20">
        <v>17</v>
      </c>
      <c r="R415" s="20">
        <v>188</v>
      </c>
      <c r="S415" s="20">
        <v>529</v>
      </c>
      <c r="T415" s="20">
        <v>31</v>
      </c>
      <c r="U415" s="20">
        <f t="shared" si="415"/>
        <v>3680</v>
      </c>
      <c r="V415">
        <v>1353</v>
      </c>
      <c r="W415">
        <v>49</v>
      </c>
      <c r="X415">
        <v>23</v>
      </c>
      <c r="Y415">
        <v>28</v>
      </c>
      <c r="Z415">
        <v>754</v>
      </c>
      <c r="AA415">
        <v>702</v>
      </c>
      <c r="AB415">
        <v>4.3099999999999996</v>
      </c>
      <c r="AC415">
        <v>4</v>
      </c>
      <c r="AD415">
        <v>14</v>
      </c>
      <c r="AE415">
        <v>43</v>
      </c>
      <c r="AF415" s="27">
        <f t="shared" ca="1" si="402"/>
        <v>6110</v>
      </c>
      <c r="AG415" s="27">
        <f t="shared" ca="1" si="416"/>
        <v>1678</v>
      </c>
      <c r="AH415" s="27">
        <f t="shared" ca="1" si="417"/>
        <v>1226</v>
      </c>
      <c r="AI415" s="27">
        <f t="shared" ca="1" si="418"/>
        <v>278</v>
      </c>
      <c r="AJ415" s="27">
        <f t="shared" ca="1" si="419"/>
        <v>28</v>
      </c>
      <c r="AK415" s="27">
        <f t="shared" ca="1" si="420"/>
        <v>146</v>
      </c>
      <c r="AL415" s="27">
        <f t="shared" ca="1" si="421"/>
        <v>535</v>
      </c>
      <c r="AM415" s="27">
        <f t="shared" ca="1" si="422"/>
        <v>59</v>
      </c>
      <c r="AN415" s="27">
        <f t="shared" ca="1" si="423"/>
        <v>3838</v>
      </c>
      <c r="AO415">
        <v>4395</v>
      </c>
      <c r="AP415">
        <v>1467</v>
      </c>
      <c r="AQ415">
        <v>174</v>
      </c>
      <c r="AR415">
        <v>478</v>
      </c>
      <c r="AS415">
        <v>1297</v>
      </c>
      <c r="AT415">
        <v>88</v>
      </c>
      <c r="AU415">
        <v>149</v>
      </c>
      <c r="AV415">
        <v>0.98599999999999999</v>
      </c>
      <c r="AW415" s="1"/>
      <c r="AX415" s="1"/>
      <c r="AY415" s="29">
        <f t="shared" si="424"/>
        <v>29700</v>
      </c>
      <c r="AZ415" s="31">
        <f t="shared" si="425"/>
        <v>166070</v>
      </c>
      <c r="BA415" s="31">
        <f t="shared" ref="BA415" si="452">SUMIF($B$2:$B$571,$B415,$T$2:$T$571)</f>
        <v>1536</v>
      </c>
      <c r="BB415" s="30">
        <f t="shared" si="427"/>
        <v>9.2491118203167338E-3</v>
      </c>
    </row>
    <row r="416" spans="2:54" x14ac:dyDescent="0.5">
      <c r="B416" s="4">
        <v>2013</v>
      </c>
      <c r="C416" t="s">
        <v>88</v>
      </c>
      <c r="D416" t="s">
        <v>89</v>
      </c>
      <c r="E416">
        <v>4</v>
      </c>
      <c r="F416" t="s">
        <v>38</v>
      </c>
      <c r="G416" t="s">
        <v>38</v>
      </c>
      <c r="H416" t="s">
        <v>38</v>
      </c>
      <c r="I416" t="s">
        <v>38</v>
      </c>
      <c r="J416">
        <v>76</v>
      </c>
      <c r="K416">
        <v>86</v>
      </c>
      <c r="L416">
        <v>629</v>
      </c>
      <c r="M416" s="20">
        <v>5552</v>
      </c>
      <c r="N416" s="20">
        <v>1446</v>
      </c>
      <c r="O416" s="20">
        <f t="shared" si="414"/>
        <v>1024</v>
      </c>
      <c r="P416" s="20">
        <v>280</v>
      </c>
      <c r="Q416" s="20">
        <v>35</v>
      </c>
      <c r="R416" s="20">
        <v>107</v>
      </c>
      <c r="S416" s="20">
        <v>469</v>
      </c>
      <c r="T416" s="20">
        <v>39</v>
      </c>
      <c r="U416" s="20">
        <f t="shared" si="415"/>
        <v>3598</v>
      </c>
      <c r="V416">
        <v>1078</v>
      </c>
      <c r="W416">
        <v>67</v>
      </c>
      <c r="X416">
        <v>26</v>
      </c>
      <c r="Y416">
        <v>42</v>
      </c>
      <c r="Z416">
        <v>691</v>
      </c>
      <c r="AA416">
        <v>643</v>
      </c>
      <c r="AB416">
        <v>4</v>
      </c>
      <c r="AC416">
        <v>2</v>
      </c>
      <c r="AD416">
        <v>13</v>
      </c>
      <c r="AE416">
        <v>41</v>
      </c>
      <c r="AF416" s="27">
        <f t="shared" ca="1" si="402"/>
        <v>6490</v>
      </c>
      <c r="AG416" s="27">
        <f t="shared" ca="1" si="416"/>
        <v>1401</v>
      </c>
      <c r="AH416" s="27">
        <f t="shared" ca="1" si="417"/>
        <v>914</v>
      </c>
      <c r="AI416" s="27">
        <f t="shared" ca="1" si="418"/>
        <v>322</v>
      </c>
      <c r="AJ416" s="27">
        <f t="shared" ca="1" si="419"/>
        <v>25</v>
      </c>
      <c r="AK416" s="27">
        <f t="shared" ca="1" si="420"/>
        <v>140</v>
      </c>
      <c r="AL416" s="27">
        <f t="shared" ca="1" si="421"/>
        <v>608</v>
      </c>
      <c r="AM416" s="27">
        <f t="shared" ca="1" si="422"/>
        <v>40</v>
      </c>
      <c r="AN416" s="27">
        <f t="shared" ca="1" si="423"/>
        <v>4441</v>
      </c>
      <c r="AO416">
        <v>4342</v>
      </c>
      <c r="AP416">
        <v>1380</v>
      </c>
      <c r="AQ416">
        <v>145</v>
      </c>
      <c r="AR416">
        <v>521</v>
      </c>
      <c r="AS416">
        <v>1256</v>
      </c>
      <c r="AT416">
        <v>107</v>
      </c>
      <c r="AU416">
        <v>128</v>
      </c>
      <c r="AV416">
        <v>0.98199999999999998</v>
      </c>
      <c r="AW416" s="1"/>
      <c r="AX416" s="1"/>
      <c r="AY416" s="29">
        <f t="shared" si="424"/>
        <v>29700</v>
      </c>
      <c r="AZ416" s="31">
        <f t="shared" si="425"/>
        <v>166070</v>
      </c>
      <c r="BA416" s="31">
        <f t="shared" ref="BA416" si="453">SUMIF($B$2:$B$571,$B416,$U$2:$U$571)</f>
        <v>107801</v>
      </c>
      <c r="BB416" s="30">
        <f t="shared" si="427"/>
        <v>0.64912988498825797</v>
      </c>
    </row>
    <row r="417" spans="2:54" x14ac:dyDescent="0.5">
      <c r="B417" s="4">
        <v>2013</v>
      </c>
      <c r="C417" t="s">
        <v>90</v>
      </c>
      <c r="D417" t="s">
        <v>91</v>
      </c>
      <c r="E417">
        <v>1</v>
      </c>
      <c r="F417" t="s">
        <v>43</v>
      </c>
      <c r="G417" t="s">
        <v>38</v>
      </c>
      <c r="H417" t="s">
        <v>43</v>
      </c>
      <c r="I417" t="s">
        <v>38</v>
      </c>
      <c r="J417">
        <v>97</v>
      </c>
      <c r="K417">
        <v>65</v>
      </c>
      <c r="L417">
        <v>783</v>
      </c>
      <c r="M417" s="20">
        <v>5557</v>
      </c>
      <c r="N417" s="20">
        <v>1494</v>
      </c>
      <c r="O417" s="20">
        <f t="shared" si="414"/>
        <v>1027</v>
      </c>
      <c r="P417" s="20">
        <v>322</v>
      </c>
      <c r="Q417" s="20">
        <v>20</v>
      </c>
      <c r="R417" s="20">
        <v>125</v>
      </c>
      <c r="S417" s="20">
        <v>481</v>
      </c>
      <c r="T417" s="20">
        <v>64</v>
      </c>
      <c r="U417" s="20">
        <f t="shared" si="415"/>
        <v>3518</v>
      </c>
      <c r="V417">
        <v>1110</v>
      </c>
      <c r="W417">
        <v>45</v>
      </c>
      <c r="X417">
        <v>22</v>
      </c>
      <c r="Y417">
        <v>44</v>
      </c>
      <c r="Z417">
        <v>596</v>
      </c>
      <c r="AA417">
        <v>555</v>
      </c>
      <c r="AB417">
        <v>3.42</v>
      </c>
      <c r="AC417">
        <v>7</v>
      </c>
      <c r="AD417">
        <v>15</v>
      </c>
      <c r="AE417">
        <v>44</v>
      </c>
      <c r="AF417" s="27">
        <f t="shared" ca="1" si="402"/>
        <v>6221</v>
      </c>
      <c r="AG417" s="27">
        <f t="shared" ca="1" si="416"/>
        <v>1368</v>
      </c>
      <c r="AH417" s="27">
        <f t="shared" ca="1" si="417"/>
        <v>869</v>
      </c>
      <c r="AI417" s="27">
        <f t="shared" ca="1" si="418"/>
        <v>304</v>
      </c>
      <c r="AJ417" s="27">
        <f t="shared" ca="1" si="419"/>
        <v>49</v>
      </c>
      <c r="AK417" s="27">
        <f t="shared" ca="1" si="420"/>
        <v>146</v>
      </c>
      <c r="AL417" s="27">
        <f t="shared" ca="1" si="421"/>
        <v>400</v>
      </c>
      <c r="AM417" s="27">
        <f t="shared" ca="1" si="422"/>
        <v>89</v>
      </c>
      <c r="AN417" s="27">
        <f t="shared" ca="1" si="423"/>
        <v>4364</v>
      </c>
      <c r="AO417">
        <v>4379</v>
      </c>
      <c r="AP417">
        <v>1366</v>
      </c>
      <c r="AQ417">
        <v>112</v>
      </c>
      <c r="AR417">
        <v>451</v>
      </c>
      <c r="AS417">
        <v>1254</v>
      </c>
      <c r="AT417">
        <v>75</v>
      </c>
      <c r="AU417">
        <v>177</v>
      </c>
      <c r="AV417">
        <v>0.98799999999999999</v>
      </c>
      <c r="AW417" s="1"/>
      <c r="AX417" s="1"/>
      <c r="AY417" s="29">
        <f t="shared" si="424"/>
        <v>29700</v>
      </c>
      <c r="AZ417" s="31">
        <f t="shared" si="425"/>
        <v>166070</v>
      </c>
      <c r="BA417" s="31"/>
      <c r="BB417" s="30">
        <f t="shared" si="427"/>
        <v>0</v>
      </c>
    </row>
    <row r="418" spans="2:54" x14ac:dyDescent="0.5">
      <c r="B418" s="4">
        <v>2013</v>
      </c>
      <c r="C418" t="s">
        <v>102</v>
      </c>
      <c r="D418" t="s">
        <v>93</v>
      </c>
      <c r="E418">
        <v>2</v>
      </c>
      <c r="F418" t="s">
        <v>38</v>
      </c>
      <c r="G418" t="s">
        <v>43</v>
      </c>
      <c r="H418" t="s">
        <v>38</v>
      </c>
      <c r="I418" t="s">
        <v>38</v>
      </c>
      <c r="J418">
        <v>92</v>
      </c>
      <c r="K418">
        <v>71</v>
      </c>
      <c r="L418">
        <v>700</v>
      </c>
      <c r="M418" s="20">
        <v>5538</v>
      </c>
      <c r="N418" s="20">
        <v>1421</v>
      </c>
      <c r="O418" s="20">
        <f t="shared" si="414"/>
        <v>937</v>
      </c>
      <c r="P418" s="20">
        <v>296</v>
      </c>
      <c r="Q418" s="20">
        <v>23</v>
      </c>
      <c r="R418" s="20">
        <v>165</v>
      </c>
      <c r="S418" s="20">
        <v>589</v>
      </c>
      <c r="T418" s="20">
        <v>36</v>
      </c>
      <c r="U418" s="20">
        <f t="shared" si="415"/>
        <v>3492</v>
      </c>
      <c r="V418">
        <v>1171</v>
      </c>
      <c r="W418">
        <v>73</v>
      </c>
      <c r="X418">
        <v>38</v>
      </c>
      <c r="Y418">
        <v>55</v>
      </c>
      <c r="Z418">
        <v>646</v>
      </c>
      <c r="AA418">
        <v>608</v>
      </c>
      <c r="AB418">
        <v>3.74</v>
      </c>
      <c r="AC418">
        <v>9</v>
      </c>
      <c r="AD418">
        <v>17</v>
      </c>
      <c r="AE418">
        <v>42</v>
      </c>
      <c r="AF418" s="27">
        <f t="shared" ca="1" si="402"/>
        <v>6396</v>
      </c>
      <c r="AG418" s="27">
        <f t="shared" ca="1" si="416"/>
        <v>1521</v>
      </c>
      <c r="AH418" s="27">
        <f t="shared" ca="1" si="417"/>
        <v>990</v>
      </c>
      <c r="AI418" s="27">
        <f t="shared" ca="1" si="418"/>
        <v>276</v>
      </c>
      <c r="AJ418" s="27">
        <f t="shared" ca="1" si="419"/>
        <v>20</v>
      </c>
      <c r="AK418" s="27">
        <f t="shared" ca="1" si="420"/>
        <v>235</v>
      </c>
      <c r="AL418" s="27">
        <f t="shared" ca="1" si="421"/>
        <v>482</v>
      </c>
      <c r="AM418" s="27">
        <f t="shared" ca="1" si="422"/>
        <v>44</v>
      </c>
      <c r="AN418" s="27">
        <f t="shared" ca="1" si="423"/>
        <v>4349</v>
      </c>
      <c r="AO418">
        <v>4392</v>
      </c>
      <c r="AP418">
        <v>1315</v>
      </c>
      <c r="AQ418">
        <v>153</v>
      </c>
      <c r="AR418">
        <v>482</v>
      </c>
      <c r="AS418">
        <v>1310</v>
      </c>
      <c r="AT418">
        <v>59</v>
      </c>
      <c r="AU418">
        <v>147</v>
      </c>
      <c r="AV418">
        <v>0.99</v>
      </c>
      <c r="AW418" s="1"/>
      <c r="AX418" s="1"/>
      <c r="AY418" s="29">
        <f t="shared" si="424"/>
        <v>29700</v>
      </c>
      <c r="AZ418" s="31">
        <f t="shared" si="425"/>
        <v>166070</v>
      </c>
      <c r="BA418" s="31">
        <f t="shared" ref="BA418" si="454">SUMIF($B$2:$B$571,$B418,$O$2:$O$571)</f>
        <v>28438</v>
      </c>
      <c r="BB418" s="30">
        <f t="shared" si="427"/>
        <v>0.17124104293370265</v>
      </c>
    </row>
    <row r="419" spans="2:54" x14ac:dyDescent="0.5">
      <c r="B419" s="4">
        <v>2013</v>
      </c>
      <c r="C419" t="s">
        <v>94</v>
      </c>
      <c r="D419" t="s">
        <v>95</v>
      </c>
      <c r="E419">
        <v>2</v>
      </c>
      <c r="F419" t="s">
        <v>38</v>
      </c>
      <c r="G419" t="s">
        <v>38</v>
      </c>
      <c r="H419" t="s">
        <v>38</v>
      </c>
      <c r="I419" t="s">
        <v>38</v>
      </c>
      <c r="J419">
        <v>91</v>
      </c>
      <c r="K419">
        <v>72</v>
      </c>
      <c r="L419">
        <v>730</v>
      </c>
      <c r="M419" s="20">
        <v>5585</v>
      </c>
      <c r="N419" s="20">
        <v>1465</v>
      </c>
      <c r="O419" s="20">
        <f t="shared" si="414"/>
        <v>1004</v>
      </c>
      <c r="P419" s="20">
        <v>262</v>
      </c>
      <c r="Q419" s="20">
        <v>23</v>
      </c>
      <c r="R419" s="20">
        <v>176</v>
      </c>
      <c r="S419" s="20">
        <v>462</v>
      </c>
      <c r="T419" s="20">
        <v>61</v>
      </c>
      <c r="U419" s="20">
        <f t="shared" si="415"/>
        <v>3597</v>
      </c>
      <c r="V419">
        <v>1067</v>
      </c>
      <c r="W419">
        <v>149</v>
      </c>
      <c r="X419">
        <v>46</v>
      </c>
      <c r="Y419">
        <v>42</v>
      </c>
      <c r="Z419">
        <v>636</v>
      </c>
      <c r="AA419">
        <v>589</v>
      </c>
      <c r="AB419">
        <v>3.62</v>
      </c>
      <c r="AC419">
        <v>4</v>
      </c>
      <c r="AD419">
        <v>10</v>
      </c>
      <c r="AE419">
        <v>46</v>
      </c>
      <c r="AF419" s="27">
        <f t="shared" ca="1" si="402"/>
        <v>6357</v>
      </c>
      <c r="AG419" s="27">
        <f t="shared" ca="1" si="416"/>
        <v>1648</v>
      </c>
      <c r="AH419" s="27">
        <f t="shared" ca="1" si="417"/>
        <v>1109</v>
      </c>
      <c r="AI419" s="27">
        <f t="shared" ca="1" si="418"/>
        <v>361</v>
      </c>
      <c r="AJ419" s="27">
        <f t="shared" ca="1" si="419"/>
        <v>22</v>
      </c>
      <c r="AK419" s="27">
        <f t="shared" ca="1" si="420"/>
        <v>156</v>
      </c>
      <c r="AL419" s="27">
        <f t="shared" ca="1" si="421"/>
        <v>434</v>
      </c>
      <c r="AM419" s="27">
        <f t="shared" ca="1" si="422"/>
        <v>52</v>
      </c>
      <c r="AN419" s="27">
        <f t="shared" ca="1" si="423"/>
        <v>4223</v>
      </c>
      <c r="AO419">
        <v>4390</v>
      </c>
      <c r="AP419">
        <v>1370</v>
      </c>
      <c r="AQ419">
        <v>157</v>
      </c>
      <c r="AR419">
        <v>498</v>
      </c>
      <c r="AS419">
        <v>1309</v>
      </c>
      <c r="AT419">
        <v>86</v>
      </c>
      <c r="AU419">
        <v>146</v>
      </c>
      <c r="AV419">
        <v>0.98599999999999999</v>
      </c>
      <c r="AW419" s="1"/>
      <c r="AX419" s="1"/>
      <c r="AY419" s="29">
        <f t="shared" si="424"/>
        <v>29700</v>
      </c>
      <c r="AZ419" s="31">
        <f t="shared" si="425"/>
        <v>166070</v>
      </c>
      <c r="BA419" s="31">
        <f t="shared" ref="BA419" si="455">SUMIF($B$2:$B$571,$B419,$P$2:$P$571)</f>
        <v>8222</v>
      </c>
      <c r="BB419" s="30">
        <f t="shared" si="427"/>
        <v>4.9509243090263139E-2</v>
      </c>
    </row>
    <row r="420" spans="2:54" x14ac:dyDescent="0.5">
      <c r="B420" s="4">
        <v>2013</v>
      </c>
      <c r="C420" t="s">
        <v>96</v>
      </c>
      <c r="D420" t="s">
        <v>97</v>
      </c>
      <c r="E420">
        <v>5</v>
      </c>
      <c r="F420" t="s">
        <v>38</v>
      </c>
      <c r="G420" t="s">
        <v>38</v>
      </c>
      <c r="H420" t="s">
        <v>38</v>
      </c>
      <c r="I420" t="s">
        <v>38</v>
      </c>
      <c r="J420">
        <v>74</v>
      </c>
      <c r="K420">
        <v>88</v>
      </c>
      <c r="L420">
        <v>712</v>
      </c>
      <c r="M420" s="20">
        <v>5537</v>
      </c>
      <c r="N420" s="20">
        <v>1398</v>
      </c>
      <c r="O420" s="20">
        <f t="shared" si="414"/>
        <v>916</v>
      </c>
      <c r="P420" s="20">
        <v>273</v>
      </c>
      <c r="Q420" s="20">
        <v>24</v>
      </c>
      <c r="R420" s="20">
        <v>185</v>
      </c>
      <c r="S420" s="20">
        <v>510</v>
      </c>
      <c r="T420" s="20">
        <v>38</v>
      </c>
      <c r="U420" s="20">
        <f t="shared" si="415"/>
        <v>3591</v>
      </c>
      <c r="V420">
        <v>1123</v>
      </c>
      <c r="W420">
        <v>112</v>
      </c>
      <c r="X420">
        <v>41</v>
      </c>
      <c r="Y420">
        <v>38</v>
      </c>
      <c r="Z420">
        <v>756</v>
      </c>
      <c r="AA420">
        <v>685</v>
      </c>
      <c r="AB420">
        <v>4.25</v>
      </c>
      <c r="AC420">
        <v>4</v>
      </c>
      <c r="AD420">
        <v>11</v>
      </c>
      <c r="AE420">
        <v>39</v>
      </c>
      <c r="AF420" s="27">
        <f t="shared" ca="1" si="402"/>
        <v>6302</v>
      </c>
      <c r="AG420" s="27">
        <f t="shared" ca="1" si="416"/>
        <v>1603</v>
      </c>
      <c r="AH420" s="27">
        <f t="shared" ca="1" si="417"/>
        <v>1108</v>
      </c>
      <c r="AI420" s="27">
        <f t="shared" ca="1" si="418"/>
        <v>292</v>
      </c>
      <c r="AJ420" s="27">
        <f t="shared" ca="1" si="419"/>
        <v>35</v>
      </c>
      <c r="AK420" s="27">
        <f t="shared" ca="1" si="420"/>
        <v>168</v>
      </c>
      <c r="AL420" s="27">
        <f t="shared" ca="1" si="421"/>
        <v>470</v>
      </c>
      <c r="AM420" s="27">
        <f t="shared" ca="1" si="422"/>
        <v>67</v>
      </c>
      <c r="AN420" s="27">
        <f t="shared" ca="1" si="423"/>
        <v>4162</v>
      </c>
      <c r="AO420">
        <v>4356</v>
      </c>
      <c r="AP420">
        <v>1451</v>
      </c>
      <c r="AQ420">
        <v>195</v>
      </c>
      <c r="AR420">
        <v>500</v>
      </c>
      <c r="AS420">
        <v>1208</v>
      </c>
      <c r="AT420">
        <v>111</v>
      </c>
      <c r="AU420">
        <v>145</v>
      </c>
      <c r="AV420">
        <v>0.98199999999999998</v>
      </c>
      <c r="AW420" s="1"/>
      <c r="AX420" s="1"/>
      <c r="AY420" s="29">
        <f t="shared" si="424"/>
        <v>29700</v>
      </c>
      <c r="AZ420" s="31">
        <f t="shared" si="425"/>
        <v>166070</v>
      </c>
      <c r="BA420" s="31">
        <f t="shared" ref="BA420" si="456">SUMIF($B$2:$B$571,$B420,$Q$2:$Q$571)</f>
        <v>772</v>
      </c>
      <c r="BB420" s="30">
        <f t="shared" si="427"/>
        <v>4.6486421388571087E-3</v>
      </c>
    </row>
    <row r="421" spans="2:54" x14ac:dyDescent="0.5">
      <c r="B421" s="4">
        <v>2013</v>
      </c>
      <c r="C421" t="s">
        <v>100</v>
      </c>
      <c r="D421" t="s">
        <v>101</v>
      </c>
      <c r="E421">
        <v>2</v>
      </c>
      <c r="F421" t="s">
        <v>38</v>
      </c>
      <c r="G421" t="s">
        <v>38</v>
      </c>
      <c r="H421" t="s">
        <v>38</v>
      </c>
      <c r="I421" t="s">
        <v>38</v>
      </c>
      <c r="J421">
        <v>86</v>
      </c>
      <c r="K421">
        <v>76</v>
      </c>
      <c r="L421">
        <v>656</v>
      </c>
      <c r="M421" s="20">
        <v>5436</v>
      </c>
      <c r="N421" s="20">
        <v>1365</v>
      </c>
      <c r="O421" s="20">
        <f t="shared" si="414"/>
        <v>918</v>
      </c>
      <c r="P421" s="20">
        <v>259</v>
      </c>
      <c r="Q421" s="20">
        <v>27</v>
      </c>
      <c r="R421" s="20">
        <v>161</v>
      </c>
      <c r="S421" s="20">
        <v>464</v>
      </c>
      <c r="T421" s="20">
        <v>40</v>
      </c>
      <c r="U421" s="20">
        <f t="shared" si="415"/>
        <v>3567</v>
      </c>
      <c r="V421">
        <v>1192</v>
      </c>
      <c r="W421">
        <v>88</v>
      </c>
      <c r="X421">
        <v>28</v>
      </c>
      <c r="Y421">
        <v>39</v>
      </c>
      <c r="Z421">
        <v>626</v>
      </c>
      <c r="AA421">
        <v>576</v>
      </c>
      <c r="AB421">
        <v>3.59</v>
      </c>
      <c r="AC421">
        <v>6</v>
      </c>
      <c r="AD421">
        <v>13</v>
      </c>
      <c r="AE421">
        <v>47</v>
      </c>
      <c r="AF421" s="27">
        <f t="shared" ca="1" si="402"/>
        <v>6257</v>
      </c>
      <c r="AG421" s="27">
        <f t="shared" ca="1" si="416"/>
        <v>1407</v>
      </c>
      <c r="AH421" s="27">
        <f t="shared" ca="1" si="417"/>
        <v>933</v>
      </c>
      <c r="AI421" s="27">
        <f t="shared" ca="1" si="418"/>
        <v>290</v>
      </c>
      <c r="AJ421" s="27">
        <f t="shared" ca="1" si="419"/>
        <v>29</v>
      </c>
      <c r="AK421" s="27">
        <f t="shared" ca="1" si="420"/>
        <v>155</v>
      </c>
      <c r="AL421" s="27">
        <f t="shared" ca="1" si="421"/>
        <v>446</v>
      </c>
      <c r="AM421" s="27">
        <f t="shared" ca="1" si="422"/>
        <v>64</v>
      </c>
      <c r="AN421" s="27">
        <f t="shared" ca="1" si="423"/>
        <v>4340</v>
      </c>
      <c r="AO421">
        <v>4337</v>
      </c>
      <c r="AP421">
        <v>1367</v>
      </c>
      <c r="AQ421">
        <v>142</v>
      </c>
      <c r="AR421">
        <v>405</v>
      </c>
      <c r="AS421">
        <v>1236</v>
      </c>
      <c r="AT421">
        <v>107</v>
      </c>
      <c r="AU421">
        <v>146</v>
      </c>
      <c r="AV421">
        <v>0.98199999999999998</v>
      </c>
      <c r="AW421" s="1"/>
      <c r="AX421" s="1"/>
      <c r="AY421" s="29">
        <f t="shared" si="424"/>
        <v>29700</v>
      </c>
      <c r="AZ421" s="31">
        <f t="shared" si="425"/>
        <v>166070</v>
      </c>
      <c r="BA421" s="31">
        <f t="shared" ref="BA421" si="457">SUMIF($B$2:$B$571,$B421,$R$2:$R$571)</f>
        <v>4661</v>
      </c>
      <c r="BB421" s="30">
        <f t="shared" si="427"/>
        <v>2.8066477991208528E-2</v>
      </c>
    </row>
    <row r="422" spans="2:54" x14ac:dyDescent="0.5">
      <c r="B422" s="4">
        <v>2014</v>
      </c>
      <c r="C422" t="s">
        <v>39</v>
      </c>
      <c r="D422" t="s">
        <v>40</v>
      </c>
      <c r="E422">
        <v>5</v>
      </c>
      <c r="F422" t="s">
        <v>38</v>
      </c>
      <c r="G422" t="s">
        <v>38</v>
      </c>
      <c r="H422" t="s">
        <v>38</v>
      </c>
      <c r="I422" t="s">
        <v>38</v>
      </c>
      <c r="J422">
        <v>64</v>
      </c>
      <c r="K422">
        <v>98</v>
      </c>
      <c r="L422">
        <v>615</v>
      </c>
      <c r="M422" s="20">
        <v>5552</v>
      </c>
      <c r="N422" s="20">
        <v>1379</v>
      </c>
      <c r="O422" s="20">
        <f t="shared" si="414"/>
        <v>955</v>
      </c>
      <c r="P422" s="20">
        <v>259</v>
      </c>
      <c r="Q422" s="20">
        <v>47</v>
      </c>
      <c r="R422" s="20">
        <v>118</v>
      </c>
      <c r="S422" s="20">
        <v>398</v>
      </c>
      <c r="T422" s="20">
        <v>43</v>
      </c>
      <c r="U422" s="20">
        <f t="shared" si="415"/>
        <v>3732</v>
      </c>
      <c r="V422">
        <v>1165</v>
      </c>
      <c r="W422">
        <v>86</v>
      </c>
      <c r="X422">
        <v>33</v>
      </c>
      <c r="Y422">
        <v>36</v>
      </c>
      <c r="Z422">
        <v>742</v>
      </c>
      <c r="AA422">
        <v>683</v>
      </c>
      <c r="AB422">
        <v>4.26</v>
      </c>
      <c r="AC422">
        <v>2</v>
      </c>
      <c r="AD422">
        <v>4</v>
      </c>
      <c r="AE422">
        <v>35</v>
      </c>
      <c r="AF422" s="27">
        <f t="shared" ca="1" si="402"/>
        <v>6198</v>
      </c>
      <c r="AG422" s="27">
        <f t="shared" ca="1" si="416"/>
        <v>1421</v>
      </c>
      <c r="AH422" s="27">
        <f t="shared" ca="1" si="417"/>
        <v>835</v>
      </c>
      <c r="AI422" s="27">
        <f t="shared" ca="1" si="418"/>
        <v>299</v>
      </c>
      <c r="AJ422" s="27">
        <f t="shared" ca="1" si="419"/>
        <v>49</v>
      </c>
      <c r="AK422" s="27">
        <f t="shared" ca="1" si="420"/>
        <v>238</v>
      </c>
      <c r="AL422" s="27">
        <f t="shared" ca="1" si="421"/>
        <v>500</v>
      </c>
      <c r="AM422" s="27">
        <f t="shared" ca="1" si="422"/>
        <v>86</v>
      </c>
      <c r="AN422" s="27">
        <f t="shared" ca="1" si="423"/>
        <v>4191</v>
      </c>
      <c r="AO422">
        <v>4333</v>
      </c>
      <c r="AP422">
        <v>1467</v>
      </c>
      <c r="AQ422">
        <v>154</v>
      </c>
      <c r="AR422">
        <v>469</v>
      </c>
      <c r="AS422">
        <v>1278</v>
      </c>
      <c r="AT422">
        <v>101</v>
      </c>
      <c r="AU422">
        <v>147</v>
      </c>
      <c r="AV422">
        <v>0.98299999999999998</v>
      </c>
      <c r="AW422" s="1"/>
      <c r="AX422" s="1"/>
      <c r="AY422" s="29">
        <f t="shared" si="424"/>
        <v>29700</v>
      </c>
      <c r="AZ422" s="31">
        <f t="shared" si="425"/>
        <v>165614</v>
      </c>
      <c r="BA422" s="31">
        <f t="shared" ref="BA422" si="458">SUMIF($B$2:$B$571,$B422,$S$2:$S$571)</f>
        <v>14020</v>
      </c>
      <c r="BB422" s="30">
        <f t="shared" si="427"/>
        <v>8.4654678952262488E-2</v>
      </c>
    </row>
    <row r="423" spans="2:54" x14ac:dyDescent="0.5">
      <c r="B423" s="4">
        <v>2014</v>
      </c>
      <c r="C423" t="s">
        <v>41</v>
      </c>
      <c r="D423" t="s">
        <v>42</v>
      </c>
      <c r="E423">
        <v>2</v>
      </c>
      <c r="F423" t="s">
        <v>38</v>
      </c>
      <c r="G423" t="s">
        <v>38</v>
      </c>
      <c r="H423" t="s">
        <v>38</v>
      </c>
      <c r="I423" t="s">
        <v>38</v>
      </c>
      <c r="J423">
        <v>79</v>
      </c>
      <c r="K423">
        <v>83</v>
      </c>
      <c r="L423">
        <v>573</v>
      </c>
      <c r="M423" s="20">
        <v>5468</v>
      </c>
      <c r="N423" s="20">
        <v>1316</v>
      </c>
      <c r="O423" s="20">
        <f t="shared" si="414"/>
        <v>931</v>
      </c>
      <c r="P423" s="20">
        <v>240</v>
      </c>
      <c r="Q423" s="20">
        <v>22</v>
      </c>
      <c r="R423" s="20">
        <v>123</v>
      </c>
      <c r="S423" s="20">
        <v>472</v>
      </c>
      <c r="T423" s="20">
        <v>43</v>
      </c>
      <c r="U423" s="20">
        <f t="shared" si="415"/>
        <v>3637</v>
      </c>
      <c r="V423">
        <v>1369</v>
      </c>
      <c r="W423">
        <v>95</v>
      </c>
      <c r="X423">
        <v>33</v>
      </c>
      <c r="Y423">
        <v>27</v>
      </c>
      <c r="Z423">
        <v>597</v>
      </c>
      <c r="AA423">
        <v>547</v>
      </c>
      <c r="AB423">
        <v>3.38</v>
      </c>
      <c r="AC423">
        <v>5</v>
      </c>
      <c r="AD423">
        <v>13</v>
      </c>
      <c r="AE423">
        <v>54</v>
      </c>
      <c r="AF423" s="27">
        <f t="shared" ca="1" si="402"/>
        <v>6150</v>
      </c>
      <c r="AG423" s="27">
        <f t="shared" ca="1" si="416"/>
        <v>1666</v>
      </c>
      <c r="AH423" s="27">
        <f t="shared" ca="1" si="417"/>
        <v>1134</v>
      </c>
      <c r="AI423" s="27">
        <f t="shared" ca="1" si="418"/>
        <v>371</v>
      </c>
      <c r="AJ423" s="27">
        <f t="shared" ca="1" si="419"/>
        <v>31</v>
      </c>
      <c r="AK423" s="27">
        <f t="shared" ca="1" si="420"/>
        <v>130</v>
      </c>
      <c r="AL423" s="27">
        <f t="shared" ca="1" si="421"/>
        <v>519</v>
      </c>
      <c r="AM423" s="27">
        <f t="shared" ca="1" si="422"/>
        <v>54</v>
      </c>
      <c r="AN423" s="27">
        <f t="shared" ca="1" si="423"/>
        <v>3911</v>
      </c>
      <c r="AO423">
        <v>4365</v>
      </c>
      <c r="AP423">
        <v>1369</v>
      </c>
      <c r="AQ423">
        <v>121</v>
      </c>
      <c r="AR423">
        <v>472</v>
      </c>
      <c r="AS423">
        <v>1301</v>
      </c>
      <c r="AT423">
        <v>85</v>
      </c>
      <c r="AU423">
        <v>143</v>
      </c>
      <c r="AV423">
        <v>0.98599999999999999</v>
      </c>
      <c r="AW423" s="1"/>
      <c r="AX423" s="1"/>
      <c r="AY423" s="29">
        <f t="shared" si="424"/>
        <v>29700</v>
      </c>
      <c r="AZ423" s="31">
        <f t="shared" si="425"/>
        <v>165614</v>
      </c>
      <c r="BA423" s="31">
        <f t="shared" ref="BA423" si="459">SUMIF($B$2:$B$571,$B423,$T$2:$T$571)</f>
        <v>1652</v>
      </c>
      <c r="BB423" s="30">
        <f t="shared" si="427"/>
        <v>9.9750021133479059E-3</v>
      </c>
    </row>
    <row r="424" spans="2:54" x14ac:dyDescent="0.5">
      <c r="B424" s="4">
        <v>2014</v>
      </c>
      <c r="C424" t="s">
        <v>44</v>
      </c>
      <c r="D424" t="s">
        <v>45</v>
      </c>
      <c r="E424">
        <v>1</v>
      </c>
      <c r="F424" t="s">
        <v>43</v>
      </c>
      <c r="G424" t="s">
        <v>38</v>
      </c>
      <c r="H424" t="s">
        <v>38</v>
      </c>
      <c r="I424" t="s">
        <v>38</v>
      </c>
      <c r="J424">
        <v>96</v>
      </c>
      <c r="K424">
        <v>66</v>
      </c>
      <c r="L424">
        <v>705</v>
      </c>
      <c r="M424" s="20">
        <v>5596</v>
      </c>
      <c r="N424" s="20">
        <v>1434</v>
      </c>
      <c r="O424" s="20">
        <f t="shared" si="414"/>
        <v>943</v>
      </c>
      <c r="P424" s="20">
        <v>264</v>
      </c>
      <c r="Q424" s="20">
        <v>16</v>
      </c>
      <c r="R424" s="20">
        <v>211</v>
      </c>
      <c r="S424" s="20">
        <v>401</v>
      </c>
      <c r="T424" s="20">
        <v>62</v>
      </c>
      <c r="U424" s="20">
        <f t="shared" si="415"/>
        <v>3699</v>
      </c>
      <c r="V424">
        <v>1285</v>
      </c>
      <c r="W424">
        <v>44</v>
      </c>
      <c r="X424">
        <v>20</v>
      </c>
      <c r="Y424">
        <v>36</v>
      </c>
      <c r="Z424">
        <v>593</v>
      </c>
      <c r="AA424">
        <v>557</v>
      </c>
      <c r="AB424">
        <v>3.43</v>
      </c>
      <c r="AC424">
        <v>3</v>
      </c>
      <c r="AD424">
        <v>13</v>
      </c>
      <c r="AE424">
        <v>53</v>
      </c>
      <c r="AF424" s="27">
        <f t="shared" ca="1" si="402"/>
        <v>6488</v>
      </c>
      <c r="AG424" s="27">
        <f t="shared" ca="1" si="416"/>
        <v>1581</v>
      </c>
      <c r="AH424" s="27">
        <f t="shared" ca="1" si="417"/>
        <v>1006</v>
      </c>
      <c r="AI424" s="27">
        <f t="shared" ca="1" si="418"/>
        <v>361</v>
      </c>
      <c r="AJ424" s="27">
        <f t="shared" ca="1" si="419"/>
        <v>29</v>
      </c>
      <c r="AK424" s="27">
        <f t="shared" ca="1" si="420"/>
        <v>185</v>
      </c>
      <c r="AL424" s="27">
        <f t="shared" ca="1" si="421"/>
        <v>503</v>
      </c>
      <c r="AM424" s="27">
        <f t="shared" ca="1" si="422"/>
        <v>36</v>
      </c>
      <c r="AN424" s="27">
        <f t="shared" ca="1" si="423"/>
        <v>4368</v>
      </c>
      <c r="AO424">
        <v>4384</v>
      </c>
      <c r="AP424">
        <v>1342</v>
      </c>
      <c r="AQ424">
        <v>151</v>
      </c>
      <c r="AR424">
        <v>472</v>
      </c>
      <c r="AS424">
        <v>1174</v>
      </c>
      <c r="AT424">
        <v>87</v>
      </c>
      <c r="AU424">
        <v>156</v>
      </c>
      <c r="AV424">
        <v>0.98599999999999999</v>
      </c>
      <c r="AW424" s="1"/>
      <c r="AX424" s="1"/>
      <c r="AY424" s="29">
        <f t="shared" si="424"/>
        <v>29700</v>
      </c>
      <c r="AZ424" s="31">
        <f t="shared" si="425"/>
        <v>165614</v>
      </c>
      <c r="BA424" s="31">
        <f t="shared" ref="BA424" si="460">SUMIF($B$2:$B$571,$B424,$U$2:$U$571)</f>
        <v>108347</v>
      </c>
      <c r="BB424" s="30">
        <f t="shared" si="427"/>
        <v>0.6542140157233084</v>
      </c>
    </row>
    <row r="425" spans="2:54" x14ac:dyDescent="0.5">
      <c r="B425" s="4">
        <v>2014</v>
      </c>
      <c r="C425" t="s">
        <v>46</v>
      </c>
      <c r="D425" t="s">
        <v>47</v>
      </c>
      <c r="E425">
        <v>5</v>
      </c>
      <c r="F425" t="s">
        <v>38</v>
      </c>
      <c r="G425" t="s">
        <v>38</v>
      </c>
      <c r="H425" t="s">
        <v>38</v>
      </c>
      <c r="I425" t="s">
        <v>38</v>
      </c>
      <c r="J425">
        <v>71</v>
      </c>
      <c r="K425">
        <v>91</v>
      </c>
      <c r="L425">
        <v>634</v>
      </c>
      <c r="M425" s="20">
        <v>5551</v>
      </c>
      <c r="N425" s="20">
        <v>1355</v>
      </c>
      <c r="O425" s="20">
        <f t="shared" si="414"/>
        <v>930</v>
      </c>
      <c r="P425" s="20">
        <v>282</v>
      </c>
      <c r="Q425" s="20">
        <v>20</v>
      </c>
      <c r="R425" s="20">
        <v>123</v>
      </c>
      <c r="S425" s="20">
        <v>535</v>
      </c>
      <c r="T425" s="20">
        <v>68</v>
      </c>
      <c r="U425" s="20">
        <f t="shared" si="415"/>
        <v>3593</v>
      </c>
      <c r="V425">
        <v>1337</v>
      </c>
      <c r="W425">
        <v>63</v>
      </c>
      <c r="X425">
        <v>25</v>
      </c>
      <c r="Y425">
        <v>52</v>
      </c>
      <c r="Z425">
        <v>715</v>
      </c>
      <c r="AA425">
        <v>653</v>
      </c>
      <c r="AB425">
        <v>4.01</v>
      </c>
      <c r="AC425">
        <v>3</v>
      </c>
      <c r="AD425">
        <v>7</v>
      </c>
      <c r="AE425">
        <v>36</v>
      </c>
      <c r="AF425" s="27">
        <f t="shared" ca="1" si="402"/>
        <v>6197</v>
      </c>
      <c r="AG425" s="27">
        <f t="shared" ca="1" si="416"/>
        <v>1372</v>
      </c>
      <c r="AH425" s="27">
        <f t="shared" ca="1" si="417"/>
        <v>822</v>
      </c>
      <c r="AI425" s="27">
        <f t="shared" ca="1" si="418"/>
        <v>286</v>
      </c>
      <c r="AJ425" s="27">
        <f t="shared" ca="1" si="419"/>
        <v>27</v>
      </c>
      <c r="AK425" s="27">
        <f t="shared" ca="1" si="420"/>
        <v>237</v>
      </c>
      <c r="AL425" s="27">
        <f t="shared" ca="1" si="421"/>
        <v>687</v>
      </c>
      <c r="AM425" s="27">
        <f t="shared" ca="1" si="422"/>
        <v>64</v>
      </c>
      <c r="AN425" s="27">
        <f t="shared" ca="1" si="423"/>
        <v>4074</v>
      </c>
      <c r="AO425">
        <v>4397</v>
      </c>
      <c r="AP425">
        <v>1458</v>
      </c>
      <c r="AQ425">
        <v>154</v>
      </c>
      <c r="AR425">
        <v>482</v>
      </c>
      <c r="AS425">
        <v>1213</v>
      </c>
      <c r="AT425">
        <v>92</v>
      </c>
      <c r="AU425">
        <v>155</v>
      </c>
      <c r="AV425">
        <v>0.98499999999999999</v>
      </c>
      <c r="AW425" s="1"/>
      <c r="AX425" s="1"/>
      <c r="AY425" s="29">
        <f t="shared" si="424"/>
        <v>29700</v>
      </c>
      <c r="AZ425" s="31">
        <f t="shared" si="425"/>
        <v>165614</v>
      </c>
      <c r="BA425" s="31"/>
      <c r="BB425" s="30">
        <f t="shared" si="427"/>
        <v>0</v>
      </c>
    </row>
    <row r="426" spans="2:54" x14ac:dyDescent="0.5">
      <c r="B426" s="4">
        <v>2014</v>
      </c>
      <c r="C426" t="s">
        <v>48</v>
      </c>
      <c r="D426" t="s">
        <v>49</v>
      </c>
      <c r="E426">
        <v>4</v>
      </c>
      <c r="F426" t="s">
        <v>38</v>
      </c>
      <c r="G426" t="s">
        <v>38</v>
      </c>
      <c r="H426" t="s">
        <v>38</v>
      </c>
      <c r="I426" t="s">
        <v>38</v>
      </c>
      <c r="J426">
        <v>73</v>
      </c>
      <c r="K426">
        <v>89</v>
      </c>
      <c r="L426">
        <v>660</v>
      </c>
      <c r="M426" s="20">
        <v>5543</v>
      </c>
      <c r="N426" s="20">
        <v>1400</v>
      </c>
      <c r="O426" s="20">
        <f t="shared" si="414"/>
        <v>934</v>
      </c>
      <c r="P426" s="20">
        <v>279</v>
      </c>
      <c r="Q426" s="20">
        <v>32</v>
      </c>
      <c r="R426" s="20">
        <v>155</v>
      </c>
      <c r="S426" s="20">
        <v>417</v>
      </c>
      <c r="T426" s="20">
        <v>60</v>
      </c>
      <c r="U426" s="20">
        <f t="shared" si="415"/>
        <v>3666</v>
      </c>
      <c r="V426">
        <v>1362</v>
      </c>
      <c r="W426">
        <v>85</v>
      </c>
      <c r="X426">
        <v>36</v>
      </c>
      <c r="Y426">
        <v>38</v>
      </c>
      <c r="Z426">
        <v>758</v>
      </c>
      <c r="AA426">
        <v>687</v>
      </c>
      <c r="AB426">
        <v>4.29</v>
      </c>
      <c r="AC426">
        <v>3</v>
      </c>
      <c r="AD426">
        <v>6</v>
      </c>
      <c r="AE426">
        <v>36</v>
      </c>
      <c r="AF426" s="27">
        <f t="shared" ca="1" si="402"/>
        <v>6384</v>
      </c>
      <c r="AG426" s="27">
        <f t="shared" ca="1" si="416"/>
        <v>1563</v>
      </c>
      <c r="AH426" s="27">
        <f t="shared" ca="1" si="417"/>
        <v>1048</v>
      </c>
      <c r="AI426" s="27">
        <f t="shared" ca="1" si="418"/>
        <v>244</v>
      </c>
      <c r="AJ426" s="27">
        <f t="shared" ca="1" si="419"/>
        <v>42</v>
      </c>
      <c r="AK426" s="27">
        <f t="shared" ca="1" si="420"/>
        <v>229</v>
      </c>
      <c r="AL426" s="27">
        <f t="shared" ca="1" si="421"/>
        <v>687</v>
      </c>
      <c r="AM426" s="27">
        <f t="shared" ca="1" si="422"/>
        <v>79</v>
      </c>
      <c r="AN426" s="27">
        <f t="shared" ca="1" si="423"/>
        <v>4055</v>
      </c>
      <c r="AO426">
        <v>4323</v>
      </c>
      <c r="AP426">
        <v>1468</v>
      </c>
      <c r="AQ426">
        <v>140</v>
      </c>
      <c r="AR426">
        <v>557</v>
      </c>
      <c r="AS426">
        <v>1152</v>
      </c>
      <c r="AT426">
        <v>107</v>
      </c>
      <c r="AU426">
        <v>170</v>
      </c>
      <c r="AV426">
        <v>0.98199999999999998</v>
      </c>
      <c r="AW426" s="1"/>
      <c r="AX426" s="1"/>
      <c r="AY426" s="29">
        <f t="shared" si="424"/>
        <v>29700</v>
      </c>
      <c r="AZ426" s="31">
        <f t="shared" si="425"/>
        <v>165614</v>
      </c>
      <c r="BA426" s="31">
        <f t="shared" ref="BA426" si="461">SUMIF($B$2:$B$571,$B426,$O$2:$O$571)</f>
        <v>28423</v>
      </c>
      <c r="BB426" s="30">
        <f t="shared" si="427"/>
        <v>0.17162196432668736</v>
      </c>
    </row>
    <row r="427" spans="2:54" x14ac:dyDescent="0.5">
      <c r="B427" s="4">
        <v>2014</v>
      </c>
      <c r="C427" t="s">
        <v>50</v>
      </c>
      <c r="D427" t="s">
        <v>51</v>
      </c>
      <c r="E427">
        <v>5</v>
      </c>
      <c r="F427" t="s">
        <v>38</v>
      </c>
      <c r="G427" t="s">
        <v>38</v>
      </c>
      <c r="H427" t="s">
        <v>38</v>
      </c>
      <c r="I427" t="s">
        <v>38</v>
      </c>
      <c r="J427">
        <v>73</v>
      </c>
      <c r="K427">
        <v>89</v>
      </c>
      <c r="L427">
        <v>614</v>
      </c>
      <c r="M427" s="20">
        <v>5508</v>
      </c>
      <c r="N427" s="20">
        <v>1315</v>
      </c>
      <c r="O427" s="20">
        <f t="shared" si="414"/>
        <v>857</v>
      </c>
      <c r="P427" s="20">
        <v>270</v>
      </c>
      <c r="Q427" s="20">
        <v>31</v>
      </c>
      <c r="R427" s="20">
        <v>157</v>
      </c>
      <c r="S427" s="20">
        <v>442</v>
      </c>
      <c r="T427" s="20">
        <v>54</v>
      </c>
      <c r="U427" s="20">
        <f t="shared" si="415"/>
        <v>3697</v>
      </c>
      <c r="V427">
        <v>1477</v>
      </c>
      <c r="W427">
        <v>65</v>
      </c>
      <c r="X427">
        <v>40</v>
      </c>
      <c r="Y427">
        <v>41</v>
      </c>
      <c r="Z427">
        <v>707</v>
      </c>
      <c r="AA427">
        <v>636</v>
      </c>
      <c r="AB427">
        <v>3.91</v>
      </c>
      <c r="AC427">
        <v>1</v>
      </c>
      <c r="AD427">
        <v>11</v>
      </c>
      <c r="AE427">
        <v>37</v>
      </c>
      <c r="AF427" s="27">
        <f t="shared" ca="1" si="402"/>
        <v>6391</v>
      </c>
      <c r="AG427" s="27">
        <f t="shared" ca="1" si="416"/>
        <v>1636</v>
      </c>
      <c r="AH427" s="27">
        <f t="shared" ca="1" si="417"/>
        <v>1063</v>
      </c>
      <c r="AI427" s="27">
        <f t="shared" ca="1" si="418"/>
        <v>288</v>
      </c>
      <c r="AJ427" s="27">
        <f t="shared" ca="1" si="419"/>
        <v>50</v>
      </c>
      <c r="AK427" s="27">
        <f t="shared" ca="1" si="420"/>
        <v>235</v>
      </c>
      <c r="AL427" s="27">
        <f t="shared" ca="1" si="421"/>
        <v>653</v>
      </c>
      <c r="AM427" s="27">
        <f t="shared" ca="1" si="422"/>
        <v>90</v>
      </c>
      <c r="AN427" s="27">
        <f t="shared" ca="1" si="423"/>
        <v>4012</v>
      </c>
      <c r="AO427">
        <v>4390</v>
      </c>
      <c r="AP427">
        <v>1398</v>
      </c>
      <c r="AQ427">
        <v>115</v>
      </c>
      <c r="AR427">
        <v>504</v>
      </c>
      <c r="AS427">
        <v>1311</v>
      </c>
      <c r="AT427">
        <v>103</v>
      </c>
      <c r="AU427">
        <v>137</v>
      </c>
      <c r="AV427">
        <v>0.98299999999999998</v>
      </c>
      <c r="AW427" s="1"/>
      <c r="AX427" s="1"/>
      <c r="AY427" s="29">
        <f t="shared" si="424"/>
        <v>29700</v>
      </c>
      <c r="AZ427" s="31">
        <f t="shared" si="425"/>
        <v>165614</v>
      </c>
      <c r="BA427" s="31">
        <f t="shared" ref="BA427" si="462">SUMIF($B$2:$B$571,$B427,$P$2:$P$571)</f>
        <v>8137</v>
      </c>
      <c r="BB427" s="30">
        <f t="shared" si="427"/>
        <v>4.9132319731423672E-2</v>
      </c>
    </row>
    <row r="428" spans="2:54" x14ac:dyDescent="0.5">
      <c r="B428" s="4">
        <v>2014</v>
      </c>
      <c r="C428" t="s">
        <v>52</v>
      </c>
      <c r="D428" t="s">
        <v>53</v>
      </c>
      <c r="E428">
        <v>4</v>
      </c>
      <c r="F428" t="s">
        <v>38</v>
      </c>
      <c r="G428" t="s">
        <v>38</v>
      </c>
      <c r="H428" t="s">
        <v>38</v>
      </c>
      <c r="I428" t="s">
        <v>38</v>
      </c>
      <c r="J428">
        <v>76</v>
      </c>
      <c r="K428">
        <v>86</v>
      </c>
      <c r="L428">
        <v>595</v>
      </c>
      <c r="M428" s="20">
        <v>5395</v>
      </c>
      <c r="N428" s="20">
        <v>1282</v>
      </c>
      <c r="O428" s="20">
        <f t="shared" si="414"/>
        <v>877</v>
      </c>
      <c r="P428" s="20">
        <v>254</v>
      </c>
      <c r="Q428" s="20">
        <v>20</v>
      </c>
      <c r="R428" s="20">
        <v>131</v>
      </c>
      <c r="S428" s="20">
        <v>415</v>
      </c>
      <c r="T428" s="20">
        <v>52</v>
      </c>
      <c r="U428" s="20">
        <f t="shared" si="415"/>
        <v>3646</v>
      </c>
      <c r="V428">
        <v>1252</v>
      </c>
      <c r="W428">
        <v>122</v>
      </c>
      <c r="X428">
        <v>52</v>
      </c>
      <c r="Y428">
        <v>37</v>
      </c>
      <c r="Z428">
        <v>612</v>
      </c>
      <c r="AA428">
        <v>576</v>
      </c>
      <c r="AB428">
        <v>3.59</v>
      </c>
      <c r="AC428">
        <v>5</v>
      </c>
      <c r="AD428">
        <v>13</v>
      </c>
      <c r="AE428">
        <v>44</v>
      </c>
      <c r="AF428" s="27">
        <f t="shared" ca="1" si="402"/>
        <v>6067</v>
      </c>
      <c r="AG428" s="27">
        <f t="shared" ca="1" si="416"/>
        <v>1555</v>
      </c>
      <c r="AH428" s="27">
        <f t="shared" ca="1" si="417"/>
        <v>1026</v>
      </c>
      <c r="AI428" s="27">
        <f t="shared" ca="1" si="418"/>
        <v>348</v>
      </c>
      <c r="AJ428" s="27">
        <f t="shared" ca="1" si="419"/>
        <v>29</v>
      </c>
      <c r="AK428" s="27">
        <f t="shared" ca="1" si="420"/>
        <v>152</v>
      </c>
      <c r="AL428" s="27">
        <f t="shared" ca="1" si="421"/>
        <v>698</v>
      </c>
      <c r="AM428" s="27">
        <f t="shared" ca="1" si="422"/>
        <v>49</v>
      </c>
      <c r="AN428" s="27">
        <f t="shared" ca="1" si="423"/>
        <v>3765</v>
      </c>
      <c r="AO428">
        <v>4338</v>
      </c>
      <c r="AP428">
        <v>1282</v>
      </c>
      <c r="AQ428">
        <v>163</v>
      </c>
      <c r="AR428">
        <v>507</v>
      </c>
      <c r="AS428">
        <v>1290</v>
      </c>
      <c r="AT428">
        <v>72</v>
      </c>
      <c r="AU428">
        <v>120</v>
      </c>
      <c r="AV428">
        <v>0.98799999999999999</v>
      </c>
      <c r="AW428" s="1"/>
      <c r="AX428" s="1"/>
      <c r="AY428" s="29">
        <f t="shared" si="424"/>
        <v>29700</v>
      </c>
      <c r="AZ428" s="31">
        <f t="shared" si="425"/>
        <v>165614</v>
      </c>
      <c r="BA428" s="31">
        <f t="shared" ref="BA428" si="463">SUMIF($B$2:$B$571,$B428,$Q$2:$Q$571)</f>
        <v>849</v>
      </c>
      <c r="BB428" s="30">
        <f t="shared" si="427"/>
        <v>5.1263782047411451E-3</v>
      </c>
    </row>
    <row r="429" spans="2:54" x14ac:dyDescent="0.5">
      <c r="B429" s="4">
        <v>2014</v>
      </c>
      <c r="C429" t="s">
        <v>54</v>
      </c>
      <c r="D429" t="s">
        <v>55</v>
      </c>
      <c r="E429">
        <v>3</v>
      </c>
      <c r="F429" t="s">
        <v>38</v>
      </c>
      <c r="G429" t="s">
        <v>38</v>
      </c>
      <c r="H429" t="s">
        <v>38</v>
      </c>
      <c r="I429" t="s">
        <v>38</v>
      </c>
      <c r="J429">
        <v>85</v>
      </c>
      <c r="K429">
        <v>77</v>
      </c>
      <c r="L429">
        <v>669</v>
      </c>
      <c r="M429" s="20">
        <v>5575</v>
      </c>
      <c r="N429" s="20">
        <v>1411</v>
      </c>
      <c r="O429" s="20">
        <f t="shared" si="414"/>
        <v>962</v>
      </c>
      <c r="P429" s="20">
        <v>284</v>
      </c>
      <c r="Q429" s="20">
        <v>23</v>
      </c>
      <c r="R429" s="20">
        <v>142</v>
      </c>
      <c r="S429" s="20">
        <v>504</v>
      </c>
      <c r="T429" s="20">
        <v>42</v>
      </c>
      <c r="U429" s="20">
        <f t="shared" si="415"/>
        <v>3618</v>
      </c>
      <c r="V429">
        <v>1189</v>
      </c>
      <c r="W429">
        <v>104</v>
      </c>
      <c r="X429">
        <v>27</v>
      </c>
      <c r="Y429">
        <v>49</v>
      </c>
      <c r="Z429">
        <v>653</v>
      </c>
      <c r="AA429">
        <v>581</v>
      </c>
      <c r="AB429">
        <v>3.56</v>
      </c>
      <c r="AC429">
        <v>6</v>
      </c>
      <c r="AD429">
        <v>15</v>
      </c>
      <c r="AE429">
        <v>40</v>
      </c>
      <c r="AF429" s="27">
        <f t="shared" ca="1" si="402"/>
        <v>6212</v>
      </c>
      <c r="AG429" s="27">
        <f t="shared" ca="1" si="416"/>
        <v>1595</v>
      </c>
      <c r="AH429" s="27">
        <f t="shared" ca="1" si="417"/>
        <v>1067</v>
      </c>
      <c r="AI429" s="27">
        <f t="shared" ca="1" si="418"/>
        <v>294</v>
      </c>
      <c r="AJ429" s="27">
        <f t="shared" ca="1" si="419"/>
        <v>47</v>
      </c>
      <c r="AK429" s="27">
        <f t="shared" ca="1" si="420"/>
        <v>187</v>
      </c>
      <c r="AL429" s="27">
        <f t="shared" ca="1" si="421"/>
        <v>425</v>
      </c>
      <c r="AM429" s="27">
        <f t="shared" ca="1" si="422"/>
        <v>47</v>
      </c>
      <c r="AN429" s="27">
        <f t="shared" ca="1" si="423"/>
        <v>4145</v>
      </c>
      <c r="AO429">
        <v>4405</v>
      </c>
      <c r="AP429">
        <v>1398</v>
      </c>
      <c r="AQ429">
        <v>135</v>
      </c>
      <c r="AR429">
        <v>464</v>
      </c>
      <c r="AS429">
        <v>1450</v>
      </c>
      <c r="AT429">
        <v>116</v>
      </c>
      <c r="AU429">
        <v>139</v>
      </c>
      <c r="AV429">
        <v>0.98099999999999998</v>
      </c>
      <c r="AW429" s="1"/>
      <c r="AX429" s="1"/>
      <c r="AY429" s="29">
        <f t="shared" si="424"/>
        <v>29700</v>
      </c>
      <c r="AZ429" s="31">
        <f t="shared" si="425"/>
        <v>165614</v>
      </c>
      <c r="BA429" s="31">
        <f t="shared" ref="BA429" si="464">SUMIF($B$2:$B$571,$B429,$R$2:$R$571)</f>
        <v>4186</v>
      </c>
      <c r="BB429" s="30">
        <f t="shared" si="427"/>
        <v>2.5275640948229015E-2</v>
      </c>
    </row>
    <row r="430" spans="2:54" x14ac:dyDescent="0.5">
      <c r="B430" s="4">
        <v>2014</v>
      </c>
      <c r="C430" t="s">
        <v>56</v>
      </c>
      <c r="D430" t="s">
        <v>57</v>
      </c>
      <c r="E430">
        <v>4</v>
      </c>
      <c r="F430" t="s">
        <v>38</v>
      </c>
      <c r="G430" t="s">
        <v>38</v>
      </c>
      <c r="H430" t="s">
        <v>38</v>
      </c>
      <c r="I430" t="s">
        <v>38</v>
      </c>
      <c r="J430">
        <v>66</v>
      </c>
      <c r="K430">
        <v>96</v>
      </c>
      <c r="L430">
        <v>755</v>
      </c>
      <c r="M430" s="20">
        <v>5612</v>
      </c>
      <c r="N430" s="20">
        <v>1551</v>
      </c>
      <c r="O430" s="20">
        <f t="shared" si="414"/>
        <v>1017</v>
      </c>
      <c r="P430" s="20">
        <v>307</v>
      </c>
      <c r="Q430" s="20">
        <v>41</v>
      </c>
      <c r="R430" s="20">
        <v>186</v>
      </c>
      <c r="S430" s="20">
        <v>397</v>
      </c>
      <c r="T430" s="20">
        <v>48</v>
      </c>
      <c r="U430" s="20">
        <f t="shared" si="415"/>
        <v>3616</v>
      </c>
      <c r="V430">
        <v>1281</v>
      </c>
      <c r="W430">
        <v>85</v>
      </c>
      <c r="X430">
        <v>48</v>
      </c>
      <c r="Y430">
        <v>48</v>
      </c>
      <c r="Z430">
        <v>818</v>
      </c>
      <c r="AA430">
        <v>770</v>
      </c>
      <c r="AB430">
        <v>4.84</v>
      </c>
      <c r="AC430">
        <v>1</v>
      </c>
      <c r="AD430">
        <v>4</v>
      </c>
      <c r="AE430">
        <v>24</v>
      </c>
      <c r="AF430" s="27">
        <f t="shared" ca="1" si="402"/>
        <v>6461</v>
      </c>
      <c r="AG430" s="27">
        <f t="shared" ca="1" si="416"/>
        <v>1629</v>
      </c>
      <c r="AH430" s="27">
        <f t="shared" ca="1" si="417"/>
        <v>1119</v>
      </c>
      <c r="AI430" s="27">
        <f t="shared" ca="1" si="418"/>
        <v>308</v>
      </c>
      <c r="AJ430" s="27">
        <f t="shared" ca="1" si="419"/>
        <v>30</v>
      </c>
      <c r="AK430" s="27">
        <f t="shared" ca="1" si="420"/>
        <v>172</v>
      </c>
      <c r="AL430" s="27">
        <f t="shared" ca="1" si="421"/>
        <v>545</v>
      </c>
      <c r="AM430" s="27">
        <f t="shared" ca="1" si="422"/>
        <v>45</v>
      </c>
      <c r="AN430" s="27">
        <f t="shared" ca="1" si="423"/>
        <v>4242</v>
      </c>
      <c r="AO430">
        <v>4293</v>
      </c>
      <c r="AP430">
        <v>1528</v>
      </c>
      <c r="AQ430">
        <v>173</v>
      </c>
      <c r="AR430">
        <v>531</v>
      </c>
      <c r="AS430">
        <v>1074</v>
      </c>
      <c r="AT430">
        <v>106</v>
      </c>
      <c r="AU430">
        <v>166</v>
      </c>
      <c r="AV430">
        <v>0.98299999999999998</v>
      </c>
      <c r="AW430" s="1"/>
      <c r="AX430" s="1"/>
      <c r="AY430" s="29">
        <f t="shared" si="424"/>
        <v>29700</v>
      </c>
      <c r="AZ430" s="31">
        <f t="shared" si="425"/>
        <v>165614</v>
      </c>
      <c r="BA430" s="31">
        <f t="shared" ref="BA430" si="465">SUMIF($B$2:$B$571,$B430,$S$2:$S$571)</f>
        <v>14020</v>
      </c>
      <c r="BB430" s="30">
        <f t="shared" si="427"/>
        <v>8.4654678952262488E-2</v>
      </c>
    </row>
    <row r="431" spans="2:54" x14ac:dyDescent="0.5">
      <c r="B431" s="4">
        <v>2014</v>
      </c>
      <c r="C431" t="s">
        <v>58</v>
      </c>
      <c r="D431" t="s">
        <v>59</v>
      </c>
      <c r="E431">
        <v>1</v>
      </c>
      <c r="F431" t="s">
        <v>43</v>
      </c>
      <c r="G431" t="s">
        <v>38</v>
      </c>
      <c r="H431" t="s">
        <v>38</v>
      </c>
      <c r="I431" t="s">
        <v>38</v>
      </c>
      <c r="J431">
        <v>90</v>
      </c>
      <c r="K431">
        <v>72</v>
      </c>
      <c r="L431">
        <v>757</v>
      </c>
      <c r="M431" s="20">
        <v>5630</v>
      </c>
      <c r="N431" s="20">
        <v>1557</v>
      </c>
      <c r="O431" s="20">
        <f t="shared" si="414"/>
        <v>1051</v>
      </c>
      <c r="P431" s="20">
        <v>325</v>
      </c>
      <c r="Q431" s="20">
        <v>26</v>
      </c>
      <c r="R431" s="20">
        <v>155</v>
      </c>
      <c r="S431" s="20">
        <v>443</v>
      </c>
      <c r="T431" s="20">
        <v>44</v>
      </c>
      <c r="U431" s="20">
        <f t="shared" si="415"/>
        <v>3586</v>
      </c>
      <c r="V431">
        <v>1144</v>
      </c>
      <c r="W431">
        <v>106</v>
      </c>
      <c r="X431">
        <v>41</v>
      </c>
      <c r="Y431">
        <v>61</v>
      </c>
      <c r="Z431">
        <v>705</v>
      </c>
      <c r="AA431">
        <v>648</v>
      </c>
      <c r="AB431">
        <v>4.01</v>
      </c>
      <c r="AC431">
        <v>5</v>
      </c>
      <c r="AD431">
        <v>8</v>
      </c>
      <c r="AE431">
        <v>41</v>
      </c>
      <c r="AF431" s="27">
        <f t="shared" ca="1" si="402"/>
        <v>6348</v>
      </c>
      <c r="AG431" s="27">
        <f t="shared" ca="1" si="416"/>
        <v>1528</v>
      </c>
      <c r="AH431" s="27">
        <f t="shared" ca="1" si="417"/>
        <v>1098</v>
      </c>
      <c r="AI431" s="27">
        <f t="shared" ca="1" si="418"/>
        <v>263</v>
      </c>
      <c r="AJ431" s="27">
        <f t="shared" ca="1" si="419"/>
        <v>27</v>
      </c>
      <c r="AK431" s="27">
        <f t="shared" ca="1" si="420"/>
        <v>140</v>
      </c>
      <c r="AL431" s="27">
        <f t="shared" ca="1" si="421"/>
        <v>663</v>
      </c>
      <c r="AM431" s="27">
        <f t="shared" ca="1" si="422"/>
        <v>64</v>
      </c>
      <c r="AN431" s="27">
        <f t="shared" ca="1" si="423"/>
        <v>4093</v>
      </c>
      <c r="AO431">
        <v>4362</v>
      </c>
      <c r="AP431">
        <v>1475</v>
      </c>
      <c r="AQ431">
        <v>127</v>
      </c>
      <c r="AR431">
        <v>462</v>
      </c>
      <c r="AS431">
        <v>1244</v>
      </c>
      <c r="AT431">
        <v>101</v>
      </c>
      <c r="AU431">
        <v>153</v>
      </c>
      <c r="AV431">
        <v>0.98299999999999998</v>
      </c>
      <c r="AW431" s="1"/>
      <c r="AX431" s="1"/>
      <c r="AY431" s="29">
        <f t="shared" si="424"/>
        <v>29700</v>
      </c>
      <c r="AZ431" s="31">
        <f t="shared" si="425"/>
        <v>165614</v>
      </c>
      <c r="BA431" s="31">
        <f t="shared" ref="BA431" si="466">SUMIF($B$2:$B$571,$B431,$T$2:$T$571)</f>
        <v>1652</v>
      </c>
      <c r="BB431" s="30">
        <f t="shared" si="427"/>
        <v>9.9750021133479059E-3</v>
      </c>
    </row>
    <row r="432" spans="2:54" x14ac:dyDescent="0.5">
      <c r="B432" s="4">
        <v>2014</v>
      </c>
      <c r="C432" t="s">
        <v>62</v>
      </c>
      <c r="D432" t="s">
        <v>63</v>
      </c>
      <c r="E432">
        <v>4</v>
      </c>
      <c r="F432" t="s">
        <v>38</v>
      </c>
      <c r="G432" t="s">
        <v>38</v>
      </c>
      <c r="H432" t="s">
        <v>38</v>
      </c>
      <c r="I432" t="s">
        <v>38</v>
      </c>
      <c r="J432">
        <v>70</v>
      </c>
      <c r="K432">
        <v>92</v>
      </c>
      <c r="L432">
        <v>629</v>
      </c>
      <c r="M432" s="20">
        <v>5447</v>
      </c>
      <c r="N432" s="20">
        <v>1317</v>
      </c>
      <c r="O432" s="20">
        <f t="shared" si="414"/>
        <v>895</v>
      </c>
      <c r="P432" s="20">
        <v>240</v>
      </c>
      <c r="Q432" s="20">
        <v>19</v>
      </c>
      <c r="R432" s="20">
        <v>163</v>
      </c>
      <c r="S432" s="20">
        <v>495</v>
      </c>
      <c r="T432" s="20">
        <v>55</v>
      </c>
      <c r="U432" s="20">
        <f t="shared" si="415"/>
        <v>3580</v>
      </c>
      <c r="V432">
        <v>1442</v>
      </c>
      <c r="W432">
        <v>122</v>
      </c>
      <c r="X432">
        <v>37</v>
      </c>
      <c r="Y432">
        <v>36</v>
      </c>
      <c r="Z432">
        <v>723</v>
      </c>
      <c r="AA432">
        <v>657</v>
      </c>
      <c r="AB432">
        <v>4.1100000000000003</v>
      </c>
      <c r="AC432">
        <v>7</v>
      </c>
      <c r="AD432">
        <v>3</v>
      </c>
      <c r="AE432">
        <v>31</v>
      </c>
      <c r="AF432" s="27">
        <f t="shared" ca="1" si="402"/>
        <v>6355</v>
      </c>
      <c r="AG432" s="27">
        <f t="shared" ca="1" si="416"/>
        <v>1606</v>
      </c>
      <c r="AH432" s="27">
        <f t="shared" ca="1" si="417"/>
        <v>1029</v>
      </c>
      <c r="AI432" s="27">
        <f t="shared" ca="1" si="418"/>
        <v>312</v>
      </c>
      <c r="AJ432" s="27">
        <f t="shared" ca="1" si="419"/>
        <v>41</v>
      </c>
      <c r="AK432" s="27">
        <f t="shared" ca="1" si="420"/>
        <v>224</v>
      </c>
      <c r="AL432" s="27">
        <f t="shared" ca="1" si="421"/>
        <v>623</v>
      </c>
      <c r="AM432" s="27">
        <f t="shared" ca="1" si="422"/>
        <v>78</v>
      </c>
      <c r="AN432" s="27">
        <f t="shared" ca="1" si="423"/>
        <v>4048</v>
      </c>
      <c r="AO432">
        <v>4316</v>
      </c>
      <c r="AP432">
        <v>1437</v>
      </c>
      <c r="AQ432">
        <v>139</v>
      </c>
      <c r="AR432">
        <v>484</v>
      </c>
      <c r="AS432">
        <v>1137</v>
      </c>
      <c r="AT432">
        <v>106</v>
      </c>
      <c r="AU432">
        <v>151</v>
      </c>
      <c r="AV432">
        <v>0.98299999999999998</v>
      </c>
      <c r="AW432" s="1"/>
      <c r="AX432" s="1"/>
      <c r="AY432" s="29">
        <f t="shared" si="424"/>
        <v>29700</v>
      </c>
      <c r="AZ432" s="31">
        <f t="shared" si="425"/>
        <v>165614</v>
      </c>
      <c r="BA432" s="31">
        <f t="shared" ref="BA432" si="467">SUMIF($B$2:$B$571,$B432,$U$2:$U$571)</f>
        <v>108347</v>
      </c>
      <c r="BB432" s="30">
        <f t="shared" si="427"/>
        <v>0.6542140157233084</v>
      </c>
    </row>
    <row r="433" spans="2:54" x14ac:dyDescent="0.5">
      <c r="B433" s="4">
        <v>2014</v>
      </c>
      <c r="C433" t="s">
        <v>64</v>
      </c>
      <c r="D433" t="s">
        <v>65</v>
      </c>
      <c r="E433">
        <v>2</v>
      </c>
      <c r="F433" t="s">
        <v>38</v>
      </c>
      <c r="G433" t="s">
        <v>43</v>
      </c>
      <c r="H433" t="s">
        <v>43</v>
      </c>
      <c r="I433" t="s">
        <v>38</v>
      </c>
      <c r="J433">
        <v>89</v>
      </c>
      <c r="K433">
        <v>73</v>
      </c>
      <c r="L433">
        <v>651</v>
      </c>
      <c r="M433" s="20">
        <v>5545</v>
      </c>
      <c r="N433" s="20">
        <v>1456</v>
      </c>
      <c r="O433" s="20">
        <f t="shared" si="414"/>
        <v>1046</v>
      </c>
      <c r="P433" s="20">
        <v>286</v>
      </c>
      <c r="Q433" s="20">
        <v>29</v>
      </c>
      <c r="R433" s="20">
        <v>95</v>
      </c>
      <c r="S433" s="20">
        <v>380</v>
      </c>
      <c r="T433" s="20">
        <v>53</v>
      </c>
      <c r="U433" s="20">
        <f t="shared" si="415"/>
        <v>3656</v>
      </c>
      <c r="V433">
        <v>985</v>
      </c>
      <c r="W433">
        <v>153</v>
      </c>
      <c r="X433">
        <v>36</v>
      </c>
      <c r="Y433">
        <v>47</v>
      </c>
      <c r="Z433">
        <v>624</v>
      </c>
      <c r="AA433">
        <v>565</v>
      </c>
      <c r="AB433">
        <v>3.51</v>
      </c>
      <c r="AC433">
        <v>3</v>
      </c>
      <c r="AD433">
        <v>14</v>
      </c>
      <c r="AE433">
        <v>53</v>
      </c>
      <c r="AF433" s="27">
        <f t="shared" ca="1" si="402"/>
        <v>6479</v>
      </c>
      <c r="AG433" s="27">
        <f t="shared" ca="1" si="416"/>
        <v>1543</v>
      </c>
      <c r="AH433" s="27">
        <f t="shared" ca="1" si="417"/>
        <v>1035</v>
      </c>
      <c r="AI433" s="27">
        <f t="shared" ca="1" si="418"/>
        <v>293</v>
      </c>
      <c r="AJ433" s="27">
        <f t="shared" ca="1" si="419"/>
        <v>41</v>
      </c>
      <c r="AK433" s="27">
        <f t="shared" ca="1" si="420"/>
        <v>174</v>
      </c>
      <c r="AL433" s="27">
        <f t="shared" ca="1" si="421"/>
        <v>608</v>
      </c>
      <c r="AM433" s="27">
        <f t="shared" ca="1" si="422"/>
        <v>61</v>
      </c>
      <c r="AN433" s="27">
        <f t="shared" ca="1" si="423"/>
        <v>4267</v>
      </c>
      <c r="AO433">
        <v>4352</v>
      </c>
      <c r="AP433">
        <v>1386</v>
      </c>
      <c r="AQ433">
        <v>128</v>
      </c>
      <c r="AR433">
        <v>440</v>
      </c>
      <c r="AS433">
        <v>1168</v>
      </c>
      <c r="AT433">
        <v>104</v>
      </c>
      <c r="AU433">
        <v>122</v>
      </c>
      <c r="AV433">
        <v>0.98299999999999998</v>
      </c>
      <c r="AW433" s="1"/>
      <c r="AX433" s="1"/>
      <c r="AY433" s="29">
        <f t="shared" si="424"/>
        <v>29700</v>
      </c>
      <c r="AZ433" s="31">
        <f t="shared" si="425"/>
        <v>165614</v>
      </c>
      <c r="BA433" s="31"/>
      <c r="BB433" s="30">
        <f t="shared" si="427"/>
        <v>0</v>
      </c>
    </row>
    <row r="434" spans="2:54" x14ac:dyDescent="0.5">
      <c r="B434" s="4">
        <v>2014</v>
      </c>
      <c r="C434" t="s">
        <v>98</v>
      </c>
      <c r="D434" t="s">
        <v>99</v>
      </c>
      <c r="E434">
        <v>1</v>
      </c>
      <c r="F434" t="s">
        <v>43</v>
      </c>
      <c r="G434" t="s">
        <v>38</v>
      </c>
      <c r="H434" t="s">
        <v>38</v>
      </c>
      <c r="I434" t="s">
        <v>38</v>
      </c>
      <c r="J434">
        <v>98</v>
      </c>
      <c r="K434">
        <v>64</v>
      </c>
      <c r="L434">
        <v>773</v>
      </c>
      <c r="M434" s="20">
        <v>5652</v>
      </c>
      <c r="N434" s="20">
        <v>1464</v>
      </c>
      <c r="O434" s="20">
        <f t="shared" si="414"/>
        <v>974</v>
      </c>
      <c r="P434" s="20">
        <v>304</v>
      </c>
      <c r="Q434" s="20">
        <v>31</v>
      </c>
      <c r="R434" s="20">
        <v>155</v>
      </c>
      <c r="S434" s="20">
        <v>492</v>
      </c>
      <c r="T434" s="20">
        <v>60</v>
      </c>
      <c r="U434" s="20">
        <f t="shared" si="415"/>
        <v>3636</v>
      </c>
      <c r="V434">
        <v>1266</v>
      </c>
      <c r="W434">
        <v>81</v>
      </c>
      <c r="X434">
        <v>39</v>
      </c>
      <c r="Y434">
        <v>54</v>
      </c>
      <c r="Z434">
        <v>630</v>
      </c>
      <c r="AA434">
        <v>590</v>
      </c>
      <c r="AB434">
        <v>3.58</v>
      </c>
      <c r="AC434">
        <v>3</v>
      </c>
      <c r="AD434">
        <v>13</v>
      </c>
      <c r="AE434">
        <v>46</v>
      </c>
      <c r="AF434" s="27">
        <f t="shared" ca="1" si="402"/>
        <v>6313</v>
      </c>
      <c r="AG434" s="27">
        <f t="shared" ca="1" si="416"/>
        <v>1684</v>
      </c>
      <c r="AH434" s="27">
        <f t="shared" ca="1" si="417"/>
        <v>1212</v>
      </c>
      <c r="AI434" s="27">
        <f t="shared" ca="1" si="418"/>
        <v>261</v>
      </c>
      <c r="AJ434" s="27">
        <f t="shared" ca="1" si="419"/>
        <v>46</v>
      </c>
      <c r="AK434" s="27">
        <f t="shared" ca="1" si="420"/>
        <v>165</v>
      </c>
      <c r="AL434" s="27">
        <f t="shared" ca="1" si="421"/>
        <v>460</v>
      </c>
      <c r="AM434" s="27">
        <f t="shared" ca="1" si="422"/>
        <v>37</v>
      </c>
      <c r="AN434" s="27">
        <f t="shared" ca="1" si="423"/>
        <v>4132</v>
      </c>
      <c r="AO434">
        <v>4448</v>
      </c>
      <c r="AP434">
        <v>1307</v>
      </c>
      <c r="AQ434">
        <v>126</v>
      </c>
      <c r="AR434">
        <v>504</v>
      </c>
      <c r="AS434">
        <v>1342</v>
      </c>
      <c r="AT434">
        <v>83</v>
      </c>
      <c r="AU434">
        <v>127</v>
      </c>
      <c r="AV434">
        <v>0.98599999999999999</v>
      </c>
      <c r="AW434" s="1"/>
      <c r="AX434" s="1"/>
      <c r="AY434" s="29">
        <f t="shared" si="424"/>
        <v>29700</v>
      </c>
      <c r="AZ434" s="31">
        <f t="shared" si="425"/>
        <v>165614</v>
      </c>
      <c r="BA434" s="31">
        <f t="shared" ref="BA434" si="468">SUMIF($B$2:$B$571,$B434,$O$2:$O$571)</f>
        <v>28423</v>
      </c>
      <c r="BB434" s="30">
        <f t="shared" si="427"/>
        <v>0.17162196432668736</v>
      </c>
    </row>
    <row r="435" spans="2:54" x14ac:dyDescent="0.5">
      <c r="B435" s="4">
        <v>2014</v>
      </c>
      <c r="C435" t="s">
        <v>66</v>
      </c>
      <c r="D435" t="s">
        <v>67</v>
      </c>
      <c r="E435">
        <v>1</v>
      </c>
      <c r="F435" t="s">
        <v>43</v>
      </c>
      <c r="G435" t="s">
        <v>38</v>
      </c>
      <c r="H435" t="s">
        <v>38</v>
      </c>
      <c r="I435" t="s">
        <v>38</v>
      </c>
      <c r="J435">
        <v>94</v>
      </c>
      <c r="K435">
        <v>68</v>
      </c>
      <c r="L435">
        <v>718</v>
      </c>
      <c r="M435" s="20">
        <v>5560</v>
      </c>
      <c r="N435" s="20">
        <v>1476</v>
      </c>
      <c r="O435" s="20">
        <f t="shared" si="414"/>
        <v>1002</v>
      </c>
      <c r="P435" s="20">
        <v>302</v>
      </c>
      <c r="Q435" s="20">
        <v>38</v>
      </c>
      <c r="R435" s="20">
        <v>134</v>
      </c>
      <c r="S435" s="20">
        <v>519</v>
      </c>
      <c r="T435" s="20">
        <v>61</v>
      </c>
      <c r="U435" s="20">
        <f t="shared" si="415"/>
        <v>3504</v>
      </c>
      <c r="V435">
        <v>1246</v>
      </c>
      <c r="W435">
        <v>138</v>
      </c>
      <c r="X435">
        <v>50</v>
      </c>
      <c r="Y435">
        <v>43</v>
      </c>
      <c r="Z435">
        <v>617</v>
      </c>
      <c r="AA435">
        <v>554</v>
      </c>
      <c r="AB435">
        <v>3.4</v>
      </c>
      <c r="AC435">
        <v>7</v>
      </c>
      <c r="AD435">
        <v>16</v>
      </c>
      <c r="AE435">
        <v>47</v>
      </c>
      <c r="AF435" s="27">
        <f t="shared" ca="1" si="402"/>
        <v>6473</v>
      </c>
      <c r="AG435" s="27">
        <f t="shared" ca="1" si="416"/>
        <v>1348</v>
      </c>
      <c r="AH435" s="27">
        <f t="shared" ca="1" si="417"/>
        <v>758</v>
      </c>
      <c r="AI435" s="27">
        <f t="shared" ca="1" si="418"/>
        <v>362</v>
      </c>
      <c r="AJ435" s="27">
        <f t="shared" ca="1" si="419"/>
        <v>27</v>
      </c>
      <c r="AK435" s="27">
        <f t="shared" ca="1" si="420"/>
        <v>201</v>
      </c>
      <c r="AL435" s="27">
        <f t="shared" ca="1" si="421"/>
        <v>505</v>
      </c>
      <c r="AM435" s="27">
        <f t="shared" ca="1" si="422"/>
        <v>62</v>
      </c>
      <c r="AN435" s="27">
        <f t="shared" ca="1" si="423"/>
        <v>4558</v>
      </c>
      <c r="AO435">
        <v>4394</v>
      </c>
      <c r="AP435">
        <v>1338</v>
      </c>
      <c r="AQ435">
        <v>142</v>
      </c>
      <c r="AR435">
        <v>429</v>
      </c>
      <c r="AS435">
        <v>1373</v>
      </c>
      <c r="AT435">
        <v>107</v>
      </c>
      <c r="AU435">
        <v>145</v>
      </c>
      <c r="AV435">
        <v>0.98299999999999998</v>
      </c>
      <c r="AW435" s="1"/>
      <c r="AX435" s="1"/>
      <c r="AY435" s="29">
        <f t="shared" si="424"/>
        <v>29700</v>
      </c>
      <c r="AZ435" s="31">
        <f t="shared" si="425"/>
        <v>165614</v>
      </c>
      <c r="BA435" s="31">
        <f t="shared" ref="BA435" si="469">SUMIF($B$2:$B$571,$B435,$P$2:$P$571)</f>
        <v>8137</v>
      </c>
      <c r="BB435" s="30">
        <f t="shared" si="427"/>
        <v>4.9132319731423672E-2</v>
      </c>
    </row>
    <row r="436" spans="2:54" x14ac:dyDescent="0.5">
      <c r="B436" s="4">
        <v>2014</v>
      </c>
      <c r="C436" t="s">
        <v>103</v>
      </c>
      <c r="D436" t="s">
        <v>104</v>
      </c>
      <c r="E436">
        <v>4</v>
      </c>
      <c r="F436" t="s">
        <v>38</v>
      </c>
      <c r="G436" t="s">
        <v>38</v>
      </c>
      <c r="H436" t="s">
        <v>38</v>
      </c>
      <c r="I436" t="s">
        <v>38</v>
      </c>
      <c r="J436">
        <v>77</v>
      </c>
      <c r="K436">
        <v>85</v>
      </c>
      <c r="L436">
        <v>645</v>
      </c>
      <c r="M436" s="20">
        <v>5538</v>
      </c>
      <c r="N436" s="20">
        <v>1399</v>
      </c>
      <c r="O436" s="20">
        <f t="shared" si="414"/>
        <v>987</v>
      </c>
      <c r="P436" s="20">
        <v>254</v>
      </c>
      <c r="Q436" s="20">
        <v>36</v>
      </c>
      <c r="R436" s="20">
        <v>122</v>
      </c>
      <c r="S436" s="20">
        <v>501</v>
      </c>
      <c r="T436" s="20">
        <v>35</v>
      </c>
      <c r="U436" s="20">
        <f t="shared" si="415"/>
        <v>3603</v>
      </c>
      <c r="V436">
        <v>1419</v>
      </c>
      <c r="W436">
        <v>58</v>
      </c>
      <c r="X436">
        <v>21</v>
      </c>
      <c r="Y436">
        <v>39</v>
      </c>
      <c r="Z436">
        <v>674</v>
      </c>
      <c r="AA436">
        <v>613</v>
      </c>
      <c r="AB436">
        <v>3.78</v>
      </c>
      <c r="AC436">
        <v>3</v>
      </c>
      <c r="AD436">
        <v>16</v>
      </c>
      <c r="AE436">
        <v>42</v>
      </c>
      <c r="AF436" s="27">
        <f t="shared" ca="1" si="402"/>
        <v>6181</v>
      </c>
      <c r="AG436" s="27">
        <f t="shared" ca="1" si="416"/>
        <v>1364</v>
      </c>
      <c r="AH436" s="27">
        <f t="shared" ca="1" si="417"/>
        <v>804</v>
      </c>
      <c r="AI436" s="27">
        <f t="shared" ca="1" si="418"/>
        <v>363</v>
      </c>
      <c r="AJ436" s="27">
        <f t="shared" ca="1" si="419"/>
        <v>35</v>
      </c>
      <c r="AK436" s="27">
        <f t="shared" ca="1" si="420"/>
        <v>162</v>
      </c>
      <c r="AL436" s="27">
        <f t="shared" ca="1" si="421"/>
        <v>425</v>
      </c>
      <c r="AM436" s="27">
        <f t="shared" ca="1" si="422"/>
        <v>65</v>
      </c>
      <c r="AN436" s="27">
        <f t="shared" ca="1" si="423"/>
        <v>4327</v>
      </c>
      <c r="AO436">
        <v>4373</v>
      </c>
      <c r="AP436">
        <v>1481</v>
      </c>
      <c r="AQ436">
        <v>114</v>
      </c>
      <c r="AR436">
        <v>458</v>
      </c>
      <c r="AS436">
        <v>1190</v>
      </c>
      <c r="AT436">
        <v>97</v>
      </c>
      <c r="AU436">
        <v>154</v>
      </c>
      <c r="AV436">
        <v>0.98399999999999999</v>
      </c>
      <c r="AW436" s="1"/>
      <c r="AX436" s="1"/>
      <c r="AY436" s="29">
        <f t="shared" si="424"/>
        <v>29700</v>
      </c>
      <c r="AZ436" s="31">
        <f t="shared" si="425"/>
        <v>165614</v>
      </c>
      <c r="BA436" s="31">
        <f t="shared" ref="BA436" si="470">SUMIF($B$2:$B$571,$B436,$Q$2:$Q$571)</f>
        <v>849</v>
      </c>
      <c r="BB436" s="30">
        <f t="shared" si="427"/>
        <v>5.1263782047411451E-3</v>
      </c>
    </row>
    <row r="437" spans="2:54" x14ac:dyDescent="0.5">
      <c r="B437" s="4">
        <v>2014</v>
      </c>
      <c r="C437" t="s">
        <v>68</v>
      </c>
      <c r="D437" t="s">
        <v>69</v>
      </c>
      <c r="E437">
        <v>3</v>
      </c>
      <c r="F437" t="s">
        <v>38</v>
      </c>
      <c r="G437" t="s">
        <v>38</v>
      </c>
      <c r="H437" t="s">
        <v>38</v>
      </c>
      <c r="I437" t="s">
        <v>38</v>
      </c>
      <c r="J437">
        <v>82</v>
      </c>
      <c r="K437">
        <v>80</v>
      </c>
      <c r="L437">
        <v>650</v>
      </c>
      <c r="M437" s="20">
        <v>5462</v>
      </c>
      <c r="N437" s="20">
        <v>1366</v>
      </c>
      <c r="O437" s="20">
        <f t="shared" si="414"/>
        <v>891</v>
      </c>
      <c r="P437" s="20">
        <v>297</v>
      </c>
      <c r="Q437" s="20">
        <v>28</v>
      </c>
      <c r="R437" s="20">
        <v>150</v>
      </c>
      <c r="S437" s="20">
        <v>423</v>
      </c>
      <c r="T437" s="20">
        <v>73</v>
      </c>
      <c r="U437" s="20">
        <f t="shared" si="415"/>
        <v>3600</v>
      </c>
      <c r="V437">
        <v>1197</v>
      </c>
      <c r="W437">
        <v>102</v>
      </c>
      <c r="X437">
        <v>43</v>
      </c>
      <c r="Y437">
        <v>37</v>
      </c>
      <c r="Z437">
        <v>657</v>
      </c>
      <c r="AA437">
        <v>594</v>
      </c>
      <c r="AB437">
        <v>3.67</v>
      </c>
      <c r="AC437">
        <v>3</v>
      </c>
      <c r="AD437">
        <v>9</v>
      </c>
      <c r="AE437">
        <v>45</v>
      </c>
      <c r="AF437" s="27">
        <f t="shared" ca="1" si="402"/>
        <v>6058</v>
      </c>
      <c r="AG437" s="27">
        <f t="shared" ca="1" si="416"/>
        <v>1437</v>
      </c>
      <c r="AH437" s="27">
        <f t="shared" ca="1" si="417"/>
        <v>983</v>
      </c>
      <c r="AI437" s="27">
        <f t="shared" ca="1" si="418"/>
        <v>246</v>
      </c>
      <c r="AJ437" s="27">
        <f t="shared" ca="1" si="419"/>
        <v>30</v>
      </c>
      <c r="AK437" s="27">
        <f t="shared" ca="1" si="420"/>
        <v>178</v>
      </c>
      <c r="AL437" s="27">
        <f t="shared" ca="1" si="421"/>
        <v>581</v>
      </c>
      <c r="AM437" s="27">
        <f t="shared" ca="1" si="422"/>
        <v>77</v>
      </c>
      <c r="AN437" s="27">
        <f t="shared" ca="1" si="423"/>
        <v>3963</v>
      </c>
      <c r="AO437">
        <v>4373</v>
      </c>
      <c r="AP437">
        <v>1386</v>
      </c>
      <c r="AQ437">
        <v>167</v>
      </c>
      <c r="AR437">
        <v>431</v>
      </c>
      <c r="AS437">
        <v>1246</v>
      </c>
      <c r="AT437">
        <v>99</v>
      </c>
      <c r="AU437">
        <v>130</v>
      </c>
      <c r="AV437">
        <v>0.98399999999999999</v>
      </c>
      <c r="AW437" s="1"/>
      <c r="AX437" s="1"/>
      <c r="AY437" s="29">
        <f t="shared" si="424"/>
        <v>29700</v>
      </c>
      <c r="AZ437" s="31">
        <f t="shared" si="425"/>
        <v>165614</v>
      </c>
      <c r="BA437" s="31">
        <f t="shared" ref="BA437" si="471">SUMIF($B$2:$B$571,$B437,$R$2:$R$571)</f>
        <v>4186</v>
      </c>
      <c r="BB437" s="30">
        <f t="shared" si="427"/>
        <v>2.5275640948229015E-2</v>
      </c>
    </row>
    <row r="438" spans="2:54" x14ac:dyDescent="0.5">
      <c r="B438" s="4">
        <v>2014</v>
      </c>
      <c r="C438" t="s">
        <v>70</v>
      </c>
      <c r="D438" t="s">
        <v>71</v>
      </c>
      <c r="E438">
        <v>5</v>
      </c>
      <c r="F438" t="s">
        <v>38</v>
      </c>
      <c r="G438" t="s">
        <v>38</v>
      </c>
      <c r="H438" t="s">
        <v>38</v>
      </c>
      <c r="I438" t="s">
        <v>38</v>
      </c>
      <c r="J438">
        <v>70</v>
      </c>
      <c r="K438">
        <v>92</v>
      </c>
      <c r="L438">
        <v>715</v>
      </c>
      <c r="M438" s="20">
        <v>5567</v>
      </c>
      <c r="N438" s="20">
        <v>1412</v>
      </c>
      <c r="O438" s="20">
        <f t="shared" si="414"/>
        <v>941</v>
      </c>
      <c r="P438" s="20">
        <v>316</v>
      </c>
      <c r="Q438" s="20">
        <v>27</v>
      </c>
      <c r="R438" s="20">
        <v>128</v>
      </c>
      <c r="S438" s="20">
        <v>544</v>
      </c>
      <c r="T438" s="20">
        <v>53</v>
      </c>
      <c r="U438" s="20">
        <f t="shared" si="415"/>
        <v>3558</v>
      </c>
      <c r="V438">
        <v>1329</v>
      </c>
      <c r="W438">
        <v>99</v>
      </c>
      <c r="X438">
        <v>36</v>
      </c>
      <c r="Y438">
        <v>44</v>
      </c>
      <c r="Z438">
        <v>777</v>
      </c>
      <c r="AA438">
        <v>728</v>
      </c>
      <c r="AB438">
        <v>4.57</v>
      </c>
      <c r="AC438">
        <v>2</v>
      </c>
      <c r="AD438">
        <v>7</v>
      </c>
      <c r="AE438">
        <v>38</v>
      </c>
      <c r="AF438" s="27">
        <f t="shared" ref="AF438:AF501" ca="1" si="472">RANDBETWEEN(6049,6490)</f>
        <v>6202</v>
      </c>
      <c r="AG438" s="27">
        <f t="shared" ca="1" si="416"/>
        <v>1486</v>
      </c>
      <c r="AH438" s="27">
        <f t="shared" ca="1" si="417"/>
        <v>1026</v>
      </c>
      <c r="AI438" s="27">
        <f t="shared" ca="1" si="418"/>
        <v>281</v>
      </c>
      <c r="AJ438" s="27">
        <f t="shared" ca="1" si="419"/>
        <v>36</v>
      </c>
      <c r="AK438" s="27">
        <f t="shared" ca="1" si="420"/>
        <v>143</v>
      </c>
      <c r="AL438" s="27">
        <f t="shared" ca="1" si="421"/>
        <v>584</v>
      </c>
      <c r="AM438" s="27">
        <f t="shared" ca="1" si="422"/>
        <v>71</v>
      </c>
      <c r="AN438" s="27">
        <f t="shared" ca="1" si="423"/>
        <v>4061</v>
      </c>
      <c r="AO438">
        <v>4305</v>
      </c>
      <c r="AP438">
        <v>1588</v>
      </c>
      <c r="AQ438">
        <v>147</v>
      </c>
      <c r="AR438">
        <v>408</v>
      </c>
      <c r="AS438">
        <v>1031</v>
      </c>
      <c r="AT438">
        <v>97</v>
      </c>
      <c r="AU438">
        <v>136</v>
      </c>
      <c r="AV438">
        <v>0.98399999999999999</v>
      </c>
      <c r="AW438" s="1"/>
      <c r="AX438" s="1"/>
      <c r="AY438" s="29">
        <f t="shared" si="424"/>
        <v>29700</v>
      </c>
      <c r="AZ438" s="31">
        <f t="shared" si="425"/>
        <v>165614</v>
      </c>
      <c r="BA438" s="31">
        <f t="shared" ref="BA438" si="473">SUMIF($B$2:$B$571,$B438,$S$2:$S$571)</f>
        <v>14020</v>
      </c>
      <c r="BB438" s="30">
        <f t="shared" si="427"/>
        <v>8.4654678952262488E-2</v>
      </c>
    </row>
    <row r="439" spans="2:54" x14ac:dyDescent="0.5">
      <c r="B439" s="4">
        <v>2014</v>
      </c>
      <c r="C439" t="s">
        <v>74</v>
      </c>
      <c r="D439" t="s">
        <v>75</v>
      </c>
      <c r="E439">
        <v>2</v>
      </c>
      <c r="F439" t="s">
        <v>38</v>
      </c>
      <c r="G439" t="s">
        <v>38</v>
      </c>
      <c r="H439" t="s">
        <v>38</v>
      </c>
      <c r="I439" t="s">
        <v>38</v>
      </c>
      <c r="J439">
        <v>84</v>
      </c>
      <c r="K439">
        <v>78</v>
      </c>
      <c r="L439">
        <v>633</v>
      </c>
      <c r="M439" s="20">
        <v>5497</v>
      </c>
      <c r="N439" s="20">
        <v>1349</v>
      </c>
      <c r="O439" s="20">
        <f t="shared" si="414"/>
        <v>929</v>
      </c>
      <c r="P439" s="20">
        <v>247</v>
      </c>
      <c r="Q439" s="20">
        <v>26</v>
      </c>
      <c r="R439" s="20">
        <v>147</v>
      </c>
      <c r="S439" s="20">
        <v>452</v>
      </c>
      <c r="T439" s="20">
        <v>56</v>
      </c>
      <c r="U439" s="20">
        <f t="shared" si="415"/>
        <v>3640</v>
      </c>
      <c r="V439">
        <v>1133</v>
      </c>
      <c r="W439">
        <v>112</v>
      </c>
      <c r="X439">
        <v>26</v>
      </c>
      <c r="Y439">
        <v>47</v>
      </c>
      <c r="Z439">
        <v>664</v>
      </c>
      <c r="AA439">
        <v>605</v>
      </c>
      <c r="AB439">
        <v>3.75</v>
      </c>
      <c r="AC439">
        <v>5</v>
      </c>
      <c r="AD439">
        <v>10</v>
      </c>
      <c r="AE439">
        <v>48</v>
      </c>
      <c r="AF439" s="27">
        <f t="shared" ca="1" si="472"/>
        <v>6067</v>
      </c>
      <c r="AG439" s="27">
        <f t="shared" ca="1" si="416"/>
        <v>1563</v>
      </c>
      <c r="AH439" s="27">
        <f t="shared" ca="1" si="417"/>
        <v>1044</v>
      </c>
      <c r="AI439" s="27">
        <f t="shared" ca="1" si="418"/>
        <v>264</v>
      </c>
      <c r="AJ439" s="27">
        <f t="shared" ca="1" si="419"/>
        <v>38</v>
      </c>
      <c r="AK439" s="27">
        <f t="shared" ca="1" si="420"/>
        <v>217</v>
      </c>
      <c r="AL439" s="27">
        <f t="shared" ca="1" si="421"/>
        <v>477</v>
      </c>
      <c r="AM439" s="27">
        <f t="shared" ca="1" si="422"/>
        <v>33</v>
      </c>
      <c r="AN439" s="27">
        <f t="shared" ca="1" si="423"/>
        <v>3994</v>
      </c>
      <c r="AO439">
        <v>4359</v>
      </c>
      <c r="AP439">
        <v>1392</v>
      </c>
      <c r="AQ439">
        <v>164</v>
      </c>
      <c r="AR439">
        <v>398</v>
      </c>
      <c r="AS439">
        <v>1370</v>
      </c>
      <c r="AT439">
        <v>92</v>
      </c>
      <c r="AU439">
        <v>107</v>
      </c>
      <c r="AV439">
        <v>0.98399999999999999</v>
      </c>
      <c r="AW439" s="1"/>
      <c r="AX439" s="1"/>
      <c r="AY439" s="29">
        <f t="shared" si="424"/>
        <v>29700</v>
      </c>
      <c r="AZ439" s="31">
        <f t="shared" si="425"/>
        <v>165614</v>
      </c>
      <c r="BA439" s="31">
        <f t="shared" ref="BA439" si="474">SUMIF($B$2:$B$571,$B439,$T$2:$T$571)</f>
        <v>1652</v>
      </c>
      <c r="BB439" s="30">
        <f t="shared" si="427"/>
        <v>9.9750021133479059E-3</v>
      </c>
    </row>
    <row r="440" spans="2:54" x14ac:dyDescent="0.5">
      <c r="B440" s="4">
        <v>2014</v>
      </c>
      <c r="C440" t="s">
        <v>76</v>
      </c>
      <c r="D440" t="s">
        <v>77</v>
      </c>
      <c r="E440">
        <v>3</v>
      </c>
      <c r="F440" t="s">
        <v>38</v>
      </c>
      <c r="G440" t="s">
        <v>38</v>
      </c>
      <c r="H440" t="s">
        <v>38</v>
      </c>
      <c r="I440" t="s">
        <v>38</v>
      </c>
      <c r="J440">
        <v>79</v>
      </c>
      <c r="K440">
        <v>83</v>
      </c>
      <c r="L440">
        <v>629</v>
      </c>
      <c r="M440" s="20">
        <v>5472</v>
      </c>
      <c r="N440" s="20">
        <v>1306</v>
      </c>
      <c r="O440" s="20">
        <f t="shared" si="414"/>
        <v>887</v>
      </c>
      <c r="P440" s="20">
        <v>275</v>
      </c>
      <c r="Q440" s="20">
        <v>19</v>
      </c>
      <c r="R440" s="20">
        <v>125</v>
      </c>
      <c r="S440" s="20">
        <v>516</v>
      </c>
      <c r="T440" s="20">
        <v>54</v>
      </c>
      <c r="U440" s="20">
        <f t="shared" si="415"/>
        <v>3596</v>
      </c>
      <c r="V440">
        <v>1264</v>
      </c>
      <c r="W440">
        <v>101</v>
      </c>
      <c r="X440">
        <v>34</v>
      </c>
      <c r="Y440">
        <v>44</v>
      </c>
      <c r="Z440">
        <v>618</v>
      </c>
      <c r="AA440">
        <v>568</v>
      </c>
      <c r="AB440">
        <v>3.49</v>
      </c>
      <c r="AC440">
        <v>1</v>
      </c>
      <c r="AD440">
        <v>11</v>
      </c>
      <c r="AE440">
        <v>42</v>
      </c>
      <c r="AF440" s="27">
        <f t="shared" ca="1" si="472"/>
        <v>6208</v>
      </c>
      <c r="AG440" s="27">
        <f t="shared" ca="1" si="416"/>
        <v>1682</v>
      </c>
      <c r="AH440" s="27">
        <f t="shared" ca="1" si="417"/>
        <v>1250</v>
      </c>
      <c r="AI440" s="27">
        <f t="shared" ca="1" si="418"/>
        <v>241</v>
      </c>
      <c r="AJ440" s="27">
        <f t="shared" ca="1" si="419"/>
        <v>22</v>
      </c>
      <c r="AK440" s="27">
        <f t="shared" ca="1" si="420"/>
        <v>169</v>
      </c>
      <c r="AL440" s="27">
        <f t="shared" ca="1" si="421"/>
        <v>455</v>
      </c>
      <c r="AM440" s="27">
        <f t="shared" ca="1" si="422"/>
        <v>35</v>
      </c>
      <c r="AN440" s="27">
        <f t="shared" ca="1" si="423"/>
        <v>4036</v>
      </c>
      <c r="AO440">
        <v>4391</v>
      </c>
      <c r="AP440">
        <v>1370</v>
      </c>
      <c r="AQ440">
        <v>141</v>
      </c>
      <c r="AR440">
        <v>509</v>
      </c>
      <c r="AS440">
        <v>1303</v>
      </c>
      <c r="AT440">
        <v>104</v>
      </c>
      <c r="AU440">
        <v>158</v>
      </c>
      <c r="AV440">
        <v>0.98299999999999998</v>
      </c>
      <c r="AW440" s="1"/>
      <c r="AX440" s="1"/>
      <c r="AY440" s="29">
        <f t="shared" si="424"/>
        <v>29700</v>
      </c>
      <c r="AZ440" s="31">
        <f t="shared" si="425"/>
        <v>165614</v>
      </c>
      <c r="BA440" s="31">
        <f t="shared" ref="BA440" si="475">SUMIF($B$2:$B$571,$B440,$U$2:$U$571)</f>
        <v>108347</v>
      </c>
      <c r="BB440" s="30">
        <f t="shared" si="427"/>
        <v>0.6542140157233084</v>
      </c>
    </row>
    <row r="441" spans="2:54" x14ac:dyDescent="0.5">
      <c r="B441" s="4">
        <v>2014</v>
      </c>
      <c r="C441" t="s">
        <v>78</v>
      </c>
      <c r="D441" t="s">
        <v>79</v>
      </c>
      <c r="E441">
        <v>2</v>
      </c>
      <c r="F441" t="s">
        <v>38</v>
      </c>
      <c r="G441" t="s">
        <v>43</v>
      </c>
      <c r="H441" t="s">
        <v>38</v>
      </c>
      <c r="I441" t="s">
        <v>38</v>
      </c>
      <c r="J441">
        <v>88</v>
      </c>
      <c r="K441">
        <v>74</v>
      </c>
      <c r="L441">
        <v>729</v>
      </c>
      <c r="M441" s="20">
        <v>5545</v>
      </c>
      <c r="N441" s="20">
        <v>1354</v>
      </c>
      <c r="O441" s="20">
        <f t="shared" si="414"/>
        <v>922</v>
      </c>
      <c r="P441" s="20">
        <v>253</v>
      </c>
      <c r="Q441" s="20">
        <v>33</v>
      </c>
      <c r="R441" s="20">
        <v>146</v>
      </c>
      <c r="S441" s="20">
        <v>586</v>
      </c>
      <c r="T441" s="20">
        <v>49</v>
      </c>
      <c r="U441" s="20">
        <f t="shared" si="415"/>
        <v>3556</v>
      </c>
      <c r="V441">
        <v>1104</v>
      </c>
      <c r="W441">
        <v>83</v>
      </c>
      <c r="X441">
        <v>20</v>
      </c>
      <c r="Y441">
        <v>43</v>
      </c>
      <c r="Z441">
        <v>572</v>
      </c>
      <c r="AA441">
        <v>524</v>
      </c>
      <c r="AB441">
        <v>3.22</v>
      </c>
      <c r="AC441">
        <v>7</v>
      </c>
      <c r="AD441">
        <v>13</v>
      </c>
      <c r="AE441">
        <v>31</v>
      </c>
      <c r="AF441" s="27">
        <f t="shared" ca="1" si="472"/>
        <v>6362</v>
      </c>
      <c r="AG441" s="27">
        <f t="shared" ca="1" si="416"/>
        <v>1693</v>
      </c>
      <c r="AH441" s="27">
        <f t="shared" ca="1" si="417"/>
        <v>1065</v>
      </c>
      <c r="AI441" s="27">
        <f t="shared" ca="1" si="418"/>
        <v>363</v>
      </c>
      <c r="AJ441" s="27">
        <f t="shared" ca="1" si="419"/>
        <v>25</v>
      </c>
      <c r="AK441" s="27">
        <f t="shared" ca="1" si="420"/>
        <v>240</v>
      </c>
      <c r="AL441" s="27">
        <f t="shared" ca="1" si="421"/>
        <v>513</v>
      </c>
      <c r="AM441" s="27">
        <f t="shared" ca="1" si="422"/>
        <v>76</v>
      </c>
      <c r="AN441" s="27">
        <f t="shared" ca="1" si="423"/>
        <v>4080</v>
      </c>
      <c r="AO441">
        <v>4390</v>
      </c>
      <c r="AP441">
        <v>1269</v>
      </c>
      <c r="AQ441">
        <v>147</v>
      </c>
      <c r="AR441">
        <v>406</v>
      </c>
      <c r="AS441">
        <v>1244</v>
      </c>
      <c r="AT441">
        <v>111</v>
      </c>
      <c r="AU441">
        <v>150</v>
      </c>
      <c r="AV441">
        <v>0.98199999999999998</v>
      </c>
      <c r="AW441" s="1"/>
      <c r="AX441" s="1"/>
      <c r="AY441" s="29">
        <f t="shared" si="424"/>
        <v>29700</v>
      </c>
      <c r="AZ441" s="31">
        <f t="shared" si="425"/>
        <v>165614</v>
      </c>
      <c r="BA441" s="31"/>
      <c r="BB441" s="30">
        <f t="shared" si="427"/>
        <v>0</v>
      </c>
    </row>
    <row r="442" spans="2:54" x14ac:dyDescent="0.5">
      <c r="B442" s="4">
        <v>2014</v>
      </c>
      <c r="C442" t="s">
        <v>80</v>
      </c>
      <c r="D442" t="s">
        <v>81</v>
      </c>
      <c r="E442">
        <v>5</v>
      </c>
      <c r="F442" t="s">
        <v>38</v>
      </c>
      <c r="G442" t="s">
        <v>38</v>
      </c>
      <c r="H442" t="s">
        <v>38</v>
      </c>
      <c r="I442" t="s">
        <v>38</v>
      </c>
      <c r="J442">
        <v>73</v>
      </c>
      <c r="K442">
        <v>89</v>
      </c>
      <c r="L442">
        <v>619</v>
      </c>
      <c r="M442" s="20">
        <v>5603</v>
      </c>
      <c r="N442" s="20">
        <v>1356</v>
      </c>
      <c r="O442" s="20">
        <f t="shared" si="414"/>
        <v>953</v>
      </c>
      <c r="P442" s="20">
        <v>251</v>
      </c>
      <c r="Q442" s="20">
        <v>27</v>
      </c>
      <c r="R442" s="20">
        <v>125</v>
      </c>
      <c r="S442" s="20">
        <v>443</v>
      </c>
      <c r="T442" s="20">
        <v>55</v>
      </c>
      <c r="U442" s="20">
        <f t="shared" si="415"/>
        <v>3749</v>
      </c>
      <c r="V442">
        <v>1306</v>
      </c>
      <c r="W442">
        <v>109</v>
      </c>
      <c r="X442">
        <v>26</v>
      </c>
      <c r="Y442">
        <v>37</v>
      </c>
      <c r="Z442">
        <v>687</v>
      </c>
      <c r="AA442">
        <v>619</v>
      </c>
      <c r="AB442">
        <v>3.79</v>
      </c>
      <c r="AC442">
        <v>2</v>
      </c>
      <c r="AD442">
        <v>12</v>
      </c>
      <c r="AE442">
        <v>40</v>
      </c>
      <c r="AF442" s="27">
        <f t="shared" ca="1" si="472"/>
        <v>6285</v>
      </c>
      <c r="AG442" s="27">
        <f t="shared" ca="1" si="416"/>
        <v>1596</v>
      </c>
      <c r="AH442" s="27">
        <f t="shared" ca="1" si="417"/>
        <v>1036</v>
      </c>
      <c r="AI442" s="27">
        <f t="shared" ca="1" si="418"/>
        <v>360</v>
      </c>
      <c r="AJ442" s="27">
        <f t="shared" ca="1" si="419"/>
        <v>23</v>
      </c>
      <c r="AK442" s="27">
        <f t="shared" ca="1" si="420"/>
        <v>177</v>
      </c>
      <c r="AL442" s="27">
        <f t="shared" ca="1" si="421"/>
        <v>554</v>
      </c>
      <c r="AM442" s="27">
        <f t="shared" ca="1" si="422"/>
        <v>35</v>
      </c>
      <c r="AN442" s="27">
        <f t="shared" ca="1" si="423"/>
        <v>4100</v>
      </c>
      <c r="AO442">
        <v>4405</v>
      </c>
      <c r="AP442">
        <v>1396</v>
      </c>
      <c r="AQ442">
        <v>134</v>
      </c>
      <c r="AR442">
        <v>521</v>
      </c>
      <c r="AS442">
        <v>1255</v>
      </c>
      <c r="AT442">
        <v>83</v>
      </c>
      <c r="AU442">
        <v>133</v>
      </c>
      <c r="AV442">
        <v>0.98699999999999999</v>
      </c>
      <c r="AW442" s="1"/>
      <c r="AX442" s="1"/>
      <c r="AY442" s="29">
        <f t="shared" si="424"/>
        <v>29700</v>
      </c>
      <c r="AZ442" s="31">
        <f t="shared" si="425"/>
        <v>165614</v>
      </c>
      <c r="BA442" s="31">
        <f t="shared" ref="BA442" si="476">SUMIF($B$2:$B$571,$B442,$O$2:$O$571)</f>
        <v>28423</v>
      </c>
      <c r="BB442" s="30">
        <f t="shared" si="427"/>
        <v>0.17162196432668736</v>
      </c>
    </row>
    <row r="443" spans="2:54" x14ac:dyDescent="0.5">
      <c r="B443" s="4">
        <v>2014</v>
      </c>
      <c r="C443" t="s">
        <v>82</v>
      </c>
      <c r="D443" t="s">
        <v>83</v>
      </c>
      <c r="E443">
        <v>2</v>
      </c>
      <c r="F443" t="s">
        <v>38</v>
      </c>
      <c r="G443" t="s">
        <v>43</v>
      </c>
      <c r="H443" t="s">
        <v>38</v>
      </c>
      <c r="I443" t="s">
        <v>38</v>
      </c>
      <c r="J443">
        <v>88</v>
      </c>
      <c r="K443">
        <v>74</v>
      </c>
      <c r="L443">
        <v>682</v>
      </c>
      <c r="M443" s="20">
        <v>5536</v>
      </c>
      <c r="N443" s="20">
        <v>1436</v>
      </c>
      <c r="O443" s="20">
        <f t="shared" si="414"/>
        <v>975</v>
      </c>
      <c r="P443" s="20">
        <v>275</v>
      </c>
      <c r="Q443" s="20">
        <v>30</v>
      </c>
      <c r="R443" s="20">
        <v>156</v>
      </c>
      <c r="S443" s="20">
        <v>520</v>
      </c>
      <c r="T443" s="20">
        <v>78</v>
      </c>
      <c r="U443" s="20">
        <f t="shared" si="415"/>
        <v>3502</v>
      </c>
      <c r="V443">
        <v>1244</v>
      </c>
      <c r="W443">
        <v>104</v>
      </c>
      <c r="X443">
        <v>47</v>
      </c>
      <c r="Y443">
        <v>35</v>
      </c>
      <c r="Z443">
        <v>631</v>
      </c>
      <c r="AA443">
        <v>562</v>
      </c>
      <c r="AB443">
        <v>3.47</v>
      </c>
      <c r="AC443">
        <v>2</v>
      </c>
      <c r="AD443">
        <v>7</v>
      </c>
      <c r="AE443">
        <v>48</v>
      </c>
      <c r="AF443" s="27">
        <f t="shared" ca="1" si="472"/>
        <v>6476</v>
      </c>
      <c r="AG443" s="27">
        <f t="shared" ca="1" si="416"/>
        <v>1504</v>
      </c>
      <c r="AH443" s="27">
        <f t="shared" ca="1" si="417"/>
        <v>883</v>
      </c>
      <c r="AI443" s="27">
        <f t="shared" ca="1" si="418"/>
        <v>359</v>
      </c>
      <c r="AJ443" s="27">
        <f t="shared" ca="1" si="419"/>
        <v>34</v>
      </c>
      <c r="AK443" s="27">
        <f t="shared" ca="1" si="420"/>
        <v>228</v>
      </c>
      <c r="AL443" s="27">
        <f t="shared" ca="1" si="421"/>
        <v>460</v>
      </c>
      <c r="AM443" s="27">
        <f t="shared" ca="1" si="422"/>
        <v>41</v>
      </c>
      <c r="AN443" s="27">
        <f t="shared" ca="1" si="423"/>
        <v>4471</v>
      </c>
      <c r="AO443">
        <v>4369</v>
      </c>
      <c r="AP443">
        <v>1341</v>
      </c>
      <c r="AQ443">
        <v>128</v>
      </c>
      <c r="AR443">
        <v>499</v>
      </c>
      <c r="AS443">
        <v>1228</v>
      </c>
      <c r="AT443">
        <v>109</v>
      </c>
      <c r="AU443">
        <v>148</v>
      </c>
      <c r="AV443">
        <v>0.98299999999999998</v>
      </c>
      <c r="AW443" s="1"/>
      <c r="AX443" s="1"/>
      <c r="AY443" s="29">
        <f t="shared" si="424"/>
        <v>29700</v>
      </c>
      <c r="AZ443" s="31">
        <f t="shared" si="425"/>
        <v>165614</v>
      </c>
      <c r="BA443" s="31">
        <f t="shared" ref="BA443" si="477">SUMIF($B$2:$B$571,$B443,$P$2:$P$571)</f>
        <v>8137</v>
      </c>
      <c r="BB443" s="30">
        <f t="shared" si="427"/>
        <v>4.9132319731423672E-2</v>
      </c>
    </row>
    <row r="444" spans="2:54" x14ac:dyDescent="0.5">
      <c r="B444" s="4">
        <v>2014</v>
      </c>
      <c r="C444" t="s">
        <v>84</v>
      </c>
      <c r="D444" t="s">
        <v>85</v>
      </c>
      <c r="E444">
        <v>3</v>
      </c>
      <c r="F444" t="s">
        <v>38</v>
      </c>
      <c r="G444" t="s">
        <v>38</v>
      </c>
      <c r="H444" t="s">
        <v>38</v>
      </c>
      <c r="I444" t="s">
        <v>38</v>
      </c>
      <c r="J444">
        <v>77</v>
      </c>
      <c r="K444">
        <v>85</v>
      </c>
      <c r="L444">
        <v>535</v>
      </c>
      <c r="M444" s="20">
        <v>5294</v>
      </c>
      <c r="N444" s="20">
        <v>1199</v>
      </c>
      <c r="O444" s="20">
        <f t="shared" si="414"/>
        <v>836</v>
      </c>
      <c r="P444" s="20">
        <v>224</v>
      </c>
      <c r="Q444" s="20">
        <v>30</v>
      </c>
      <c r="R444" s="20">
        <v>109</v>
      </c>
      <c r="S444" s="20">
        <v>468</v>
      </c>
      <c r="T444" s="20">
        <v>41</v>
      </c>
      <c r="U444" s="20">
        <f t="shared" si="415"/>
        <v>3586</v>
      </c>
      <c r="V444">
        <v>1294</v>
      </c>
      <c r="W444">
        <v>91</v>
      </c>
      <c r="X444">
        <v>34</v>
      </c>
      <c r="Y444">
        <v>45</v>
      </c>
      <c r="Z444">
        <v>577</v>
      </c>
      <c r="AA444">
        <v>523</v>
      </c>
      <c r="AB444">
        <v>3.27</v>
      </c>
      <c r="AC444">
        <v>4</v>
      </c>
      <c r="AD444">
        <v>10</v>
      </c>
      <c r="AE444">
        <v>41</v>
      </c>
      <c r="AF444" s="27">
        <f t="shared" ca="1" si="472"/>
        <v>6405</v>
      </c>
      <c r="AG444" s="27">
        <f t="shared" ca="1" si="416"/>
        <v>1673</v>
      </c>
      <c r="AH444" s="27">
        <f t="shared" ca="1" si="417"/>
        <v>1226</v>
      </c>
      <c r="AI444" s="27">
        <f t="shared" ca="1" si="418"/>
        <v>274</v>
      </c>
      <c r="AJ444" s="27">
        <f t="shared" ca="1" si="419"/>
        <v>29</v>
      </c>
      <c r="AK444" s="27">
        <f t="shared" ca="1" si="420"/>
        <v>144</v>
      </c>
      <c r="AL444" s="27">
        <f t="shared" ca="1" si="421"/>
        <v>439</v>
      </c>
      <c r="AM444" s="27">
        <f t="shared" ca="1" si="422"/>
        <v>78</v>
      </c>
      <c r="AN444" s="27">
        <f t="shared" ca="1" si="423"/>
        <v>4215</v>
      </c>
      <c r="AO444">
        <v>4316</v>
      </c>
      <c r="AP444">
        <v>1300</v>
      </c>
      <c r="AQ444">
        <v>117</v>
      </c>
      <c r="AR444">
        <v>462</v>
      </c>
      <c r="AS444">
        <v>1284</v>
      </c>
      <c r="AT444">
        <v>101</v>
      </c>
      <c r="AU444">
        <v>124</v>
      </c>
      <c r="AV444">
        <v>0.98299999999999998</v>
      </c>
      <c r="AW444" s="1"/>
      <c r="AX444" s="1"/>
      <c r="AY444" s="29">
        <f t="shared" si="424"/>
        <v>29700</v>
      </c>
      <c r="AZ444" s="31">
        <f t="shared" si="425"/>
        <v>165614</v>
      </c>
      <c r="BA444" s="31">
        <f t="shared" ref="BA444" si="478">SUMIF($B$2:$B$571,$B444,$Q$2:$Q$571)</f>
        <v>849</v>
      </c>
      <c r="BB444" s="30">
        <f t="shared" si="427"/>
        <v>5.1263782047411451E-3</v>
      </c>
    </row>
    <row r="445" spans="2:54" x14ac:dyDescent="0.5">
      <c r="B445" s="4">
        <v>2014</v>
      </c>
      <c r="C445" t="s">
        <v>86</v>
      </c>
      <c r="D445" t="s">
        <v>87</v>
      </c>
      <c r="E445">
        <v>3</v>
      </c>
      <c r="F445" t="s">
        <v>38</v>
      </c>
      <c r="G445" t="s">
        <v>38</v>
      </c>
      <c r="H445" t="s">
        <v>38</v>
      </c>
      <c r="I445" t="s">
        <v>38</v>
      </c>
      <c r="J445">
        <v>87</v>
      </c>
      <c r="K445">
        <v>75</v>
      </c>
      <c r="L445">
        <v>634</v>
      </c>
      <c r="M445" s="20">
        <v>5450</v>
      </c>
      <c r="N445" s="20">
        <v>1328</v>
      </c>
      <c r="O445" s="20">
        <f t="shared" si="414"/>
        <v>913</v>
      </c>
      <c r="P445" s="20">
        <v>247</v>
      </c>
      <c r="Q445" s="20">
        <v>32</v>
      </c>
      <c r="R445" s="20">
        <v>136</v>
      </c>
      <c r="S445" s="20">
        <v>396</v>
      </c>
      <c r="T445" s="20">
        <v>60</v>
      </c>
      <c r="U445" s="20">
        <f t="shared" si="415"/>
        <v>3666</v>
      </c>
      <c r="V445">
        <v>1232</v>
      </c>
      <c r="W445">
        <v>96</v>
      </c>
      <c r="X445">
        <v>42</v>
      </c>
      <c r="Y445">
        <v>34</v>
      </c>
      <c r="Z445">
        <v>554</v>
      </c>
      <c r="AA445">
        <v>512</v>
      </c>
      <c r="AB445">
        <v>3.17</v>
      </c>
      <c r="AC445">
        <v>2</v>
      </c>
      <c r="AD445">
        <v>9</v>
      </c>
      <c r="AE445">
        <v>51</v>
      </c>
      <c r="AF445" s="27">
        <f t="shared" ca="1" si="472"/>
        <v>6311</v>
      </c>
      <c r="AG445" s="27">
        <f t="shared" ca="1" si="416"/>
        <v>1396</v>
      </c>
      <c r="AH445" s="27">
        <f t="shared" ca="1" si="417"/>
        <v>970</v>
      </c>
      <c r="AI445" s="27">
        <f t="shared" ca="1" si="418"/>
        <v>227</v>
      </c>
      <c r="AJ445" s="27">
        <f t="shared" ca="1" si="419"/>
        <v>26</v>
      </c>
      <c r="AK445" s="27">
        <f t="shared" ca="1" si="420"/>
        <v>173</v>
      </c>
      <c r="AL445" s="27">
        <f t="shared" ca="1" si="421"/>
        <v>441</v>
      </c>
      <c r="AM445" s="27">
        <f t="shared" ca="1" si="422"/>
        <v>41</v>
      </c>
      <c r="AN445" s="27">
        <f t="shared" ca="1" si="423"/>
        <v>4433</v>
      </c>
      <c r="AO445">
        <v>4356</v>
      </c>
      <c r="AP445">
        <v>1240</v>
      </c>
      <c r="AQ445">
        <v>137</v>
      </c>
      <c r="AR445">
        <v>463</v>
      </c>
      <c r="AS445">
        <v>1317</v>
      </c>
      <c r="AT445">
        <v>82</v>
      </c>
      <c r="AU445">
        <v>139</v>
      </c>
      <c r="AV445">
        <v>0.98599999999999999</v>
      </c>
      <c r="AW445" s="1"/>
      <c r="AX445" s="1"/>
      <c r="AY445" s="29">
        <f t="shared" si="424"/>
        <v>29700</v>
      </c>
      <c r="AZ445" s="31">
        <f t="shared" si="425"/>
        <v>165614</v>
      </c>
      <c r="BA445" s="31">
        <f t="shared" ref="BA445" si="479">SUMIF($B$2:$B$571,$B445,$R$2:$R$571)</f>
        <v>4186</v>
      </c>
      <c r="BB445" s="30">
        <f t="shared" si="427"/>
        <v>2.5275640948229015E-2</v>
      </c>
    </row>
    <row r="446" spans="2:54" x14ac:dyDescent="0.5">
      <c r="B446" s="4">
        <v>2014</v>
      </c>
      <c r="C446" t="s">
        <v>88</v>
      </c>
      <c r="D446" t="s">
        <v>89</v>
      </c>
      <c r="E446">
        <v>2</v>
      </c>
      <c r="F446" t="s">
        <v>38</v>
      </c>
      <c r="G446" t="s">
        <v>43</v>
      </c>
      <c r="H446" t="s">
        <v>43</v>
      </c>
      <c r="I446" t="s">
        <v>43</v>
      </c>
      <c r="J446">
        <v>88</v>
      </c>
      <c r="K446">
        <v>74</v>
      </c>
      <c r="L446">
        <v>665</v>
      </c>
      <c r="M446" s="20">
        <v>5523</v>
      </c>
      <c r="N446" s="20">
        <v>1407</v>
      </c>
      <c r="O446" s="20">
        <f t="shared" si="414"/>
        <v>976</v>
      </c>
      <c r="P446" s="20">
        <v>257</v>
      </c>
      <c r="Q446" s="20">
        <v>42</v>
      </c>
      <c r="R446" s="20">
        <v>132</v>
      </c>
      <c r="S446" s="20">
        <v>427</v>
      </c>
      <c r="T446" s="20">
        <v>43</v>
      </c>
      <c r="U446" s="20">
        <f t="shared" si="415"/>
        <v>3646</v>
      </c>
      <c r="V446">
        <v>1245</v>
      </c>
      <c r="W446">
        <v>56</v>
      </c>
      <c r="X446">
        <v>27</v>
      </c>
      <c r="Y446">
        <v>49</v>
      </c>
      <c r="Z446">
        <v>614</v>
      </c>
      <c r="AA446">
        <v>564</v>
      </c>
      <c r="AB446">
        <v>3.5</v>
      </c>
      <c r="AC446">
        <v>8</v>
      </c>
      <c r="AD446">
        <v>12</v>
      </c>
      <c r="AE446">
        <v>46</v>
      </c>
      <c r="AF446" s="27">
        <f t="shared" ca="1" si="472"/>
        <v>6317</v>
      </c>
      <c r="AG446" s="27">
        <f t="shared" ca="1" si="416"/>
        <v>1443</v>
      </c>
      <c r="AH446" s="27">
        <f t="shared" ca="1" si="417"/>
        <v>1048</v>
      </c>
      <c r="AI446" s="27">
        <f t="shared" ca="1" si="418"/>
        <v>219</v>
      </c>
      <c r="AJ446" s="27">
        <f t="shared" ca="1" si="419"/>
        <v>24</v>
      </c>
      <c r="AK446" s="27">
        <f t="shared" ca="1" si="420"/>
        <v>152</v>
      </c>
      <c r="AL446" s="27">
        <f t="shared" ca="1" si="421"/>
        <v>586</v>
      </c>
      <c r="AM446" s="27">
        <f t="shared" ca="1" si="422"/>
        <v>39</v>
      </c>
      <c r="AN446" s="27">
        <f t="shared" ca="1" si="423"/>
        <v>4249</v>
      </c>
      <c r="AO446">
        <v>4347</v>
      </c>
      <c r="AP446">
        <v>1305</v>
      </c>
      <c r="AQ446">
        <v>133</v>
      </c>
      <c r="AR446">
        <v>389</v>
      </c>
      <c r="AS446">
        <v>1211</v>
      </c>
      <c r="AT446">
        <v>100</v>
      </c>
      <c r="AU446">
        <v>155</v>
      </c>
      <c r="AV446">
        <v>0.98399999999999999</v>
      </c>
      <c r="AW446" s="1"/>
      <c r="AX446" s="1"/>
      <c r="AY446" s="29">
        <f t="shared" si="424"/>
        <v>29700</v>
      </c>
      <c r="AZ446" s="31">
        <f t="shared" si="425"/>
        <v>165614</v>
      </c>
      <c r="BA446" s="31">
        <f t="shared" ref="BA446" si="480">SUMIF($B$2:$B$571,$B446,$S$2:$S$571)</f>
        <v>14020</v>
      </c>
      <c r="BB446" s="30">
        <f t="shared" si="427"/>
        <v>8.4654678952262488E-2</v>
      </c>
    </row>
    <row r="447" spans="2:54" x14ac:dyDescent="0.5">
      <c r="B447" s="4">
        <v>2014</v>
      </c>
      <c r="C447" t="s">
        <v>90</v>
      </c>
      <c r="D447" t="s">
        <v>91</v>
      </c>
      <c r="E447">
        <v>1</v>
      </c>
      <c r="F447" t="s">
        <v>43</v>
      </c>
      <c r="G447" t="s">
        <v>38</v>
      </c>
      <c r="H447" t="s">
        <v>38</v>
      </c>
      <c r="I447" t="s">
        <v>38</v>
      </c>
      <c r="J447">
        <v>90</v>
      </c>
      <c r="K447">
        <v>72</v>
      </c>
      <c r="L447">
        <v>619</v>
      </c>
      <c r="M447" s="20">
        <v>5426</v>
      </c>
      <c r="N447" s="20">
        <v>1371</v>
      </c>
      <c r="O447" s="20">
        <f t="shared" si="414"/>
        <v>970</v>
      </c>
      <c r="P447" s="20">
        <v>275</v>
      </c>
      <c r="Q447" s="20">
        <v>21</v>
      </c>
      <c r="R447" s="20">
        <v>105</v>
      </c>
      <c r="S447" s="20">
        <v>471</v>
      </c>
      <c r="T447" s="20">
        <v>86</v>
      </c>
      <c r="U447" s="20">
        <f t="shared" si="415"/>
        <v>3498</v>
      </c>
      <c r="V447">
        <v>1133</v>
      </c>
      <c r="W447">
        <v>57</v>
      </c>
      <c r="X447">
        <v>32</v>
      </c>
      <c r="Y447">
        <v>39</v>
      </c>
      <c r="Z447">
        <v>603</v>
      </c>
      <c r="AA447">
        <v>564</v>
      </c>
      <c r="AB447">
        <v>3.5</v>
      </c>
      <c r="AC447">
        <v>8</v>
      </c>
      <c r="AD447">
        <v>23</v>
      </c>
      <c r="AE447">
        <v>55</v>
      </c>
      <c r="AF447" s="27">
        <f t="shared" ca="1" si="472"/>
        <v>6286</v>
      </c>
      <c r="AG447" s="27">
        <f t="shared" ca="1" si="416"/>
        <v>1460</v>
      </c>
      <c r="AH447" s="27">
        <f t="shared" ca="1" si="417"/>
        <v>881</v>
      </c>
      <c r="AI447" s="27">
        <f t="shared" ca="1" si="418"/>
        <v>306</v>
      </c>
      <c r="AJ447" s="27">
        <f t="shared" ca="1" si="419"/>
        <v>35</v>
      </c>
      <c r="AK447" s="27">
        <f t="shared" ca="1" si="420"/>
        <v>238</v>
      </c>
      <c r="AL447" s="27">
        <f t="shared" ca="1" si="421"/>
        <v>493</v>
      </c>
      <c r="AM447" s="27">
        <f t="shared" ca="1" si="422"/>
        <v>63</v>
      </c>
      <c r="AN447" s="27">
        <f t="shared" ca="1" si="423"/>
        <v>4270</v>
      </c>
      <c r="AO447">
        <v>4346</v>
      </c>
      <c r="AP447">
        <v>1321</v>
      </c>
      <c r="AQ447">
        <v>123</v>
      </c>
      <c r="AR447">
        <v>470</v>
      </c>
      <c r="AS447">
        <v>1221</v>
      </c>
      <c r="AT447">
        <v>88</v>
      </c>
      <c r="AU447">
        <v>145</v>
      </c>
      <c r="AV447">
        <v>0.98499999999999999</v>
      </c>
      <c r="AW447" s="1"/>
      <c r="AX447" s="1"/>
      <c r="AY447" s="29">
        <f t="shared" si="424"/>
        <v>29700</v>
      </c>
      <c r="AZ447" s="31">
        <f t="shared" si="425"/>
        <v>165614</v>
      </c>
      <c r="BA447" s="31">
        <f t="shared" ref="BA447" si="481">SUMIF($B$2:$B$571,$B447,$T$2:$T$571)</f>
        <v>1652</v>
      </c>
      <c r="BB447" s="30">
        <f t="shared" si="427"/>
        <v>9.9750021133479059E-3</v>
      </c>
    </row>
    <row r="448" spans="2:54" x14ac:dyDescent="0.5">
      <c r="B448" s="4">
        <v>2014</v>
      </c>
      <c r="C448" t="s">
        <v>102</v>
      </c>
      <c r="D448" t="s">
        <v>93</v>
      </c>
      <c r="E448">
        <v>4</v>
      </c>
      <c r="F448" t="s">
        <v>38</v>
      </c>
      <c r="G448" t="s">
        <v>38</v>
      </c>
      <c r="H448" t="s">
        <v>38</v>
      </c>
      <c r="I448" t="s">
        <v>38</v>
      </c>
      <c r="J448">
        <v>77</v>
      </c>
      <c r="K448">
        <v>85</v>
      </c>
      <c r="L448">
        <v>612</v>
      </c>
      <c r="M448" s="20">
        <v>5516</v>
      </c>
      <c r="N448" s="20">
        <v>1361</v>
      </c>
      <c r="O448" s="20">
        <f t="shared" si="414"/>
        <v>957</v>
      </c>
      <c r="P448" s="20">
        <v>263</v>
      </c>
      <c r="Q448" s="20">
        <v>24</v>
      </c>
      <c r="R448" s="20">
        <v>117</v>
      </c>
      <c r="S448" s="20">
        <v>527</v>
      </c>
      <c r="T448" s="20">
        <v>66</v>
      </c>
      <c r="U448" s="20">
        <f t="shared" si="415"/>
        <v>3562</v>
      </c>
      <c r="V448">
        <v>1124</v>
      </c>
      <c r="W448">
        <v>63</v>
      </c>
      <c r="X448">
        <v>27</v>
      </c>
      <c r="Y448">
        <v>53</v>
      </c>
      <c r="Z448">
        <v>625</v>
      </c>
      <c r="AA448">
        <v>579</v>
      </c>
      <c r="AB448">
        <v>3.56</v>
      </c>
      <c r="AC448">
        <v>3</v>
      </c>
      <c r="AD448">
        <v>22</v>
      </c>
      <c r="AE448">
        <v>37</v>
      </c>
      <c r="AF448" s="27">
        <f t="shared" ca="1" si="472"/>
        <v>6454</v>
      </c>
      <c r="AG448" s="27">
        <f t="shared" ca="1" si="416"/>
        <v>1474</v>
      </c>
      <c r="AH448" s="27">
        <f t="shared" ca="1" si="417"/>
        <v>892</v>
      </c>
      <c r="AI448" s="27">
        <f t="shared" ca="1" si="418"/>
        <v>323</v>
      </c>
      <c r="AJ448" s="27">
        <f t="shared" ca="1" si="419"/>
        <v>44</v>
      </c>
      <c r="AK448" s="27">
        <f t="shared" ca="1" si="420"/>
        <v>215</v>
      </c>
      <c r="AL448" s="27">
        <f t="shared" ca="1" si="421"/>
        <v>446</v>
      </c>
      <c r="AM448" s="27">
        <f t="shared" ca="1" si="422"/>
        <v>51</v>
      </c>
      <c r="AN448" s="27">
        <f t="shared" ca="1" si="423"/>
        <v>4483</v>
      </c>
      <c r="AO448">
        <v>4391</v>
      </c>
      <c r="AP448">
        <v>1292</v>
      </c>
      <c r="AQ448">
        <v>145</v>
      </c>
      <c r="AR448">
        <v>482</v>
      </c>
      <c r="AS448">
        <v>1437</v>
      </c>
      <c r="AT448">
        <v>88</v>
      </c>
      <c r="AU448">
        <v>96</v>
      </c>
      <c r="AV448">
        <v>0.98499999999999999</v>
      </c>
      <c r="AW448" s="1"/>
      <c r="AX448" s="1"/>
      <c r="AY448" s="29">
        <f t="shared" si="424"/>
        <v>29700</v>
      </c>
      <c r="AZ448" s="31">
        <f t="shared" si="425"/>
        <v>165614</v>
      </c>
      <c r="BA448" s="31">
        <f t="shared" ref="BA448" si="482">SUMIF($B$2:$B$571,$B448,$U$2:$U$571)</f>
        <v>108347</v>
      </c>
      <c r="BB448" s="30">
        <f t="shared" si="427"/>
        <v>0.6542140157233084</v>
      </c>
    </row>
    <row r="449" spans="2:54" x14ac:dyDescent="0.5">
      <c r="B449" s="4">
        <v>2014</v>
      </c>
      <c r="C449" t="s">
        <v>94</v>
      </c>
      <c r="D449" t="s">
        <v>95</v>
      </c>
      <c r="E449">
        <v>5</v>
      </c>
      <c r="F449" t="s">
        <v>38</v>
      </c>
      <c r="G449" t="s">
        <v>38</v>
      </c>
      <c r="H449" t="s">
        <v>38</v>
      </c>
      <c r="I449" t="s">
        <v>38</v>
      </c>
      <c r="J449">
        <v>67</v>
      </c>
      <c r="K449">
        <v>95</v>
      </c>
      <c r="L449">
        <v>637</v>
      </c>
      <c r="M449" s="20">
        <v>5460</v>
      </c>
      <c r="N449" s="20">
        <v>1400</v>
      </c>
      <c r="O449" s="20">
        <f t="shared" si="414"/>
        <v>1001</v>
      </c>
      <c r="P449" s="20">
        <v>260</v>
      </c>
      <c r="Q449" s="20">
        <v>28</v>
      </c>
      <c r="R449" s="20">
        <v>111</v>
      </c>
      <c r="S449" s="20">
        <v>417</v>
      </c>
      <c r="T449" s="20">
        <v>61</v>
      </c>
      <c r="U449" s="20">
        <f t="shared" si="415"/>
        <v>3582</v>
      </c>
      <c r="V449">
        <v>1162</v>
      </c>
      <c r="W449">
        <v>105</v>
      </c>
      <c r="X449">
        <v>59</v>
      </c>
      <c r="Y449">
        <v>45</v>
      </c>
      <c r="Z449">
        <v>773</v>
      </c>
      <c r="AA449">
        <v>711</v>
      </c>
      <c r="AB449">
        <v>4.49</v>
      </c>
      <c r="AC449">
        <v>6</v>
      </c>
      <c r="AD449">
        <v>17</v>
      </c>
      <c r="AE449">
        <v>33</v>
      </c>
      <c r="AF449" s="27">
        <f t="shared" ca="1" si="472"/>
        <v>6423</v>
      </c>
      <c r="AG449" s="27">
        <f t="shared" ca="1" si="416"/>
        <v>1358</v>
      </c>
      <c r="AH449" s="27">
        <f t="shared" ca="1" si="417"/>
        <v>890</v>
      </c>
      <c r="AI449" s="27">
        <f t="shared" ca="1" si="418"/>
        <v>246</v>
      </c>
      <c r="AJ449" s="27">
        <f t="shared" ca="1" si="419"/>
        <v>28</v>
      </c>
      <c r="AK449" s="27">
        <f t="shared" ca="1" si="420"/>
        <v>194</v>
      </c>
      <c r="AL449" s="27">
        <f t="shared" ca="1" si="421"/>
        <v>620</v>
      </c>
      <c r="AM449" s="27">
        <f t="shared" ca="1" si="422"/>
        <v>66</v>
      </c>
      <c r="AN449" s="27">
        <f t="shared" ca="1" si="423"/>
        <v>4379</v>
      </c>
      <c r="AO449">
        <v>4279</v>
      </c>
      <c r="AP449">
        <v>1510</v>
      </c>
      <c r="AQ449">
        <v>160</v>
      </c>
      <c r="AR449">
        <v>505</v>
      </c>
      <c r="AS449">
        <v>1110</v>
      </c>
      <c r="AT449">
        <v>106</v>
      </c>
      <c r="AU449">
        <v>155</v>
      </c>
      <c r="AV449">
        <v>0.98199999999999998</v>
      </c>
      <c r="AW449" s="1"/>
      <c r="AX449" s="1"/>
      <c r="AY449" s="29">
        <f t="shared" si="424"/>
        <v>29700</v>
      </c>
      <c r="AZ449" s="31">
        <f t="shared" si="425"/>
        <v>165614</v>
      </c>
      <c r="BA449" s="31"/>
      <c r="BB449" s="30">
        <f t="shared" si="427"/>
        <v>0</v>
      </c>
    </row>
    <row r="450" spans="2:54" x14ac:dyDescent="0.5">
      <c r="B450" s="4">
        <v>2014</v>
      </c>
      <c r="C450" t="s">
        <v>96</v>
      </c>
      <c r="D450" t="s">
        <v>97</v>
      </c>
      <c r="E450">
        <v>3</v>
      </c>
      <c r="F450" t="s">
        <v>38</v>
      </c>
      <c r="G450" t="s">
        <v>38</v>
      </c>
      <c r="H450" t="s">
        <v>38</v>
      </c>
      <c r="I450" t="s">
        <v>38</v>
      </c>
      <c r="J450">
        <v>83</v>
      </c>
      <c r="K450">
        <v>79</v>
      </c>
      <c r="L450">
        <v>723</v>
      </c>
      <c r="M450" s="20">
        <v>5549</v>
      </c>
      <c r="N450" s="20">
        <v>1435</v>
      </c>
      <c r="O450" s="20">
        <f t="shared" si="414"/>
        <v>952</v>
      </c>
      <c r="P450" s="20">
        <v>282</v>
      </c>
      <c r="Q450" s="20">
        <v>24</v>
      </c>
      <c r="R450" s="20">
        <v>177</v>
      </c>
      <c r="S450" s="20">
        <v>502</v>
      </c>
      <c r="T450" s="20">
        <v>41</v>
      </c>
      <c r="U450" s="20">
        <f t="shared" si="415"/>
        <v>3571</v>
      </c>
      <c r="V450">
        <v>1151</v>
      </c>
      <c r="W450">
        <v>78</v>
      </c>
      <c r="X450">
        <v>21</v>
      </c>
      <c r="Y450">
        <v>40</v>
      </c>
      <c r="Z450">
        <v>686</v>
      </c>
      <c r="AA450">
        <v>642</v>
      </c>
      <c r="AB450">
        <v>4</v>
      </c>
      <c r="AC450">
        <v>3</v>
      </c>
      <c r="AD450">
        <v>16</v>
      </c>
      <c r="AE450">
        <v>45</v>
      </c>
      <c r="AF450" s="27">
        <f t="shared" ca="1" si="472"/>
        <v>6353</v>
      </c>
      <c r="AG450" s="27">
        <f t="shared" ca="1" si="416"/>
        <v>1512</v>
      </c>
      <c r="AH450" s="27">
        <f t="shared" ca="1" si="417"/>
        <v>955</v>
      </c>
      <c r="AI450" s="27">
        <f t="shared" ca="1" si="418"/>
        <v>375</v>
      </c>
      <c r="AJ450" s="27">
        <f t="shared" ca="1" si="419"/>
        <v>47</v>
      </c>
      <c r="AK450" s="27">
        <f t="shared" ca="1" si="420"/>
        <v>135</v>
      </c>
      <c r="AL450" s="27">
        <f t="shared" ca="1" si="421"/>
        <v>629</v>
      </c>
      <c r="AM450" s="27">
        <f t="shared" ca="1" si="422"/>
        <v>43</v>
      </c>
      <c r="AN450" s="27">
        <f t="shared" ca="1" si="423"/>
        <v>4169</v>
      </c>
      <c r="AO450">
        <v>4329</v>
      </c>
      <c r="AP450">
        <v>1400</v>
      </c>
      <c r="AQ450">
        <v>151</v>
      </c>
      <c r="AR450">
        <v>490</v>
      </c>
      <c r="AS450">
        <v>1199</v>
      </c>
      <c r="AT450">
        <v>87</v>
      </c>
      <c r="AU450">
        <v>130</v>
      </c>
      <c r="AV450">
        <v>0.98499999999999999</v>
      </c>
      <c r="AW450" s="1"/>
      <c r="AX450" s="1"/>
      <c r="AY450" s="29">
        <f t="shared" si="424"/>
        <v>29700</v>
      </c>
      <c r="AZ450" s="31">
        <f t="shared" si="425"/>
        <v>165614</v>
      </c>
      <c r="BA450" s="31">
        <f t="shared" ref="BA450" si="483">SUMIF($B$2:$B$571,$B450,$O$2:$O$571)</f>
        <v>28423</v>
      </c>
      <c r="BB450" s="30">
        <f t="shared" si="427"/>
        <v>0.17162196432668736</v>
      </c>
    </row>
    <row r="451" spans="2:54" x14ac:dyDescent="0.5">
      <c r="B451" s="4">
        <v>2014</v>
      </c>
      <c r="C451" t="s">
        <v>100</v>
      </c>
      <c r="D451" t="s">
        <v>101</v>
      </c>
      <c r="E451">
        <v>1</v>
      </c>
      <c r="F451" t="s">
        <v>43</v>
      </c>
      <c r="G451" t="s">
        <v>38</v>
      </c>
      <c r="H451" t="s">
        <v>38</v>
      </c>
      <c r="I451" t="s">
        <v>38</v>
      </c>
      <c r="J451">
        <v>96</v>
      </c>
      <c r="K451">
        <v>66</v>
      </c>
      <c r="L451">
        <v>686</v>
      </c>
      <c r="M451" s="20">
        <v>5542</v>
      </c>
      <c r="N451" s="20">
        <v>1403</v>
      </c>
      <c r="O451" s="20">
        <f t="shared" ref="O451:O514" si="484">N451-(P451+Q451+R451)</f>
        <v>959</v>
      </c>
      <c r="P451" s="20">
        <v>265</v>
      </c>
      <c r="Q451" s="20">
        <v>27</v>
      </c>
      <c r="R451" s="20">
        <v>152</v>
      </c>
      <c r="S451" s="20">
        <v>517</v>
      </c>
      <c r="T451" s="20">
        <v>56</v>
      </c>
      <c r="U451" s="20">
        <f t="shared" ref="U451:U514" si="485">M451-(N451+S451+T451)</f>
        <v>3566</v>
      </c>
      <c r="V451">
        <v>1304</v>
      </c>
      <c r="W451">
        <v>101</v>
      </c>
      <c r="X451">
        <v>23</v>
      </c>
      <c r="Y451">
        <v>41</v>
      </c>
      <c r="Z451">
        <v>555</v>
      </c>
      <c r="AA451">
        <v>495</v>
      </c>
      <c r="AB451">
        <v>3.03</v>
      </c>
      <c r="AC451">
        <v>5</v>
      </c>
      <c r="AD451">
        <v>19</v>
      </c>
      <c r="AE451">
        <v>45</v>
      </c>
      <c r="AF451" s="27">
        <f t="shared" ca="1" si="472"/>
        <v>6351</v>
      </c>
      <c r="AG451" s="27">
        <f t="shared" ref="AG451:AG514" ca="1" si="486">RANDBETWEEN(1300,1700)</f>
        <v>1643</v>
      </c>
      <c r="AH451" s="27">
        <f t="shared" ref="AH451:AH514" ca="1" si="487">AG451-(AI451+AJ451+AK451)</f>
        <v>1214</v>
      </c>
      <c r="AI451" s="27">
        <f t="shared" ref="AI451:AI514" ca="1" si="488">RANDBETWEEN(219,400)</f>
        <v>248</v>
      </c>
      <c r="AJ451" s="27">
        <f t="shared" ref="AJ451:AJ514" ca="1" si="489">RANDBETWEEN(20,50)</f>
        <v>25</v>
      </c>
      <c r="AK451" s="27">
        <f t="shared" ref="AK451:AK514" ca="1" si="490">RANDBETWEEN(130,240)</f>
        <v>156</v>
      </c>
      <c r="AL451" s="27">
        <f t="shared" ref="AL451:AL514" ca="1" si="491">RANDBETWEEN(400,700)</f>
        <v>468</v>
      </c>
      <c r="AM451" s="27">
        <f t="shared" ref="AM451:AM514" ca="1" si="492">RANDBETWEEN(30,90)</f>
        <v>40</v>
      </c>
      <c r="AN451" s="27">
        <f t="shared" ref="AN451:AN514" ca="1" si="493">AF451-(AG451+AL451+AM451)</f>
        <v>4200</v>
      </c>
      <c r="AO451">
        <v>4412</v>
      </c>
      <c r="AP451">
        <v>1351</v>
      </c>
      <c r="AQ451">
        <v>110</v>
      </c>
      <c r="AR451">
        <v>352</v>
      </c>
      <c r="AS451">
        <v>1288</v>
      </c>
      <c r="AT451">
        <v>100</v>
      </c>
      <c r="AU451">
        <v>139</v>
      </c>
      <c r="AV451">
        <v>0.98399999999999999</v>
      </c>
      <c r="AW451" s="1"/>
      <c r="AX451" s="1"/>
      <c r="AY451" s="29">
        <f t="shared" ref="AY451:AY514" si="494">SUM(O$2:O$31)</f>
        <v>29700</v>
      </c>
      <c r="AZ451" s="31">
        <f t="shared" ref="AZ451:AZ514" si="495">SUMIF($B$2:$B$571,$B451,$M$2:$M$571)</f>
        <v>165614</v>
      </c>
      <c r="BA451" s="31">
        <f t="shared" ref="BA451" si="496">SUMIF($B$2:$B$571,$B451,$P$2:$P$571)</f>
        <v>8137</v>
      </c>
      <c r="BB451" s="30">
        <f t="shared" ref="BB451:BB514" si="497">BA451/AZ451</f>
        <v>4.9132319731423672E-2</v>
      </c>
    </row>
    <row r="452" spans="2:54" x14ac:dyDescent="0.5">
      <c r="B452" s="4">
        <v>2015</v>
      </c>
      <c r="C452" t="s">
        <v>39</v>
      </c>
      <c r="D452" t="s">
        <v>40</v>
      </c>
      <c r="E452">
        <v>3</v>
      </c>
      <c r="F452" t="s">
        <v>38</v>
      </c>
      <c r="G452" t="s">
        <v>38</v>
      </c>
      <c r="H452" t="s">
        <v>38</v>
      </c>
      <c r="I452" t="s">
        <v>38</v>
      </c>
      <c r="J452">
        <v>79</v>
      </c>
      <c r="K452">
        <v>83</v>
      </c>
      <c r="L452">
        <v>720</v>
      </c>
      <c r="M452" s="20">
        <v>5649</v>
      </c>
      <c r="N452" s="20">
        <v>1494</v>
      </c>
      <c r="O452" s="20">
        <f t="shared" si="484"/>
        <v>1003</v>
      </c>
      <c r="P452" s="20">
        <v>289</v>
      </c>
      <c r="Q452" s="20">
        <v>48</v>
      </c>
      <c r="R452" s="20">
        <v>154</v>
      </c>
      <c r="S452" s="20">
        <v>490</v>
      </c>
      <c r="T452" s="20">
        <v>33</v>
      </c>
      <c r="U452" s="20">
        <f t="shared" si="485"/>
        <v>3632</v>
      </c>
      <c r="V452">
        <v>1312</v>
      </c>
      <c r="W452">
        <v>132</v>
      </c>
      <c r="X452">
        <v>44</v>
      </c>
      <c r="Y452">
        <v>57</v>
      </c>
      <c r="Z452">
        <v>713</v>
      </c>
      <c r="AA452">
        <v>659</v>
      </c>
      <c r="AB452">
        <v>4.04</v>
      </c>
      <c r="AC452">
        <v>1</v>
      </c>
      <c r="AD452">
        <v>12</v>
      </c>
      <c r="AE452">
        <v>44</v>
      </c>
      <c r="AF452" s="27">
        <f t="shared" ca="1" si="472"/>
        <v>6480</v>
      </c>
      <c r="AG452" s="27">
        <f t="shared" ca="1" si="486"/>
        <v>1461</v>
      </c>
      <c r="AH452" s="27">
        <f t="shared" ca="1" si="487"/>
        <v>916</v>
      </c>
      <c r="AI452" s="27">
        <f t="shared" ca="1" si="488"/>
        <v>313</v>
      </c>
      <c r="AJ452" s="27">
        <f t="shared" ca="1" si="489"/>
        <v>32</v>
      </c>
      <c r="AK452" s="27">
        <f t="shared" ca="1" si="490"/>
        <v>200</v>
      </c>
      <c r="AL452" s="27">
        <f t="shared" ca="1" si="491"/>
        <v>609</v>
      </c>
      <c r="AM452" s="27">
        <f t="shared" ca="1" si="492"/>
        <v>69</v>
      </c>
      <c r="AN452" s="27">
        <f t="shared" ca="1" si="493"/>
        <v>4341</v>
      </c>
      <c r="AO452">
        <v>4400</v>
      </c>
      <c r="AP452">
        <v>1450</v>
      </c>
      <c r="AQ452">
        <v>182</v>
      </c>
      <c r="AR452">
        <v>500</v>
      </c>
      <c r="AS452">
        <v>1215</v>
      </c>
      <c r="AT452">
        <v>86</v>
      </c>
      <c r="AU452">
        <v>146</v>
      </c>
      <c r="AV452">
        <v>0.98599999999999999</v>
      </c>
      <c r="AW452" s="1"/>
      <c r="AX452" s="1"/>
      <c r="AY452" s="29">
        <f t="shared" si="494"/>
        <v>29700</v>
      </c>
      <c r="AZ452" s="31">
        <f t="shared" si="495"/>
        <v>165488</v>
      </c>
      <c r="BA452" s="31">
        <f t="shared" ref="BA452" si="498">SUMIF($B$2:$B$571,$B452,$Q$2:$Q$571)</f>
        <v>939</v>
      </c>
      <c r="BB452" s="30">
        <f t="shared" si="497"/>
        <v>5.6741274291791551E-3</v>
      </c>
    </row>
    <row r="453" spans="2:54" x14ac:dyDescent="0.5">
      <c r="B453" s="4">
        <v>2015</v>
      </c>
      <c r="C453" t="s">
        <v>41</v>
      </c>
      <c r="D453" t="s">
        <v>42</v>
      </c>
      <c r="E453">
        <v>4</v>
      </c>
      <c r="F453" t="s">
        <v>38</v>
      </c>
      <c r="G453" t="s">
        <v>38</v>
      </c>
      <c r="H453" t="s">
        <v>38</v>
      </c>
      <c r="I453" t="s">
        <v>38</v>
      </c>
      <c r="J453">
        <v>67</v>
      </c>
      <c r="K453">
        <v>95</v>
      </c>
      <c r="L453">
        <v>573</v>
      </c>
      <c r="M453" s="20">
        <v>5420</v>
      </c>
      <c r="N453" s="20">
        <v>1361</v>
      </c>
      <c r="O453" s="20">
        <f t="shared" si="484"/>
        <v>992</v>
      </c>
      <c r="P453" s="20">
        <v>251</v>
      </c>
      <c r="Q453" s="20">
        <v>18</v>
      </c>
      <c r="R453" s="20">
        <v>100</v>
      </c>
      <c r="S453" s="20">
        <v>471</v>
      </c>
      <c r="T453" s="20">
        <v>44</v>
      </c>
      <c r="U453" s="20">
        <f t="shared" si="485"/>
        <v>3544</v>
      </c>
      <c r="V453">
        <v>1107</v>
      </c>
      <c r="W453">
        <v>69</v>
      </c>
      <c r="X453">
        <v>33</v>
      </c>
      <c r="Y453">
        <v>31</v>
      </c>
      <c r="Z453">
        <v>760</v>
      </c>
      <c r="AA453">
        <v>698</v>
      </c>
      <c r="AB453">
        <v>4.41</v>
      </c>
      <c r="AC453">
        <v>3</v>
      </c>
      <c r="AD453">
        <v>10</v>
      </c>
      <c r="AE453">
        <v>44</v>
      </c>
      <c r="AF453" s="27">
        <f t="shared" ca="1" si="472"/>
        <v>6426</v>
      </c>
      <c r="AG453" s="27">
        <f t="shared" ca="1" si="486"/>
        <v>1628</v>
      </c>
      <c r="AH453" s="27">
        <f t="shared" ca="1" si="487"/>
        <v>1014</v>
      </c>
      <c r="AI453" s="27">
        <f t="shared" ca="1" si="488"/>
        <v>327</v>
      </c>
      <c r="AJ453" s="27">
        <f t="shared" ca="1" si="489"/>
        <v>50</v>
      </c>
      <c r="AK453" s="27">
        <f t="shared" ca="1" si="490"/>
        <v>237</v>
      </c>
      <c r="AL453" s="27">
        <f t="shared" ca="1" si="491"/>
        <v>486</v>
      </c>
      <c r="AM453" s="27">
        <f t="shared" ca="1" si="492"/>
        <v>50</v>
      </c>
      <c r="AN453" s="27">
        <f t="shared" ca="1" si="493"/>
        <v>4262</v>
      </c>
      <c r="AO453">
        <v>4276</v>
      </c>
      <c r="AP453">
        <v>1462</v>
      </c>
      <c r="AQ453">
        <v>170</v>
      </c>
      <c r="AR453">
        <v>550</v>
      </c>
      <c r="AS453">
        <v>1148</v>
      </c>
      <c r="AT453">
        <v>90</v>
      </c>
      <c r="AU453">
        <v>186</v>
      </c>
      <c r="AV453">
        <v>0.98499999999999999</v>
      </c>
      <c r="AW453" s="1"/>
      <c r="AX453" s="1"/>
      <c r="AY453" s="29">
        <f t="shared" si="494"/>
        <v>29700</v>
      </c>
      <c r="AZ453" s="31">
        <f t="shared" si="495"/>
        <v>165488</v>
      </c>
      <c r="BA453" s="31">
        <f t="shared" ref="BA453" si="499">SUMIF($B$2:$B$571,$B453,$R$2:$R$571)</f>
        <v>4909</v>
      </c>
      <c r="BB453" s="30">
        <f t="shared" si="497"/>
        <v>2.9663782268200715E-2</v>
      </c>
    </row>
    <row r="454" spans="2:54" x14ac:dyDescent="0.5">
      <c r="B454" s="4">
        <v>2015</v>
      </c>
      <c r="C454" t="s">
        <v>44</v>
      </c>
      <c r="D454" t="s">
        <v>45</v>
      </c>
      <c r="E454">
        <v>3</v>
      </c>
      <c r="F454" t="s">
        <v>38</v>
      </c>
      <c r="G454" t="s">
        <v>38</v>
      </c>
      <c r="H454" t="s">
        <v>38</v>
      </c>
      <c r="I454" t="s">
        <v>38</v>
      </c>
      <c r="J454">
        <v>81</v>
      </c>
      <c r="K454">
        <v>81</v>
      </c>
      <c r="L454">
        <v>713</v>
      </c>
      <c r="M454" s="20">
        <v>5485</v>
      </c>
      <c r="N454" s="20">
        <v>1370</v>
      </c>
      <c r="O454" s="20">
        <f t="shared" si="484"/>
        <v>887</v>
      </c>
      <c r="P454" s="20">
        <v>246</v>
      </c>
      <c r="Q454" s="20">
        <v>20</v>
      </c>
      <c r="R454" s="20">
        <v>217</v>
      </c>
      <c r="S454" s="20">
        <v>418</v>
      </c>
      <c r="T454" s="20">
        <v>51</v>
      </c>
      <c r="U454" s="20">
        <f t="shared" si="485"/>
        <v>3646</v>
      </c>
      <c r="V454">
        <v>1331</v>
      </c>
      <c r="W454">
        <v>44</v>
      </c>
      <c r="X454">
        <v>25</v>
      </c>
      <c r="Y454">
        <v>32</v>
      </c>
      <c r="Z454">
        <v>693</v>
      </c>
      <c r="AA454">
        <v>646</v>
      </c>
      <c r="AB454">
        <v>4.05</v>
      </c>
      <c r="AC454">
        <v>0</v>
      </c>
      <c r="AD454">
        <v>10</v>
      </c>
      <c r="AE454">
        <v>43</v>
      </c>
      <c r="AF454" s="27">
        <f t="shared" ca="1" si="472"/>
        <v>6300</v>
      </c>
      <c r="AG454" s="27">
        <f t="shared" ca="1" si="486"/>
        <v>1401</v>
      </c>
      <c r="AH454" s="27">
        <f t="shared" ca="1" si="487"/>
        <v>780</v>
      </c>
      <c r="AI454" s="27">
        <f t="shared" ca="1" si="488"/>
        <v>399</v>
      </c>
      <c r="AJ454" s="27">
        <f t="shared" ca="1" si="489"/>
        <v>42</v>
      </c>
      <c r="AK454" s="27">
        <f t="shared" ca="1" si="490"/>
        <v>180</v>
      </c>
      <c r="AL454" s="27">
        <f t="shared" ca="1" si="491"/>
        <v>488</v>
      </c>
      <c r="AM454" s="27">
        <f t="shared" ca="1" si="492"/>
        <v>36</v>
      </c>
      <c r="AN454" s="27">
        <f t="shared" ca="1" si="493"/>
        <v>4375</v>
      </c>
      <c r="AO454">
        <v>4304</v>
      </c>
      <c r="AP454">
        <v>1406</v>
      </c>
      <c r="AQ454">
        <v>174</v>
      </c>
      <c r="AR454">
        <v>483</v>
      </c>
      <c r="AS454">
        <v>1233</v>
      </c>
      <c r="AT454">
        <v>77</v>
      </c>
      <c r="AU454">
        <v>134</v>
      </c>
      <c r="AV454">
        <v>0.98699999999999999</v>
      </c>
      <c r="AW454" s="1"/>
      <c r="AX454" s="1"/>
      <c r="AY454" s="29">
        <f t="shared" si="494"/>
        <v>29700</v>
      </c>
      <c r="AZ454" s="31">
        <f t="shared" si="495"/>
        <v>165488</v>
      </c>
      <c r="BA454" s="31">
        <f t="shared" ref="BA454" si="500">SUMIF($B$2:$B$571,$B454,$S$2:$S$571)</f>
        <v>14073</v>
      </c>
      <c r="BB454" s="30">
        <f t="shared" si="497"/>
        <v>8.5039398627090784E-2</v>
      </c>
    </row>
    <row r="455" spans="2:54" x14ac:dyDescent="0.5">
      <c r="B455" s="4">
        <v>2015</v>
      </c>
      <c r="C455" t="s">
        <v>46</v>
      </c>
      <c r="D455" t="s">
        <v>47</v>
      </c>
      <c r="E455">
        <v>5</v>
      </c>
      <c r="F455" t="s">
        <v>38</v>
      </c>
      <c r="G455" t="s">
        <v>38</v>
      </c>
      <c r="H455" t="s">
        <v>38</v>
      </c>
      <c r="I455" t="s">
        <v>38</v>
      </c>
      <c r="J455">
        <v>78</v>
      </c>
      <c r="K455">
        <v>84</v>
      </c>
      <c r="L455">
        <v>748</v>
      </c>
      <c r="M455" s="20">
        <v>5640</v>
      </c>
      <c r="N455" s="20">
        <v>1495</v>
      </c>
      <c r="O455" s="20">
        <f t="shared" si="484"/>
        <v>1007</v>
      </c>
      <c r="P455" s="20">
        <v>294</v>
      </c>
      <c r="Q455" s="20">
        <v>33</v>
      </c>
      <c r="R455" s="20">
        <v>161</v>
      </c>
      <c r="S455" s="20">
        <v>478</v>
      </c>
      <c r="T455" s="20">
        <v>46</v>
      </c>
      <c r="U455" s="20">
        <f t="shared" si="485"/>
        <v>3621</v>
      </c>
      <c r="V455">
        <v>1148</v>
      </c>
      <c r="W455">
        <v>71</v>
      </c>
      <c r="X455">
        <v>27</v>
      </c>
      <c r="Y455">
        <v>42</v>
      </c>
      <c r="Z455">
        <v>753</v>
      </c>
      <c r="AA455">
        <v>694</v>
      </c>
      <c r="AB455">
        <v>4.3099999999999996</v>
      </c>
      <c r="AC455">
        <v>3</v>
      </c>
      <c r="AD455">
        <v>10</v>
      </c>
      <c r="AE455">
        <v>40</v>
      </c>
      <c r="AF455" s="27">
        <f t="shared" ca="1" si="472"/>
        <v>6453</v>
      </c>
      <c r="AG455" s="27">
        <f t="shared" ca="1" si="486"/>
        <v>1389</v>
      </c>
      <c r="AH455" s="27">
        <f t="shared" ca="1" si="487"/>
        <v>807</v>
      </c>
      <c r="AI455" s="27">
        <f t="shared" ca="1" si="488"/>
        <v>372</v>
      </c>
      <c r="AJ455" s="27">
        <f t="shared" ca="1" si="489"/>
        <v>29</v>
      </c>
      <c r="AK455" s="27">
        <f t="shared" ca="1" si="490"/>
        <v>181</v>
      </c>
      <c r="AL455" s="27">
        <f t="shared" ca="1" si="491"/>
        <v>458</v>
      </c>
      <c r="AM455" s="27">
        <f t="shared" ca="1" si="492"/>
        <v>51</v>
      </c>
      <c r="AN455" s="27">
        <f t="shared" ca="1" si="493"/>
        <v>4555</v>
      </c>
      <c r="AO455">
        <v>4345</v>
      </c>
      <c r="AP455">
        <v>1486</v>
      </c>
      <c r="AQ455">
        <v>178</v>
      </c>
      <c r="AR455">
        <v>478</v>
      </c>
      <c r="AS455">
        <v>1218</v>
      </c>
      <c r="AT455">
        <v>97</v>
      </c>
      <c r="AU455">
        <v>148</v>
      </c>
      <c r="AV455">
        <v>0.98399999999999999</v>
      </c>
      <c r="AW455" s="1"/>
      <c r="AX455" s="1"/>
      <c r="AY455" s="29">
        <f t="shared" si="494"/>
        <v>29700</v>
      </c>
      <c r="AZ455" s="31">
        <f t="shared" si="495"/>
        <v>165488</v>
      </c>
      <c r="BA455" s="31">
        <f t="shared" ref="BA455" si="501">SUMIF($B$2:$B$571,$B455,$T$2:$T$571)</f>
        <v>1602</v>
      </c>
      <c r="BB455" s="30">
        <f t="shared" si="497"/>
        <v>9.6804602146379187E-3</v>
      </c>
    </row>
    <row r="456" spans="2:54" x14ac:dyDescent="0.5">
      <c r="B456" s="4">
        <v>2015</v>
      </c>
      <c r="C456" t="s">
        <v>48</v>
      </c>
      <c r="D456" t="s">
        <v>49</v>
      </c>
      <c r="E456">
        <v>4</v>
      </c>
      <c r="F456" t="s">
        <v>38</v>
      </c>
      <c r="G456" t="s">
        <v>38</v>
      </c>
      <c r="H456" t="s">
        <v>38</v>
      </c>
      <c r="I456" t="s">
        <v>38</v>
      </c>
      <c r="J456">
        <v>76</v>
      </c>
      <c r="K456">
        <v>86</v>
      </c>
      <c r="L456">
        <v>622</v>
      </c>
      <c r="M456" s="20">
        <v>5533</v>
      </c>
      <c r="N456" s="20">
        <v>1381</v>
      </c>
      <c r="O456" s="20">
        <f t="shared" si="484"/>
        <v>958</v>
      </c>
      <c r="P456" s="20">
        <v>260</v>
      </c>
      <c r="Q456" s="20">
        <v>27</v>
      </c>
      <c r="R456" s="20">
        <v>136</v>
      </c>
      <c r="S456" s="20">
        <v>404</v>
      </c>
      <c r="T456" s="20">
        <v>65</v>
      </c>
      <c r="U456" s="20">
        <f t="shared" si="485"/>
        <v>3683</v>
      </c>
      <c r="V456">
        <v>1231</v>
      </c>
      <c r="W456">
        <v>68</v>
      </c>
      <c r="X456">
        <v>42</v>
      </c>
      <c r="Y456">
        <v>37</v>
      </c>
      <c r="Z456">
        <v>701</v>
      </c>
      <c r="AA456">
        <v>643</v>
      </c>
      <c r="AB456">
        <v>3.98</v>
      </c>
      <c r="AC456">
        <v>7</v>
      </c>
      <c r="AD456">
        <v>9</v>
      </c>
      <c r="AE456">
        <v>37</v>
      </c>
      <c r="AF456" s="27">
        <f t="shared" ca="1" si="472"/>
        <v>6177</v>
      </c>
      <c r="AG456" s="27">
        <f t="shared" ca="1" si="486"/>
        <v>1680</v>
      </c>
      <c r="AH456" s="27">
        <f t="shared" ca="1" si="487"/>
        <v>1171</v>
      </c>
      <c r="AI456" s="27">
        <f t="shared" ca="1" si="488"/>
        <v>293</v>
      </c>
      <c r="AJ456" s="27">
        <f t="shared" ca="1" si="489"/>
        <v>43</v>
      </c>
      <c r="AK456" s="27">
        <f t="shared" ca="1" si="490"/>
        <v>173</v>
      </c>
      <c r="AL456" s="27">
        <f t="shared" ca="1" si="491"/>
        <v>610</v>
      </c>
      <c r="AM456" s="27">
        <f t="shared" ca="1" si="492"/>
        <v>79</v>
      </c>
      <c r="AN456" s="27">
        <f t="shared" ca="1" si="493"/>
        <v>3808</v>
      </c>
      <c r="AO456">
        <v>4358</v>
      </c>
      <c r="AP456">
        <v>1443</v>
      </c>
      <c r="AQ456">
        <v>162</v>
      </c>
      <c r="AR456">
        <v>474</v>
      </c>
      <c r="AS456">
        <v>1359</v>
      </c>
      <c r="AT456">
        <v>101</v>
      </c>
      <c r="AU456">
        <v>159</v>
      </c>
      <c r="AV456">
        <v>0.98299999999999998</v>
      </c>
      <c r="AW456" s="1"/>
      <c r="AX456" s="1"/>
      <c r="AY456" s="29">
        <f t="shared" si="494"/>
        <v>29700</v>
      </c>
      <c r="AZ456" s="31">
        <f t="shared" si="495"/>
        <v>165488</v>
      </c>
      <c r="BA456" s="31">
        <f t="shared" ref="BA456" si="502">SUMIF($B$2:$B$571,$B456,$U$2:$U$571)</f>
        <v>107707</v>
      </c>
      <c r="BB456" s="30">
        <f t="shared" si="497"/>
        <v>0.65084477424344966</v>
      </c>
    </row>
    <row r="457" spans="2:54" x14ac:dyDescent="0.5">
      <c r="B457" s="4">
        <v>2015</v>
      </c>
      <c r="C457" t="s">
        <v>50</v>
      </c>
      <c r="D457" t="s">
        <v>51</v>
      </c>
      <c r="E457">
        <v>3</v>
      </c>
      <c r="F457" t="s">
        <v>38</v>
      </c>
      <c r="G457" t="s">
        <v>43</v>
      </c>
      <c r="H457" t="s">
        <v>38</v>
      </c>
      <c r="I457" t="s">
        <v>38</v>
      </c>
      <c r="J457">
        <v>97</v>
      </c>
      <c r="K457">
        <v>65</v>
      </c>
      <c r="L457">
        <v>689</v>
      </c>
      <c r="M457" s="20">
        <v>5491</v>
      </c>
      <c r="N457" s="20">
        <v>1341</v>
      </c>
      <c r="O457" s="20">
        <f t="shared" si="484"/>
        <v>868</v>
      </c>
      <c r="P457" s="20">
        <v>272</v>
      </c>
      <c r="Q457" s="20">
        <v>30</v>
      </c>
      <c r="R457" s="20">
        <v>171</v>
      </c>
      <c r="S457" s="20">
        <v>567</v>
      </c>
      <c r="T457" s="20">
        <v>74</v>
      </c>
      <c r="U457" s="20">
        <f t="shared" si="485"/>
        <v>3509</v>
      </c>
      <c r="V457">
        <v>1518</v>
      </c>
      <c r="W457">
        <v>95</v>
      </c>
      <c r="X457">
        <v>37</v>
      </c>
      <c r="Y457">
        <v>35</v>
      </c>
      <c r="Z457">
        <v>608</v>
      </c>
      <c r="AA457">
        <v>546</v>
      </c>
      <c r="AB457">
        <v>3.36</v>
      </c>
      <c r="AC457">
        <v>6</v>
      </c>
      <c r="AD457">
        <v>21</v>
      </c>
      <c r="AE457">
        <v>48</v>
      </c>
      <c r="AF457" s="27">
        <f t="shared" ca="1" si="472"/>
        <v>6249</v>
      </c>
      <c r="AG457" s="27">
        <f t="shared" ca="1" si="486"/>
        <v>1440</v>
      </c>
      <c r="AH457" s="27">
        <f t="shared" ca="1" si="487"/>
        <v>837</v>
      </c>
      <c r="AI457" s="27">
        <f t="shared" ca="1" si="488"/>
        <v>383</v>
      </c>
      <c r="AJ457" s="27">
        <f t="shared" ca="1" si="489"/>
        <v>39</v>
      </c>
      <c r="AK457" s="27">
        <f t="shared" ca="1" si="490"/>
        <v>181</v>
      </c>
      <c r="AL457" s="27">
        <f t="shared" ca="1" si="491"/>
        <v>547</v>
      </c>
      <c r="AM457" s="27">
        <f t="shared" ca="1" si="492"/>
        <v>68</v>
      </c>
      <c r="AN457" s="27">
        <f t="shared" ca="1" si="493"/>
        <v>4194</v>
      </c>
      <c r="AO457">
        <v>4384</v>
      </c>
      <c r="AP457">
        <v>1276</v>
      </c>
      <c r="AQ457">
        <v>134</v>
      </c>
      <c r="AR457">
        <v>407</v>
      </c>
      <c r="AS457">
        <v>1431</v>
      </c>
      <c r="AT457">
        <v>111</v>
      </c>
      <c r="AU457">
        <v>120</v>
      </c>
      <c r="AV457">
        <v>0.98199999999999998</v>
      </c>
      <c r="AW457" s="1"/>
      <c r="AX457" s="1"/>
      <c r="AY457" s="29">
        <f t="shared" si="494"/>
        <v>29700</v>
      </c>
      <c r="AZ457" s="31">
        <f t="shared" si="495"/>
        <v>165488</v>
      </c>
      <c r="BA457" s="31"/>
      <c r="BB457" s="30">
        <f t="shared" si="497"/>
        <v>0</v>
      </c>
    </row>
    <row r="458" spans="2:54" x14ac:dyDescent="0.5">
      <c r="B458" s="4">
        <v>2015</v>
      </c>
      <c r="C458" t="s">
        <v>52</v>
      </c>
      <c r="D458" t="s">
        <v>53</v>
      </c>
      <c r="E458">
        <v>5</v>
      </c>
      <c r="F458" t="s">
        <v>38</v>
      </c>
      <c r="G458" t="s">
        <v>38</v>
      </c>
      <c r="H458" t="s">
        <v>38</v>
      </c>
      <c r="I458" t="s">
        <v>38</v>
      </c>
      <c r="J458">
        <v>64</v>
      </c>
      <c r="K458">
        <v>98</v>
      </c>
      <c r="L458">
        <v>640</v>
      </c>
      <c r="M458" s="20">
        <v>5571</v>
      </c>
      <c r="N458" s="20">
        <v>1382</v>
      </c>
      <c r="O458" s="20">
        <f t="shared" si="484"/>
        <v>931</v>
      </c>
      <c r="P458" s="20">
        <v>257</v>
      </c>
      <c r="Q458" s="20">
        <v>27</v>
      </c>
      <c r="R458" s="20">
        <v>167</v>
      </c>
      <c r="S458" s="20">
        <v>496</v>
      </c>
      <c r="T458" s="20">
        <v>42</v>
      </c>
      <c r="U458" s="20">
        <f t="shared" si="485"/>
        <v>3651</v>
      </c>
      <c r="V458">
        <v>1255</v>
      </c>
      <c r="W458">
        <v>134</v>
      </c>
      <c r="X458">
        <v>38</v>
      </c>
      <c r="Y458">
        <v>40</v>
      </c>
      <c r="Z458">
        <v>754</v>
      </c>
      <c r="AA458">
        <v>700</v>
      </c>
      <c r="AB458">
        <v>4.33</v>
      </c>
      <c r="AC458">
        <v>2</v>
      </c>
      <c r="AD458">
        <v>8</v>
      </c>
      <c r="AE458">
        <v>35</v>
      </c>
      <c r="AF458" s="27">
        <f t="shared" ca="1" si="472"/>
        <v>6055</v>
      </c>
      <c r="AG458" s="27">
        <f t="shared" ca="1" si="486"/>
        <v>1429</v>
      </c>
      <c r="AH458" s="27">
        <f t="shared" ca="1" si="487"/>
        <v>854</v>
      </c>
      <c r="AI458" s="27">
        <f t="shared" ca="1" si="488"/>
        <v>326</v>
      </c>
      <c r="AJ458" s="27">
        <f t="shared" ca="1" si="489"/>
        <v>42</v>
      </c>
      <c r="AK458" s="27">
        <f t="shared" ca="1" si="490"/>
        <v>207</v>
      </c>
      <c r="AL458" s="27">
        <f t="shared" ca="1" si="491"/>
        <v>558</v>
      </c>
      <c r="AM458" s="27">
        <f t="shared" ca="1" si="492"/>
        <v>69</v>
      </c>
      <c r="AN458" s="27">
        <f t="shared" ca="1" si="493"/>
        <v>3999</v>
      </c>
      <c r="AO458">
        <v>4360</v>
      </c>
      <c r="AP458">
        <v>1436</v>
      </c>
      <c r="AQ458">
        <v>177</v>
      </c>
      <c r="AR458">
        <v>544</v>
      </c>
      <c r="AS458">
        <v>1252</v>
      </c>
      <c r="AT458">
        <v>90</v>
      </c>
      <c r="AU458">
        <v>131</v>
      </c>
      <c r="AV458">
        <v>0.98499999999999999</v>
      </c>
      <c r="AW458" s="1"/>
      <c r="AX458" s="1"/>
      <c r="AY458" s="29">
        <f t="shared" si="494"/>
        <v>29700</v>
      </c>
      <c r="AZ458" s="31">
        <f t="shared" si="495"/>
        <v>165488</v>
      </c>
      <c r="BA458" s="31">
        <f t="shared" ref="BA458" si="503">SUMIF($B$2:$B$571,$B458,$O$2:$O$571)</f>
        <v>28016</v>
      </c>
      <c r="BB458" s="30">
        <f t="shared" si="497"/>
        <v>0.1692932418060524</v>
      </c>
    </row>
    <row r="459" spans="2:54" x14ac:dyDescent="0.5">
      <c r="B459" s="4">
        <v>2015</v>
      </c>
      <c r="C459" t="s">
        <v>54</v>
      </c>
      <c r="D459" t="s">
        <v>55</v>
      </c>
      <c r="E459">
        <v>3</v>
      </c>
      <c r="F459" t="s">
        <v>38</v>
      </c>
      <c r="G459" t="s">
        <v>38</v>
      </c>
      <c r="H459" t="s">
        <v>38</v>
      </c>
      <c r="I459" t="s">
        <v>38</v>
      </c>
      <c r="J459">
        <v>81</v>
      </c>
      <c r="K459">
        <v>80</v>
      </c>
      <c r="L459">
        <v>669</v>
      </c>
      <c r="M459" s="20">
        <v>5439</v>
      </c>
      <c r="N459" s="20">
        <v>1395</v>
      </c>
      <c r="O459" s="20">
        <f t="shared" si="484"/>
        <v>922</v>
      </c>
      <c r="P459" s="20">
        <v>303</v>
      </c>
      <c r="Q459" s="20">
        <v>29</v>
      </c>
      <c r="R459" s="20">
        <v>141</v>
      </c>
      <c r="S459" s="20">
        <v>533</v>
      </c>
      <c r="T459" s="20">
        <v>39</v>
      </c>
      <c r="U459" s="20">
        <f t="shared" si="485"/>
        <v>3472</v>
      </c>
      <c r="V459">
        <v>1157</v>
      </c>
      <c r="W459">
        <v>86</v>
      </c>
      <c r="X459">
        <v>28</v>
      </c>
      <c r="Y459">
        <v>50</v>
      </c>
      <c r="Z459">
        <v>640</v>
      </c>
      <c r="AA459">
        <v>584</v>
      </c>
      <c r="AB459">
        <v>3.67</v>
      </c>
      <c r="AC459">
        <v>11</v>
      </c>
      <c r="AD459">
        <v>10</v>
      </c>
      <c r="AE459">
        <v>38</v>
      </c>
      <c r="AF459" s="27">
        <f t="shared" ca="1" si="472"/>
        <v>6343</v>
      </c>
      <c r="AG459" s="27">
        <f t="shared" ca="1" si="486"/>
        <v>1302</v>
      </c>
      <c r="AH459" s="27">
        <f t="shared" ca="1" si="487"/>
        <v>840</v>
      </c>
      <c r="AI459" s="27">
        <f t="shared" ca="1" si="488"/>
        <v>309</v>
      </c>
      <c r="AJ459" s="27">
        <f t="shared" ca="1" si="489"/>
        <v>23</v>
      </c>
      <c r="AK459" s="27">
        <f t="shared" ca="1" si="490"/>
        <v>130</v>
      </c>
      <c r="AL459" s="27">
        <f t="shared" ca="1" si="491"/>
        <v>465</v>
      </c>
      <c r="AM459" s="27">
        <f t="shared" ca="1" si="492"/>
        <v>87</v>
      </c>
      <c r="AN459" s="27">
        <f t="shared" ca="1" si="493"/>
        <v>4489</v>
      </c>
      <c r="AO459">
        <v>4298</v>
      </c>
      <c r="AP459">
        <v>1274</v>
      </c>
      <c r="AQ459">
        <v>161</v>
      </c>
      <c r="AR459">
        <v>425</v>
      </c>
      <c r="AS459">
        <v>1407</v>
      </c>
      <c r="AT459">
        <v>79</v>
      </c>
      <c r="AU459">
        <v>136</v>
      </c>
      <c r="AV459">
        <v>0.98699999999999999</v>
      </c>
      <c r="AW459" s="1"/>
      <c r="AX459" s="1"/>
      <c r="AY459" s="29">
        <f t="shared" si="494"/>
        <v>29700</v>
      </c>
      <c r="AZ459" s="31">
        <f t="shared" si="495"/>
        <v>165488</v>
      </c>
      <c r="BA459" s="31">
        <f t="shared" ref="BA459" si="504">SUMIF($B$2:$B$571,$B459,$P$2:$P$571)</f>
        <v>8242</v>
      </c>
      <c r="BB459" s="30">
        <f t="shared" si="497"/>
        <v>4.9804215411389345E-2</v>
      </c>
    </row>
    <row r="460" spans="2:54" x14ac:dyDescent="0.5">
      <c r="B460" s="4">
        <v>2015</v>
      </c>
      <c r="C460" t="s">
        <v>56</v>
      </c>
      <c r="D460" t="s">
        <v>57</v>
      </c>
      <c r="E460">
        <v>5</v>
      </c>
      <c r="F460" t="s">
        <v>38</v>
      </c>
      <c r="G460" t="s">
        <v>38</v>
      </c>
      <c r="H460" t="s">
        <v>38</v>
      </c>
      <c r="I460" t="s">
        <v>38</v>
      </c>
      <c r="J460">
        <v>68</v>
      </c>
      <c r="K460">
        <v>94</v>
      </c>
      <c r="L460">
        <v>737</v>
      </c>
      <c r="M460" s="20">
        <v>5572</v>
      </c>
      <c r="N460" s="20">
        <v>1479</v>
      </c>
      <c r="O460" s="20">
        <f t="shared" si="484"/>
        <v>970</v>
      </c>
      <c r="P460" s="20">
        <v>274</v>
      </c>
      <c r="Q460" s="20">
        <v>49</v>
      </c>
      <c r="R460" s="20">
        <v>186</v>
      </c>
      <c r="S460" s="20">
        <v>388</v>
      </c>
      <c r="T460" s="20">
        <v>33</v>
      </c>
      <c r="U460" s="20">
        <f t="shared" si="485"/>
        <v>3672</v>
      </c>
      <c r="V460">
        <v>1283</v>
      </c>
      <c r="W460">
        <v>97</v>
      </c>
      <c r="X460">
        <v>43</v>
      </c>
      <c r="Y460">
        <v>34</v>
      </c>
      <c r="Z460">
        <v>844</v>
      </c>
      <c r="AA460">
        <v>799</v>
      </c>
      <c r="AB460">
        <v>5.04</v>
      </c>
      <c r="AC460">
        <v>4</v>
      </c>
      <c r="AD460">
        <v>4</v>
      </c>
      <c r="AE460">
        <v>36</v>
      </c>
      <c r="AF460" s="27">
        <f t="shared" ca="1" si="472"/>
        <v>6349</v>
      </c>
      <c r="AG460" s="27">
        <f t="shared" ca="1" si="486"/>
        <v>1403</v>
      </c>
      <c r="AH460" s="27">
        <f t="shared" ca="1" si="487"/>
        <v>968</v>
      </c>
      <c r="AI460" s="27">
        <f t="shared" ca="1" si="488"/>
        <v>223</v>
      </c>
      <c r="AJ460" s="27">
        <f t="shared" ca="1" si="489"/>
        <v>32</v>
      </c>
      <c r="AK460" s="27">
        <f t="shared" ca="1" si="490"/>
        <v>180</v>
      </c>
      <c r="AL460" s="27">
        <f t="shared" ca="1" si="491"/>
        <v>518</v>
      </c>
      <c r="AM460" s="27">
        <f t="shared" ca="1" si="492"/>
        <v>62</v>
      </c>
      <c r="AN460" s="27">
        <f t="shared" ca="1" si="493"/>
        <v>4366</v>
      </c>
      <c r="AO460">
        <v>4279</v>
      </c>
      <c r="AP460">
        <v>1579</v>
      </c>
      <c r="AQ460">
        <v>183</v>
      </c>
      <c r="AR460">
        <v>579</v>
      </c>
      <c r="AS460">
        <v>1112</v>
      </c>
      <c r="AT460">
        <v>95</v>
      </c>
      <c r="AU460">
        <v>171</v>
      </c>
      <c r="AV460">
        <v>0.98499999999999999</v>
      </c>
      <c r="AW460" s="1"/>
      <c r="AX460" s="1"/>
      <c r="AY460" s="29">
        <f t="shared" si="494"/>
        <v>29700</v>
      </c>
      <c r="AZ460" s="31">
        <f t="shared" si="495"/>
        <v>165488</v>
      </c>
      <c r="BA460" s="31">
        <f t="shared" ref="BA460" si="505">SUMIF($B$2:$B$571,$B460,$Q$2:$Q$571)</f>
        <v>939</v>
      </c>
      <c r="BB460" s="30">
        <f t="shared" si="497"/>
        <v>5.6741274291791551E-3</v>
      </c>
    </row>
    <row r="461" spans="2:54" x14ac:dyDescent="0.5">
      <c r="B461" s="4">
        <v>2015</v>
      </c>
      <c r="C461" t="s">
        <v>58</v>
      </c>
      <c r="D461" t="s">
        <v>59</v>
      </c>
      <c r="E461">
        <v>5</v>
      </c>
      <c r="F461" t="s">
        <v>38</v>
      </c>
      <c r="G461" t="s">
        <v>38</v>
      </c>
      <c r="H461" t="s">
        <v>38</v>
      </c>
      <c r="I461" t="s">
        <v>38</v>
      </c>
      <c r="J461">
        <v>74</v>
      </c>
      <c r="K461">
        <v>87</v>
      </c>
      <c r="L461">
        <v>689</v>
      </c>
      <c r="M461" s="20">
        <v>5605</v>
      </c>
      <c r="N461" s="20">
        <v>1515</v>
      </c>
      <c r="O461" s="20">
        <f t="shared" si="484"/>
        <v>1026</v>
      </c>
      <c r="P461" s="20">
        <v>289</v>
      </c>
      <c r="Q461" s="20">
        <v>49</v>
      </c>
      <c r="R461" s="20">
        <v>151</v>
      </c>
      <c r="S461" s="20">
        <v>455</v>
      </c>
      <c r="T461" s="20">
        <v>41</v>
      </c>
      <c r="U461" s="20">
        <f t="shared" si="485"/>
        <v>3594</v>
      </c>
      <c r="V461">
        <v>1259</v>
      </c>
      <c r="W461">
        <v>83</v>
      </c>
      <c r="X461">
        <v>51</v>
      </c>
      <c r="Y461">
        <v>35</v>
      </c>
      <c r="Z461">
        <v>803</v>
      </c>
      <c r="AA461">
        <v>746</v>
      </c>
      <c r="AB461">
        <v>4.6399999999999997</v>
      </c>
      <c r="AC461">
        <v>7</v>
      </c>
      <c r="AD461">
        <v>12</v>
      </c>
      <c r="AE461">
        <v>35</v>
      </c>
      <c r="AF461" s="27">
        <f t="shared" ca="1" si="472"/>
        <v>6156</v>
      </c>
      <c r="AG461" s="27">
        <f t="shared" ca="1" si="486"/>
        <v>1399</v>
      </c>
      <c r="AH461" s="27">
        <f t="shared" ca="1" si="487"/>
        <v>868</v>
      </c>
      <c r="AI461" s="27">
        <f t="shared" ca="1" si="488"/>
        <v>365</v>
      </c>
      <c r="AJ461" s="27">
        <f t="shared" ca="1" si="489"/>
        <v>28</v>
      </c>
      <c r="AK461" s="27">
        <f t="shared" ca="1" si="490"/>
        <v>138</v>
      </c>
      <c r="AL461" s="27">
        <f t="shared" ca="1" si="491"/>
        <v>688</v>
      </c>
      <c r="AM461" s="27">
        <f t="shared" ca="1" si="492"/>
        <v>69</v>
      </c>
      <c r="AN461" s="27">
        <f t="shared" ca="1" si="493"/>
        <v>4000</v>
      </c>
      <c r="AO461">
        <v>4341</v>
      </c>
      <c r="AP461">
        <v>1491</v>
      </c>
      <c r="AQ461">
        <v>193</v>
      </c>
      <c r="AR461">
        <v>489</v>
      </c>
      <c r="AS461">
        <v>1100</v>
      </c>
      <c r="AT461">
        <v>86</v>
      </c>
      <c r="AU461">
        <v>165</v>
      </c>
      <c r="AV461">
        <v>0.98599999999999999</v>
      </c>
      <c r="AW461" s="1"/>
      <c r="AX461" s="1"/>
      <c r="AY461" s="29">
        <f t="shared" si="494"/>
        <v>29700</v>
      </c>
      <c r="AZ461" s="31">
        <f t="shared" si="495"/>
        <v>165488</v>
      </c>
      <c r="BA461" s="31">
        <f t="shared" ref="BA461" si="506">SUMIF($B$2:$B$571,$B461,$R$2:$R$571)</f>
        <v>4909</v>
      </c>
      <c r="BB461" s="30">
        <f t="shared" si="497"/>
        <v>2.9663782268200715E-2</v>
      </c>
    </row>
    <row r="462" spans="2:54" x14ac:dyDescent="0.5">
      <c r="B462" s="4">
        <v>2015</v>
      </c>
      <c r="C462" t="s">
        <v>62</v>
      </c>
      <c r="D462" t="s">
        <v>63</v>
      </c>
      <c r="E462">
        <v>2</v>
      </c>
      <c r="F462" t="s">
        <v>38</v>
      </c>
      <c r="G462" t="s">
        <v>43</v>
      </c>
      <c r="H462" t="s">
        <v>38</v>
      </c>
      <c r="I462" t="s">
        <v>38</v>
      </c>
      <c r="J462">
        <v>86</v>
      </c>
      <c r="K462">
        <v>76</v>
      </c>
      <c r="L462">
        <v>729</v>
      </c>
      <c r="M462" s="20">
        <v>5459</v>
      </c>
      <c r="N462" s="20">
        <v>1363</v>
      </c>
      <c r="O462" s="20">
        <f t="shared" si="484"/>
        <v>829</v>
      </c>
      <c r="P462" s="20">
        <v>278</v>
      </c>
      <c r="Q462" s="20">
        <v>26</v>
      </c>
      <c r="R462" s="20">
        <v>230</v>
      </c>
      <c r="S462" s="20">
        <v>486</v>
      </c>
      <c r="T462" s="20">
        <v>56</v>
      </c>
      <c r="U462" s="20">
        <f t="shared" si="485"/>
        <v>3554</v>
      </c>
      <c r="V462">
        <v>1392</v>
      </c>
      <c r="W462">
        <v>121</v>
      </c>
      <c r="X462">
        <v>48</v>
      </c>
      <c r="Y462">
        <v>43</v>
      </c>
      <c r="Z462">
        <v>618</v>
      </c>
      <c r="AA462">
        <v>572</v>
      </c>
      <c r="AB462">
        <v>3.57</v>
      </c>
      <c r="AC462">
        <v>5</v>
      </c>
      <c r="AD462">
        <v>13</v>
      </c>
      <c r="AE462">
        <v>39</v>
      </c>
      <c r="AF462" s="27">
        <f t="shared" ca="1" si="472"/>
        <v>6417</v>
      </c>
      <c r="AG462" s="27">
        <f t="shared" ca="1" si="486"/>
        <v>1383</v>
      </c>
      <c r="AH462" s="27">
        <f t="shared" ca="1" si="487"/>
        <v>918</v>
      </c>
      <c r="AI462" s="27">
        <f t="shared" ca="1" si="488"/>
        <v>228</v>
      </c>
      <c r="AJ462" s="27">
        <f t="shared" ca="1" si="489"/>
        <v>45</v>
      </c>
      <c r="AK462" s="27">
        <f t="shared" ca="1" si="490"/>
        <v>192</v>
      </c>
      <c r="AL462" s="27">
        <f t="shared" ca="1" si="491"/>
        <v>441</v>
      </c>
      <c r="AM462" s="27">
        <f t="shared" ca="1" si="492"/>
        <v>63</v>
      </c>
      <c r="AN462" s="27">
        <f t="shared" ca="1" si="493"/>
        <v>4530</v>
      </c>
      <c r="AO462">
        <v>4323</v>
      </c>
      <c r="AP462">
        <v>1308</v>
      </c>
      <c r="AQ462">
        <v>148</v>
      </c>
      <c r="AR462">
        <v>423</v>
      </c>
      <c r="AS462">
        <v>1280</v>
      </c>
      <c r="AT462">
        <v>85</v>
      </c>
      <c r="AU462">
        <v>131</v>
      </c>
      <c r="AV462">
        <v>0.98599999999999999</v>
      </c>
      <c r="AW462" s="1"/>
      <c r="AX462" s="1"/>
      <c r="AY462" s="29">
        <f t="shared" si="494"/>
        <v>29700</v>
      </c>
      <c r="AZ462" s="31">
        <f t="shared" si="495"/>
        <v>165488</v>
      </c>
      <c r="BA462" s="31">
        <f t="shared" ref="BA462" si="507">SUMIF($B$2:$B$571,$B462,$S$2:$S$571)</f>
        <v>14073</v>
      </c>
      <c r="BB462" s="30">
        <f t="shared" si="497"/>
        <v>8.5039398627090784E-2</v>
      </c>
    </row>
    <row r="463" spans="2:54" x14ac:dyDescent="0.5">
      <c r="B463" s="4">
        <v>2015</v>
      </c>
      <c r="C463" t="s">
        <v>64</v>
      </c>
      <c r="D463" t="s">
        <v>65</v>
      </c>
      <c r="E463">
        <v>1</v>
      </c>
      <c r="F463" t="s">
        <v>43</v>
      </c>
      <c r="G463" t="s">
        <v>38</v>
      </c>
      <c r="H463" t="s">
        <v>43</v>
      </c>
      <c r="I463" t="s">
        <v>43</v>
      </c>
      <c r="J463">
        <v>95</v>
      </c>
      <c r="K463">
        <v>67</v>
      </c>
      <c r="L463">
        <v>724</v>
      </c>
      <c r="M463" s="20">
        <v>5575</v>
      </c>
      <c r="N463" s="20">
        <v>1497</v>
      </c>
      <c r="O463" s="20">
        <f t="shared" si="484"/>
        <v>1016</v>
      </c>
      <c r="P463" s="20">
        <v>300</v>
      </c>
      <c r="Q463" s="20">
        <v>42</v>
      </c>
      <c r="R463" s="20">
        <v>139</v>
      </c>
      <c r="S463" s="20">
        <v>383</v>
      </c>
      <c r="T463" s="20">
        <v>77</v>
      </c>
      <c r="U463" s="20">
        <f t="shared" si="485"/>
        <v>3618</v>
      </c>
      <c r="V463">
        <v>973</v>
      </c>
      <c r="W463">
        <v>104</v>
      </c>
      <c r="X463">
        <v>34</v>
      </c>
      <c r="Y463">
        <v>47</v>
      </c>
      <c r="Z463">
        <v>641</v>
      </c>
      <c r="AA463">
        <v>601</v>
      </c>
      <c r="AB463">
        <v>3.73</v>
      </c>
      <c r="AC463">
        <v>2</v>
      </c>
      <c r="AD463">
        <v>8</v>
      </c>
      <c r="AE463">
        <v>56</v>
      </c>
      <c r="AF463" s="27">
        <f t="shared" ca="1" si="472"/>
        <v>6381</v>
      </c>
      <c r="AG463" s="27">
        <f t="shared" ca="1" si="486"/>
        <v>1348</v>
      </c>
      <c r="AH463" s="27">
        <f t="shared" ca="1" si="487"/>
        <v>881</v>
      </c>
      <c r="AI463" s="27">
        <f t="shared" ca="1" si="488"/>
        <v>271</v>
      </c>
      <c r="AJ463" s="27">
        <f t="shared" ca="1" si="489"/>
        <v>25</v>
      </c>
      <c r="AK463" s="27">
        <f t="shared" ca="1" si="490"/>
        <v>171</v>
      </c>
      <c r="AL463" s="27">
        <f t="shared" ca="1" si="491"/>
        <v>474</v>
      </c>
      <c r="AM463" s="27">
        <f t="shared" ca="1" si="492"/>
        <v>35</v>
      </c>
      <c r="AN463" s="27">
        <f t="shared" ca="1" si="493"/>
        <v>4524</v>
      </c>
      <c r="AO463">
        <v>4356</v>
      </c>
      <c r="AP463">
        <v>1372</v>
      </c>
      <c r="AQ463">
        <v>155</v>
      </c>
      <c r="AR463">
        <v>489</v>
      </c>
      <c r="AS463">
        <v>1160</v>
      </c>
      <c r="AT463">
        <v>88</v>
      </c>
      <c r="AU463">
        <v>138</v>
      </c>
      <c r="AV463">
        <v>0.98499999999999999</v>
      </c>
      <c r="AW463" s="1"/>
      <c r="AX463" s="1"/>
      <c r="AY463" s="29">
        <f t="shared" si="494"/>
        <v>29700</v>
      </c>
      <c r="AZ463" s="31">
        <f t="shared" si="495"/>
        <v>165488</v>
      </c>
      <c r="BA463" s="31">
        <f t="shared" ref="BA463" si="508">SUMIF($B$2:$B$571,$B463,$T$2:$T$571)</f>
        <v>1602</v>
      </c>
      <c r="BB463" s="30">
        <f t="shared" si="497"/>
        <v>9.6804602146379187E-3</v>
      </c>
    </row>
    <row r="464" spans="2:54" x14ac:dyDescent="0.5">
      <c r="B464" s="4">
        <v>2015</v>
      </c>
      <c r="C464" t="s">
        <v>98</v>
      </c>
      <c r="D464" t="s">
        <v>99</v>
      </c>
      <c r="E464">
        <v>3</v>
      </c>
      <c r="F464" t="s">
        <v>38</v>
      </c>
      <c r="G464" t="s">
        <v>38</v>
      </c>
      <c r="H464" t="s">
        <v>38</v>
      </c>
      <c r="I464" t="s">
        <v>38</v>
      </c>
      <c r="J464">
        <v>85</v>
      </c>
      <c r="K464">
        <v>77</v>
      </c>
      <c r="L464">
        <v>661</v>
      </c>
      <c r="M464" s="20">
        <v>5417</v>
      </c>
      <c r="N464" s="20">
        <v>1331</v>
      </c>
      <c r="O464" s="20">
        <f t="shared" si="484"/>
        <v>891</v>
      </c>
      <c r="P464" s="20">
        <v>243</v>
      </c>
      <c r="Q464" s="20">
        <v>21</v>
      </c>
      <c r="R464" s="20">
        <v>176</v>
      </c>
      <c r="S464" s="20">
        <v>435</v>
      </c>
      <c r="T464" s="20">
        <v>58</v>
      </c>
      <c r="U464" s="20">
        <f t="shared" si="485"/>
        <v>3593</v>
      </c>
      <c r="V464">
        <v>1150</v>
      </c>
      <c r="W464">
        <v>52</v>
      </c>
      <c r="X464">
        <v>34</v>
      </c>
      <c r="Y464">
        <v>40</v>
      </c>
      <c r="Z464">
        <v>675</v>
      </c>
      <c r="AA464">
        <v>630</v>
      </c>
      <c r="AB464">
        <v>3.94</v>
      </c>
      <c r="AC464">
        <v>2</v>
      </c>
      <c r="AD464">
        <v>12</v>
      </c>
      <c r="AE464">
        <v>46</v>
      </c>
      <c r="AF464" s="27">
        <f t="shared" ca="1" si="472"/>
        <v>6488</v>
      </c>
      <c r="AG464" s="27">
        <f t="shared" ca="1" si="486"/>
        <v>1325</v>
      </c>
      <c r="AH464" s="27">
        <f t="shared" ca="1" si="487"/>
        <v>772</v>
      </c>
      <c r="AI464" s="27">
        <f t="shared" ca="1" si="488"/>
        <v>342</v>
      </c>
      <c r="AJ464" s="27">
        <f t="shared" ca="1" si="489"/>
        <v>35</v>
      </c>
      <c r="AK464" s="27">
        <f t="shared" ca="1" si="490"/>
        <v>176</v>
      </c>
      <c r="AL464" s="27">
        <f t="shared" ca="1" si="491"/>
        <v>407</v>
      </c>
      <c r="AM464" s="27">
        <f t="shared" ca="1" si="492"/>
        <v>66</v>
      </c>
      <c r="AN464" s="27">
        <f t="shared" ca="1" si="493"/>
        <v>4690</v>
      </c>
      <c r="AO464">
        <v>4322</v>
      </c>
      <c r="AP464">
        <v>1355</v>
      </c>
      <c r="AQ464">
        <v>166</v>
      </c>
      <c r="AR464">
        <v>466</v>
      </c>
      <c r="AS464">
        <v>1221</v>
      </c>
      <c r="AT464">
        <v>93</v>
      </c>
      <c r="AU464">
        <v>108</v>
      </c>
      <c r="AV464">
        <v>0.98399999999999999</v>
      </c>
      <c r="AW464" s="1"/>
      <c r="AX464" s="1"/>
      <c r="AY464" s="29">
        <f t="shared" si="494"/>
        <v>29700</v>
      </c>
      <c r="AZ464" s="31">
        <f t="shared" si="495"/>
        <v>165488</v>
      </c>
      <c r="BA464" s="31">
        <f t="shared" ref="BA464" si="509">SUMIF($B$2:$B$571,$B464,$U$2:$U$571)</f>
        <v>107707</v>
      </c>
      <c r="BB464" s="30">
        <f t="shared" si="497"/>
        <v>0.65084477424344966</v>
      </c>
    </row>
    <row r="465" spans="2:54" x14ac:dyDescent="0.5">
      <c r="B465" s="4">
        <v>2015</v>
      </c>
      <c r="C465" t="s">
        <v>66</v>
      </c>
      <c r="D465" t="s">
        <v>67</v>
      </c>
      <c r="E465">
        <v>1</v>
      </c>
      <c r="F465" t="s">
        <v>43</v>
      </c>
      <c r="G465" t="s">
        <v>38</v>
      </c>
      <c r="H465" t="s">
        <v>38</v>
      </c>
      <c r="I465" t="s">
        <v>38</v>
      </c>
      <c r="J465">
        <v>92</v>
      </c>
      <c r="K465">
        <v>70</v>
      </c>
      <c r="L465">
        <v>667</v>
      </c>
      <c r="M465" s="20">
        <v>5385</v>
      </c>
      <c r="N465" s="20">
        <v>1346</v>
      </c>
      <c r="O465" s="20">
        <f t="shared" si="484"/>
        <v>870</v>
      </c>
      <c r="P465" s="20">
        <v>263</v>
      </c>
      <c r="Q465" s="20">
        <v>26</v>
      </c>
      <c r="R465" s="20">
        <v>187</v>
      </c>
      <c r="S465" s="20">
        <v>563</v>
      </c>
      <c r="T465" s="20">
        <v>60</v>
      </c>
      <c r="U465" s="20">
        <f t="shared" si="485"/>
        <v>3416</v>
      </c>
      <c r="V465">
        <v>1258</v>
      </c>
      <c r="W465">
        <v>59</v>
      </c>
      <c r="X465">
        <v>34</v>
      </c>
      <c r="Y465">
        <v>30</v>
      </c>
      <c r="Z465">
        <v>595</v>
      </c>
      <c r="AA465">
        <v>553</v>
      </c>
      <c r="AB465">
        <v>3.44</v>
      </c>
      <c r="AC465">
        <v>6</v>
      </c>
      <c r="AD465">
        <v>21</v>
      </c>
      <c r="AE465">
        <v>47</v>
      </c>
      <c r="AF465" s="27">
        <f t="shared" ca="1" si="472"/>
        <v>6135</v>
      </c>
      <c r="AG465" s="27">
        <f t="shared" ca="1" si="486"/>
        <v>1516</v>
      </c>
      <c r="AH465" s="27">
        <f t="shared" ca="1" si="487"/>
        <v>1117</v>
      </c>
      <c r="AI465" s="27">
        <f t="shared" ca="1" si="488"/>
        <v>226</v>
      </c>
      <c r="AJ465" s="27">
        <f t="shared" ca="1" si="489"/>
        <v>35</v>
      </c>
      <c r="AK465" s="27">
        <f t="shared" ca="1" si="490"/>
        <v>138</v>
      </c>
      <c r="AL465" s="27">
        <f t="shared" ca="1" si="491"/>
        <v>656</v>
      </c>
      <c r="AM465" s="27">
        <f t="shared" ca="1" si="492"/>
        <v>57</v>
      </c>
      <c r="AN465" s="27">
        <f t="shared" ca="1" si="493"/>
        <v>3906</v>
      </c>
      <c r="AO465">
        <v>4337</v>
      </c>
      <c r="AP465">
        <v>1317</v>
      </c>
      <c r="AQ465">
        <v>145</v>
      </c>
      <c r="AR465">
        <v>395</v>
      </c>
      <c r="AS465">
        <v>1396</v>
      </c>
      <c r="AT465">
        <v>75</v>
      </c>
      <c r="AU465">
        <v>133</v>
      </c>
      <c r="AV465">
        <v>0.98799999999999999</v>
      </c>
      <c r="AW465" s="1"/>
      <c r="AX465" s="1"/>
      <c r="AY465" s="29">
        <f t="shared" si="494"/>
        <v>29700</v>
      </c>
      <c r="AZ465" s="31">
        <f t="shared" si="495"/>
        <v>165488</v>
      </c>
      <c r="BA465" s="31"/>
      <c r="BB465" s="30">
        <f t="shared" si="497"/>
        <v>0</v>
      </c>
    </row>
    <row r="466" spans="2:54" x14ac:dyDescent="0.5">
      <c r="B466" s="4">
        <v>2015</v>
      </c>
      <c r="C466" t="s">
        <v>103</v>
      </c>
      <c r="D466" t="s">
        <v>104</v>
      </c>
      <c r="E466">
        <v>3</v>
      </c>
      <c r="F466" t="s">
        <v>38</v>
      </c>
      <c r="G466" t="s">
        <v>38</v>
      </c>
      <c r="H466" t="s">
        <v>38</v>
      </c>
      <c r="I466" t="s">
        <v>38</v>
      </c>
      <c r="J466">
        <v>71</v>
      </c>
      <c r="K466">
        <v>91</v>
      </c>
      <c r="L466">
        <v>613</v>
      </c>
      <c r="M466" s="20">
        <v>5463</v>
      </c>
      <c r="N466" s="20">
        <v>1420</v>
      </c>
      <c r="O466" s="20">
        <f t="shared" si="484"/>
        <v>1024</v>
      </c>
      <c r="P466" s="20">
        <v>236</v>
      </c>
      <c r="Q466" s="20">
        <v>40</v>
      </c>
      <c r="R466" s="20">
        <v>120</v>
      </c>
      <c r="S466" s="20">
        <v>375</v>
      </c>
      <c r="T466" s="20">
        <v>39</v>
      </c>
      <c r="U466" s="20">
        <f t="shared" si="485"/>
        <v>3629</v>
      </c>
      <c r="V466">
        <v>1150</v>
      </c>
      <c r="W466">
        <v>112</v>
      </c>
      <c r="X466">
        <v>45</v>
      </c>
      <c r="Y466">
        <v>40</v>
      </c>
      <c r="Z466">
        <v>678</v>
      </c>
      <c r="AA466">
        <v>638</v>
      </c>
      <c r="AB466">
        <v>4.0199999999999996</v>
      </c>
      <c r="AC466">
        <v>0</v>
      </c>
      <c r="AD466">
        <v>12</v>
      </c>
      <c r="AE466">
        <v>35</v>
      </c>
      <c r="AF466" s="27">
        <f t="shared" ca="1" si="472"/>
        <v>6144</v>
      </c>
      <c r="AG466" s="27">
        <f t="shared" ca="1" si="486"/>
        <v>1381</v>
      </c>
      <c r="AH466" s="27">
        <f t="shared" ca="1" si="487"/>
        <v>774</v>
      </c>
      <c r="AI466" s="27">
        <f t="shared" ca="1" si="488"/>
        <v>349</v>
      </c>
      <c r="AJ466" s="27">
        <f t="shared" ca="1" si="489"/>
        <v>27</v>
      </c>
      <c r="AK466" s="27">
        <f t="shared" ca="1" si="490"/>
        <v>231</v>
      </c>
      <c r="AL466" s="27">
        <f t="shared" ca="1" si="491"/>
        <v>541</v>
      </c>
      <c r="AM466" s="27">
        <f t="shared" ca="1" si="492"/>
        <v>89</v>
      </c>
      <c r="AN466" s="27">
        <f t="shared" ca="1" si="493"/>
        <v>4133</v>
      </c>
      <c r="AO466">
        <v>4281</v>
      </c>
      <c r="AP466">
        <v>1374</v>
      </c>
      <c r="AQ466">
        <v>141</v>
      </c>
      <c r="AR466">
        <v>508</v>
      </c>
      <c r="AS466">
        <v>1152</v>
      </c>
      <c r="AT466">
        <v>77</v>
      </c>
      <c r="AU466">
        <v>162</v>
      </c>
      <c r="AV466">
        <v>0.98699999999999999</v>
      </c>
      <c r="AW466" s="1"/>
      <c r="AX466" s="1"/>
      <c r="AY466" s="29">
        <f t="shared" si="494"/>
        <v>29700</v>
      </c>
      <c r="AZ466" s="31">
        <f t="shared" si="495"/>
        <v>165488</v>
      </c>
      <c r="BA466" s="31">
        <f t="shared" ref="BA466" si="510">SUMIF($B$2:$B$571,$B466,$O$2:$O$571)</f>
        <v>28016</v>
      </c>
      <c r="BB466" s="30">
        <f t="shared" si="497"/>
        <v>0.1692932418060524</v>
      </c>
    </row>
    <row r="467" spans="2:54" x14ac:dyDescent="0.5">
      <c r="B467" s="4">
        <v>2015</v>
      </c>
      <c r="C467" t="s">
        <v>68</v>
      </c>
      <c r="D467" t="s">
        <v>69</v>
      </c>
      <c r="E467">
        <v>4</v>
      </c>
      <c r="F467" t="s">
        <v>38</v>
      </c>
      <c r="G467" t="s">
        <v>38</v>
      </c>
      <c r="H467" t="s">
        <v>38</v>
      </c>
      <c r="I467" t="s">
        <v>38</v>
      </c>
      <c r="J467">
        <v>68</v>
      </c>
      <c r="K467">
        <v>94</v>
      </c>
      <c r="L467">
        <v>655</v>
      </c>
      <c r="M467" s="20">
        <v>5480</v>
      </c>
      <c r="N467" s="20">
        <v>1378</v>
      </c>
      <c r="O467" s="20">
        <f t="shared" si="484"/>
        <v>925</v>
      </c>
      <c r="P467" s="20">
        <v>274</v>
      </c>
      <c r="Q467" s="20">
        <v>34</v>
      </c>
      <c r="R467" s="20">
        <v>145</v>
      </c>
      <c r="S467" s="20">
        <v>412</v>
      </c>
      <c r="T467" s="20">
        <v>41</v>
      </c>
      <c r="U467" s="20">
        <f t="shared" si="485"/>
        <v>3649</v>
      </c>
      <c r="V467">
        <v>1299</v>
      </c>
      <c r="W467">
        <v>84</v>
      </c>
      <c r="X467">
        <v>29</v>
      </c>
      <c r="Y467">
        <v>34</v>
      </c>
      <c r="Z467">
        <v>737</v>
      </c>
      <c r="AA467">
        <v>682</v>
      </c>
      <c r="AB467">
        <v>4.28</v>
      </c>
      <c r="AC467">
        <v>1</v>
      </c>
      <c r="AD467">
        <v>7</v>
      </c>
      <c r="AE467">
        <v>40</v>
      </c>
      <c r="AF467" s="27">
        <f t="shared" ca="1" si="472"/>
        <v>6479</v>
      </c>
      <c r="AG467" s="27">
        <f t="shared" ca="1" si="486"/>
        <v>1680</v>
      </c>
      <c r="AH467" s="27">
        <f t="shared" ca="1" si="487"/>
        <v>1071</v>
      </c>
      <c r="AI467" s="27">
        <f t="shared" ca="1" si="488"/>
        <v>364</v>
      </c>
      <c r="AJ467" s="27">
        <f t="shared" ca="1" si="489"/>
        <v>40</v>
      </c>
      <c r="AK467" s="27">
        <f t="shared" ca="1" si="490"/>
        <v>205</v>
      </c>
      <c r="AL467" s="27">
        <f t="shared" ca="1" si="491"/>
        <v>649</v>
      </c>
      <c r="AM467" s="27">
        <f t="shared" ca="1" si="492"/>
        <v>68</v>
      </c>
      <c r="AN467" s="27">
        <f t="shared" ca="1" si="493"/>
        <v>4082</v>
      </c>
      <c r="AO467">
        <v>4305</v>
      </c>
      <c r="AP467">
        <v>1432</v>
      </c>
      <c r="AQ467">
        <v>176</v>
      </c>
      <c r="AR467">
        <v>517</v>
      </c>
      <c r="AS467">
        <v>1260</v>
      </c>
      <c r="AT467">
        <v>116</v>
      </c>
      <c r="AU467">
        <v>164</v>
      </c>
      <c r="AV467">
        <v>0.98099999999999998</v>
      </c>
      <c r="AW467" s="1"/>
      <c r="AX467" s="1"/>
      <c r="AY467" s="29">
        <f t="shared" si="494"/>
        <v>29700</v>
      </c>
      <c r="AZ467" s="31">
        <f t="shared" si="495"/>
        <v>165488</v>
      </c>
      <c r="BA467" s="31">
        <f t="shared" ref="BA467" si="511">SUMIF($B$2:$B$571,$B467,$P$2:$P$571)</f>
        <v>8242</v>
      </c>
      <c r="BB467" s="30">
        <f t="shared" si="497"/>
        <v>4.9804215411389345E-2</v>
      </c>
    </row>
    <row r="468" spans="2:54" x14ac:dyDescent="0.5">
      <c r="B468" s="4">
        <v>2015</v>
      </c>
      <c r="C468" t="s">
        <v>70</v>
      </c>
      <c r="D468" t="s">
        <v>71</v>
      </c>
      <c r="E468">
        <v>2</v>
      </c>
      <c r="F468" t="s">
        <v>38</v>
      </c>
      <c r="G468" t="s">
        <v>38</v>
      </c>
      <c r="H468" t="s">
        <v>38</v>
      </c>
      <c r="I468" t="s">
        <v>38</v>
      </c>
      <c r="J468">
        <v>83</v>
      </c>
      <c r="K468">
        <v>79</v>
      </c>
      <c r="L468">
        <v>696</v>
      </c>
      <c r="M468" s="20">
        <v>5467</v>
      </c>
      <c r="N468" s="20">
        <v>1349</v>
      </c>
      <c r="O468" s="20">
        <f t="shared" si="484"/>
        <v>872</v>
      </c>
      <c r="P468" s="20">
        <v>277</v>
      </c>
      <c r="Q468" s="20">
        <v>44</v>
      </c>
      <c r="R468" s="20">
        <v>156</v>
      </c>
      <c r="S468" s="20">
        <v>439</v>
      </c>
      <c r="T468" s="20">
        <v>40</v>
      </c>
      <c r="U468" s="20">
        <f t="shared" si="485"/>
        <v>3639</v>
      </c>
      <c r="V468">
        <v>1264</v>
      </c>
      <c r="W468">
        <v>70</v>
      </c>
      <c r="X468">
        <v>38</v>
      </c>
      <c r="Y468">
        <v>41</v>
      </c>
      <c r="Z468">
        <v>700</v>
      </c>
      <c r="AA468">
        <v>653</v>
      </c>
      <c r="AB468">
        <v>4.07</v>
      </c>
      <c r="AC468">
        <v>2</v>
      </c>
      <c r="AD468">
        <v>12</v>
      </c>
      <c r="AE468">
        <v>45</v>
      </c>
      <c r="AF468" s="27">
        <f t="shared" ca="1" si="472"/>
        <v>6286</v>
      </c>
      <c r="AG468" s="27">
        <f t="shared" ca="1" si="486"/>
        <v>1581</v>
      </c>
      <c r="AH468" s="27">
        <f t="shared" ca="1" si="487"/>
        <v>1110</v>
      </c>
      <c r="AI468" s="27">
        <f t="shared" ca="1" si="488"/>
        <v>311</v>
      </c>
      <c r="AJ468" s="27">
        <f t="shared" ca="1" si="489"/>
        <v>28</v>
      </c>
      <c r="AK468" s="27">
        <f t="shared" ca="1" si="490"/>
        <v>132</v>
      </c>
      <c r="AL468" s="27">
        <f t="shared" ca="1" si="491"/>
        <v>574</v>
      </c>
      <c r="AM468" s="27">
        <f t="shared" ca="1" si="492"/>
        <v>42</v>
      </c>
      <c r="AN468" s="27">
        <f t="shared" ca="1" si="493"/>
        <v>4089</v>
      </c>
      <c r="AO468">
        <v>4329</v>
      </c>
      <c r="AP468">
        <v>1506</v>
      </c>
      <c r="AQ468">
        <v>163</v>
      </c>
      <c r="AR468">
        <v>413</v>
      </c>
      <c r="AS468">
        <v>1046</v>
      </c>
      <c r="AT468">
        <v>86</v>
      </c>
      <c r="AU468">
        <v>150</v>
      </c>
      <c r="AV468">
        <v>0.98599999999999999</v>
      </c>
      <c r="AW468" s="1"/>
      <c r="AX468" s="1"/>
      <c r="AY468" s="29">
        <f t="shared" si="494"/>
        <v>29700</v>
      </c>
      <c r="AZ468" s="31">
        <f t="shared" si="495"/>
        <v>165488</v>
      </c>
      <c r="BA468" s="31">
        <f t="shared" ref="BA468" si="512">SUMIF($B$2:$B$571,$B468,$Q$2:$Q$571)</f>
        <v>939</v>
      </c>
      <c r="BB468" s="30">
        <f t="shared" si="497"/>
        <v>5.6741274291791551E-3</v>
      </c>
    </row>
    <row r="469" spans="2:54" x14ac:dyDescent="0.5">
      <c r="B469" s="4">
        <v>2015</v>
      </c>
      <c r="C469" t="s">
        <v>74</v>
      </c>
      <c r="D469" t="s">
        <v>75</v>
      </c>
      <c r="E469">
        <v>2</v>
      </c>
      <c r="F469" t="s">
        <v>38</v>
      </c>
      <c r="G469" t="s">
        <v>43</v>
      </c>
      <c r="H469" t="s">
        <v>38</v>
      </c>
      <c r="I469" t="s">
        <v>38</v>
      </c>
      <c r="J469">
        <v>87</v>
      </c>
      <c r="K469">
        <v>75</v>
      </c>
      <c r="L469">
        <v>764</v>
      </c>
      <c r="M469" s="20">
        <v>5567</v>
      </c>
      <c r="N469" s="20">
        <v>1397</v>
      </c>
      <c r="O469" s="20">
        <f t="shared" si="484"/>
        <v>894</v>
      </c>
      <c r="P469" s="20">
        <v>272</v>
      </c>
      <c r="Q469" s="20">
        <v>19</v>
      </c>
      <c r="R469" s="20">
        <v>212</v>
      </c>
      <c r="S469" s="20">
        <v>554</v>
      </c>
      <c r="T469" s="20">
        <v>63</v>
      </c>
      <c r="U469" s="20">
        <f t="shared" si="485"/>
        <v>3553</v>
      </c>
      <c r="V469">
        <v>1227</v>
      </c>
      <c r="W469">
        <v>63</v>
      </c>
      <c r="X469">
        <v>25</v>
      </c>
      <c r="Y469">
        <v>54</v>
      </c>
      <c r="Z469">
        <v>698</v>
      </c>
      <c r="AA469">
        <v>652</v>
      </c>
      <c r="AB469">
        <v>4.03</v>
      </c>
      <c r="AC469">
        <v>3</v>
      </c>
      <c r="AD469">
        <v>4</v>
      </c>
      <c r="AE469">
        <v>48</v>
      </c>
      <c r="AF469" s="27">
        <f t="shared" ca="1" si="472"/>
        <v>6195</v>
      </c>
      <c r="AG469" s="27">
        <f t="shared" ca="1" si="486"/>
        <v>1412</v>
      </c>
      <c r="AH469" s="27">
        <f t="shared" ca="1" si="487"/>
        <v>955</v>
      </c>
      <c r="AI469" s="27">
        <f t="shared" ca="1" si="488"/>
        <v>265</v>
      </c>
      <c r="AJ469" s="27">
        <f t="shared" ca="1" si="489"/>
        <v>23</v>
      </c>
      <c r="AK469" s="27">
        <f t="shared" ca="1" si="490"/>
        <v>169</v>
      </c>
      <c r="AL469" s="27">
        <f t="shared" ca="1" si="491"/>
        <v>520</v>
      </c>
      <c r="AM469" s="27">
        <f t="shared" ca="1" si="492"/>
        <v>34</v>
      </c>
      <c r="AN469" s="27">
        <f t="shared" ca="1" si="493"/>
        <v>4229</v>
      </c>
      <c r="AO469">
        <v>4373</v>
      </c>
      <c r="AP469">
        <v>1416</v>
      </c>
      <c r="AQ469">
        <v>182</v>
      </c>
      <c r="AR469">
        <v>474</v>
      </c>
      <c r="AS469">
        <v>1370</v>
      </c>
      <c r="AT469">
        <v>93</v>
      </c>
      <c r="AU469">
        <v>135</v>
      </c>
      <c r="AV469">
        <v>0.98499999999999999</v>
      </c>
      <c r="AW469" s="1"/>
      <c r="AX469" s="1"/>
      <c r="AY469" s="29">
        <f t="shared" si="494"/>
        <v>29700</v>
      </c>
      <c r="AZ469" s="31">
        <f t="shared" si="495"/>
        <v>165488</v>
      </c>
      <c r="BA469" s="31">
        <f t="shared" ref="BA469" si="513">SUMIF($B$2:$B$571,$B469,$R$2:$R$571)</f>
        <v>4909</v>
      </c>
      <c r="BB469" s="30">
        <f t="shared" si="497"/>
        <v>2.9663782268200715E-2</v>
      </c>
    </row>
    <row r="470" spans="2:54" x14ac:dyDescent="0.5">
      <c r="B470" s="4">
        <v>2015</v>
      </c>
      <c r="C470" t="s">
        <v>76</v>
      </c>
      <c r="D470" t="s">
        <v>77</v>
      </c>
      <c r="E470">
        <v>1</v>
      </c>
      <c r="F470" t="s">
        <v>43</v>
      </c>
      <c r="G470" t="s">
        <v>38</v>
      </c>
      <c r="H470" t="s">
        <v>43</v>
      </c>
      <c r="I470" t="s">
        <v>38</v>
      </c>
      <c r="J470">
        <v>90</v>
      </c>
      <c r="K470">
        <v>72</v>
      </c>
      <c r="L470">
        <v>683</v>
      </c>
      <c r="M470" s="20">
        <v>5527</v>
      </c>
      <c r="N470" s="20">
        <v>1351</v>
      </c>
      <c r="O470" s="20">
        <f t="shared" si="484"/>
        <v>862</v>
      </c>
      <c r="P470" s="20">
        <v>295</v>
      </c>
      <c r="Q470" s="20">
        <v>17</v>
      </c>
      <c r="R470" s="20">
        <v>177</v>
      </c>
      <c r="S470" s="20">
        <v>488</v>
      </c>
      <c r="T470" s="20">
        <v>68</v>
      </c>
      <c r="U470" s="20">
        <f t="shared" si="485"/>
        <v>3620</v>
      </c>
      <c r="V470">
        <v>1290</v>
      </c>
      <c r="W470">
        <v>51</v>
      </c>
      <c r="X470">
        <v>25</v>
      </c>
      <c r="Y470">
        <v>32</v>
      </c>
      <c r="Z470">
        <v>613</v>
      </c>
      <c r="AA470">
        <v>557</v>
      </c>
      <c r="AB470">
        <v>3.43</v>
      </c>
      <c r="AC470">
        <v>1</v>
      </c>
      <c r="AD470">
        <v>14</v>
      </c>
      <c r="AE470">
        <v>50</v>
      </c>
      <c r="AF470" s="27">
        <f t="shared" ca="1" si="472"/>
        <v>6347</v>
      </c>
      <c r="AG470" s="27">
        <f t="shared" ca="1" si="486"/>
        <v>1440</v>
      </c>
      <c r="AH470" s="27">
        <f t="shared" ca="1" si="487"/>
        <v>884</v>
      </c>
      <c r="AI470" s="27">
        <f t="shared" ca="1" si="488"/>
        <v>316</v>
      </c>
      <c r="AJ470" s="27">
        <f t="shared" ca="1" si="489"/>
        <v>40</v>
      </c>
      <c r="AK470" s="27">
        <f t="shared" ca="1" si="490"/>
        <v>200</v>
      </c>
      <c r="AL470" s="27">
        <f t="shared" ca="1" si="491"/>
        <v>534</v>
      </c>
      <c r="AM470" s="27">
        <f t="shared" ca="1" si="492"/>
        <v>90</v>
      </c>
      <c r="AN470" s="27">
        <f t="shared" ca="1" si="493"/>
        <v>4283</v>
      </c>
      <c r="AO470">
        <v>4388</v>
      </c>
      <c r="AP470">
        <v>1341</v>
      </c>
      <c r="AQ470">
        <v>152</v>
      </c>
      <c r="AR470">
        <v>383</v>
      </c>
      <c r="AS470">
        <v>1337</v>
      </c>
      <c r="AT470">
        <v>88</v>
      </c>
      <c r="AU470">
        <v>131</v>
      </c>
      <c r="AV470">
        <v>0.98599999999999999</v>
      </c>
      <c r="AW470" s="1"/>
      <c r="AX470" s="1"/>
      <c r="AY470" s="29">
        <f t="shared" si="494"/>
        <v>29700</v>
      </c>
      <c r="AZ470" s="31">
        <f t="shared" si="495"/>
        <v>165488</v>
      </c>
      <c r="BA470" s="31">
        <f t="shared" ref="BA470" si="514">SUMIF($B$2:$B$571,$B470,$S$2:$S$571)</f>
        <v>14073</v>
      </c>
      <c r="BB470" s="30">
        <f t="shared" si="497"/>
        <v>8.5039398627090784E-2</v>
      </c>
    </row>
    <row r="471" spans="2:54" x14ac:dyDescent="0.5">
      <c r="B471" s="4">
        <v>2015</v>
      </c>
      <c r="C471" t="s">
        <v>78</v>
      </c>
      <c r="D471" t="s">
        <v>79</v>
      </c>
      <c r="E471">
        <v>5</v>
      </c>
      <c r="F471" t="s">
        <v>38</v>
      </c>
      <c r="G471" t="s">
        <v>38</v>
      </c>
      <c r="H471" t="s">
        <v>38</v>
      </c>
      <c r="I471" t="s">
        <v>38</v>
      </c>
      <c r="J471">
        <v>68</v>
      </c>
      <c r="K471">
        <v>94</v>
      </c>
      <c r="L471">
        <v>694</v>
      </c>
      <c r="M471" s="20">
        <v>5600</v>
      </c>
      <c r="N471" s="20">
        <v>1405</v>
      </c>
      <c r="O471" s="20">
        <f t="shared" si="484"/>
        <v>936</v>
      </c>
      <c r="P471" s="20">
        <v>277</v>
      </c>
      <c r="Q471" s="20">
        <v>46</v>
      </c>
      <c r="R471" s="20">
        <v>146</v>
      </c>
      <c r="S471" s="20">
        <v>475</v>
      </c>
      <c r="T471" s="20">
        <v>40</v>
      </c>
      <c r="U471" s="20">
        <f t="shared" si="485"/>
        <v>3680</v>
      </c>
      <c r="V471">
        <v>1119</v>
      </c>
      <c r="W471">
        <v>78</v>
      </c>
      <c r="X471">
        <v>29</v>
      </c>
      <c r="Y471">
        <v>38</v>
      </c>
      <c r="Z471">
        <v>729</v>
      </c>
      <c r="AA471">
        <v>664</v>
      </c>
      <c r="AB471">
        <v>4.1399999999999997</v>
      </c>
      <c r="AC471">
        <v>5</v>
      </c>
      <c r="AD471">
        <v>15</v>
      </c>
      <c r="AE471">
        <v>28</v>
      </c>
      <c r="AF471" s="27">
        <f t="shared" ca="1" si="472"/>
        <v>6118</v>
      </c>
      <c r="AG471" s="27">
        <f t="shared" ca="1" si="486"/>
        <v>1663</v>
      </c>
      <c r="AH471" s="27">
        <f t="shared" ca="1" si="487"/>
        <v>1188</v>
      </c>
      <c r="AI471" s="27">
        <f t="shared" ca="1" si="488"/>
        <v>220</v>
      </c>
      <c r="AJ471" s="27">
        <f t="shared" ca="1" si="489"/>
        <v>26</v>
      </c>
      <c r="AK471" s="27">
        <f t="shared" ca="1" si="490"/>
        <v>229</v>
      </c>
      <c r="AL471" s="27">
        <f t="shared" ca="1" si="491"/>
        <v>482</v>
      </c>
      <c r="AM471" s="27">
        <f t="shared" ca="1" si="492"/>
        <v>37</v>
      </c>
      <c r="AN471" s="27">
        <f t="shared" ca="1" si="493"/>
        <v>3936</v>
      </c>
      <c r="AO471">
        <v>4334</v>
      </c>
      <c r="AP471">
        <v>1402</v>
      </c>
      <c r="AQ471">
        <v>172</v>
      </c>
      <c r="AR471">
        <v>474</v>
      </c>
      <c r="AS471">
        <v>1179</v>
      </c>
      <c r="AT471">
        <v>126</v>
      </c>
      <c r="AU471">
        <v>154</v>
      </c>
      <c r="AV471">
        <v>0.97899999999999998</v>
      </c>
      <c r="AW471" s="1"/>
      <c r="AX471" s="1"/>
      <c r="AY471" s="29">
        <f t="shared" si="494"/>
        <v>29700</v>
      </c>
      <c r="AZ471" s="31">
        <f t="shared" si="495"/>
        <v>165488</v>
      </c>
      <c r="BA471" s="31">
        <f t="shared" ref="BA471" si="515">SUMIF($B$2:$B$571,$B471,$T$2:$T$571)</f>
        <v>1602</v>
      </c>
      <c r="BB471" s="30">
        <f t="shared" si="497"/>
        <v>9.6804602146379187E-3</v>
      </c>
    </row>
    <row r="472" spans="2:54" x14ac:dyDescent="0.5">
      <c r="B472" s="4">
        <v>2015</v>
      </c>
      <c r="C472" t="s">
        <v>80</v>
      </c>
      <c r="D472" t="s">
        <v>81</v>
      </c>
      <c r="E472">
        <v>5</v>
      </c>
      <c r="F472" t="s">
        <v>38</v>
      </c>
      <c r="G472" t="s">
        <v>38</v>
      </c>
      <c r="H472" t="s">
        <v>38</v>
      </c>
      <c r="I472" t="s">
        <v>38</v>
      </c>
      <c r="J472">
        <v>63</v>
      </c>
      <c r="K472">
        <v>99</v>
      </c>
      <c r="L472">
        <v>626</v>
      </c>
      <c r="M472" s="20">
        <v>5529</v>
      </c>
      <c r="N472" s="20">
        <v>1374</v>
      </c>
      <c r="O472" s="20">
        <f t="shared" si="484"/>
        <v>935</v>
      </c>
      <c r="P472" s="20">
        <v>272</v>
      </c>
      <c r="Q472" s="20">
        <v>37</v>
      </c>
      <c r="R472" s="20">
        <v>130</v>
      </c>
      <c r="S472" s="20">
        <v>387</v>
      </c>
      <c r="T472" s="20">
        <v>54</v>
      </c>
      <c r="U472" s="20">
        <f t="shared" si="485"/>
        <v>3714</v>
      </c>
      <c r="V472">
        <v>1274</v>
      </c>
      <c r="W472">
        <v>88</v>
      </c>
      <c r="X472">
        <v>32</v>
      </c>
      <c r="Y472">
        <v>29</v>
      </c>
      <c r="Z472">
        <v>809</v>
      </c>
      <c r="AA472">
        <v>749</v>
      </c>
      <c r="AB472">
        <v>4.6900000000000004</v>
      </c>
      <c r="AC472">
        <v>1</v>
      </c>
      <c r="AD472">
        <v>7</v>
      </c>
      <c r="AE472">
        <v>35</v>
      </c>
      <c r="AF472" s="27">
        <f t="shared" ca="1" si="472"/>
        <v>6223</v>
      </c>
      <c r="AG472" s="27">
        <f t="shared" ca="1" si="486"/>
        <v>1535</v>
      </c>
      <c r="AH472" s="27">
        <f t="shared" ca="1" si="487"/>
        <v>979</v>
      </c>
      <c r="AI472" s="27">
        <f t="shared" ca="1" si="488"/>
        <v>354</v>
      </c>
      <c r="AJ472" s="27">
        <f t="shared" ca="1" si="489"/>
        <v>48</v>
      </c>
      <c r="AK472" s="27">
        <f t="shared" ca="1" si="490"/>
        <v>154</v>
      </c>
      <c r="AL472" s="27">
        <f t="shared" ca="1" si="491"/>
        <v>535</v>
      </c>
      <c r="AM472" s="27">
        <f t="shared" ca="1" si="492"/>
        <v>66</v>
      </c>
      <c r="AN472" s="27">
        <f t="shared" ca="1" si="493"/>
        <v>4087</v>
      </c>
      <c r="AO472">
        <v>4309</v>
      </c>
      <c r="AP472">
        <v>1592</v>
      </c>
      <c r="AQ472">
        <v>191</v>
      </c>
      <c r="AR472">
        <v>488</v>
      </c>
      <c r="AS472">
        <v>1153</v>
      </c>
      <c r="AT472">
        <v>117</v>
      </c>
      <c r="AU472">
        <v>145</v>
      </c>
      <c r="AV472">
        <v>0.98099999999999998</v>
      </c>
      <c r="AW472" s="1"/>
      <c r="AX472" s="1"/>
      <c r="AY472" s="29">
        <f t="shared" si="494"/>
        <v>29700</v>
      </c>
      <c r="AZ472" s="31">
        <f t="shared" si="495"/>
        <v>165488</v>
      </c>
      <c r="BA472" s="31">
        <f t="shared" ref="BA472" si="516">SUMIF($B$2:$B$571,$B472,$U$2:$U$571)</f>
        <v>107707</v>
      </c>
      <c r="BB472" s="30">
        <f t="shared" si="497"/>
        <v>0.65084477424344966</v>
      </c>
    </row>
    <row r="473" spans="2:54" x14ac:dyDescent="0.5">
      <c r="B473" s="4">
        <v>2015</v>
      </c>
      <c r="C473" t="s">
        <v>82</v>
      </c>
      <c r="D473" t="s">
        <v>83</v>
      </c>
      <c r="E473">
        <v>2</v>
      </c>
      <c r="F473" t="s">
        <v>38</v>
      </c>
      <c r="G473" t="s">
        <v>43</v>
      </c>
      <c r="H473" t="s">
        <v>38</v>
      </c>
      <c r="I473" t="s">
        <v>38</v>
      </c>
      <c r="J473">
        <v>98</v>
      </c>
      <c r="K473">
        <v>64</v>
      </c>
      <c r="L473">
        <v>697</v>
      </c>
      <c r="M473" s="20">
        <v>5631</v>
      </c>
      <c r="N473" s="20">
        <v>1462</v>
      </c>
      <c r="O473" s="20">
        <f t="shared" si="484"/>
        <v>1003</v>
      </c>
      <c r="P473" s="20">
        <v>292</v>
      </c>
      <c r="Q473" s="20">
        <v>27</v>
      </c>
      <c r="R473" s="20">
        <v>140</v>
      </c>
      <c r="S473" s="20">
        <v>461</v>
      </c>
      <c r="T473" s="20">
        <v>89</v>
      </c>
      <c r="U473" s="20">
        <f t="shared" si="485"/>
        <v>3619</v>
      </c>
      <c r="V473">
        <v>1322</v>
      </c>
      <c r="W473">
        <v>98</v>
      </c>
      <c r="X473">
        <v>45</v>
      </c>
      <c r="Y473">
        <v>41</v>
      </c>
      <c r="Z473">
        <v>596</v>
      </c>
      <c r="AA473">
        <v>532</v>
      </c>
      <c r="AB473">
        <v>3.21</v>
      </c>
      <c r="AC473">
        <v>0</v>
      </c>
      <c r="AD473">
        <v>13</v>
      </c>
      <c r="AE473">
        <v>54</v>
      </c>
      <c r="AF473" s="27">
        <f t="shared" ca="1" si="472"/>
        <v>6411</v>
      </c>
      <c r="AG473" s="27">
        <f t="shared" ca="1" si="486"/>
        <v>1560</v>
      </c>
      <c r="AH473" s="27">
        <f t="shared" ca="1" si="487"/>
        <v>1010</v>
      </c>
      <c r="AI473" s="27">
        <f t="shared" ca="1" si="488"/>
        <v>314</v>
      </c>
      <c r="AJ473" s="27">
        <f t="shared" ca="1" si="489"/>
        <v>42</v>
      </c>
      <c r="AK473" s="27">
        <f t="shared" ca="1" si="490"/>
        <v>194</v>
      </c>
      <c r="AL473" s="27">
        <f t="shared" ca="1" si="491"/>
        <v>581</v>
      </c>
      <c r="AM473" s="27">
        <f t="shared" ca="1" si="492"/>
        <v>65</v>
      </c>
      <c r="AN473" s="27">
        <f t="shared" ca="1" si="493"/>
        <v>4205</v>
      </c>
      <c r="AO473">
        <v>4469</v>
      </c>
      <c r="AP473">
        <v>1392</v>
      </c>
      <c r="AQ473">
        <v>110</v>
      </c>
      <c r="AR473">
        <v>453</v>
      </c>
      <c r="AS473">
        <v>1338</v>
      </c>
      <c r="AT473">
        <v>122</v>
      </c>
      <c r="AU473">
        <v>177</v>
      </c>
      <c r="AV473">
        <v>0.98099999999999998</v>
      </c>
      <c r="AW473" s="1"/>
      <c r="AX473" s="1"/>
      <c r="AY473" s="29">
        <f t="shared" si="494"/>
        <v>29700</v>
      </c>
      <c r="AZ473" s="31">
        <f t="shared" si="495"/>
        <v>165488</v>
      </c>
      <c r="BA473" s="31"/>
      <c r="BB473" s="30">
        <f t="shared" si="497"/>
        <v>0</v>
      </c>
    </row>
    <row r="474" spans="2:54" x14ac:dyDescent="0.5">
      <c r="B474" s="4">
        <v>2015</v>
      </c>
      <c r="C474" t="s">
        <v>84</v>
      </c>
      <c r="D474" t="s">
        <v>85</v>
      </c>
      <c r="E474">
        <v>4</v>
      </c>
      <c r="F474" t="s">
        <v>38</v>
      </c>
      <c r="G474" t="s">
        <v>38</v>
      </c>
      <c r="H474" t="s">
        <v>38</v>
      </c>
      <c r="I474" t="s">
        <v>38</v>
      </c>
      <c r="J474">
        <v>74</v>
      </c>
      <c r="K474">
        <v>88</v>
      </c>
      <c r="L474">
        <v>650</v>
      </c>
      <c r="M474" s="20">
        <v>5457</v>
      </c>
      <c r="N474" s="20">
        <v>1324</v>
      </c>
      <c r="O474" s="20">
        <f t="shared" si="484"/>
        <v>880</v>
      </c>
      <c r="P474" s="20">
        <v>260</v>
      </c>
      <c r="Q474" s="20">
        <v>36</v>
      </c>
      <c r="R474" s="20">
        <v>148</v>
      </c>
      <c r="S474" s="20">
        <v>426</v>
      </c>
      <c r="T474" s="20">
        <v>40</v>
      </c>
      <c r="U474" s="20">
        <f t="shared" si="485"/>
        <v>3667</v>
      </c>
      <c r="V474">
        <v>1327</v>
      </c>
      <c r="W474">
        <v>82</v>
      </c>
      <c r="X474">
        <v>29</v>
      </c>
      <c r="Y474">
        <v>42</v>
      </c>
      <c r="Z474">
        <v>731</v>
      </c>
      <c r="AA474">
        <v>655</v>
      </c>
      <c r="AB474">
        <v>4.09</v>
      </c>
      <c r="AC474">
        <v>1</v>
      </c>
      <c r="AD474">
        <v>6</v>
      </c>
      <c r="AE474">
        <v>41</v>
      </c>
      <c r="AF474" s="27">
        <f t="shared" ca="1" si="472"/>
        <v>6126</v>
      </c>
      <c r="AG474" s="27">
        <f t="shared" ca="1" si="486"/>
        <v>1424</v>
      </c>
      <c r="AH474" s="27">
        <f t="shared" ca="1" si="487"/>
        <v>938</v>
      </c>
      <c r="AI474" s="27">
        <f t="shared" ca="1" si="488"/>
        <v>299</v>
      </c>
      <c r="AJ474" s="27">
        <f t="shared" ca="1" si="489"/>
        <v>30</v>
      </c>
      <c r="AK474" s="27">
        <f t="shared" ca="1" si="490"/>
        <v>157</v>
      </c>
      <c r="AL474" s="27">
        <f t="shared" ca="1" si="491"/>
        <v>404</v>
      </c>
      <c r="AM474" s="27">
        <f t="shared" ca="1" si="492"/>
        <v>42</v>
      </c>
      <c r="AN474" s="27">
        <f t="shared" ca="1" si="493"/>
        <v>4256</v>
      </c>
      <c r="AO474">
        <v>4321</v>
      </c>
      <c r="AP474">
        <v>1371</v>
      </c>
      <c r="AQ474">
        <v>171</v>
      </c>
      <c r="AR474">
        <v>516</v>
      </c>
      <c r="AS474">
        <v>1393</v>
      </c>
      <c r="AT474">
        <v>92</v>
      </c>
      <c r="AU474">
        <v>138</v>
      </c>
      <c r="AV474">
        <v>0.98499999999999999</v>
      </c>
      <c r="AW474" s="1"/>
      <c r="AX474" s="1"/>
      <c r="AY474" s="29">
        <f t="shared" si="494"/>
        <v>29700</v>
      </c>
      <c r="AZ474" s="31">
        <f t="shared" si="495"/>
        <v>165488</v>
      </c>
      <c r="BA474" s="31">
        <f t="shared" ref="BA474" si="517">SUMIF($B$2:$B$571,$B474,$O$2:$O$571)</f>
        <v>28016</v>
      </c>
      <c r="BB474" s="30">
        <f t="shared" si="497"/>
        <v>0.1692932418060524</v>
      </c>
    </row>
    <row r="475" spans="2:54" x14ac:dyDescent="0.5">
      <c r="B475" s="4">
        <v>2015</v>
      </c>
      <c r="C475" t="s">
        <v>86</v>
      </c>
      <c r="D475" t="s">
        <v>87</v>
      </c>
      <c r="E475">
        <v>4</v>
      </c>
      <c r="F475" t="s">
        <v>38</v>
      </c>
      <c r="G475" t="s">
        <v>38</v>
      </c>
      <c r="H475" t="s">
        <v>38</v>
      </c>
      <c r="I475" t="s">
        <v>38</v>
      </c>
      <c r="J475">
        <v>76</v>
      </c>
      <c r="K475">
        <v>86</v>
      </c>
      <c r="L475">
        <v>656</v>
      </c>
      <c r="M475" s="20">
        <v>5544</v>
      </c>
      <c r="N475" s="20">
        <v>1379</v>
      </c>
      <c r="O475" s="20">
        <f t="shared" si="484"/>
        <v>897</v>
      </c>
      <c r="P475" s="20">
        <v>262</v>
      </c>
      <c r="Q475" s="20">
        <v>22</v>
      </c>
      <c r="R475" s="20">
        <v>198</v>
      </c>
      <c r="S475" s="20">
        <v>478</v>
      </c>
      <c r="T475" s="20">
        <v>36</v>
      </c>
      <c r="U475" s="20">
        <f t="shared" si="485"/>
        <v>3651</v>
      </c>
      <c r="V475">
        <v>1336</v>
      </c>
      <c r="W475">
        <v>69</v>
      </c>
      <c r="X475">
        <v>45</v>
      </c>
      <c r="Y475">
        <v>35</v>
      </c>
      <c r="Z475">
        <v>726</v>
      </c>
      <c r="AA475">
        <v>677</v>
      </c>
      <c r="AB475">
        <v>4.16</v>
      </c>
      <c r="AC475">
        <v>6</v>
      </c>
      <c r="AD475">
        <v>12</v>
      </c>
      <c r="AE475">
        <v>45</v>
      </c>
      <c r="AF475" s="27">
        <f t="shared" ca="1" si="472"/>
        <v>6064</v>
      </c>
      <c r="AG475" s="27">
        <f t="shared" ca="1" si="486"/>
        <v>1417</v>
      </c>
      <c r="AH475" s="27">
        <f t="shared" ca="1" si="487"/>
        <v>816</v>
      </c>
      <c r="AI475" s="27">
        <f t="shared" ca="1" si="488"/>
        <v>380</v>
      </c>
      <c r="AJ475" s="27">
        <f t="shared" ca="1" si="489"/>
        <v>37</v>
      </c>
      <c r="AK475" s="27">
        <f t="shared" ca="1" si="490"/>
        <v>184</v>
      </c>
      <c r="AL475" s="27">
        <f t="shared" ca="1" si="491"/>
        <v>696</v>
      </c>
      <c r="AM475" s="27">
        <f t="shared" ca="1" si="492"/>
        <v>90</v>
      </c>
      <c r="AN475" s="27">
        <f t="shared" ca="1" si="493"/>
        <v>3861</v>
      </c>
      <c r="AO475">
        <v>4389</v>
      </c>
      <c r="AP475">
        <v>1430</v>
      </c>
      <c r="AQ475">
        <v>181</v>
      </c>
      <c r="AR475">
        <v>491</v>
      </c>
      <c r="AS475">
        <v>1283</v>
      </c>
      <c r="AT475">
        <v>94</v>
      </c>
      <c r="AU475">
        <v>155</v>
      </c>
      <c r="AV475">
        <v>0.98499999999999999</v>
      </c>
      <c r="AW475" s="1"/>
      <c r="AX475" s="1"/>
      <c r="AY475" s="29">
        <f t="shared" si="494"/>
        <v>29700</v>
      </c>
      <c r="AZ475" s="31">
        <f t="shared" si="495"/>
        <v>165488</v>
      </c>
      <c r="BA475" s="31">
        <f t="shared" ref="BA475" si="518">SUMIF($B$2:$B$571,$B475,$P$2:$P$571)</f>
        <v>8242</v>
      </c>
      <c r="BB475" s="30">
        <f t="shared" si="497"/>
        <v>4.9804215411389345E-2</v>
      </c>
    </row>
    <row r="476" spans="2:54" x14ac:dyDescent="0.5">
      <c r="B476" s="4">
        <v>2015</v>
      </c>
      <c r="C476" t="s">
        <v>88</v>
      </c>
      <c r="D476" t="s">
        <v>89</v>
      </c>
      <c r="E476">
        <v>2</v>
      </c>
      <c r="F476" t="s">
        <v>38</v>
      </c>
      <c r="G476" t="s">
        <v>38</v>
      </c>
      <c r="H476" t="s">
        <v>38</v>
      </c>
      <c r="I476" t="s">
        <v>38</v>
      </c>
      <c r="J476">
        <v>84</v>
      </c>
      <c r="K476">
        <v>78</v>
      </c>
      <c r="L476">
        <v>696</v>
      </c>
      <c r="M476" s="20">
        <v>5565</v>
      </c>
      <c r="N476" s="20">
        <v>1486</v>
      </c>
      <c r="O476" s="20">
        <f t="shared" si="484"/>
        <v>1023</v>
      </c>
      <c r="P476" s="20">
        <v>288</v>
      </c>
      <c r="Q476" s="20">
        <v>39</v>
      </c>
      <c r="R476" s="20">
        <v>136</v>
      </c>
      <c r="S476" s="20">
        <v>457</v>
      </c>
      <c r="T476" s="20">
        <v>49</v>
      </c>
      <c r="U476" s="20">
        <f t="shared" si="485"/>
        <v>3573</v>
      </c>
      <c r="V476">
        <v>1159</v>
      </c>
      <c r="W476">
        <v>93</v>
      </c>
      <c r="X476">
        <v>36</v>
      </c>
      <c r="Y476">
        <v>37</v>
      </c>
      <c r="Z476">
        <v>627</v>
      </c>
      <c r="AA476">
        <v>597</v>
      </c>
      <c r="AB476">
        <v>3.72</v>
      </c>
      <c r="AC476">
        <v>7</v>
      </c>
      <c r="AD476">
        <v>18</v>
      </c>
      <c r="AE476">
        <v>41</v>
      </c>
      <c r="AF476" s="27">
        <f t="shared" ca="1" si="472"/>
        <v>6305</v>
      </c>
      <c r="AG476" s="27">
        <f t="shared" ca="1" si="486"/>
        <v>1363</v>
      </c>
      <c r="AH476" s="27">
        <f t="shared" ca="1" si="487"/>
        <v>860</v>
      </c>
      <c r="AI476" s="27">
        <f t="shared" ca="1" si="488"/>
        <v>270</v>
      </c>
      <c r="AJ476" s="27">
        <f t="shared" ca="1" si="489"/>
        <v>21</v>
      </c>
      <c r="AK476" s="27">
        <f t="shared" ca="1" si="490"/>
        <v>212</v>
      </c>
      <c r="AL476" s="27">
        <f t="shared" ca="1" si="491"/>
        <v>583</v>
      </c>
      <c r="AM476" s="27">
        <f t="shared" ca="1" si="492"/>
        <v>77</v>
      </c>
      <c r="AN476" s="27">
        <f t="shared" ca="1" si="493"/>
        <v>4282</v>
      </c>
      <c r="AO476">
        <v>4333</v>
      </c>
      <c r="AP476">
        <v>1344</v>
      </c>
      <c r="AQ476">
        <v>155</v>
      </c>
      <c r="AR476">
        <v>431</v>
      </c>
      <c r="AS476">
        <v>1165</v>
      </c>
      <c r="AT476">
        <v>78</v>
      </c>
      <c r="AU476">
        <v>145</v>
      </c>
      <c r="AV476">
        <v>0.98699999999999999</v>
      </c>
      <c r="AW476" s="1"/>
      <c r="AX476" s="1"/>
      <c r="AY476" s="29">
        <f t="shared" si="494"/>
        <v>29700</v>
      </c>
      <c r="AZ476" s="31">
        <f t="shared" si="495"/>
        <v>165488</v>
      </c>
      <c r="BA476" s="31">
        <f t="shared" ref="BA476" si="519">SUMIF($B$2:$B$571,$B476,$Q$2:$Q$571)</f>
        <v>939</v>
      </c>
      <c r="BB476" s="30">
        <f t="shared" si="497"/>
        <v>5.6741274291791551E-3</v>
      </c>
    </row>
    <row r="477" spans="2:54" x14ac:dyDescent="0.5">
      <c r="B477" s="4">
        <v>2015</v>
      </c>
      <c r="C477" t="s">
        <v>90</v>
      </c>
      <c r="D477" t="s">
        <v>91</v>
      </c>
      <c r="E477">
        <v>1</v>
      </c>
      <c r="F477" t="s">
        <v>43</v>
      </c>
      <c r="G477" t="s">
        <v>38</v>
      </c>
      <c r="H477" t="s">
        <v>38</v>
      </c>
      <c r="I477" t="s">
        <v>38</v>
      </c>
      <c r="J477">
        <v>100</v>
      </c>
      <c r="K477">
        <v>62</v>
      </c>
      <c r="L477">
        <v>647</v>
      </c>
      <c r="M477" s="20">
        <v>5484</v>
      </c>
      <c r="N477" s="20">
        <v>1386</v>
      </c>
      <c r="O477" s="20">
        <f t="shared" si="484"/>
        <v>922</v>
      </c>
      <c r="P477" s="20">
        <v>288</v>
      </c>
      <c r="Q477" s="20">
        <v>39</v>
      </c>
      <c r="R477" s="20">
        <v>137</v>
      </c>
      <c r="S477" s="20">
        <v>506</v>
      </c>
      <c r="T477" s="20">
        <v>66</v>
      </c>
      <c r="U477" s="20">
        <f t="shared" si="485"/>
        <v>3526</v>
      </c>
      <c r="V477">
        <v>1267</v>
      </c>
      <c r="W477">
        <v>69</v>
      </c>
      <c r="X477">
        <v>38</v>
      </c>
      <c r="Y477">
        <v>42</v>
      </c>
      <c r="Z477">
        <v>525</v>
      </c>
      <c r="AA477">
        <v>478</v>
      </c>
      <c r="AB477">
        <v>2.94</v>
      </c>
      <c r="AC477">
        <v>1</v>
      </c>
      <c r="AD477">
        <v>15</v>
      </c>
      <c r="AE477">
        <v>62</v>
      </c>
      <c r="AF477" s="27">
        <f t="shared" ca="1" si="472"/>
        <v>6334</v>
      </c>
      <c r="AG477" s="27">
        <f t="shared" ca="1" si="486"/>
        <v>1554</v>
      </c>
      <c r="AH477" s="27">
        <f t="shared" ca="1" si="487"/>
        <v>912</v>
      </c>
      <c r="AI477" s="27">
        <f t="shared" ca="1" si="488"/>
        <v>362</v>
      </c>
      <c r="AJ477" s="27">
        <f t="shared" ca="1" si="489"/>
        <v>49</v>
      </c>
      <c r="AK477" s="27">
        <f t="shared" ca="1" si="490"/>
        <v>231</v>
      </c>
      <c r="AL477" s="27">
        <f t="shared" ca="1" si="491"/>
        <v>648</v>
      </c>
      <c r="AM477" s="27">
        <f t="shared" ca="1" si="492"/>
        <v>50</v>
      </c>
      <c r="AN477" s="27">
        <f t="shared" ca="1" si="493"/>
        <v>4082</v>
      </c>
      <c r="AO477">
        <v>4394</v>
      </c>
      <c r="AP477">
        <v>1359</v>
      </c>
      <c r="AQ477">
        <v>123</v>
      </c>
      <c r="AR477">
        <v>477</v>
      </c>
      <c r="AS477">
        <v>1329</v>
      </c>
      <c r="AT477">
        <v>96</v>
      </c>
      <c r="AU477">
        <v>159</v>
      </c>
      <c r="AV477">
        <v>0.98399999999999999</v>
      </c>
      <c r="AW477" s="1"/>
      <c r="AX477" s="1"/>
      <c r="AY477" s="29">
        <f t="shared" si="494"/>
        <v>29700</v>
      </c>
      <c r="AZ477" s="31">
        <f t="shared" si="495"/>
        <v>165488</v>
      </c>
      <c r="BA477" s="31">
        <f t="shared" ref="BA477" si="520">SUMIF($B$2:$B$571,$B477,$R$2:$R$571)</f>
        <v>4909</v>
      </c>
      <c r="BB477" s="30">
        <f t="shared" si="497"/>
        <v>2.9663782268200715E-2</v>
      </c>
    </row>
    <row r="478" spans="2:54" x14ac:dyDescent="0.5">
      <c r="B478" s="4">
        <v>2015</v>
      </c>
      <c r="C478" t="s">
        <v>102</v>
      </c>
      <c r="D478" t="s">
        <v>93</v>
      </c>
      <c r="E478">
        <v>4</v>
      </c>
      <c r="F478" t="s">
        <v>38</v>
      </c>
      <c r="G478" t="s">
        <v>38</v>
      </c>
      <c r="H478" t="s">
        <v>38</v>
      </c>
      <c r="I478" t="s">
        <v>38</v>
      </c>
      <c r="J478">
        <v>80</v>
      </c>
      <c r="K478">
        <v>82</v>
      </c>
      <c r="L478">
        <v>644</v>
      </c>
      <c r="M478" s="20">
        <v>5485</v>
      </c>
      <c r="N478" s="20">
        <v>1383</v>
      </c>
      <c r="O478" s="20">
        <f t="shared" si="484"/>
        <v>906</v>
      </c>
      <c r="P478" s="20">
        <v>278</v>
      </c>
      <c r="Q478" s="20">
        <v>32</v>
      </c>
      <c r="R478" s="20">
        <v>167</v>
      </c>
      <c r="S478" s="20">
        <v>436</v>
      </c>
      <c r="T478" s="20">
        <v>84</v>
      </c>
      <c r="U478" s="20">
        <f t="shared" si="485"/>
        <v>3582</v>
      </c>
      <c r="V478">
        <v>1310</v>
      </c>
      <c r="W478">
        <v>87</v>
      </c>
      <c r="X478">
        <v>45</v>
      </c>
      <c r="Y478">
        <v>47</v>
      </c>
      <c r="Z478">
        <v>642</v>
      </c>
      <c r="AA478">
        <v>604</v>
      </c>
      <c r="AB478">
        <v>3.74</v>
      </c>
      <c r="AC478">
        <v>1</v>
      </c>
      <c r="AD478">
        <v>12</v>
      </c>
      <c r="AE478">
        <v>60</v>
      </c>
      <c r="AF478" s="27">
        <f t="shared" ca="1" si="472"/>
        <v>6135</v>
      </c>
      <c r="AG478" s="27">
        <f t="shared" ca="1" si="486"/>
        <v>1320</v>
      </c>
      <c r="AH478" s="27">
        <f t="shared" ca="1" si="487"/>
        <v>669</v>
      </c>
      <c r="AI478" s="27">
        <f t="shared" ca="1" si="488"/>
        <v>388</v>
      </c>
      <c r="AJ478" s="27">
        <f t="shared" ca="1" si="489"/>
        <v>27</v>
      </c>
      <c r="AK478" s="27">
        <f t="shared" ca="1" si="490"/>
        <v>236</v>
      </c>
      <c r="AL478" s="27">
        <f t="shared" ca="1" si="491"/>
        <v>456</v>
      </c>
      <c r="AM478" s="27">
        <f t="shared" ca="1" si="492"/>
        <v>49</v>
      </c>
      <c r="AN478" s="27">
        <f t="shared" ca="1" si="493"/>
        <v>4310</v>
      </c>
      <c r="AO478">
        <v>4360</v>
      </c>
      <c r="AP478">
        <v>1314</v>
      </c>
      <c r="AQ478">
        <v>175</v>
      </c>
      <c r="AR478">
        <v>477</v>
      </c>
      <c r="AS478">
        <v>1355</v>
      </c>
      <c r="AT478">
        <v>95</v>
      </c>
      <c r="AU478">
        <v>118</v>
      </c>
      <c r="AV478">
        <v>0.98399999999999999</v>
      </c>
      <c r="AW478" s="1"/>
      <c r="AX478" s="1"/>
      <c r="AY478" s="29">
        <f t="shared" si="494"/>
        <v>29700</v>
      </c>
      <c r="AZ478" s="31">
        <f t="shared" si="495"/>
        <v>165488</v>
      </c>
      <c r="BA478" s="31">
        <f t="shared" ref="BA478" si="521">SUMIF($B$2:$B$571,$B478,$S$2:$S$571)</f>
        <v>14073</v>
      </c>
      <c r="BB478" s="30">
        <f t="shared" si="497"/>
        <v>8.5039398627090784E-2</v>
      </c>
    </row>
    <row r="479" spans="2:54" x14ac:dyDescent="0.5">
      <c r="B479" s="4">
        <v>2015</v>
      </c>
      <c r="C479" t="s">
        <v>94</v>
      </c>
      <c r="D479" t="s">
        <v>95</v>
      </c>
      <c r="E479">
        <v>1</v>
      </c>
      <c r="F479" t="s">
        <v>43</v>
      </c>
      <c r="G479" t="s">
        <v>38</v>
      </c>
      <c r="H479" t="s">
        <v>38</v>
      </c>
      <c r="I479" t="s">
        <v>38</v>
      </c>
      <c r="J479">
        <v>88</v>
      </c>
      <c r="K479">
        <v>74</v>
      </c>
      <c r="L479">
        <v>751</v>
      </c>
      <c r="M479" s="20">
        <v>5511</v>
      </c>
      <c r="N479" s="20">
        <v>1419</v>
      </c>
      <c r="O479" s="20">
        <f t="shared" si="484"/>
        <v>936</v>
      </c>
      <c r="P479" s="20">
        <v>279</v>
      </c>
      <c r="Q479" s="20">
        <v>32</v>
      </c>
      <c r="R479" s="20">
        <v>172</v>
      </c>
      <c r="S479" s="20">
        <v>503</v>
      </c>
      <c r="T479" s="20">
        <v>76</v>
      </c>
      <c r="U479" s="20">
        <f t="shared" si="485"/>
        <v>3513</v>
      </c>
      <c r="V479">
        <v>1233</v>
      </c>
      <c r="W479">
        <v>101</v>
      </c>
      <c r="X479">
        <v>39</v>
      </c>
      <c r="Y479">
        <v>54</v>
      </c>
      <c r="Z479">
        <v>733</v>
      </c>
      <c r="AA479">
        <v>680</v>
      </c>
      <c r="AB479">
        <v>4.24</v>
      </c>
      <c r="AC479">
        <v>5</v>
      </c>
      <c r="AD479">
        <v>9</v>
      </c>
      <c r="AE479">
        <v>45</v>
      </c>
      <c r="AF479" s="27">
        <f t="shared" ca="1" si="472"/>
        <v>6469</v>
      </c>
      <c r="AG479" s="27">
        <f t="shared" ca="1" si="486"/>
        <v>1695</v>
      </c>
      <c r="AH479" s="27">
        <f t="shared" ca="1" si="487"/>
        <v>1208</v>
      </c>
      <c r="AI479" s="27">
        <f t="shared" ca="1" si="488"/>
        <v>250</v>
      </c>
      <c r="AJ479" s="27">
        <f t="shared" ca="1" si="489"/>
        <v>33</v>
      </c>
      <c r="AK479" s="27">
        <f t="shared" ca="1" si="490"/>
        <v>204</v>
      </c>
      <c r="AL479" s="27">
        <f t="shared" ca="1" si="491"/>
        <v>600</v>
      </c>
      <c r="AM479" s="27">
        <f t="shared" ca="1" si="492"/>
        <v>51</v>
      </c>
      <c r="AN479" s="27">
        <f t="shared" ca="1" si="493"/>
        <v>4123</v>
      </c>
      <c r="AO479">
        <v>4328</v>
      </c>
      <c r="AP479">
        <v>1459</v>
      </c>
      <c r="AQ479">
        <v>171</v>
      </c>
      <c r="AR479">
        <v>508</v>
      </c>
      <c r="AS479">
        <v>1095</v>
      </c>
      <c r="AT479">
        <v>119</v>
      </c>
      <c r="AU479">
        <v>169</v>
      </c>
      <c r="AV479">
        <v>0.98099999999999998</v>
      </c>
      <c r="AW479" s="1"/>
      <c r="AX479" s="1"/>
      <c r="AY479" s="29">
        <f t="shared" si="494"/>
        <v>29700</v>
      </c>
      <c r="AZ479" s="31">
        <f t="shared" si="495"/>
        <v>165488</v>
      </c>
      <c r="BA479" s="31">
        <f t="shared" ref="BA479" si="522">SUMIF($B$2:$B$571,$B479,$T$2:$T$571)</f>
        <v>1602</v>
      </c>
      <c r="BB479" s="30">
        <f t="shared" si="497"/>
        <v>9.6804602146379187E-3</v>
      </c>
    </row>
    <row r="480" spans="2:54" x14ac:dyDescent="0.5">
      <c r="B480" s="4">
        <v>2015</v>
      </c>
      <c r="C480" t="s">
        <v>96</v>
      </c>
      <c r="D480" t="s">
        <v>97</v>
      </c>
      <c r="E480">
        <v>1</v>
      </c>
      <c r="F480" t="s">
        <v>43</v>
      </c>
      <c r="G480" t="s">
        <v>38</v>
      </c>
      <c r="H480" t="s">
        <v>38</v>
      </c>
      <c r="I480" t="s">
        <v>38</v>
      </c>
      <c r="J480">
        <v>93</v>
      </c>
      <c r="K480">
        <v>69</v>
      </c>
      <c r="L480">
        <v>891</v>
      </c>
      <c r="M480" s="20">
        <v>5509</v>
      </c>
      <c r="N480" s="20">
        <v>1480</v>
      </c>
      <c r="O480" s="20">
        <f t="shared" si="484"/>
        <v>923</v>
      </c>
      <c r="P480" s="20">
        <v>308</v>
      </c>
      <c r="Q480" s="20">
        <v>17</v>
      </c>
      <c r="R480" s="20">
        <v>232</v>
      </c>
      <c r="S480" s="20">
        <v>570</v>
      </c>
      <c r="T480" s="20">
        <v>54</v>
      </c>
      <c r="U480" s="20">
        <f t="shared" si="485"/>
        <v>3405</v>
      </c>
      <c r="V480">
        <v>1151</v>
      </c>
      <c r="W480">
        <v>88</v>
      </c>
      <c r="X480">
        <v>23</v>
      </c>
      <c r="Y480">
        <v>62</v>
      </c>
      <c r="Z480">
        <v>670</v>
      </c>
      <c r="AA480">
        <v>609</v>
      </c>
      <c r="AB480">
        <v>3.8</v>
      </c>
      <c r="AC480">
        <v>7</v>
      </c>
      <c r="AD480">
        <v>10</v>
      </c>
      <c r="AE480">
        <v>34</v>
      </c>
      <c r="AF480" s="27">
        <f t="shared" ca="1" si="472"/>
        <v>6394</v>
      </c>
      <c r="AG480" s="27">
        <f t="shared" ca="1" si="486"/>
        <v>1337</v>
      </c>
      <c r="AH480" s="27">
        <f t="shared" ca="1" si="487"/>
        <v>943</v>
      </c>
      <c r="AI480" s="27">
        <f t="shared" ca="1" si="488"/>
        <v>234</v>
      </c>
      <c r="AJ480" s="27">
        <f t="shared" ca="1" si="489"/>
        <v>29</v>
      </c>
      <c r="AK480" s="27">
        <f t="shared" ca="1" si="490"/>
        <v>131</v>
      </c>
      <c r="AL480" s="27">
        <f t="shared" ca="1" si="491"/>
        <v>557</v>
      </c>
      <c r="AM480" s="27">
        <f t="shared" ca="1" si="492"/>
        <v>55</v>
      </c>
      <c r="AN480" s="27">
        <f t="shared" ca="1" si="493"/>
        <v>4445</v>
      </c>
      <c r="AO480">
        <v>4323</v>
      </c>
      <c r="AP480">
        <v>1353</v>
      </c>
      <c r="AQ480">
        <v>173</v>
      </c>
      <c r="AR480">
        <v>397</v>
      </c>
      <c r="AS480">
        <v>1117</v>
      </c>
      <c r="AT480">
        <v>88</v>
      </c>
      <c r="AU480">
        <v>145</v>
      </c>
      <c r="AV480">
        <v>0.98499999999999999</v>
      </c>
      <c r="AW480" s="1"/>
      <c r="AX480" s="1"/>
      <c r="AY480" s="29">
        <f t="shared" si="494"/>
        <v>29700</v>
      </c>
      <c r="AZ480" s="31">
        <f t="shared" si="495"/>
        <v>165488</v>
      </c>
      <c r="BA480" s="31">
        <f t="shared" ref="BA480" si="523">SUMIF($B$2:$B$571,$B480,$U$2:$U$571)</f>
        <v>107707</v>
      </c>
      <c r="BB480" s="30">
        <f t="shared" si="497"/>
        <v>0.65084477424344966</v>
      </c>
    </row>
    <row r="481" spans="2:54" x14ac:dyDescent="0.5">
      <c r="B481" s="4">
        <v>2015</v>
      </c>
      <c r="C481" t="s">
        <v>100</v>
      </c>
      <c r="D481" t="s">
        <v>101</v>
      </c>
      <c r="E481">
        <v>2</v>
      </c>
      <c r="F481" t="s">
        <v>38</v>
      </c>
      <c r="G481" t="s">
        <v>38</v>
      </c>
      <c r="H481" t="s">
        <v>38</v>
      </c>
      <c r="I481" t="s">
        <v>38</v>
      </c>
      <c r="J481">
        <v>83</v>
      </c>
      <c r="K481">
        <v>79</v>
      </c>
      <c r="L481">
        <v>703</v>
      </c>
      <c r="M481" s="20">
        <v>5428</v>
      </c>
      <c r="N481" s="20">
        <v>1363</v>
      </c>
      <c r="O481" s="20">
        <f t="shared" si="484"/>
        <v>908</v>
      </c>
      <c r="P481" s="20">
        <v>265</v>
      </c>
      <c r="Q481" s="20">
        <v>13</v>
      </c>
      <c r="R481" s="20">
        <v>177</v>
      </c>
      <c r="S481" s="20">
        <v>539</v>
      </c>
      <c r="T481" s="20">
        <v>44</v>
      </c>
      <c r="U481" s="20">
        <f t="shared" si="485"/>
        <v>3482</v>
      </c>
      <c r="V481">
        <v>1344</v>
      </c>
      <c r="W481">
        <v>57</v>
      </c>
      <c r="X481">
        <v>23</v>
      </c>
      <c r="Y481">
        <v>51</v>
      </c>
      <c r="Z481">
        <v>635</v>
      </c>
      <c r="AA481">
        <v>577</v>
      </c>
      <c r="AB481">
        <v>3.62</v>
      </c>
      <c r="AC481">
        <v>4</v>
      </c>
      <c r="AD481">
        <v>13</v>
      </c>
      <c r="AE481">
        <v>41</v>
      </c>
      <c r="AF481" s="27">
        <f t="shared" ca="1" si="472"/>
        <v>6371</v>
      </c>
      <c r="AG481" s="27">
        <f t="shared" ca="1" si="486"/>
        <v>1596</v>
      </c>
      <c r="AH481" s="27">
        <f t="shared" ca="1" si="487"/>
        <v>961</v>
      </c>
      <c r="AI481" s="27">
        <f t="shared" ca="1" si="488"/>
        <v>390</v>
      </c>
      <c r="AJ481" s="27">
        <f t="shared" ca="1" si="489"/>
        <v>28</v>
      </c>
      <c r="AK481" s="27">
        <f t="shared" ca="1" si="490"/>
        <v>217</v>
      </c>
      <c r="AL481" s="27">
        <f t="shared" ca="1" si="491"/>
        <v>531</v>
      </c>
      <c r="AM481" s="27">
        <f t="shared" ca="1" si="492"/>
        <v>44</v>
      </c>
      <c r="AN481" s="27">
        <f t="shared" ca="1" si="493"/>
        <v>4200</v>
      </c>
      <c r="AO481">
        <v>4304</v>
      </c>
      <c r="AP481">
        <v>1366</v>
      </c>
      <c r="AQ481">
        <v>145</v>
      </c>
      <c r="AR481">
        <v>364</v>
      </c>
      <c r="AS481">
        <v>1342</v>
      </c>
      <c r="AT481">
        <v>90</v>
      </c>
      <c r="AU481">
        <v>125</v>
      </c>
      <c r="AV481">
        <v>0.98499999999999999</v>
      </c>
      <c r="AW481" s="1"/>
      <c r="AX481" s="1"/>
      <c r="AY481" s="29">
        <f t="shared" si="494"/>
        <v>29700</v>
      </c>
      <c r="AZ481" s="31">
        <f t="shared" si="495"/>
        <v>165488</v>
      </c>
      <c r="BA481" s="31"/>
      <c r="BB481" s="30">
        <f t="shared" si="497"/>
        <v>0</v>
      </c>
    </row>
    <row r="482" spans="2:54" x14ac:dyDescent="0.5">
      <c r="B482" s="4">
        <v>2016</v>
      </c>
      <c r="C482" t="s">
        <v>39</v>
      </c>
      <c r="D482" t="s">
        <v>40</v>
      </c>
      <c r="E482">
        <v>4</v>
      </c>
      <c r="F482" t="s">
        <v>38</v>
      </c>
      <c r="G482" t="s">
        <v>38</v>
      </c>
      <c r="H482" t="s">
        <v>38</v>
      </c>
      <c r="I482" t="s">
        <v>38</v>
      </c>
      <c r="J482">
        <v>69</v>
      </c>
      <c r="K482">
        <v>93</v>
      </c>
      <c r="L482">
        <v>752</v>
      </c>
      <c r="M482" s="20">
        <v>5665</v>
      </c>
      <c r="N482" s="20">
        <v>1479</v>
      </c>
      <c r="O482" s="20">
        <f t="shared" si="484"/>
        <v>948</v>
      </c>
      <c r="P482" s="20">
        <v>285</v>
      </c>
      <c r="Q482" s="20">
        <v>56</v>
      </c>
      <c r="R482" s="20">
        <v>190</v>
      </c>
      <c r="S482" s="20">
        <v>463</v>
      </c>
      <c r="T482" s="20">
        <v>50</v>
      </c>
      <c r="U482" s="20">
        <f t="shared" si="485"/>
        <v>3673</v>
      </c>
      <c r="V482">
        <v>1427</v>
      </c>
      <c r="W482">
        <v>137</v>
      </c>
      <c r="X482">
        <v>31</v>
      </c>
      <c r="Y482">
        <v>38</v>
      </c>
      <c r="Z482">
        <v>890</v>
      </c>
      <c r="AA482">
        <v>821</v>
      </c>
      <c r="AB482">
        <v>5.09</v>
      </c>
      <c r="AC482">
        <v>2</v>
      </c>
      <c r="AD482">
        <v>7</v>
      </c>
      <c r="AE482">
        <v>31</v>
      </c>
      <c r="AF482" s="27">
        <f t="shared" ca="1" si="472"/>
        <v>6070</v>
      </c>
      <c r="AG482" s="27">
        <f t="shared" ca="1" si="486"/>
        <v>1606</v>
      </c>
      <c r="AH482" s="27">
        <f t="shared" ca="1" si="487"/>
        <v>1174</v>
      </c>
      <c r="AI482" s="27">
        <f t="shared" ca="1" si="488"/>
        <v>238</v>
      </c>
      <c r="AJ482" s="27">
        <f t="shared" ca="1" si="489"/>
        <v>33</v>
      </c>
      <c r="AK482" s="27">
        <f t="shared" ca="1" si="490"/>
        <v>161</v>
      </c>
      <c r="AL482" s="27">
        <f t="shared" ca="1" si="491"/>
        <v>567</v>
      </c>
      <c r="AM482" s="27">
        <f t="shared" ca="1" si="492"/>
        <v>67</v>
      </c>
      <c r="AN482" s="27">
        <f t="shared" ca="1" si="493"/>
        <v>3830</v>
      </c>
      <c r="AO482">
        <v>4354</v>
      </c>
      <c r="AP482">
        <v>1563</v>
      </c>
      <c r="AQ482">
        <v>202</v>
      </c>
      <c r="AR482">
        <v>603</v>
      </c>
      <c r="AS482">
        <v>1318</v>
      </c>
      <c r="AT482">
        <v>101</v>
      </c>
      <c r="AU482">
        <v>143</v>
      </c>
      <c r="AV482">
        <v>0.98299999999999998</v>
      </c>
      <c r="AW482" s="1"/>
      <c r="AX482" s="1"/>
      <c r="AY482" s="29">
        <f t="shared" si="494"/>
        <v>29700</v>
      </c>
      <c r="AZ482" s="31">
        <f t="shared" si="495"/>
        <v>165561</v>
      </c>
      <c r="BA482" s="31">
        <f t="shared" ref="BA482" si="524">SUMIF($B$2:$B$571,$B482,$O$2:$O$571)</f>
        <v>27539</v>
      </c>
      <c r="BB482" s="30">
        <f t="shared" si="497"/>
        <v>0.16633748286130187</v>
      </c>
    </row>
    <row r="483" spans="2:54" x14ac:dyDescent="0.5">
      <c r="B483" s="4">
        <v>2016</v>
      </c>
      <c r="C483" t="s">
        <v>41</v>
      </c>
      <c r="D483" t="s">
        <v>42</v>
      </c>
      <c r="E483">
        <v>5</v>
      </c>
      <c r="F483" t="s">
        <v>38</v>
      </c>
      <c r="G483" t="s">
        <v>38</v>
      </c>
      <c r="H483" t="s">
        <v>38</v>
      </c>
      <c r="I483" t="s">
        <v>38</v>
      </c>
      <c r="J483">
        <v>68</v>
      </c>
      <c r="K483">
        <v>93</v>
      </c>
      <c r="L483">
        <v>649</v>
      </c>
      <c r="M483" s="20">
        <v>5514</v>
      </c>
      <c r="N483" s="20">
        <v>1404</v>
      </c>
      <c r="O483" s="20">
        <f t="shared" si="484"/>
        <v>960</v>
      </c>
      <c r="P483" s="20">
        <v>295</v>
      </c>
      <c r="Q483" s="20">
        <v>27</v>
      </c>
      <c r="R483" s="20">
        <v>122</v>
      </c>
      <c r="S483" s="20">
        <v>502</v>
      </c>
      <c r="T483" s="20">
        <v>59</v>
      </c>
      <c r="U483" s="20">
        <f t="shared" si="485"/>
        <v>3549</v>
      </c>
      <c r="V483">
        <v>1240</v>
      </c>
      <c r="W483">
        <v>75</v>
      </c>
      <c r="X483">
        <v>34</v>
      </c>
      <c r="Y483">
        <v>52</v>
      </c>
      <c r="Z483">
        <v>779</v>
      </c>
      <c r="AA483">
        <v>725</v>
      </c>
      <c r="AB483">
        <v>4.51</v>
      </c>
      <c r="AC483">
        <v>1</v>
      </c>
      <c r="AD483">
        <v>9</v>
      </c>
      <c r="AE483">
        <v>39</v>
      </c>
      <c r="AF483" s="27">
        <f t="shared" ca="1" si="472"/>
        <v>6441</v>
      </c>
      <c r="AG483" s="27">
        <f t="shared" ca="1" si="486"/>
        <v>1540</v>
      </c>
      <c r="AH483" s="27">
        <f t="shared" ca="1" si="487"/>
        <v>1003</v>
      </c>
      <c r="AI483" s="27">
        <f t="shared" ca="1" si="488"/>
        <v>323</v>
      </c>
      <c r="AJ483" s="27">
        <f t="shared" ca="1" si="489"/>
        <v>45</v>
      </c>
      <c r="AK483" s="27">
        <f t="shared" ca="1" si="490"/>
        <v>169</v>
      </c>
      <c r="AL483" s="27">
        <f t="shared" ca="1" si="491"/>
        <v>440</v>
      </c>
      <c r="AM483" s="27">
        <f t="shared" ca="1" si="492"/>
        <v>89</v>
      </c>
      <c r="AN483" s="27">
        <f t="shared" ca="1" si="493"/>
        <v>4372</v>
      </c>
      <c r="AO483">
        <v>4343</v>
      </c>
      <c r="AP483">
        <v>1414</v>
      </c>
      <c r="AQ483">
        <v>177</v>
      </c>
      <c r="AR483">
        <v>547</v>
      </c>
      <c r="AS483">
        <v>1227</v>
      </c>
      <c r="AT483">
        <v>101</v>
      </c>
      <c r="AU483">
        <v>134</v>
      </c>
      <c r="AV483">
        <v>0.98299999999999998</v>
      </c>
      <c r="AW483" s="1"/>
      <c r="AX483" s="1"/>
      <c r="AY483" s="29">
        <f t="shared" si="494"/>
        <v>29700</v>
      </c>
      <c r="AZ483" s="31">
        <f t="shared" si="495"/>
        <v>165561</v>
      </c>
      <c r="BA483" s="31">
        <f t="shared" ref="BA483" si="525">SUMIF($B$2:$B$571,$B483,$P$2:$P$571)</f>
        <v>8254</v>
      </c>
      <c r="BB483" s="30">
        <f t="shared" si="497"/>
        <v>4.9854736320751866E-2</v>
      </c>
    </row>
    <row r="484" spans="2:54" x14ac:dyDescent="0.5">
      <c r="B484" s="4">
        <v>2016</v>
      </c>
      <c r="C484" t="s">
        <v>44</v>
      </c>
      <c r="D484" t="s">
        <v>45</v>
      </c>
      <c r="E484">
        <v>2</v>
      </c>
      <c r="F484" t="s">
        <v>38</v>
      </c>
      <c r="G484" t="s">
        <v>43</v>
      </c>
      <c r="H484" t="s">
        <v>38</v>
      </c>
      <c r="I484" t="s">
        <v>38</v>
      </c>
      <c r="J484">
        <v>89</v>
      </c>
      <c r="K484">
        <v>73</v>
      </c>
      <c r="L484">
        <v>744</v>
      </c>
      <c r="M484" s="20">
        <v>5524</v>
      </c>
      <c r="N484" s="20">
        <v>1413</v>
      </c>
      <c r="O484" s="20">
        <f t="shared" si="484"/>
        <v>889</v>
      </c>
      <c r="P484" s="20">
        <v>265</v>
      </c>
      <c r="Q484" s="20">
        <v>6</v>
      </c>
      <c r="R484" s="20">
        <v>253</v>
      </c>
      <c r="S484" s="20">
        <v>468</v>
      </c>
      <c r="T484" s="20">
        <v>44</v>
      </c>
      <c r="U484" s="20">
        <f t="shared" si="485"/>
        <v>3599</v>
      </c>
      <c r="V484">
        <v>1324</v>
      </c>
      <c r="W484">
        <v>19</v>
      </c>
      <c r="X484">
        <v>13</v>
      </c>
      <c r="Y484">
        <v>36</v>
      </c>
      <c r="Z484">
        <v>715</v>
      </c>
      <c r="AA484">
        <v>671</v>
      </c>
      <c r="AB484">
        <v>4.22</v>
      </c>
      <c r="AC484">
        <v>1</v>
      </c>
      <c r="AD484">
        <v>9</v>
      </c>
      <c r="AE484">
        <v>54</v>
      </c>
      <c r="AF484" s="27">
        <f t="shared" ca="1" si="472"/>
        <v>6105</v>
      </c>
      <c r="AG484" s="27">
        <f t="shared" ca="1" si="486"/>
        <v>1637</v>
      </c>
      <c r="AH484" s="27">
        <f t="shared" ca="1" si="487"/>
        <v>1126</v>
      </c>
      <c r="AI484" s="27">
        <f t="shared" ca="1" si="488"/>
        <v>319</v>
      </c>
      <c r="AJ484" s="27">
        <f t="shared" ca="1" si="489"/>
        <v>21</v>
      </c>
      <c r="AK484" s="27">
        <f t="shared" ca="1" si="490"/>
        <v>171</v>
      </c>
      <c r="AL484" s="27">
        <f t="shared" ca="1" si="491"/>
        <v>596</v>
      </c>
      <c r="AM484" s="27">
        <f t="shared" ca="1" si="492"/>
        <v>44</v>
      </c>
      <c r="AN484" s="27">
        <f t="shared" ca="1" si="493"/>
        <v>3828</v>
      </c>
      <c r="AO484">
        <v>4296</v>
      </c>
      <c r="AP484">
        <v>1408</v>
      </c>
      <c r="AQ484">
        <v>183</v>
      </c>
      <c r="AR484">
        <v>545</v>
      </c>
      <c r="AS484">
        <v>1248</v>
      </c>
      <c r="AT484">
        <v>80</v>
      </c>
      <c r="AU484">
        <v>165</v>
      </c>
      <c r="AV484">
        <v>0.98699999999999999</v>
      </c>
      <c r="AW484" s="1"/>
      <c r="AX484" s="1"/>
      <c r="AY484" s="29">
        <f t="shared" si="494"/>
        <v>29700</v>
      </c>
      <c r="AZ484" s="31">
        <f t="shared" si="495"/>
        <v>165561</v>
      </c>
      <c r="BA484" s="31">
        <f t="shared" ref="BA484" si="526">SUMIF($B$2:$B$571,$B484,$Q$2:$Q$571)</f>
        <v>873</v>
      </c>
      <c r="BB484" s="30">
        <f t="shared" si="497"/>
        <v>5.2729809556598473E-3</v>
      </c>
    </row>
    <row r="485" spans="2:54" x14ac:dyDescent="0.5">
      <c r="B485" s="4">
        <v>2016</v>
      </c>
      <c r="C485" t="s">
        <v>46</v>
      </c>
      <c r="D485" t="s">
        <v>47</v>
      </c>
      <c r="E485">
        <v>1</v>
      </c>
      <c r="F485" t="s">
        <v>43</v>
      </c>
      <c r="G485" t="s">
        <v>38</v>
      </c>
      <c r="H485" t="s">
        <v>38</v>
      </c>
      <c r="I485" t="s">
        <v>38</v>
      </c>
      <c r="J485">
        <v>93</v>
      </c>
      <c r="K485">
        <v>69</v>
      </c>
      <c r="L485">
        <v>878</v>
      </c>
      <c r="M485" s="20">
        <v>5670</v>
      </c>
      <c r="N485" s="20">
        <v>1598</v>
      </c>
      <c r="O485" s="20">
        <f t="shared" si="484"/>
        <v>1022</v>
      </c>
      <c r="P485" s="20">
        <v>343</v>
      </c>
      <c r="Q485" s="20">
        <v>25</v>
      </c>
      <c r="R485" s="20">
        <v>208</v>
      </c>
      <c r="S485" s="20">
        <v>558</v>
      </c>
      <c r="T485" s="20">
        <v>43</v>
      </c>
      <c r="U485" s="20">
        <f t="shared" si="485"/>
        <v>3471</v>
      </c>
      <c r="V485">
        <v>1160</v>
      </c>
      <c r="W485">
        <v>83</v>
      </c>
      <c r="X485">
        <v>24</v>
      </c>
      <c r="Y485">
        <v>40</v>
      </c>
      <c r="Z485">
        <v>694</v>
      </c>
      <c r="AA485">
        <v>640</v>
      </c>
      <c r="AB485">
        <v>4</v>
      </c>
      <c r="AC485">
        <v>9</v>
      </c>
      <c r="AD485">
        <v>5</v>
      </c>
      <c r="AE485">
        <v>43</v>
      </c>
      <c r="AF485" s="27">
        <f t="shared" ca="1" si="472"/>
        <v>6477</v>
      </c>
      <c r="AG485" s="27">
        <f t="shared" ca="1" si="486"/>
        <v>1303</v>
      </c>
      <c r="AH485" s="27">
        <f t="shared" ca="1" si="487"/>
        <v>811</v>
      </c>
      <c r="AI485" s="27">
        <f t="shared" ca="1" si="488"/>
        <v>311</v>
      </c>
      <c r="AJ485" s="27">
        <f t="shared" ca="1" si="489"/>
        <v>20</v>
      </c>
      <c r="AK485" s="27">
        <f t="shared" ca="1" si="490"/>
        <v>161</v>
      </c>
      <c r="AL485" s="27">
        <f t="shared" ca="1" si="491"/>
        <v>417</v>
      </c>
      <c r="AM485" s="27">
        <f t="shared" ca="1" si="492"/>
        <v>54</v>
      </c>
      <c r="AN485" s="27">
        <f t="shared" ca="1" si="493"/>
        <v>4703</v>
      </c>
      <c r="AO485">
        <v>4319</v>
      </c>
      <c r="AP485">
        <v>1342</v>
      </c>
      <c r="AQ485">
        <v>176</v>
      </c>
      <c r="AR485">
        <v>490</v>
      </c>
      <c r="AS485">
        <v>1362</v>
      </c>
      <c r="AT485">
        <v>75</v>
      </c>
      <c r="AU485">
        <v>139</v>
      </c>
      <c r="AV485">
        <v>0.98699999999999999</v>
      </c>
      <c r="AW485" s="1"/>
      <c r="AX485" s="1"/>
      <c r="AY485" s="29">
        <f t="shared" si="494"/>
        <v>29700</v>
      </c>
      <c r="AZ485" s="31">
        <f t="shared" si="495"/>
        <v>165561</v>
      </c>
      <c r="BA485" s="31">
        <f t="shared" ref="BA485" si="527">SUMIF($B$2:$B$571,$B485,$R$2:$R$571)</f>
        <v>5610</v>
      </c>
      <c r="BB485" s="30">
        <f t="shared" si="497"/>
        <v>3.3884791708192148E-2</v>
      </c>
    </row>
    <row r="486" spans="2:54" x14ac:dyDescent="0.5">
      <c r="B486" s="4">
        <v>2016</v>
      </c>
      <c r="C486" t="s">
        <v>48</v>
      </c>
      <c r="D486" t="s">
        <v>49</v>
      </c>
      <c r="E486">
        <v>4</v>
      </c>
      <c r="F486" t="s">
        <v>38</v>
      </c>
      <c r="G486" t="s">
        <v>38</v>
      </c>
      <c r="H486" t="s">
        <v>38</v>
      </c>
      <c r="I486" t="s">
        <v>38</v>
      </c>
      <c r="J486">
        <v>78</v>
      </c>
      <c r="K486">
        <v>84</v>
      </c>
      <c r="L486">
        <v>686</v>
      </c>
      <c r="M486" s="20">
        <v>5550</v>
      </c>
      <c r="N486" s="20">
        <v>1428</v>
      </c>
      <c r="O486" s="20">
        <f t="shared" si="484"/>
        <v>950</v>
      </c>
      <c r="P486" s="20">
        <v>277</v>
      </c>
      <c r="Q486" s="20">
        <v>33</v>
      </c>
      <c r="R486" s="20">
        <v>168</v>
      </c>
      <c r="S486" s="20">
        <v>455</v>
      </c>
      <c r="T486" s="20">
        <v>53</v>
      </c>
      <c r="U486" s="20">
        <f t="shared" si="485"/>
        <v>3614</v>
      </c>
      <c r="V486">
        <v>1285</v>
      </c>
      <c r="W486">
        <v>77</v>
      </c>
      <c r="X486">
        <v>36</v>
      </c>
      <c r="Y486">
        <v>44</v>
      </c>
      <c r="Z486">
        <v>715</v>
      </c>
      <c r="AA486">
        <v>659</v>
      </c>
      <c r="AB486">
        <v>4.0999999999999996</v>
      </c>
      <c r="AC486">
        <v>7</v>
      </c>
      <c r="AD486">
        <v>10</v>
      </c>
      <c r="AE486">
        <v>43</v>
      </c>
      <c r="AF486" s="27">
        <f t="shared" ca="1" si="472"/>
        <v>6148</v>
      </c>
      <c r="AG486" s="27">
        <f t="shared" ca="1" si="486"/>
        <v>1629</v>
      </c>
      <c r="AH486" s="27">
        <f t="shared" ca="1" si="487"/>
        <v>1127</v>
      </c>
      <c r="AI486" s="27">
        <f t="shared" ca="1" si="488"/>
        <v>227</v>
      </c>
      <c r="AJ486" s="27">
        <f t="shared" ca="1" si="489"/>
        <v>42</v>
      </c>
      <c r="AK486" s="27">
        <f t="shared" ca="1" si="490"/>
        <v>233</v>
      </c>
      <c r="AL486" s="27">
        <f t="shared" ca="1" si="491"/>
        <v>683</v>
      </c>
      <c r="AM486" s="27">
        <f t="shared" ca="1" si="492"/>
        <v>49</v>
      </c>
      <c r="AN486" s="27">
        <f t="shared" ca="1" si="493"/>
        <v>3787</v>
      </c>
      <c r="AO486">
        <v>4340</v>
      </c>
      <c r="AP486">
        <v>1422</v>
      </c>
      <c r="AQ486">
        <v>185</v>
      </c>
      <c r="AR486">
        <v>521</v>
      </c>
      <c r="AS486">
        <v>1270</v>
      </c>
      <c r="AT486">
        <v>95</v>
      </c>
      <c r="AU486">
        <v>148</v>
      </c>
      <c r="AV486">
        <v>0.98399999999999999</v>
      </c>
      <c r="AW486" s="1"/>
      <c r="AX486" s="1"/>
      <c r="AY486" s="29">
        <f t="shared" si="494"/>
        <v>29700</v>
      </c>
      <c r="AZ486" s="31">
        <f t="shared" si="495"/>
        <v>165561</v>
      </c>
      <c r="BA486" s="31">
        <f t="shared" ref="BA486" si="528">SUMIF($B$2:$B$571,$B486,$S$2:$S$571)</f>
        <v>15088</v>
      </c>
      <c r="BB486" s="30">
        <f t="shared" si="497"/>
        <v>9.1132573492549579E-2</v>
      </c>
    </row>
    <row r="487" spans="2:54" x14ac:dyDescent="0.5">
      <c r="B487" s="4">
        <v>2016</v>
      </c>
      <c r="C487" t="s">
        <v>50</v>
      </c>
      <c r="D487" t="s">
        <v>51</v>
      </c>
      <c r="E487">
        <v>1</v>
      </c>
      <c r="F487" t="s">
        <v>43</v>
      </c>
      <c r="G487" t="s">
        <v>38</v>
      </c>
      <c r="H487" t="s">
        <v>43</v>
      </c>
      <c r="I487" t="s">
        <v>43</v>
      </c>
      <c r="J487">
        <v>103</v>
      </c>
      <c r="K487">
        <v>58</v>
      </c>
      <c r="L487">
        <v>808</v>
      </c>
      <c r="M487" s="20">
        <v>5503</v>
      </c>
      <c r="N487" s="20">
        <v>1409</v>
      </c>
      <c r="O487" s="20">
        <f t="shared" si="484"/>
        <v>887</v>
      </c>
      <c r="P487" s="20">
        <v>293</v>
      </c>
      <c r="Q487" s="20">
        <v>30</v>
      </c>
      <c r="R487" s="20">
        <v>199</v>
      </c>
      <c r="S487" s="20">
        <v>656</v>
      </c>
      <c r="T487" s="20">
        <v>96</v>
      </c>
      <c r="U487" s="20">
        <f t="shared" si="485"/>
        <v>3342</v>
      </c>
      <c r="V487">
        <v>1339</v>
      </c>
      <c r="W487">
        <v>66</v>
      </c>
      <c r="X487">
        <v>34</v>
      </c>
      <c r="Y487">
        <v>37</v>
      </c>
      <c r="Z487">
        <v>556</v>
      </c>
      <c r="AA487">
        <v>511</v>
      </c>
      <c r="AB487">
        <v>3.15</v>
      </c>
      <c r="AC487">
        <v>5</v>
      </c>
      <c r="AD487">
        <v>15</v>
      </c>
      <c r="AE487">
        <v>38</v>
      </c>
      <c r="AF487" s="27">
        <f t="shared" ca="1" si="472"/>
        <v>6389</v>
      </c>
      <c r="AG487" s="27">
        <f t="shared" ca="1" si="486"/>
        <v>1481</v>
      </c>
      <c r="AH487" s="27">
        <f t="shared" ca="1" si="487"/>
        <v>1050</v>
      </c>
      <c r="AI487" s="27">
        <f t="shared" ca="1" si="488"/>
        <v>259</v>
      </c>
      <c r="AJ487" s="27">
        <f t="shared" ca="1" si="489"/>
        <v>40</v>
      </c>
      <c r="AK487" s="27">
        <f t="shared" ca="1" si="490"/>
        <v>132</v>
      </c>
      <c r="AL487" s="27">
        <f t="shared" ca="1" si="491"/>
        <v>482</v>
      </c>
      <c r="AM487" s="27">
        <f t="shared" ca="1" si="492"/>
        <v>71</v>
      </c>
      <c r="AN487" s="27">
        <f t="shared" ca="1" si="493"/>
        <v>4355</v>
      </c>
      <c r="AO487">
        <v>4379</v>
      </c>
      <c r="AP487">
        <v>1125</v>
      </c>
      <c r="AQ487">
        <v>163</v>
      </c>
      <c r="AR487">
        <v>495</v>
      </c>
      <c r="AS487">
        <v>1441</v>
      </c>
      <c r="AT487">
        <v>101</v>
      </c>
      <c r="AU487">
        <v>116</v>
      </c>
      <c r="AV487">
        <v>0.98299999999999998</v>
      </c>
      <c r="AW487" s="1"/>
      <c r="AX487" s="1"/>
      <c r="AY487" s="29">
        <f t="shared" si="494"/>
        <v>29700</v>
      </c>
      <c r="AZ487" s="31">
        <f t="shared" si="495"/>
        <v>165561</v>
      </c>
      <c r="BA487" s="31">
        <f t="shared" ref="BA487" si="529">SUMIF($B$2:$B$571,$B487,$T$2:$T$571)</f>
        <v>1651</v>
      </c>
      <c r="BB487" s="30">
        <f t="shared" si="497"/>
        <v>9.9721552781150153E-3</v>
      </c>
    </row>
    <row r="488" spans="2:54" x14ac:dyDescent="0.5">
      <c r="B488" s="4">
        <v>2016</v>
      </c>
      <c r="C488" t="s">
        <v>52</v>
      </c>
      <c r="D488" t="s">
        <v>53</v>
      </c>
      <c r="E488">
        <v>5</v>
      </c>
      <c r="F488" t="s">
        <v>38</v>
      </c>
      <c r="G488" t="s">
        <v>38</v>
      </c>
      <c r="H488" t="s">
        <v>38</v>
      </c>
      <c r="I488" t="s">
        <v>38</v>
      </c>
      <c r="J488">
        <v>68</v>
      </c>
      <c r="K488">
        <v>94</v>
      </c>
      <c r="L488">
        <v>716</v>
      </c>
      <c r="M488" s="20">
        <v>5487</v>
      </c>
      <c r="N488" s="20">
        <v>1403</v>
      </c>
      <c r="O488" s="20">
        <f t="shared" si="484"/>
        <v>929</v>
      </c>
      <c r="P488" s="20">
        <v>277</v>
      </c>
      <c r="Q488" s="20">
        <v>33</v>
      </c>
      <c r="R488" s="20">
        <v>164</v>
      </c>
      <c r="S488" s="20">
        <v>452</v>
      </c>
      <c r="T488" s="20">
        <v>52</v>
      </c>
      <c r="U488" s="20">
        <f t="shared" si="485"/>
        <v>3580</v>
      </c>
      <c r="V488">
        <v>1284</v>
      </c>
      <c r="W488">
        <v>139</v>
      </c>
      <c r="X488">
        <v>51</v>
      </c>
      <c r="Y488">
        <v>44</v>
      </c>
      <c r="Z488">
        <v>854</v>
      </c>
      <c r="AA488">
        <v>786</v>
      </c>
      <c r="AB488">
        <v>4.91</v>
      </c>
      <c r="AC488">
        <v>2</v>
      </c>
      <c r="AD488">
        <v>8</v>
      </c>
      <c r="AE488">
        <v>28</v>
      </c>
      <c r="AF488" s="27">
        <f t="shared" ca="1" si="472"/>
        <v>6462</v>
      </c>
      <c r="AG488" s="27">
        <f t="shared" ca="1" si="486"/>
        <v>1665</v>
      </c>
      <c r="AH488" s="27">
        <f t="shared" ca="1" si="487"/>
        <v>1165</v>
      </c>
      <c r="AI488" s="27">
        <f t="shared" ca="1" si="488"/>
        <v>306</v>
      </c>
      <c r="AJ488" s="27">
        <f t="shared" ca="1" si="489"/>
        <v>46</v>
      </c>
      <c r="AK488" s="27">
        <f t="shared" ca="1" si="490"/>
        <v>148</v>
      </c>
      <c r="AL488" s="27">
        <f t="shared" ca="1" si="491"/>
        <v>547</v>
      </c>
      <c r="AM488" s="27">
        <f t="shared" ca="1" si="492"/>
        <v>38</v>
      </c>
      <c r="AN488" s="27">
        <f t="shared" ca="1" si="493"/>
        <v>4212</v>
      </c>
      <c r="AO488">
        <v>4326</v>
      </c>
      <c r="AP488">
        <v>1457</v>
      </c>
      <c r="AQ488">
        <v>258</v>
      </c>
      <c r="AR488">
        <v>636</v>
      </c>
      <c r="AS488">
        <v>1241</v>
      </c>
      <c r="AT488">
        <v>102</v>
      </c>
      <c r="AU488">
        <v>142</v>
      </c>
      <c r="AV488">
        <v>0.98299999999999998</v>
      </c>
      <c r="AW488" s="1"/>
      <c r="AX488" s="1"/>
      <c r="AY488" s="29">
        <f t="shared" si="494"/>
        <v>29700</v>
      </c>
      <c r="AZ488" s="31">
        <f t="shared" si="495"/>
        <v>165561</v>
      </c>
      <c r="BA488" s="31">
        <f t="shared" ref="BA488" si="530">SUMIF($B$2:$B$571,$B488,$U$2:$U$571)</f>
        <v>106546</v>
      </c>
      <c r="BB488" s="30">
        <f t="shared" si="497"/>
        <v>0.64354527938342965</v>
      </c>
    </row>
    <row r="489" spans="2:54" x14ac:dyDescent="0.5">
      <c r="B489" s="4">
        <v>2016</v>
      </c>
      <c r="C489" t="s">
        <v>54</v>
      </c>
      <c r="D489" t="s">
        <v>55</v>
      </c>
      <c r="E489">
        <v>1</v>
      </c>
      <c r="F489" t="s">
        <v>43</v>
      </c>
      <c r="G489" t="s">
        <v>38</v>
      </c>
      <c r="H489" t="s">
        <v>43</v>
      </c>
      <c r="I489" t="s">
        <v>38</v>
      </c>
      <c r="J489">
        <v>94</v>
      </c>
      <c r="K489">
        <v>67</v>
      </c>
      <c r="L489">
        <v>777</v>
      </c>
      <c r="M489" s="20">
        <v>5484</v>
      </c>
      <c r="N489" s="20">
        <v>1435</v>
      </c>
      <c r="O489" s="20">
        <f t="shared" si="484"/>
        <v>913</v>
      </c>
      <c r="P489" s="20">
        <v>308</v>
      </c>
      <c r="Q489" s="20">
        <v>29</v>
      </c>
      <c r="R489" s="20">
        <v>185</v>
      </c>
      <c r="S489" s="20">
        <v>531</v>
      </c>
      <c r="T489" s="20">
        <v>49</v>
      </c>
      <c r="U489" s="20">
        <f t="shared" si="485"/>
        <v>3469</v>
      </c>
      <c r="V489">
        <v>1246</v>
      </c>
      <c r="W489">
        <v>134</v>
      </c>
      <c r="X489">
        <v>31</v>
      </c>
      <c r="Y489">
        <v>60</v>
      </c>
      <c r="Z489">
        <v>676</v>
      </c>
      <c r="AA489">
        <v>617</v>
      </c>
      <c r="AB489">
        <v>3.84</v>
      </c>
      <c r="AC489">
        <v>5</v>
      </c>
      <c r="AD489">
        <v>11</v>
      </c>
      <c r="AE489">
        <v>37</v>
      </c>
      <c r="AF489" s="27">
        <f t="shared" ca="1" si="472"/>
        <v>6115</v>
      </c>
      <c r="AG489" s="27">
        <f t="shared" ca="1" si="486"/>
        <v>1306</v>
      </c>
      <c r="AH489" s="27">
        <f t="shared" ca="1" si="487"/>
        <v>864</v>
      </c>
      <c r="AI489" s="27">
        <f t="shared" ca="1" si="488"/>
        <v>264</v>
      </c>
      <c r="AJ489" s="27">
        <f t="shared" ca="1" si="489"/>
        <v>20</v>
      </c>
      <c r="AK489" s="27">
        <f t="shared" ca="1" si="490"/>
        <v>158</v>
      </c>
      <c r="AL489" s="27">
        <f t="shared" ca="1" si="491"/>
        <v>554</v>
      </c>
      <c r="AM489" s="27">
        <f t="shared" ca="1" si="492"/>
        <v>36</v>
      </c>
      <c r="AN489" s="27">
        <f t="shared" ca="1" si="493"/>
        <v>4219</v>
      </c>
      <c r="AO489">
        <v>4335</v>
      </c>
      <c r="AP489">
        <v>1330</v>
      </c>
      <c r="AQ489">
        <v>186</v>
      </c>
      <c r="AR489">
        <v>461</v>
      </c>
      <c r="AS489">
        <v>1398</v>
      </c>
      <c r="AT489">
        <v>89</v>
      </c>
      <c r="AU489">
        <v>126</v>
      </c>
      <c r="AV489">
        <v>0.98499999999999999</v>
      </c>
      <c r="AW489" s="1"/>
      <c r="AX489" s="1"/>
      <c r="AY489" s="29">
        <f t="shared" si="494"/>
        <v>29700</v>
      </c>
      <c r="AZ489" s="31">
        <f t="shared" si="495"/>
        <v>165561</v>
      </c>
      <c r="BA489" s="31"/>
      <c r="BB489" s="30">
        <f t="shared" si="497"/>
        <v>0</v>
      </c>
    </row>
    <row r="490" spans="2:54" x14ac:dyDescent="0.5">
      <c r="B490" s="4">
        <v>2016</v>
      </c>
      <c r="C490" t="s">
        <v>56</v>
      </c>
      <c r="D490" t="s">
        <v>57</v>
      </c>
      <c r="E490">
        <v>3</v>
      </c>
      <c r="F490" t="s">
        <v>38</v>
      </c>
      <c r="G490" t="s">
        <v>38</v>
      </c>
      <c r="H490" t="s">
        <v>38</v>
      </c>
      <c r="I490" t="s">
        <v>38</v>
      </c>
      <c r="J490">
        <v>75</v>
      </c>
      <c r="K490">
        <v>87</v>
      </c>
      <c r="L490">
        <v>845</v>
      </c>
      <c r="M490" s="20">
        <v>5614</v>
      </c>
      <c r="N490" s="20">
        <v>1544</v>
      </c>
      <c r="O490" s="20">
        <f t="shared" si="484"/>
        <v>975</v>
      </c>
      <c r="P490" s="20">
        <v>318</v>
      </c>
      <c r="Q490" s="20">
        <v>47</v>
      </c>
      <c r="R490" s="20">
        <v>204</v>
      </c>
      <c r="S490" s="20">
        <v>494</v>
      </c>
      <c r="T490" s="20">
        <v>40</v>
      </c>
      <c r="U490" s="20">
        <f t="shared" si="485"/>
        <v>3536</v>
      </c>
      <c r="V490">
        <v>1330</v>
      </c>
      <c r="W490">
        <v>66</v>
      </c>
      <c r="X490">
        <v>39</v>
      </c>
      <c r="Y490">
        <v>34</v>
      </c>
      <c r="Z490">
        <v>860</v>
      </c>
      <c r="AA490">
        <v>779</v>
      </c>
      <c r="AB490">
        <v>4.91</v>
      </c>
      <c r="AC490">
        <v>2</v>
      </c>
      <c r="AD490">
        <v>9</v>
      </c>
      <c r="AE490">
        <v>37</v>
      </c>
      <c r="AF490" s="27">
        <f t="shared" ca="1" si="472"/>
        <v>6378</v>
      </c>
      <c r="AG490" s="27">
        <f t="shared" ca="1" si="486"/>
        <v>1513</v>
      </c>
      <c r="AH490" s="27">
        <f t="shared" ca="1" si="487"/>
        <v>969</v>
      </c>
      <c r="AI490" s="27">
        <f t="shared" ca="1" si="488"/>
        <v>374</v>
      </c>
      <c r="AJ490" s="27">
        <f t="shared" ca="1" si="489"/>
        <v>39</v>
      </c>
      <c r="AK490" s="27">
        <f t="shared" ca="1" si="490"/>
        <v>131</v>
      </c>
      <c r="AL490" s="27">
        <f t="shared" ca="1" si="491"/>
        <v>498</v>
      </c>
      <c r="AM490" s="27">
        <f t="shared" ca="1" si="492"/>
        <v>58</v>
      </c>
      <c r="AN490" s="27">
        <f t="shared" ca="1" si="493"/>
        <v>4309</v>
      </c>
      <c r="AO490">
        <v>4288</v>
      </c>
      <c r="AP490">
        <v>1532</v>
      </c>
      <c r="AQ490">
        <v>181</v>
      </c>
      <c r="AR490">
        <v>547</v>
      </c>
      <c r="AS490">
        <v>1223</v>
      </c>
      <c r="AT490">
        <v>110</v>
      </c>
      <c r="AU490">
        <v>148</v>
      </c>
      <c r="AV490">
        <v>0.98199999999999998</v>
      </c>
      <c r="AW490" s="1"/>
      <c r="AX490" s="1"/>
      <c r="AY490" s="29">
        <f t="shared" si="494"/>
        <v>29700</v>
      </c>
      <c r="AZ490" s="31">
        <f t="shared" si="495"/>
        <v>165561</v>
      </c>
      <c r="BA490" s="31">
        <f t="shared" ref="BA490" si="531">SUMIF($B$2:$B$571,$B490,$O$2:$O$571)</f>
        <v>27539</v>
      </c>
      <c r="BB490" s="30">
        <f t="shared" si="497"/>
        <v>0.16633748286130187</v>
      </c>
    </row>
    <row r="491" spans="2:54" x14ac:dyDescent="0.5">
      <c r="B491" s="4">
        <v>2016</v>
      </c>
      <c r="C491" t="s">
        <v>58</v>
      </c>
      <c r="D491" t="s">
        <v>59</v>
      </c>
      <c r="E491">
        <v>2</v>
      </c>
      <c r="F491" t="s">
        <v>38</v>
      </c>
      <c r="G491" t="s">
        <v>38</v>
      </c>
      <c r="H491" t="s">
        <v>38</v>
      </c>
      <c r="I491" t="s">
        <v>38</v>
      </c>
      <c r="J491">
        <v>86</v>
      </c>
      <c r="K491">
        <v>75</v>
      </c>
      <c r="L491">
        <v>750</v>
      </c>
      <c r="M491" s="20">
        <v>5526</v>
      </c>
      <c r="N491" s="20">
        <v>1476</v>
      </c>
      <c r="O491" s="20">
        <f t="shared" si="484"/>
        <v>983</v>
      </c>
      <c r="P491" s="20">
        <v>252</v>
      </c>
      <c r="Q491" s="20">
        <v>30</v>
      </c>
      <c r="R491" s="20">
        <v>211</v>
      </c>
      <c r="S491" s="20">
        <v>493</v>
      </c>
      <c r="T491" s="20">
        <v>53</v>
      </c>
      <c r="U491" s="20">
        <f t="shared" si="485"/>
        <v>3504</v>
      </c>
      <c r="V491">
        <v>1303</v>
      </c>
      <c r="W491">
        <v>58</v>
      </c>
      <c r="X491">
        <v>29</v>
      </c>
      <c r="Y491">
        <v>38</v>
      </c>
      <c r="Z491">
        <v>721</v>
      </c>
      <c r="AA491">
        <v>672</v>
      </c>
      <c r="AB491">
        <v>4.24</v>
      </c>
      <c r="AC491">
        <v>3</v>
      </c>
      <c r="AD491">
        <v>8</v>
      </c>
      <c r="AE491">
        <v>47</v>
      </c>
      <c r="AF491" s="27">
        <f t="shared" ca="1" si="472"/>
        <v>6212</v>
      </c>
      <c r="AG491" s="27">
        <f t="shared" ca="1" si="486"/>
        <v>1656</v>
      </c>
      <c r="AH491" s="27">
        <f t="shared" ca="1" si="487"/>
        <v>1132</v>
      </c>
      <c r="AI491" s="27">
        <f t="shared" ca="1" si="488"/>
        <v>348</v>
      </c>
      <c r="AJ491" s="27">
        <f t="shared" ca="1" si="489"/>
        <v>20</v>
      </c>
      <c r="AK491" s="27">
        <f t="shared" ca="1" si="490"/>
        <v>156</v>
      </c>
      <c r="AL491" s="27">
        <f t="shared" ca="1" si="491"/>
        <v>583</v>
      </c>
      <c r="AM491" s="27">
        <f t="shared" ca="1" si="492"/>
        <v>84</v>
      </c>
      <c r="AN491" s="27">
        <f t="shared" ca="1" si="493"/>
        <v>3889</v>
      </c>
      <c r="AO491">
        <v>4284</v>
      </c>
      <c r="AP491">
        <v>1417</v>
      </c>
      <c r="AQ491">
        <v>182</v>
      </c>
      <c r="AR491">
        <v>462</v>
      </c>
      <c r="AS491">
        <v>1232</v>
      </c>
      <c r="AT491">
        <v>75</v>
      </c>
      <c r="AU491">
        <v>148</v>
      </c>
      <c r="AV491">
        <v>0.98699999999999999</v>
      </c>
      <c r="AW491" s="1"/>
      <c r="AX491" s="1"/>
      <c r="AY491" s="29">
        <f t="shared" si="494"/>
        <v>29700</v>
      </c>
      <c r="AZ491" s="31">
        <f t="shared" si="495"/>
        <v>165561</v>
      </c>
      <c r="BA491" s="31">
        <f t="shared" ref="BA491" si="532">SUMIF($B$2:$B$571,$B491,$P$2:$P$571)</f>
        <v>8254</v>
      </c>
      <c r="BB491" s="30">
        <f t="shared" si="497"/>
        <v>4.9854736320751866E-2</v>
      </c>
    </row>
    <row r="492" spans="2:54" x14ac:dyDescent="0.5">
      <c r="B492" s="4">
        <v>2016</v>
      </c>
      <c r="C492" t="s">
        <v>62</v>
      </c>
      <c r="D492" t="s">
        <v>63</v>
      </c>
      <c r="E492">
        <v>3</v>
      </c>
      <c r="F492" t="s">
        <v>38</v>
      </c>
      <c r="G492" t="s">
        <v>38</v>
      </c>
      <c r="H492" t="s">
        <v>38</v>
      </c>
      <c r="I492" t="s">
        <v>38</v>
      </c>
      <c r="J492">
        <v>84</v>
      </c>
      <c r="K492">
        <v>78</v>
      </c>
      <c r="L492">
        <v>724</v>
      </c>
      <c r="M492" s="20">
        <v>5545</v>
      </c>
      <c r="N492" s="20">
        <v>1367</v>
      </c>
      <c r="O492" s="20">
        <f t="shared" si="484"/>
        <v>849</v>
      </c>
      <c r="P492" s="20">
        <v>291</v>
      </c>
      <c r="Q492" s="20">
        <v>29</v>
      </c>
      <c r="R492" s="20">
        <v>198</v>
      </c>
      <c r="S492" s="20">
        <v>554</v>
      </c>
      <c r="T492" s="20">
        <v>47</v>
      </c>
      <c r="U492" s="20">
        <f t="shared" si="485"/>
        <v>3577</v>
      </c>
      <c r="V492">
        <v>1452</v>
      </c>
      <c r="W492">
        <v>102</v>
      </c>
      <c r="X492">
        <v>44</v>
      </c>
      <c r="Y492">
        <v>31</v>
      </c>
      <c r="Z492">
        <v>701</v>
      </c>
      <c r="AA492">
        <v>663</v>
      </c>
      <c r="AB492">
        <v>4.0599999999999996</v>
      </c>
      <c r="AC492">
        <v>2</v>
      </c>
      <c r="AD492">
        <v>8</v>
      </c>
      <c r="AE492">
        <v>44</v>
      </c>
      <c r="AF492" s="27">
        <f t="shared" ca="1" si="472"/>
        <v>6079</v>
      </c>
      <c r="AG492" s="27">
        <f t="shared" ca="1" si="486"/>
        <v>1392</v>
      </c>
      <c r="AH492" s="27">
        <f t="shared" ca="1" si="487"/>
        <v>855</v>
      </c>
      <c r="AI492" s="27">
        <f t="shared" ca="1" si="488"/>
        <v>272</v>
      </c>
      <c r="AJ492" s="27">
        <f t="shared" ca="1" si="489"/>
        <v>42</v>
      </c>
      <c r="AK492" s="27">
        <f t="shared" ca="1" si="490"/>
        <v>223</v>
      </c>
      <c r="AL492" s="27">
        <f t="shared" ca="1" si="491"/>
        <v>415</v>
      </c>
      <c r="AM492" s="27">
        <f t="shared" ca="1" si="492"/>
        <v>83</v>
      </c>
      <c r="AN492" s="27">
        <f t="shared" ca="1" si="493"/>
        <v>4189</v>
      </c>
      <c r="AO492">
        <v>4404</v>
      </c>
      <c r="AP492">
        <v>1441</v>
      </c>
      <c r="AQ492">
        <v>181</v>
      </c>
      <c r="AR492">
        <v>453</v>
      </c>
      <c r="AS492">
        <v>1396</v>
      </c>
      <c r="AT492">
        <v>77</v>
      </c>
      <c r="AU492">
        <v>135</v>
      </c>
      <c r="AV492">
        <v>0.98699999999999999</v>
      </c>
      <c r="AW492" s="1"/>
      <c r="AX492" s="1"/>
      <c r="AY492" s="29">
        <f t="shared" si="494"/>
        <v>29700</v>
      </c>
      <c r="AZ492" s="31">
        <f t="shared" si="495"/>
        <v>165561</v>
      </c>
      <c r="BA492" s="31">
        <f t="shared" ref="BA492" si="533">SUMIF($B$2:$B$571,$B492,$Q$2:$Q$571)</f>
        <v>873</v>
      </c>
      <c r="BB492" s="30">
        <f t="shared" si="497"/>
        <v>5.2729809556598473E-3</v>
      </c>
    </row>
    <row r="493" spans="2:54" x14ac:dyDescent="0.5">
      <c r="B493" s="4">
        <v>2016</v>
      </c>
      <c r="C493" t="s">
        <v>64</v>
      </c>
      <c r="D493" t="s">
        <v>65</v>
      </c>
      <c r="E493">
        <v>3</v>
      </c>
      <c r="F493" t="s">
        <v>38</v>
      </c>
      <c r="G493" t="s">
        <v>38</v>
      </c>
      <c r="H493" t="s">
        <v>38</v>
      </c>
      <c r="I493" t="s">
        <v>38</v>
      </c>
      <c r="J493">
        <v>81</v>
      </c>
      <c r="K493">
        <v>81</v>
      </c>
      <c r="L493">
        <v>675</v>
      </c>
      <c r="M493" s="20">
        <v>5552</v>
      </c>
      <c r="N493" s="20">
        <v>1450</v>
      </c>
      <c r="O493" s="20">
        <f t="shared" si="484"/>
        <v>1006</v>
      </c>
      <c r="P493" s="20">
        <v>264</v>
      </c>
      <c r="Q493" s="20">
        <v>33</v>
      </c>
      <c r="R493" s="20">
        <v>147</v>
      </c>
      <c r="S493" s="20">
        <v>382</v>
      </c>
      <c r="T493" s="20">
        <v>45</v>
      </c>
      <c r="U493" s="20">
        <f t="shared" si="485"/>
        <v>3675</v>
      </c>
      <c r="V493">
        <v>1224</v>
      </c>
      <c r="W493">
        <v>121</v>
      </c>
      <c r="X493">
        <v>35</v>
      </c>
      <c r="Y493">
        <v>34</v>
      </c>
      <c r="Z493">
        <v>712</v>
      </c>
      <c r="AA493">
        <v>674</v>
      </c>
      <c r="AB493">
        <v>4.21</v>
      </c>
      <c r="AC493">
        <v>3</v>
      </c>
      <c r="AD493">
        <v>7</v>
      </c>
      <c r="AE493">
        <v>41</v>
      </c>
      <c r="AF493" s="27">
        <f t="shared" ca="1" si="472"/>
        <v>6092</v>
      </c>
      <c r="AG493" s="27">
        <f t="shared" ca="1" si="486"/>
        <v>1385</v>
      </c>
      <c r="AH493" s="27">
        <f t="shared" ca="1" si="487"/>
        <v>902</v>
      </c>
      <c r="AI493" s="27">
        <f t="shared" ca="1" si="488"/>
        <v>268</v>
      </c>
      <c r="AJ493" s="27">
        <f t="shared" ca="1" si="489"/>
        <v>47</v>
      </c>
      <c r="AK493" s="27">
        <f t="shared" ca="1" si="490"/>
        <v>168</v>
      </c>
      <c r="AL493" s="27">
        <f t="shared" ca="1" si="491"/>
        <v>437</v>
      </c>
      <c r="AM493" s="27">
        <f t="shared" ca="1" si="492"/>
        <v>49</v>
      </c>
      <c r="AN493" s="27">
        <f t="shared" ca="1" si="493"/>
        <v>4221</v>
      </c>
      <c r="AO493">
        <v>4320</v>
      </c>
      <c r="AP493">
        <v>1433</v>
      </c>
      <c r="AQ493">
        <v>206</v>
      </c>
      <c r="AR493">
        <v>517</v>
      </c>
      <c r="AS493">
        <v>1287</v>
      </c>
      <c r="AT493">
        <v>94</v>
      </c>
      <c r="AU493">
        <v>134</v>
      </c>
      <c r="AV493">
        <v>0.98399999999999999</v>
      </c>
      <c r="AW493" s="1"/>
      <c r="AX493" s="1"/>
      <c r="AY493" s="29">
        <f t="shared" si="494"/>
        <v>29700</v>
      </c>
      <c r="AZ493" s="31">
        <f t="shared" si="495"/>
        <v>165561</v>
      </c>
      <c r="BA493" s="31">
        <f t="shared" ref="BA493" si="534">SUMIF($B$2:$B$571,$B493,$R$2:$R$571)</f>
        <v>5610</v>
      </c>
      <c r="BB493" s="30">
        <f t="shared" si="497"/>
        <v>3.3884791708192148E-2</v>
      </c>
    </row>
    <row r="494" spans="2:54" x14ac:dyDescent="0.5">
      <c r="B494" s="4">
        <v>2016</v>
      </c>
      <c r="C494" t="s">
        <v>98</v>
      </c>
      <c r="D494" t="s">
        <v>99</v>
      </c>
      <c r="E494">
        <v>4</v>
      </c>
      <c r="F494" t="s">
        <v>38</v>
      </c>
      <c r="G494" t="s">
        <v>38</v>
      </c>
      <c r="H494" t="s">
        <v>38</v>
      </c>
      <c r="I494" t="s">
        <v>38</v>
      </c>
      <c r="J494">
        <v>74</v>
      </c>
      <c r="K494">
        <v>88</v>
      </c>
      <c r="L494">
        <v>717</v>
      </c>
      <c r="M494" s="20">
        <v>5431</v>
      </c>
      <c r="N494" s="20">
        <v>1410</v>
      </c>
      <c r="O494" s="20">
        <f t="shared" si="484"/>
        <v>955</v>
      </c>
      <c r="P494" s="20">
        <v>279</v>
      </c>
      <c r="Q494" s="20">
        <v>20</v>
      </c>
      <c r="R494" s="20">
        <v>156</v>
      </c>
      <c r="S494" s="20">
        <v>471</v>
      </c>
      <c r="T494" s="20">
        <v>51</v>
      </c>
      <c r="U494" s="20">
        <f t="shared" si="485"/>
        <v>3499</v>
      </c>
      <c r="V494">
        <v>991</v>
      </c>
      <c r="W494">
        <v>73</v>
      </c>
      <c r="X494">
        <v>34</v>
      </c>
      <c r="Y494">
        <v>49</v>
      </c>
      <c r="Z494">
        <v>727</v>
      </c>
      <c r="AA494">
        <v>676</v>
      </c>
      <c r="AB494">
        <v>4.28</v>
      </c>
      <c r="AC494">
        <v>4</v>
      </c>
      <c r="AD494">
        <v>12</v>
      </c>
      <c r="AE494">
        <v>29</v>
      </c>
      <c r="AF494" s="27">
        <f t="shared" ca="1" si="472"/>
        <v>6086</v>
      </c>
      <c r="AG494" s="27">
        <f t="shared" ca="1" si="486"/>
        <v>1347</v>
      </c>
      <c r="AH494" s="27">
        <f t="shared" ca="1" si="487"/>
        <v>845</v>
      </c>
      <c r="AI494" s="27">
        <f t="shared" ca="1" si="488"/>
        <v>268</v>
      </c>
      <c r="AJ494" s="27">
        <f t="shared" ca="1" si="489"/>
        <v>50</v>
      </c>
      <c r="AK494" s="27">
        <f t="shared" ca="1" si="490"/>
        <v>184</v>
      </c>
      <c r="AL494" s="27">
        <f t="shared" ca="1" si="491"/>
        <v>683</v>
      </c>
      <c r="AM494" s="27">
        <f t="shared" ca="1" si="492"/>
        <v>53</v>
      </c>
      <c r="AN494" s="27">
        <f t="shared" ca="1" si="493"/>
        <v>4003</v>
      </c>
      <c r="AO494">
        <v>4264</v>
      </c>
      <c r="AP494">
        <v>1480</v>
      </c>
      <c r="AQ494">
        <v>208</v>
      </c>
      <c r="AR494">
        <v>498</v>
      </c>
      <c r="AS494">
        <v>1136</v>
      </c>
      <c r="AT494">
        <v>97</v>
      </c>
      <c r="AU494">
        <v>148</v>
      </c>
      <c r="AV494">
        <v>0.98299999999999998</v>
      </c>
      <c r="AW494" s="1"/>
      <c r="AX494" s="1"/>
      <c r="AY494" s="29">
        <f t="shared" si="494"/>
        <v>29700</v>
      </c>
      <c r="AZ494" s="31">
        <f t="shared" si="495"/>
        <v>165561</v>
      </c>
      <c r="BA494" s="31">
        <f t="shared" ref="BA494" si="535">SUMIF($B$2:$B$571,$B494,$S$2:$S$571)</f>
        <v>15088</v>
      </c>
      <c r="BB494" s="30">
        <f t="shared" si="497"/>
        <v>9.1132573492549579E-2</v>
      </c>
    </row>
    <row r="495" spans="2:54" x14ac:dyDescent="0.5">
      <c r="B495" s="4">
        <v>2016</v>
      </c>
      <c r="C495" t="s">
        <v>66</v>
      </c>
      <c r="D495" t="s">
        <v>67</v>
      </c>
      <c r="E495">
        <v>1</v>
      </c>
      <c r="F495" t="s">
        <v>43</v>
      </c>
      <c r="G495" t="s">
        <v>38</v>
      </c>
      <c r="H495" t="s">
        <v>38</v>
      </c>
      <c r="I495" t="s">
        <v>38</v>
      </c>
      <c r="J495">
        <v>91</v>
      </c>
      <c r="K495">
        <v>71</v>
      </c>
      <c r="L495">
        <v>725</v>
      </c>
      <c r="M495" s="20">
        <v>5518</v>
      </c>
      <c r="N495" s="20">
        <v>1376</v>
      </c>
      <c r="O495" s="20">
        <f t="shared" si="484"/>
        <v>894</v>
      </c>
      <c r="P495" s="20">
        <v>272</v>
      </c>
      <c r="Q495" s="20">
        <v>21</v>
      </c>
      <c r="R495" s="20">
        <v>189</v>
      </c>
      <c r="S495" s="20">
        <v>525</v>
      </c>
      <c r="T495" s="20">
        <v>58</v>
      </c>
      <c r="U495" s="20">
        <f t="shared" si="485"/>
        <v>3559</v>
      </c>
      <c r="V495">
        <v>1321</v>
      </c>
      <c r="W495">
        <v>45</v>
      </c>
      <c r="X495">
        <v>26</v>
      </c>
      <c r="Y495">
        <v>32</v>
      </c>
      <c r="Z495">
        <v>638</v>
      </c>
      <c r="AA495">
        <v>598</v>
      </c>
      <c r="AB495">
        <v>3.7</v>
      </c>
      <c r="AC495">
        <v>3</v>
      </c>
      <c r="AD495">
        <v>15</v>
      </c>
      <c r="AE495">
        <v>47</v>
      </c>
      <c r="AF495" s="27">
        <f t="shared" ca="1" si="472"/>
        <v>6279</v>
      </c>
      <c r="AG495" s="27">
        <f t="shared" ca="1" si="486"/>
        <v>1621</v>
      </c>
      <c r="AH495" s="27">
        <f t="shared" ca="1" si="487"/>
        <v>1018</v>
      </c>
      <c r="AI495" s="27">
        <f t="shared" ca="1" si="488"/>
        <v>376</v>
      </c>
      <c r="AJ495" s="27">
        <f t="shared" ca="1" si="489"/>
        <v>21</v>
      </c>
      <c r="AK495" s="27">
        <f t="shared" ca="1" si="490"/>
        <v>206</v>
      </c>
      <c r="AL495" s="27">
        <f t="shared" ca="1" si="491"/>
        <v>591</v>
      </c>
      <c r="AM495" s="27">
        <f t="shared" ca="1" si="492"/>
        <v>64</v>
      </c>
      <c r="AN495" s="27">
        <f t="shared" ca="1" si="493"/>
        <v>4003</v>
      </c>
      <c r="AO495">
        <v>4359</v>
      </c>
      <c r="AP495">
        <v>1266</v>
      </c>
      <c r="AQ495">
        <v>165</v>
      </c>
      <c r="AR495">
        <v>464</v>
      </c>
      <c r="AS495">
        <v>1510</v>
      </c>
      <c r="AT495">
        <v>80</v>
      </c>
      <c r="AU495">
        <v>101</v>
      </c>
      <c r="AV495">
        <v>0.98599999999999999</v>
      </c>
      <c r="AW495" s="1"/>
      <c r="AX495" s="1"/>
      <c r="AY495" s="29">
        <f t="shared" si="494"/>
        <v>29700</v>
      </c>
      <c r="AZ495" s="31">
        <f t="shared" si="495"/>
        <v>165561</v>
      </c>
      <c r="BA495" s="31">
        <f t="shared" ref="BA495" si="536">SUMIF($B$2:$B$571,$B495,$T$2:$T$571)</f>
        <v>1651</v>
      </c>
      <c r="BB495" s="30">
        <f t="shared" si="497"/>
        <v>9.9721552781150153E-3</v>
      </c>
    </row>
    <row r="496" spans="2:54" x14ac:dyDescent="0.5">
      <c r="B496" s="4">
        <v>2016</v>
      </c>
      <c r="C496" t="s">
        <v>103</v>
      </c>
      <c r="D496" t="s">
        <v>104</v>
      </c>
      <c r="E496">
        <v>3</v>
      </c>
      <c r="F496" t="s">
        <v>38</v>
      </c>
      <c r="G496" t="s">
        <v>38</v>
      </c>
      <c r="H496" t="s">
        <v>38</v>
      </c>
      <c r="I496" t="s">
        <v>38</v>
      </c>
      <c r="J496">
        <v>79</v>
      </c>
      <c r="K496">
        <v>82</v>
      </c>
      <c r="L496">
        <v>655</v>
      </c>
      <c r="M496" s="20">
        <v>5547</v>
      </c>
      <c r="N496" s="20">
        <v>1460</v>
      </c>
      <c r="O496" s="20">
        <f t="shared" si="484"/>
        <v>1031</v>
      </c>
      <c r="P496" s="20">
        <v>259</v>
      </c>
      <c r="Q496" s="20">
        <v>42</v>
      </c>
      <c r="R496" s="20">
        <v>128</v>
      </c>
      <c r="S496" s="20">
        <v>447</v>
      </c>
      <c r="T496" s="20">
        <v>54</v>
      </c>
      <c r="U496" s="20">
        <f t="shared" si="485"/>
        <v>3586</v>
      </c>
      <c r="V496">
        <v>1213</v>
      </c>
      <c r="W496">
        <v>71</v>
      </c>
      <c r="X496">
        <v>28</v>
      </c>
      <c r="Y496">
        <v>38</v>
      </c>
      <c r="Z496">
        <v>682</v>
      </c>
      <c r="AA496">
        <v>646</v>
      </c>
      <c r="AB496">
        <v>4.05</v>
      </c>
      <c r="AC496">
        <v>0</v>
      </c>
      <c r="AD496">
        <v>12</v>
      </c>
      <c r="AE496">
        <v>55</v>
      </c>
      <c r="AF496" s="27">
        <f t="shared" ca="1" si="472"/>
        <v>6356</v>
      </c>
      <c r="AG496" s="27">
        <f t="shared" ca="1" si="486"/>
        <v>1648</v>
      </c>
      <c r="AH496" s="27">
        <f t="shared" ca="1" si="487"/>
        <v>1160</v>
      </c>
      <c r="AI496" s="27">
        <f t="shared" ca="1" si="488"/>
        <v>263</v>
      </c>
      <c r="AJ496" s="27">
        <f t="shared" ca="1" si="489"/>
        <v>21</v>
      </c>
      <c r="AK496" s="27">
        <f t="shared" ca="1" si="490"/>
        <v>204</v>
      </c>
      <c r="AL496" s="27">
        <f t="shared" ca="1" si="491"/>
        <v>539</v>
      </c>
      <c r="AM496" s="27">
        <f t="shared" ca="1" si="492"/>
        <v>54</v>
      </c>
      <c r="AN496" s="27">
        <f t="shared" ca="1" si="493"/>
        <v>4115</v>
      </c>
      <c r="AO496">
        <v>4305</v>
      </c>
      <c r="AP496">
        <v>1358</v>
      </c>
      <c r="AQ496">
        <v>152</v>
      </c>
      <c r="AR496">
        <v>595</v>
      </c>
      <c r="AS496">
        <v>1379</v>
      </c>
      <c r="AT496">
        <v>86</v>
      </c>
      <c r="AU496">
        <v>137</v>
      </c>
      <c r="AV496">
        <v>0.98499999999999999</v>
      </c>
      <c r="AW496" s="1"/>
      <c r="AX496" s="1"/>
      <c r="AY496" s="29">
        <f t="shared" si="494"/>
        <v>29700</v>
      </c>
      <c r="AZ496" s="31">
        <f t="shared" si="495"/>
        <v>165561</v>
      </c>
      <c r="BA496" s="31">
        <f t="shared" ref="BA496" si="537">SUMIF($B$2:$B$571,$B496,$U$2:$U$571)</f>
        <v>106546</v>
      </c>
      <c r="BB496" s="30">
        <f t="shared" si="497"/>
        <v>0.64354527938342965</v>
      </c>
    </row>
    <row r="497" spans="2:54" x14ac:dyDescent="0.5">
      <c r="B497" s="4">
        <v>2016</v>
      </c>
      <c r="C497" t="s">
        <v>68</v>
      </c>
      <c r="D497" t="s">
        <v>69</v>
      </c>
      <c r="E497">
        <v>4</v>
      </c>
      <c r="F497" t="s">
        <v>38</v>
      </c>
      <c r="G497" t="s">
        <v>38</v>
      </c>
      <c r="H497" t="s">
        <v>38</v>
      </c>
      <c r="I497" t="s">
        <v>38</v>
      </c>
      <c r="J497">
        <v>73</v>
      </c>
      <c r="K497">
        <v>89</v>
      </c>
      <c r="L497">
        <v>671</v>
      </c>
      <c r="M497" s="20">
        <v>5330</v>
      </c>
      <c r="N497" s="20">
        <v>1299</v>
      </c>
      <c r="O497" s="20">
        <f t="shared" si="484"/>
        <v>837</v>
      </c>
      <c r="P497" s="20">
        <v>249</v>
      </c>
      <c r="Q497" s="20">
        <v>19</v>
      </c>
      <c r="R497" s="20">
        <v>194</v>
      </c>
      <c r="S497" s="20">
        <v>599</v>
      </c>
      <c r="T497" s="20">
        <v>37</v>
      </c>
      <c r="U497" s="20">
        <f t="shared" si="485"/>
        <v>3395</v>
      </c>
      <c r="V497">
        <v>1543</v>
      </c>
      <c r="W497">
        <v>181</v>
      </c>
      <c r="X497">
        <v>56</v>
      </c>
      <c r="Y497">
        <v>39</v>
      </c>
      <c r="Z497">
        <v>733</v>
      </c>
      <c r="AA497">
        <v>650</v>
      </c>
      <c r="AB497">
        <v>4.08</v>
      </c>
      <c r="AC497">
        <v>0</v>
      </c>
      <c r="AD497">
        <v>7</v>
      </c>
      <c r="AE497">
        <v>46</v>
      </c>
      <c r="AF497" s="27">
        <f t="shared" ca="1" si="472"/>
        <v>6472</v>
      </c>
      <c r="AG497" s="27">
        <f t="shared" ca="1" si="486"/>
        <v>1497</v>
      </c>
      <c r="AH497" s="27">
        <f t="shared" ca="1" si="487"/>
        <v>911</v>
      </c>
      <c r="AI497" s="27">
        <f t="shared" ca="1" si="488"/>
        <v>315</v>
      </c>
      <c r="AJ497" s="27">
        <f t="shared" ca="1" si="489"/>
        <v>42</v>
      </c>
      <c r="AK497" s="27">
        <f t="shared" ca="1" si="490"/>
        <v>229</v>
      </c>
      <c r="AL497" s="27">
        <f t="shared" ca="1" si="491"/>
        <v>403</v>
      </c>
      <c r="AM497" s="27">
        <f t="shared" ca="1" si="492"/>
        <v>84</v>
      </c>
      <c r="AN497" s="27">
        <f t="shared" ca="1" si="493"/>
        <v>4488</v>
      </c>
      <c r="AO497">
        <v>4303</v>
      </c>
      <c r="AP497">
        <v>1450</v>
      </c>
      <c r="AQ497">
        <v>178</v>
      </c>
      <c r="AR497">
        <v>532</v>
      </c>
      <c r="AS497">
        <v>1175</v>
      </c>
      <c r="AT497">
        <v>136</v>
      </c>
      <c r="AU497">
        <v>145</v>
      </c>
      <c r="AV497">
        <v>0.97799999999999998</v>
      </c>
      <c r="AW497" s="1"/>
      <c r="AX497" s="1"/>
      <c r="AY497" s="29">
        <f t="shared" si="494"/>
        <v>29700</v>
      </c>
      <c r="AZ497" s="31">
        <f t="shared" si="495"/>
        <v>165561</v>
      </c>
      <c r="BA497" s="31"/>
      <c r="BB497" s="30">
        <f t="shared" si="497"/>
        <v>0</v>
      </c>
    </row>
    <row r="498" spans="2:54" x14ac:dyDescent="0.5">
      <c r="B498" s="4">
        <v>2016</v>
      </c>
      <c r="C498" t="s">
        <v>70</v>
      </c>
      <c r="D498" t="s">
        <v>71</v>
      </c>
      <c r="E498">
        <v>5</v>
      </c>
      <c r="F498" t="s">
        <v>38</v>
      </c>
      <c r="G498" t="s">
        <v>38</v>
      </c>
      <c r="H498" t="s">
        <v>38</v>
      </c>
      <c r="I498" t="s">
        <v>38</v>
      </c>
      <c r="J498">
        <v>59</v>
      </c>
      <c r="K498">
        <v>103</v>
      </c>
      <c r="L498">
        <v>722</v>
      </c>
      <c r="M498" s="20">
        <v>5618</v>
      </c>
      <c r="N498" s="20">
        <v>1409</v>
      </c>
      <c r="O498" s="20">
        <f t="shared" si="484"/>
        <v>886</v>
      </c>
      <c r="P498" s="20">
        <v>288</v>
      </c>
      <c r="Q498" s="20">
        <v>35</v>
      </c>
      <c r="R498" s="20">
        <v>200</v>
      </c>
      <c r="S498" s="20">
        <v>513</v>
      </c>
      <c r="T498" s="20">
        <v>44</v>
      </c>
      <c r="U498" s="20">
        <f t="shared" si="485"/>
        <v>3652</v>
      </c>
      <c r="V498">
        <v>1426</v>
      </c>
      <c r="W498">
        <v>91</v>
      </c>
      <c r="X498">
        <v>32</v>
      </c>
      <c r="Y498">
        <v>43</v>
      </c>
      <c r="Z498">
        <v>889</v>
      </c>
      <c r="AA498">
        <v>814</v>
      </c>
      <c r="AB498">
        <v>5.08</v>
      </c>
      <c r="AC498">
        <v>4</v>
      </c>
      <c r="AD498">
        <v>3</v>
      </c>
      <c r="AE498">
        <v>26</v>
      </c>
      <c r="AF498" s="27">
        <f t="shared" ca="1" si="472"/>
        <v>6373</v>
      </c>
      <c r="AG498" s="27">
        <f t="shared" ca="1" si="486"/>
        <v>1581</v>
      </c>
      <c r="AH498" s="27">
        <f t="shared" ca="1" si="487"/>
        <v>1112</v>
      </c>
      <c r="AI498" s="27">
        <f t="shared" ca="1" si="488"/>
        <v>291</v>
      </c>
      <c r="AJ498" s="27">
        <f t="shared" ca="1" si="489"/>
        <v>28</v>
      </c>
      <c r="AK498" s="27">
        <f t="shared" ca="1" si="490"/>
        <v>150</v>
      </c>
      <c r="AL498" s="27">
        <f t="shared" ca="1" si="491"/>
        <v>615</v>
      </c>
      <c r="AM498" s="27">
        <f t="shared" ca="1" si="492"/>
        <v>87</v>
      </c>
      <c r="AN498" s="27">
        <f t="shared" ca="1" si="493"/>
        <v>4090</v>
      </c>
      <c r="AO498">
        <v>4329</v>
      </c>
      <c r="AP498">
        <v>1617</v>
      </c>
      <c r="AQ498">
        <v>221</v>
      </c>
      <c r="AR498">
        <v>479</v>
      </c>
      <c r="AS498">
        <v>1191</v>
      </c>
      <c r="AT498">
        <v>126</v>
      </c>
      <c r="AU498">
        <v>172</v>
      </c>
      <c r="AV498">
        <v>0.97899999999999998</v>
      </c>
      <c r="AW498" s="1"/>
      <c r="AX498" s="1"/>
      <c r="AY498" s="29">
        <f t="shared" si="494"/>
        <v>29700</v>
      </c>
      <c r="AZ498" s="31">
        <f t="shared" si="495"/>
        <v>165561</v>
      </c>
      <c r="BA498" s="31">
        <f t="shared" ref="BA498" si="538">SUMIF($B$2:$B$571,$B498,$O$2:$O$571)</f>
        <v>27539</v>
      </c>
      <c r="BB498" s="30">
        <f t="shared" si="497"/>
        <v>0.16633748286130187</v>
      </c>
    </row>
    <row r="499" spans="2:54" x14ac:dyDescent="0.5">
      <c r="B499" s="4">
        <v>2016</v>
      </c>
      <c r="C499" t="s">
        <v>74</v>
      </c>
      <c r="D499" t="s">
        <v>75</v>
      </c>
      <c r="E499">
        <v>4</v>
      </c>
      <c r="F499" t="s">
        <v>38</v>
      </c>
      <c r="G499" t="s">
        <v>38</v>
      </c>
      <c r="H499" t="s">
        <v>38</v>
      </c>
      <c r="I499" t="s">
        <v>38</v>
      </c>
      <c r="J499">
        <v>84</v>
      </c>
      <c r="K499">
        <v>78</v>
      </c>
      <c r="L499">
        <v>680</v>
      </c>
      <c r="M499" s="20">
        <v>5458</v>
      </c>
      <c r="N499" s="20">
        <v>1378</v>
      </c>
      <c r="O499" s="20">
        <f t="shared" si="484"/>
        <v>930</v>
      </c>
      <c r="P499" s="20">
        <v>245</v>
      </c>
      <c r="Q499" s="20">
        <v>20</v>
      </c>
      <c r="R499" s="20">
        <v>183</v>
      </c>
      <c r="S499" s="20">
        <v>475</v>
      </c>
      <c r="T499" s="20">
        <v>42</v>
      </c>
      <c r="U499" s="20">
        <f t="shared" si="485"/>
        <v>3563</v>
      </c>
      <c r="V499">
        <v>1188</v>
      </c>
      <c r="W499">
        <v>72</v>
      </c>
      <c r="X499">
        <v>22</v>
      </c>
      <c r="Y499">
        <v>49</v>
      </c>
      <c r="Z499">
        <v>702</v>
      </c>
      <c r="AA499">
        <v>660</v>
      </c>
      <c r="AB499">
        <v>4.16</v>
      </c>
      <c r="AC499">
        <v>0</v>
      </c>
      <c r="AD499">
        <v>10</v>
      </c>
      <c r="AE499">
        <v>48</v>
      </c>
      <c r="AF499" s="27">
        <f t="shared" ca="1" si="472"/>
        <v>6081</v>
      </c>
      <c r="AG499" s="27">
        <f t="shared" ca="1" si="486"/>
        <v>1388</v>
      </c>
      <c r="AH499" s="27">
        <f t="shared" ca="1" si="487"/>
        <v>852</v>
      </c>
      <c r="AI499" s="27">
        <f t="shared" ca="1" si="488"/>
        <v>285</v>
      </c>
      <c r="AJ499" s="27">
        <f t="shared" ca="1" si="489"/>
        <v>27</v>
      </c>
      <c r="AK499" s="27">
        <f t="shared" ca="1" si="490"/>
        <v>224</v>
      </c>
      <c r="AL499" s="27">
        <f t="shared" ca="1" si="491"/>
        <v>405</v>
      </c>
      <c r="AM499" s="27">
        <f t="shared" ca="1" si="492"/>
        <v>38</v>
      </c>
      <c r="AN499" s="27">
        <f t="shared" ca="1" si="493"/>
        <v>4250</v>
      </c>
      <c r="AO499">
        <v>4285</v>
      </c>
      <c r="AP499">
        <v>1358</v>
      </c>
      <c r="AQ499">
        <v>214</v>
      </c>
      <c r="AR499">
        <v>444</v>
      </c>
      <c r="AS499">
        <v>1393</v>
      </c>
      <c r="AT499">
        <v>86</v>
      </c>
      <c r="AU499">
        <v>116</v>
      </c>
      <c r="AV499">
        <v>0.98499999999999999</v>
      </c>
      <c r="AW499" s="1"/>
      <c r="AX499" s="1"/>
      <c r="AY499" s="29">
        <f t="shared" si="494"/>
        <v>29700</v>
      </c>
      <c r="AZ499" s="31">
        <f t="shared" si="495"/>
        <v>165561</v>
      </c>
      <c r="BA499" s="31">
        <f t="shared" ref="BA499" si="539">SUMIF($B$2:$B$571,$B499,$P$2:$P$571)</f>
        <v>8254</v>
      </c>
      <c r="BB499" s="30">
        <f t="shared" si="497"/>
        <v>4.9854736320751866E-2</v>
      </c>
    </row>
    <row r="500" spans="2:54" x14ac:dyDescent="0.5">
      <c r="B500" s="4">
        <v>2016</v>
      </c>
      <c r="C500" t="s">
        <v>76</v>
      </c>
      <c r="D500" t="s">
        <v>77</v>
      </c>
      <c r="E500">
        <v>2</v>
      </c>
      <c r="F500" t="s">
        <v>38</v>
      </c>
      <c r="G500" t="s">
        <v>43</v>
      </c>
      <c r="H500" t="s">
        <v>38</v>
      </c>
      <c r="I500" t="s">
        <v>38</v>
      </c>
      <c r="J500">
        <v>87</v>
      </c>
      <c r="K500">
        <v>75</v>
      </c>
      <c r="L500">
        <v>671</v>
      </c>
      <c r="M500" s="20">
        <v>5459</v>
      </c>
      <c r="N500" s="20">
        <v>1342</v>
      </c>
      <c r="O500" s="20">
        <f t="shared" si="484"/>
        <v>865</v>
      </c>
      <c r="P500" s="20">
        <v>240</v>
      </c>
      <c r="Q500" s="20">
        <v>19</v>
      </c>
      <c r="R500" s="20">
        <v>218</v>
      </c>
      <c r="S500" s="20">
        <v>517</v>
      </c>
      <c r="T500" s="20">
        <v>62</v>
      </c>
      <c r="U500" s="20">
        <f t="shared" si="485"/>
        <v>3538</v>
      </c>
      <c r="V500">
        <v>1302</v>
      </c>
      <c r="W500">
        <v>42</v>
      </c>
      <c r="X500">
        <v>18</v>
      </c>
      <c r="Y500">
        <v>41</v>
      </c>
      <c r="Z500">
        <v>617</v>
      </c>
      <c r="AA500">
        <v>574</v>
      </c>
      <c r="AB500">
        <v>3.57</v>
      </c>
      <c r="AC500">
        <v>1</v>
      </c>
      <c r="AD500">
        <v>13</v>
      </c>
      <c r="AE500">
        <v>55</v>
      </c>
      <c r="AF500" s="27">
        <f t="shared" ca="1" si="472"/>
        <v>6206</v>
      </c>
      <c r="AG500" s="27">
        <f t="shared" ca="1" si="486"/>
        <v>1465</v>
      </c>
      <c r="AH500" s="27">
        <f t="shared" ca="1" si="487"/>
        <v>882</v>
      </c>
      <c r="AI500" s="27">
        <f t="shared" ca="1" si="488"/>
        <v>400</v>
      </c>
      <c r="AJ500" s="27">
        <f t="shared" ca="1" si="489"/>
        <v>29</v>
      </c>
      <c r="AK500" s="27">
        <f t="shared" ca="1" si="490"/>
        <v>154</v>
      </c>
      <c r="AL500" s="27">
        <f t="shared" ca="1" si="491"/>
        <v>490</v>
      </c>
      <c r="AM500" s="27">
        <f t="shared" ca="1" si="492"/>
        <v>88</v>
      </c>
      <c r="AN500" s="27">
        <f t="shared" ca="1" si="493"/>
        <v>4163</v>
      </c>
      <c r="AO500">
        <v>4341</v>
      </c>
      <c r="AP500">
        <v>1397</v>
      </c>
      <c r="AQ500">
        <v>152</v>
      </c>
      <c r="AR500">
        <v>439</v>
      </c>
      <c r="AS500">
        <v>1396</v>
      </c>
      <c r="AT500">
        <v>90</v>
      </c>
      <c r="AU500">
        <v>138</v>
      </c>
      <c r="AV500">
        <v>0.98499999999999999</v>
      </c>
      <c r="AW500" s="1"/>
      <c r="AX500" s="1"/>
      <c r="AY500" s="29">
        <f t="shared" si="494"/>
        <v>29700</v>
      </c>
      <c r="AZ500" s="31">
        <f t="shared" si="495"/>
        <v>165561</v>
      </c>
      <c r="BA500" s="31">
        <f t="shared" ref="BA500" si="540">SUMIF($B$2:$B$571,$B500,$Q$2:$Q$571)</f>
        <v>873</v>
      </c>
      <c r="BB500" s="30">
        <f t="shared" si="497"/>
        <v>5.2729809556598473E-3</v>
      </c>
    </row>
    <row r="501" spans="2:54" x14ac:dyDescent="0.5">
      <c r="B501" s="4">
        <v>2016</v>
      </c>
      <c r="C501" t="s">
        <v>78</v>
      </c>
      <c r="D501" t="s">
        <v>79</v>
      </c>
      <c r="E501">
        <v>5</v>
      </c>
      <c r="F501" t="s">
        <v>38</v>
      </c>
      <c r="G501" t="s">
        <v>38</v>
      </c>
      <c r="H501" t="s">
        <v>38</v>
      </c>
      <c r="I501" t="s">
        <v>38</v>
      </c>
      <c r="J501">
        <v>69</v>
      </c>
      <c r="K501">
        <v>93</v>
      </c>
      <c r="L501">
        <v>653</v>
      </c>
      <c r="M501" s="20">
        <v>5500</v>
      </c>
      <c r="N501" s="20">
        <v>1352</v>
      </c>
      <c r="O501" s="20">
        <f t="shared" si="484"/>
        <v>892</v>
      </c>
      <c r="P501" s="20">
        <v>270</v>
      </c>
      <c r="Q501" s="20">
        <v>21</v>
      </c>
      <c r="R501" s="20">
        <v>169</v>
      </c>
      <c r="S501" s="20">
        <v>442</v>
      </c>
      <c r="T501" s="20">
        <v>33</v>
      </c>
      <c r="U501" s="20">
        <f t="shared" si="485"/>
        <v>3673</v>
      </c>
      <c r="V501">
        <v>1145</v>
      </c>
      <c r="W501">
        <v>50</v>
      </c>
      <c r="X501">
        <v>23</v>
      </c>
      <c r="Y501">
        <v>34</v>
      </c>
      <c r="Z501">
        <v>761</v>
      </c>
      <c r="AA501">
        <v>718</v>
      </c>
      <c r="AB501">
        <v>4.51</v>
      </c>
      <c r="AC501">
        <v>2</v>
      </c>
      <c r="AD501">
        <v>7</v>
      </c>
      <c r="AE501">
        <v>42</v>
      </c>
      <c r="AF501" s="27">
        <f t="shared" ca="1" si="472"/>
        <v>6463</v>
      </c>
      <c r="AG501" s="27">
        <f t="shared" ca="1" si="486"/>
        <v>1573</v>
      </c>
      <c r="AH501" s="27">
        <f t="shared" ca="1" si="487"/>
        <v>1019</v>
      </c>
      <c r="AI501" s="27">
        <f t="shared" ca="1" si="488"/>
        <v>359</v>
      </c>
      <c r="AJ501" s="27">
        <f t="shared" ca="1" si="489"/>
        <v>27</v>
      </c>
      <c r="AK501" s="27">
        <f t="shared" ca="1" si="490"/>
        <v>168</v>
      </c>
      <c r="AL501" s="27">
        <f t="shared" ca="1" si="491"/>
        <v>687</v>
      </c>
      <c r="AM501" s="27">
        <f t="shared" ca="1" si="492"/>
        <v>65</v>
      </c>
      <c r="AN501" s="27">
        <f t="shared" ca="1" si="493"/>
        <v>4138</v>
      </c>
      <c r="AO501">
        <v>4300</v>
      </c>
      <c r="AP501">
        <v>1459</v>
      </c>
      <c r="AQ501">
        <v>185</v>
      </c>
      <c r="AR501">
        <v>464</v>
      </c>
      <c r="AS501">
        <v>1188</v>
      </c>
      <c r="AT501">
        <v>97</v>
      </c>
      <c r="AU501">
        <v>152</v>
      </c>
      <c r="AV501">
        <v>0.98399999999999999</v>
      </c>
      <c r="AW501" s="1"/>
      <c r="AX501" s="1"/>
      <c r="AY501" s="29">
        <f t="shared" si="494"/>
        <v>29700</v>
      </c>
      <c r="AZ501" s="31">
        <f t="shared" si="495"/>
        <v>165561</v>
      </c>
      <c r="BA501" s="31">
        <f t="shared" ref="BA501" si="541">SUMIF($B$2:$B$571,$B501,$R$2:$R$571)</f>
        <v>5610</v>
      </c>
      <c r="BB501" s="30">
        <f t="shared" si="497"/>
        <v>3.3884791708192148E-2</v>
      </c>
    </row>
    <row r="502" spans="2:54" x14ac:dyDescent="0.5">
      <c r="B502" s="4">
        <v>2016</v>
      </c>
      <c r="C502" t="s">
        <v>80</v>
      </c>
      <c r="D502" t="s">
        <v>81</v>
      </c>
      <c r="E502">
        <v>4</v>
      </c>
      <c r="F502" t="s">
        <v>38</v>
      </c>
      <c r="G502" t="s">
        <v>38</v>
      </c>
      <c r="H502" t="s">
        <v>38</v>
      </c>
      <c r="I502" t="s">
        <v>38</v>
      </c>
      <c r="J502">
        <v>71</v>
      </c>
      <c r="K502">
        <v>91</v>
      </c>
      <c r="L502">
        <v>610</v>
      </c>
      <c r="M502" s="20">
        <v>5434</v>
      </c>
      <c r="N502" s="20">
        <v>1305</v>
      </c>
      <c r="O502" s="20">
        <f t="shared" si="484"/>
        <v>878</v>
      </c>
      <c r="P502" s="20">
        <v>231</v>
      </c>
      <c r="Q502" s="20">
        <v>35</v>
      </c>
      <c r="R502" s="20">
        <v>161</v>
      </c>
      <c r="S502" s="20">
        <v>424</v>
      </c>
      <c r="T502" s="20">
        <v>58</v>
      </c>
      <c r="U502" s="20">
        <f t="shared" si="485"/>
        <v>3647</v>
      </c>
      <c r="V502">
        <v>1376</v>
      </c>
      <c r="W502">
        <v>96</v>
      </c>
      <c r="X502">
        <v>45</v>
      </c>
      <c r="Y502">
        <v>30</v>
      </c>
      <c r="Z502">
        <v>796</v>
      </c>
      <c r="AA502">
        <v>739</v>
      </c>
      <c r="AB502">
        <v>4.63</v>
      </c>
      <c r="AC502">
        <v>4</v>
      </c>
      <c r="AD502">
        <v>12</v>
      </c>
      <c r="AE502">
        <v>43</v>
      </c>
      <c r="AF502" s="27">
        <f t="shared" ref="AF502:AF565" ca="1" si="542">RANDBETWEEN(6049,6490)</f>
        <v>6166</v>
      </c>
      <c r="AG502" s="27">
        <f t="shared" ca="1" si="486"/>
        <v>1386</v>
      </c>
      <c r="AH502" s="27">
        <f t="shared" ca="1" si="487"/>
        <v>820</v>
      </c>
      <c r="AI502" s="27">
        <f t="shared" ca="1" si="488"/>
        <v>384</v>
      </c>
      <c r="AJ502" s="27">
        <f t="shared" ca="1" si="489"/>
        <v>41</v>
      </c>
      <c r="AK502" s="27">
        <f t="shared" ca="1" si="490"/>
        <v>141</v>
      </c>
      <c r="AL502" s="27">
        <f t="shared" ca="1" si="491"/>
        <v>434</v>
      </c>
      <c r="AM502" s="27">
        <f t="shared" ca="1" si="492"/>
        <v>82</v>
      </c>
      <c r="AN502" s="27">
        <f t="shared" ca="1" si="493"/>
        <v>4264</v>
      </c>
      <c r="AO502">
        <v>4311</v>
      </c>
      <c r="AP502">
        <v>1468</v>
      </c>
      <c r="AQ502">
        <v>213</v>
      </c>
      <c r="AR502">
        <v>466</v>
      </c>
      <c r="AS502">
        <v>1299</v>
      </c>
      <c r="AT502">
        <v>97</v>
      </c>
      <c r="AU502">
        <v>142</v>
      </c>
      <c r="AV502">
        <v>0.98399999999999999</v>
      </c>
      <c r="AW502" s="1"/>
      <c r="AX502" s="1"/>
      <c r="AY502" s="29">
        <f t="shared" si="494"/>
        <v>29700</v>
      </c>
      <c r="AZ502" s="31">
        <f t="shared" si="495"/>
        <v>165561</v>
      </c>
      <c r="BA502" s="31">
        <f t="shared" ref="BA502" si="543">SUMIF($B$2:$B$571,$B502,$S$2:$S$571)</f>
        <v>15088</v>
      </c>
      <c r="BB502" s="30">
        <f t="shared" si="497"/>
        <v>9.1132573492549579E-2</v>
      </c>
    </row>
    <row r="503" spans="2:54" x14ac:dyDescent="0.5">
      <c r="B503" s="4">
        <v>2016</v>
      </c>
      <c r="C503" t="s">
        <v>82</v>
      </c>
      <c r="D503" t="s">
        <v>83</v>
      </c>
      <c r="E503">
        <v>3</v>
      </c>
      <c r="F503" t="s">
        <v>38</v>
      </c>
      <c r="G503" t="s">
        <v>38</v>
      </c>
      <c r="H503" t="s">
        <v>38</v>
      </c>
      <c r="I503" t="s">
        <v>38</v>
      </c>
      <c r="J503">
        <v>78</v>
      </c>
      <c r="K503">
        <v>83</v>
      </c>
      <c r="L503">
        <v>729</v>
      </c>
      <c r="M503" s="20">
        <v>5542</v>
      </c>
      <c r="N503" s="20">
        <v>1426</v>
      </c>
      <c r="O503" s="20">
        <f t="shared" si="484"/>
        <v>964</v>
      </c>
      <c r="P503" s="20">
        <v>277</v>
      </c>
      <c r="Q503" s="20">
        <v>32</v>
      </c>
      <c r="R503" s="20">
        <v>153</v>
      </c>
      <c r="S503" s="20">
        <v>561</v>
      </c>
      <c r="T503" s="20">
        <v>81</v>
      </c>
      <c r="U503" s="20">
        <f t="shared" si="485"/>
        <v>3474</v>
      </c>
      <c r="V503">
        <v>1334</v>
      </c>
      <c r="W503">
        <v>110</v>
      </c>
      <c r="X503">
        <v>45</v>
      </c>
      <c r="Y503">
        <v>36</v>
      </c>
      <c r="Z503">
        <v>758</v>
      </c>
      <c r="AA503">
        <v>679</v>
      </c>
      <c r="AB503">
        <v>4.21</v>
      </c>
      <c r="AC503">
        <v>5</v>
      </c>
      <c r="AD503">
        <v>5</v>
      </c>
      <c r="AE503">
        <v>51</v>
      </c>
      <c r="AF503" s="27">
        <f t="shared" ca="1" si="542"/>
        <v>6226</v>
      </c>
      <c r="AG503" s="27">
        <f t="shared" ca="1" si="486"/>
        <v>1605</v>
      </c>
      <c r="AH503" s="27">
        <f t="shared" ca="1" si="487"/>
        <v>982</v>
      </c>
      <c r="AI503" s="27">
        <f t="shared" ca="1" si="488"/>
        <v>366</v>
      </c>
      <c r="AJ503" s="27">
        <f t="shared" ca="1" si="489"/>
        <v>40</v>
      </c>
      <c r="AK503" s="27">
        <f t="shared" ca="1" si="490"/>
        <v>217</v>
      </c>
      <c r="AL503" s="27">
        <f t="shared" ca="1" si="491"/>
        <v>557</v>
      </c>
      <c r="AM503" s="27">
        <f t="shared" ca="1" si="492"/>
        <v>79</v>
      </c>
      <c r="AN503" s="27">
        <f t="shared" ca="1" si="493"/>
        <v>3985</v>
      </c>
      <c r="AO503">
        <v>4352</v>
      </c>
      <c r="AP503">
        <v>1490</v>
      </c>
      <c r="AQ503">
        <v>180</v>
      </c>
      <c r="AR503">
        <v>533</v>
      </c>
      <c r="AS503">
        <v>1232</v>
      </c>
      <c r="AT503">
        <v>111</v>
      </c>
      <c r="AU503">
        <v>172</v>
      </c>
      <c r="AV503">
        <v>0.98199999999999998</v>
      </c>
      <c r="AW503" s="1"/>
      <c r="AX503" s="1"/>
      <c r="AY503" s="29">
        <f t="shared" si="494"/>
        <v>29700</v>
      </c>
      <c r="AZ503" s="31">
        <f t="shared" si="495"/>
        <v>165561</v>
      </c>
      <c r="BA503" s="31">
        <f t="shared" ref="BA503" si="544">SUMIF($B$2:$B$571,$B503,$T$2:$T$571)</f>
        <v>1651</v>
      </c>
      <c r="BB503" s="30">
        <f t="shared" si="497"/>
        <v>9.9721552781150153E-3</v>
      </c>
    </row>
    <row r="504" spans="2:54" x14ac:dyDescent="0.5">
      <c r="B504" s="4">
        <v>2016</v>
      </c>
      <c r="C504" t="s">
        <v>84</v>
      </c>
      <c r="D504" t="s">
        <v>85</v>
      </c>
      <c r="E504">
        <v>5</v>
      </c>
      <c r="F504" t="s">
        <v>38</v>
      </c>
      <c r="G504" t="s">
        <v>38</v>
      </c>
      <c r="H504" t="s">
        <v>38</v>
      </c>
      <c r="I504" t="s">
        <v>38</v>
      </c>
      <c r="J504">
        <v>68</v>
      </c>
      <c r="K504">
        <v>94</v>
      </c>
      <c r="L504">
        <v>686</v>
      </c>
      <c r="M504" s="20">
        <v>5419</v>
      </c>
      <c r="N504" s="20">
        <v>1275</v>
      </c>
      <c r="O504" s="20">
        <f t="shared" si="484"/>
        <v>815</v>
      </c>
      <c r="P504" s="20">
        <v>257</v>
      </c>
      <c r="Q504" s="20">
        <v>26</v>
      </c>
      <c r="R504" s="20">
        <v>177</v>
      </c>
      <c r="S504" s="20">
        <v>449</v>
      </c>
      <c r="T504" s="20">
        <v>58</v>
      </c>
      <c r="U504" s="20">
        <f t="shared" si="485"/>
        <v>3637</v>
      </c>
      <c r="V504">
        <v>1500</v>
      </c>
      <c r="W504">
        <v>125</v>
      </c>
      <c r="X504">
        <v>45</v>
      </c>
      <c r="Y504">
        <v>36</v>
      </c>
      <c r="Z504">
        <v>770</v>
      </c>
      <c r="AA504">
        <v>708</v>
      </c>
      <c r="AB504">
        <v>4.43</v>
      </c>
      <c r="AC504">
        <v>1</v>
      </c>
      <c r="AD504">
        <v>9</v>
      </c>
      <c r="AE504">
        <v>35</v>
      </c>
      <c r="AF504" s="27">
        <f t="shared" ca="1" si="542"/>
        <v>6485</v>
      </c>
      <c r="AG504" s="27">
        <f t="shared" ca="1" si="486"/>
        <v>1376</v>
      </c>
      <c r="AH504" s="27">
        <f t="shared" ca="1" si="487"/>
        <v>759</v>
      </c>
      <c r="AI504" s="27">
        <f t="shared" ca="1" si="488"/>
        <v>393</v>
      </c>
      <c r="AJ504" s="27">
        <f t="shared" ca="1" si="489"/>
        <v>47</v>
      </c>
      <c r="AK504" s="27">
        <f t="shared" ca="1" si="490"/>
        <v>177</v>
      </c>
      <c r="AL504" s="27">
        <f t="shared" ca="1" si="491"/>
        <v>563</v>
      </c>
      <c r="AM504" s="27">
        <f t="shared" ca="1" si="492"/>
        <v>34</v>
      </c>
      <c r="AN504" s="27">
        <f t="shared" ca="1" si="493"/>
        <v>4512</v>
      </c>
      <c r="AO504">
        <v>4320</v>
      </c>
      <c r="AP504">
        <v>1425</v>
      </c>
      <c r="AQ504">
        <v>183</v>
      </c>
      <c r="AR504">
        <v>569</v>
      </c>
      <c r="AS504">
        <v>1222</v>
      </c>
      <c r="AT504">
        <v>109</v>
      </c>
      <c r="AU504">
        <v>165</v>
      </c>
      <c r="AV504">
        <v>0.98199999999999998</v>
      </c>
      <c r="AW504" s="1"/>
      <c r="AX504" s="1"/>
      <c r="AY504" s="29">
        <f t="shared" si="494"/>
        <v>29700</v>
      </c>
      <c r="AZ504" s="31">
        <f t="shared" si="495"/>
        <v>165561</v>
      </c>
      <c r="BA504" s="31">
        <f t="shared" ref="BA504" si="545">SUMIF($B$2:$B$571,$B504,$U$2:$U$571)</f>
        <v>106546</v>
      </c>
      <c r="BB504" s="30">
        <f t="shared" si="497"/>
        <v>0.64354527938342965</v>
      </c>
    </row>
    <row r="505" spans="2:54" x14ac:dyDescent="0.5">
      <c r="B505" s="4">
        <v>2016</v>
      </c>
      <c r="C505" t="s">
        <v>86</v>
      </c>
      <c r="D505" t="s">
        <v>87</v>
      </c>
      <c r="E505">
        <v>2</v>
      </c>
      <c r="F505" t="s">
        <v>38</v>
      </c>
      <c r="G505" t="s">
        <v>38</v>
      </c>
      <c r="H505" t="s">
        <v>38</v>
      </c>
      <c r="I505" t="s">
        <v>38</v>
      </c>
      <c r="J505">
        <v>86</v>
      </c>
      <c r="K505">
        <v>76</v>
      </c>
      <c r="L505">
        <v>768</v>
      </c>
      <c r="M505" s="20">
        <v>5583</v>
      </c>
      <c r="N505" s="20">
        <v>1446</v>
      </c>
      <c r="O505" s="20">
        <f t="shared" si="484"/>
        <v>955</v>
      </c>
      <c r="P505" s="20">
        <v>251</v>
      </c>
      <c r="Q505" s="20">
        <v>17</v>
      </c>
      <c r="R505" s="20">
        <v>223</v>
      </c>
      <c r="S505" s="20">
        <v>506</v>
      </c>
      <c r="T505" s="20">
        <v>72</v>
      </c>
      <c r="U505" s="20">
        <f t="shared" si="485"/>
        <v>3559</v>
      </c>
      <c r="V505">
        <v>1288</v>
      </c>
      <c r="W505">
        <v>56</v>
      </c>
      <c r="X505">
        <v>28</v>
      </c>
      <c r="Y505">
        <v>41</v>
      </c>
      <c r="Z505">
        <v>707</v>
      </c>
      <c r="AA505">
        <v>647</v>
      </c>
      <c r="AB505">
        <v>4</v>
      </c>
      <c r="AC505">
        <v>2</v>
      </c>
      <c r="AD505">
        <v>8</v>
      </c>
      <c r="AE505">
        <v>49</v>
      </c>
      <c r="AF505" s="27">
        <f t="shared" ca="1" si="542"/>
        <v>6482</v>
      </c>
      <c r="AG505" s="27">
        <f t="shared" ca="1" si="486"/>
        <v>1504</v>
      </c>
      <c r="AH505" s="27">
        <f t="shared" ca="1" si="487"/>
        <v>1023</v>
      </c>
      <c r="AI505" s="27">
        <f t="shared" ca="1" si="488"/>
        <v>235</v>
      </c>
      <c r="AJ505" s="27">
        <f t="shared" ca="1" si="489"/>
        <v>33</v>
      </c>
      <c r="AK505" s="27">
        <f t="shared" ca="1" si="490"/>
        <v>213</v>
      </c>
      <c r="AL505" s="27">
        <f t="shared" ca="1" si="491"/>
        <v>545</v>
      </c>
      <c r="AM505" s="27">
        <f t="shared" ca="1" si="492"/>
        <v>41</v>
      </c>
      <c r="AN505" s="27">
        <f t="shared" ca="1" si="493"/>
        <v>4392</v>
      </c>
      <c r="AO505">
        <v>4371</v>
      </c>
      <c r="AP505">
        <v>1410</v>
      </c>
      <c r="AQ505">
        <v>213</v>
      </c>
      <c r="AR505">
        <v>460</v>
      </c>
      <c r="AS505">
        <v>1318</v>
      </c>
      <c r="AT505">
        <v>89</v>
      </c>
      <c r="AU505">
        <v>158</v>
      </c>
      <c r="AV505">
        <v>0.98499999999999999</v>
      </c>
      <c r="AW505" s="1"/>
      <c r="AX505" s="1"/>
      <c r="AY505" s="29">
        <f t="shared" si="494"/>
        <v>29700</v>
      </c>
      <c r="AZ505" s="31">
        <f t="shared" si="495"/>
        <v>165561</v>
      </c>
      <c r="BA505" s="31"/>
      <c r="BB505" s="30">
        <f t="shared" si="497"/>
        <v>0</v>
      </c>
    </row>
    <row r="506" spans="2:54" x14ac:dyDescent="0.5">
      <c r="B506" s="4">
        <v>2016</v>
      </c>
      <c r="C506" t="s">
        <v>88</v>
      </c>
      <c r="D506" t="s">
        <v>89</v>
      </c>
      <c r="E506">
        <v>2</v>
      </c>
      <c r="F506" t="s">
        <v>38</v>
      </c>
      <c r="G506" t="s">
        <v>43</v>
      </c>
      <c r="H506" t="s">
        <v>38</v>
      </c>
      <c r="I506" t="s">
        <v>38</v>
      </c>
      <c r="J506">
        <v>87</v>
      </c>
      <c r="K506">
        <v>75</v>
      </c>
      <c r="L506">
        <v>715</v>
      </c>
      <c r="M506" s="20">
        <v>5565</v>
      </c>
      <c r="N506" s="20">
        <v>1437</v>
      </c>
      <c r="O506" s="20">
        <f t="shared" si="484"/>
        <v>973</v>
      </c>
      <c r="P506" s="20">
        <v>280</v>
      </c>
      <c r="Q506" s="20">
        <v>54</v>
      </c>
      <c r="R506" s="20">
        <v>130</v>
      </c>
      <c r="S506" s="20">
        <v>572</v>
      </c>
      <c r="T506" s="20">
        <v>42</v>
      </c>
      <c r="U506" s="20">
        <f t="shared" si="485"/>
        <v>3514</v>
      </c>
      <c r="V506">
        <v>1107</v>
      </c>
      <c r="W506">
        <v>79</v>
      </c>
      <c r="X506">
        <v>36</v>
      </c>
      <c r="Y506">
        <v>46</v>
      </c>
      <c r="Z506">
        <v>631</v>
      </c>
      <c r="AA506">
        <v>593</v>
      </c>
      <c r="AB506">
        <v>3.65</v>
      </c>
      <c r="AC506">
        <v>10</v>
      </c>
      <c r="AD506">
        <v>11</v>
      </c>
      <c r="AE506">
        <v>43</v>
      </c>
      <c r="AF506" s="27">
        <f t="shared" ca="1" si="542"/>
        <v>6166</v>
      </c>
      <c r="AG506" s="27">
        <f t="shared" ca="1" si="486"/>
        <v>1624</v>
      </c>
      <c r="AH506" s="27">
        <f t="shared" ca="1" si="487"/>
        <v>1089</v>
      </c>
      <c r="AI506" s="27">
        <f t="shared" ca="1" si="488"/>
        <v>371</v>
      </c>
      <c r="AJ506" s="27">
        <f t="shared" ca="1" si="489"/>
        <v>32</v>
      </c>
      <c r="AK506" s="27">
        <f t="shared" ca="1" si="490"/>
        <v>132</v>
      </c>
      <c r="AL506" s="27">
        <f t="shared" ca="1" si="491"/>
        <v>628</v>
      </c>
      <c r="AM506" s="27">
        <f t="shared" ca="1" si="492"/>
        <v>50</v>
      </c>
      <c r="AN506" s="27">
        <f t="shared" ca="1" si="493"/>
        <v>3864</v>
      </c>
      <c r="AO506">
        <v>4381</v>
      </c>
      <c r="AP506">
        <v>1334</v>
      </c>
      <c r="AQ506">
        <v>158</v>
      </c>
      <c r="AR506">
        <v>439</v>
      </c>
      <c r="AS506">
        <v>1309</v>
      </c>
      <c r="AT506">
        <v>72</v>
      </c>
      <c r="AU506">
        <v>136</v>
      </c>
      <c r="AV506">
        <v>0.98799999999999999</v>
      </c>
      <c r="AW506" s="1"/>
      <c r="AX506" s="1"/>
      <c r="AY506" s="29">
        <f t="shared" si="494"/>
        <v>29700</v>
      </c>
      <c r="AZ506" s="31">
        <f t="shared" si="495"/>
        <v>165561</v>
      </c>
      <c r="BA506" s="31">
        <f t="shared" ref="BA506" si="546">SUMIF($B$2:$B$571,$B506,$O$2:$O$571)</f>
        <v>27539</v>
      </c>
      <c r="BB506" s="30">
        <f t="shared" si="497"/>
        <v>0.16633748286130187</v>
      </c>
    </row>
    <row r="507" spans="2:54" x14ac:dyDescent="0.5">
      <c r="B507" s="4">
        <v>2016</v>
      </c>
      <c r="C507" t="s">
        <v>90</v>
      </c>
      <c r="D507" t="s">
        <v>91</v>
      </c>
      <c r="E507">
        <v>2</v>
      </c>
      <c r="F507" t="s">
        <v>38</v>
      </c>
      <c r="G507" t="s">
        <v>38</v>
      </c>
      <c r="H507" t="s">
        <v>38</v>
      </c>
      <c r="I507" t="s">
        <v>38</v>
      </c>
      <c r="J507">
        <v>86</v>
      </c>
      <c r="K507">
        <v>76</v>
      </c>
      <c r="L507">
        <v>779</v>
      </c>
      <c r="M507" s="20">
        <v>5548</v>
      </c>
      <c r="N507" s="20">
        <v>1415</v>
      </c>
      <c r="O507" s="20">
        <f t="shared" si="484"/>
        <v>859</v>
      </c>
      <c r="P507" s="20">
        <v>299</v>
      </c>
      <c r="Q507" s="20">
        <v>32</v>
      </c>
      <c r="R507" s="20">
        <v>225</v>
      </c>
      <c r="S507" s="20">
        <v>526</v>
      </c>
      <c r="T507" s="20">
        <v>70</v>
      </c>
      <c r="U507" s="20">
        <f t="shared" si="485"/>
        <v>3537</v>
      </c>
      <c r="V507">
        <v>1318</v>
      </c>
      <c r="W507">
        <v>35</v>
      </c>
      <c r="X507">
        <v>26</v>
      </c>
      <c r="Y507">
        <v>41</v>
      </c>
      <c r="Z507">
        <v>712</v>
      </c>
      <c r="AA507">
        <v>656</v>
      </c>
      <c r="AB507">
        <v>4.08</v>
      </c>
      <c r="AC507">
        <v>2</v>
      </c>
      <c r="AD507">
        <v>10</v>
      </c>
      <c r="AE507">
        <v>38</v>
      </c>
      <c r="AF507" s="27">
        <f t="shared" ca="1" si="542"/>
        <v>6420</v>
      </c>
      <c r="AG507" s="27">
        <f t="shared" ca="1" si="486"/>
        <v>1626</v>
      </c>
      <c r="AH507" s="27">
        <f t="shared" ca="1" si="487"/>
        <v>1050</v>
      </c>
      <c r="AI507" s="27">
        <f t="shared" ca="1" si="488"/>
        <v>311</v>
      </c>
      <c r="AJ507" s="27">
        <f t="shared" ca="1" si="489"/>
        <v>36</v>
      </c>
      <c r="AK507" s="27">
        <f t="shared" ca="1" si="490"/>
        <v>229</v>
      </c>
      <c r="AL507" s="27">
        <f t="shared" ca="1" si="491"/>
        <v>422</v>
      </c>
      <c r="AM507" s="27">
        <f t="shared" ca="1" si="492"/>
        <v>51</v>
      </c>
      <c r="AN507" s="27">
        <f t="shared" ca="1" si="493"/>
        <v>4321</v>
      </c>
      <c r="AO507">
        <v>4345</v>
      </c>
      <c r="AP507">
        <v>1432</v>
      </c>
      <c r="AQ507">
        <v>159</v>
      </c>
      <c r="AR507">
        <v>475</v>
      </c>
      <c r="AS507">
        <v>1290</v>
      </c>
      <c r="AT507">
        <v>107</v>
      </c>
      <c r="AU507">
        <v>169</v>
      </c>
      <c r="AV507">
        <v>0.98299999999999998</v>
      </c>
      <c r="AW507" s="1"/>
      <c r="AX507" s="1"/>
      <c r="AY507" s="29">
        <f t="shared" si="494"/>
        <v>29700</v>
      </c>
      <c r="AZ507" s="31">
        <f t="shared" si="495"/>
        <v>165561</v>
      </c>
      <c r="BA507" s="31">
        <f t="shared" ref="BA507" si="547">SUMIF($B$2:$B$571,$B507,$P$2:$P$571)</f>
        <v>8254</v>
      </c>
      <c r="BB507" s="30">
        <f t="shared" si="497"/>
        <v>4.9854736320751866E-2</v>
      </c>
    </row>
    <row r="508" spans="2:54" x14ac:dyDescent="0.5">
      <c r="B508" s="4">
        <v>2016</v>
      </c>
      <c r="C508" t="s">
        <v>102</v>
      </c>
      <c r="D508" t="s">
        <v>93</v>
      </c>
      <c r="E508">
        <v>5</v>
      </c>
      <c r="F508" t="s">
        <v>38</v>
      </c>
      <c r="G508" t="s">
        <v>38</v>
      </c>
      <c r="H508" t="s">
        <v>38</v>
      </c>
      <c r="I508" t="s">
        <v>38</v>
      </c>
      <c r="J508">
        <v>68</v>
      </c>
      <c r="K508">
        <v>94</v>
      </c>
      <c r="L508">
        <v>672</v>
      </c>
      <c r="M508" s="20">
        <v>5481</v>
      </c>
      <c r="N508" s="20">
        <v>1333</v>
      </c>
      <c r="O508" s="20">
        <f t="shared" si="484"/>
        <v>797</v>
      </c>
      <c r="P508" s="20">
        <v>288</v>
      </c>
      <c r="Q508" s="20">
        <v>32</v>
      </c>
      <c r="R508" s="20">
        <v>216</v>
      </c>
      <c r="S508" s="20">
        <v>449</v>
      </c>
      <c r="T508" s="20">
        <v>69</v>
      </c>
      <c r="U508" s="20">
        <f t="shared" si="485"/>
        <v>3630</v>
      </c>
      <c r="V508">
        <v>1482</v>
      </c>
      <c r="W508">
        <v>60</v>
      </c>
      <c r="X508">
        <v>37</v>
      </c>
      <c r="Y508">
        <v>28</v>
      </c>
      <c r="Z508">
        <v>713</v>
      </c>
      <c r="AA508">
        <v>665</v>
      </c>
      <c r="AB508">
        <v>4.2</v>
      </c>
      <c r="AC508">
        <v>1</v>
      </c>
      <c r="AD508">
        <v>8</v>
      </c>
      <c r="AE508">
        <v>42</v>
      </c>
      <c r="AF508" s="27">
        <f t="shared" ca="1" si="542"/>
        <v>6393</v>
      </c>
      <c r="AG508" s="27">
        <f t="shared" ca="1" si="486"/>
        <v>1506</v>
      </c>
      <c r="AH508" s="27">
        <f t="shared" ca="1" si="487"/>
        <v>1059</v>
      </c>
      <c r="AI508" s="27">
        <f t="shared" ca="1" si="488"/>
        <v>264</v>
      </c>
      <c r="AJ508" s="27">
        <f t="shared" ca="1" si="489"/>
        <v>39</v>
      </c>
      <c r="AK508" s="27">
        <f t="shared" ca="1" si="490"/>
        <v>144</v>
      </c>
      <c r="AL508" s="27">
        <f t="shared" ca="1" si="491"/>
        <v>625</v>
      </c>
      <c r="AM508" s="27">
        <f t="shared" ca="1" si="492"/>
        <v>79</v>
      </c>
      <c r="AN508" s="27">
        <f t="shared" ca="1" si="493"/>
        <v>4183</v>
      </c>
      <c r="AO508">
        <v>4279</v>
      </c>
      <c r="AP508">
        <v>1395</v>
      </c>
      <c r="AQ508">
        <v>210</v>
      </c>
      <c r="AR508">
        <v>491</v>
      </c>
      <c r="AS508">
        <v>1357</v>
      </c>
      <c r="AT508">
        <v>94</v>
      </c>
      <c r="AU508">
        <v>129</v>
      </c>
      <c r="AV508">
        <v>0.98399999999999999</v>
      </c>
      <c r="AW508" s="1"/>
      <c r="AX508" s="1"/>
      <c r="AY508" s="29">
        <f t="shared" si="494"/>
        <v>29700</v>
      </c>
      <c r="AZ508" s="31">
        <f t="shared" si="495"/>
        <v>165561</v>
      </c>
      <c r="BA508" s="31">
        <f t="shared" ref="BA508" si="548">SUMIF($B$2:$B$571,$B508,$Q$2:$Q$571)</f>
        <v>873</v>
      </c>
      <c r="BB508" s="30">
        <f t="shared" si="497"/>
        <v>5.2729809556598473E-3</v>
      </c>
    </row>
    <row r="509" spans="2:54" x14ac:dyDescent="0.5">
      <c r="B509" s="4">
        <v>2016</v>
      </c>
      <c r="C509" t="s">
        <v>94</v>
      </c>
      <c r="D509" t="s">
        <v>95</v>
      </c>
      <c r="E509">
        <v>1</v>
      </c>
      <c r="F509" t="s">
        <v>43</v>
      </c>
      <c r="G509" t="s">
        <v>38</v>
      </c>
      <c r="H509" t="s">
        <v>38</v>
      </c>
      <c r="I509" t="s">
        <v>38</v>
      </c>
      <c r="J509">
        <v>95</v>
      </c>
      <c r="K509">
        <v>67</v>
      </c>
      <c r="L509">
        <v>765</v>
      </c>
      <c r="M509" s="20">
        <v>5525</v>
      </c>
      <c r="N509" s="20">
        <v>1446</v>
      </c>
      <c r="O509" s="20">
        <f t="shared" si="484"/>
        <v>951</v>
      </c>
      <c r="P509" s="20">
        <v>257</v>
      </c>
      <c r="Q509" s="20">
        <v>23</v>
      </c>
      <c r="R509" s="20">
        <v>215</v>
      </c>
      <c r="S509" s="20">
        <v>436</v>
      </c>
      <c r="T509" s="20">
        <v>70</v>
      </c>
      <c r="U509" s="20">
        <f t="shared" si="485"/>
        <v>3573</v>
      </c>
      <c r="V509">
        <v>1220</v>
      </c>
      <c r="W509">
        <v>99</v>
      </c>
      <c r="X509">
        <v>36</v>
      </c>
      <c r="Y509">
        <v>40</v>
      </c>
      <c r="Z509">
        <v>757</v>
      </c>
      <c r="AA509">
        <v>700</v>
      </c>
      <c r="AB509">
        <v>4.37</v>
      </c>
      <c r="AC509">
        <v>1</v>
      </c>
      <c r="AD509">
        <v>6</v>
      </c>
      <c r="AE509">
        <v>56</v>
      </c>
      <c r="AF509" s="27">
        <f t="shared" ca="1" si="542"/>
        <v>6090</v>
      </c>
      <c r="AG509" s="27">
        <f t="shared" ca="1" si="486"/>
        <v>1357</v>
      </c>
      <c r="AH509" s="27">
        <f t="shared" ca="1" si="487"/>
        <v>917</v>
      </c>
      <c r="AI509" s="27">
        <f t="shared" ca="1" si="488"/>
        <v>242</v>
      </c>
      <c r="AJ509" s="27">
        <f t="shared" ca="1" si="489"/>
        <v>29</v>
      </c>
      <c r="AK509" s="27">
        <f t="shared" ca="1" si="490"/>
        <v>169</v>
      </c>
      <c r="AL509" s="27">
        <f t="shared" ca="1" si="491"/>
        <v>650</v>
      </c>
      <c r="AM509" s="27">
        <f t="shared" ca="1" si="492"/>
        <v>88</v>
      </c>
      <c r="AN509" s="27">
        <f t="shared" ca="1" si="493"/>
        <v>3995</v>
      </c>
      <c r="AO509">
        <v>4329</v>
      </c>
      <c r="AP509">
        <v>1441</v>
      </c>
      <c r="AQ509">
        <v>201</v>
      </c>
      <c r="AR509">
        <v>534</v>
      </c>
      <c r="AS509">
        <v>1154</v>
      </c>
      <c r="AT509">
        <v>97</v>
      </c>
      <c r="AU509">
        <v>190</v>
      </c>
      <c r="AV509">
        <v>0.98399999999999999</v>
      </c>
      <c r="AW509" s="1"/>
      <c r="AX509" s="1"/>
      <c r="AY509" s="29">
        <f t="shared" si="494"/>
        <v>29700</v>
      </c>
      <c r="AZ509" s="31">
        <f t="shared" si="495"/>
        <v>165561</v>
      </c>
      <c r="BA509" s="31">
        <f t="shared" ref="BA509" si="549">SUMIF($B$2:$B$571,$B509,$R$2:$R$571)</f>
        <v>5610</v>
      </c>
      <c r="BB509" s="30">
        <f t="shared" si="497"/>
        <v>3.3884791708192148E-2</v>
      </c>
    </row>
    <row r="510" spans="2:54" x14ac:dyDescent="0.5">
      <c r="B510" s="4">
        <v>2016</v>
      </c>
      <c r="C510" t="s">
        <v>96</v>
      </c>
      <c r="D510" t="s">
        <v>97</v>
      </c>
      <c r="E510">
        <v>2</v>
      </c>
      <c r="F510" t="s">
        <v>38</v>
      </c>
      <c r="G510" t="s">
        <v>43</v>
      </c>
      <c r="H510" t="s">
        <v>38</v>
      </c>
      <c r="I510" t="s">
        <v>38</v>
      </c>
      <c r="J510">
        <v>89</v>
      </c>
      <c r="K510">
        <v>73</v>
      </c>
      <c r="L510">
        <v>759</v>
      </c>
      <c r="M510" s="20">
        <v>5479</v>
      </c>
      <c r="N510" s="20">
        <v>1358</v>
      </c>
      <c r="O510" s="20">
        <f t="shared" si="484"/>
        <v>843</v>
      </c>
      <c r="P510" s="20">
        <v>276</v>
      </c>
      <c r="Q510" s="20">
        <v>18</v>
      </c>
      <c r="R510" s="20">
        <v>221</v>
      </c>
      <c r="S510" s="20">
        <v>632</v>
      </c>
      <c r="T510" s="20">
        <v>55</v>
      </c>
      <c r="U510" s="20">
        <f t="shared" si="485"/>
        <v>3434</v>
      </c>
      <c r="V510">
        <v>1362</v>
      </c>
      <c r="W510">
        <v>54</v>
      </c>
      <c r="X510">
        <v>24</v>
      </c>
      <c r="Y510">
        <v>40</v>
      </c>
      <c r="Z510">
        <v>666</v>
      </c>
      <c r="AA510">
        <v>613</v>
      </c>
      <c r="AB510">
        <v>3.78</v>
      </c>
      <c r="AC510">
        <v>0</v>
      </c>
      <c r="AD510">
        <v>10</v>
      </c>
      <c r="AE510">
        <v>43</v>
      </c>
      <c r="AF510" s="27">
        <f t="shared" ca="1" si="542"/>
        <v>6249</v>
      </c>
      <c r="AG510" s="27">
        <f t="shared" ca="1" si="486"/>
        <v>1580</v>
      </c>
      <c r="AH510" s="27">
        <f t="shared" ca="1" si="487"/>
        <v>1072</v>
      </c>
      <c r="AI510" s="27">
        <f t="shared" ca="1" si="488"/>
        <v>237</v>
      </c>
      <c r="AJ510" s="27">
        <f t="shared" ca="1" si="489"/>
        <v>44</v>
      </c>
      <c r="AK510" s="27">
        <f t="shared" ca="1" si="490"/>
        <v>227</v>
      </c>
      <c r="AL510" s="27">
        <f t="shared" ca="1" si="491"/>
        <v>676</v>
      </c>
      <c r="AM510" s="27">
        <f t="shared" ca="1" si="492"/>
        <v>52</v>
      </c>
      <c r="AN510" s="27">
        <f t="shared" ca="1" si="493"/>
        <v>3941</v>
      </c>
      <c r="AO510">
        <v>4378</v>
      </c>
      <c r="AP510">
        <v>1340</v>
      </c>
      <c r="AQ510">
        <v>183</v>
      </c>
      <c r="AR510">
        <v>461</v>
      </c>
      <c r="AS510">
        <v>1314</v>
      </c>
      <c r="AT510">
        <v>88</v>
      </c>
      <c r="AU510">
        <v>144</v>
      </c>
      <c r="AV510">
        <v>0.98599999999999999</v>
      </c>
      <c r="AW510" s="1"/>
      <c r="AX510" s="1"/>
      <c r="AY510" s="29">
        <f t="shared" si="494"/>
        <v>29700</v>
      </c>
      <c r="AZ510" s="31">
        <f t="shared" si="495"/>
        <v>165561</v>
      </c>
      <c r="BA510" s="31">
        <f t="shared" ref="BA510" si="550">SUMIF($B$2:$B$571,$B510,$S$2:$S$571)</f>
        <v>15088</v>
      </c>
      <c r="BB510" s="30">
        <f t="shared" si="497"/>
        <v>9.1132573492549579E-2</v>
      </c>
    </row>
    <row r="511" spans="2:54" x14ac:dyDescent="0.5">
      <c r="B511" s="4">
        <v>2016</v>
      </c>
      <c r="C511" t="s">
        <v>100</v>
      </c>
      <c r="D511" t="s">
        <v>101</v>
      </c>
      <c r="E511">
        <v>1</v>
      </c>
      <c r="F511" t="s">
        <v>43</v>
      </c>
      <c r="G511" t="s">
        <v>38</v>
      </c>
      <c r="H511" t="s">
        <v>38</v>
      </c>
      <c r="I511" t="s">
        <v>38</v>
      </c>
      <c r="J511">
        <v>95</v>
      </c>
      <c r="K511">
        <v>67</v>
      </c>
      <c r="L511">
        <v>763</v>
      </c>
      <c r="M511" s="20">
        <v>5490</v>
      </c>
      <c r="N511" s="20">
        <v>1403</v>
      </c>
      <c r="O511" s="20">
        <f t="shared" si="484"/>
        <v>903</v>
      </c>
      <c r="P511" s="20">
        <v>268</v>
      </c>
      <c r="Q511" s="20">
        <v>29</v>
      </c>
      <c r="R511" s="20">
        <v>203</v>
      </c>
      <c r="S511" s="20">
        <v>536</v>
      </c>
      <c r="T511" s="20">
        <v>64</v>
      </c>
      <c r="U511" s="20">
        <f t="shared" si="485"/>
        <v>3487</v>
      </c>
      <c r="V511">
        <v>1252</v>
      </c>
      <c r="W511">
        <v>121</v>
      </c>
      <c r="X511">
        <v>39</v>
      </c>
      <c r="Y511">
        <v>63</v>
      </c>
      <c r="Z511">
        <v>612</v>
      </c>
      <c r="AA511">
        <v>570</v>
      </c>
      <c r="AB511">
        <v>3.51</v>
      </c>
      <c r="AC511">
        <v>1</v>
      </c>
      <c r="AD511">
        <v>12</v>
      </c>
      <c r="AE511">
        <v>46</v>
      </c>
      <c r="AF511" s="27">
        <f t="shared" ca="1" si="542"/>
        <v>6429</v>
      </c>
      <c r="AG511" s="27">
        <f t="shared" ca="1" si="486"/>
        <v>1645</v>
      </c>
      <c r="AH511" s="27">
        <f t="shared" ca="1" si="487"/>
        <v>1170</v>
      </c>
      <c r="AI511" s="27">
        <f t="shared" ca="1" si="488"/>
        <v>250</v>
      </c>
      <c r="AJ511" s="27">
        <f t="shared" ca="1" si="489"/>
        <v>28</v>
      </c>
      <c r="AK511" s="27">
        <f t="shared" ca="1" si="490"/>
        <v>197</v>
      </c>
      <c r="AL511" s="27">
        <f t="shared" ca="1" si="491"/>
        <v>515</v>
      </c>
      <c r="AM511" s="27">
        <f t="shared" ca="1" si="492"/>
        <v>64</v>
      </c>
      <c r="AN511" s="27">
        <f t="shared" ca="1" si="493"/>
        <v>4205</v>
      </c>
      <c r="AO511">
        <v>4379</v>
      </c>
      <c r="AP511">
        <v>1272</v>
      </c>
      <c r="AQ511">
        <v>155</v>
      </c>
      <c r="AR511">
        <v>468</v>
      </c>
      <c r="AS511">
        <v>1476</v>
      </c>
      <c r="AT511">
        <v>73</v>
      </c>
      <c r="AU511">
        <v>142</v>
      </c>
      <c r="AV511">
        <v>0.98799999999999999</v>
      </c>
      <c r="AW511" s="1"/>
      <c r="AX511" s="1"/>
      <c r="AY511" s="29">
        <f t="shared" si="494"/>
        <v>29700</v>
      </c>
      <c r="AZ511" s="31">
        <f t="shared" si="495"/>
        <v>165561</v>
      </c>
      <c r="BA511" s="31">
        <f t="shared" ref="BA511" si="551">SUMIF($B$2:$B$571,$B511,$T$2:$T$571)</f>
        <v>1651</v>
      </c>
      <c r="BB511" s="30">
        <f t="shared" si="497"/>
        <v>9.9721552781150153E-3</v>
      </c>
    </row>
    <row r="512" spans="2:54" x14ac:dyDescent="0.5">
      <c r="B512" s="4">
        <v>2017</v>
      </c>
      <c r="C512" t="s">
        <v>39</v>
      </c>
      <c r="D512" t="s">
        <v>40</v>
      </c>
      <c r="E512">
        <v>2</v>
      </c>
      <c r="F512" t="s">
        <v>38</v>
      </c>
      <c r="G512" t="s">
        <v>43</v>
      </c>
      <c r="H512" t="s">
        <v>38</v>
      </c>
      <c r="I512" t="s">
        <v>38</v>
      </c>
      <c r="J512">
        <v>93</v>
      </c>
      <c r="K512">
        <v>69</v>
      </c>
      <c r="L512">
        <v>812</v>
      </c>
      <c r="M512" s="20">
        <v>5525</v>
      </c>
      <c r="N512" s="20">
        <v>1405</v>
      </c>
      <c r="O512" s="20">
        <f t="shared" si="484"/>
        <v>832</v>
      </c>
      <c r="P512" s="20">
        <v>314</v>
      </c>
      <c r="Q512" s="20">
        <v>39</v>
      </c>
      <c r="R512" s="20">
        <v>220</v>
      </c>
      <c r="S512" s="20">
        <v>578</v>
      </c>
      <c r="T512" s="20">
        <v>54</v>
      </c>
      <c r="U512" s="20">
        <f t="shared" si="485"/>
        <v>3488</v>
      </c>
      <c r="V512">
        <v>1456</v>
      </c>
      <c r="W512">
        <v>103</v>
      </c>
      <c r="X512">
        <v>30</v>
      </c>
      <c r="Y512">
        <v>27</v>
      </c>
      <c r="Z512">
        <v>659</v>
      </c>
      <c r="AA512">
        <v>586</v>
      </c>
      <c r="AB512">
        <v>3.66</v>
      </c>
      <c r="AC512">
        <v>2</v>
      </c>
      <c r="AD512">
        <v>11</v>
      </c>
      <c r="AE512">
        <v>43</v>
      </c>
      <c r="AF512" s="27">
        <f t="shared" ca="1" si="542"/>
        <v>6488</v>
      </c>
      <c r="AG512" s="27">
        <f t="shared" ca="1" si="486"/>
        <v>1658</v>
      </c>
      <c r="AH512" s="27">
        <f t="shared" ca="1" si="487"/>
        <v>1261</v>
      </c>
      <c r="AI512" s="27">
        <f t="shared" ca="1" si="488"/>
        <v>228</v>
      </c>
      <c r="AJ512" s="27">
        <f t="shared" ca="1" si="489"/>
        <v>24</v>
      </c>
      <c r="AK512" s="27">
        <f t="shared" ca="1" si="490"/>
        <v>145</v>
      </c>
      <c r="AL512" s="27">
        <f t="shared" ca="1" si="491"/>
        <v>453</v>
      </c>
      <c r="AM512" s="27">
        <f t="shared" ca="1" si="492"/>
        <v>46</v>
      </c>
      <c r="AN512" s="27">
        <f t="shared" ca="1" si="493"/>
        <v>4331</v>
      </c>
      <c r="AO512">
        <v>4323</v>
      </c>
      <c r="AP512">
        <v>1309</v>
      </c>
      <c r="AQ512">
        <v>171</v>
      </c>
      <c r="AR512">
        <v>516</v>
      </c>
      <c r="AS512">
        <v>1482</v>
      </c>
      <c r="AT512">
        <v>108</v>
      </c>
      <c r="AU512">
        <v>140</v>
      </c>
      <c r="AV512">
        <v>0.98199999999999998</v>
      </c>
      <c r="AW512" s="1"/>
      <c r="AX512" s="1"/>
      <c r="AY512" s="29">
        <f t="shared" si="494"/>
        <v>29700</v>
      </c>
      <c r="AZ512" s="31">
        <f t="shared" si="495"/>
        <v>165567</v>
      </c>
      <c r="BA512" s="31">
        <f t="shared" ref="BA512" si="552">SUMIF($B$2:$B$571,$B512,$U$2:$U$571)</f>
        <v>105760</v>
      </c>
      <c r="BB512" s="30">
        <f t="shared" si="497"/>
        <v>0.63877463504200716</v>
      </c>
    </row>
    <row r="513" spans="2:54" x14ac:dyDescent="0.5">
      <c r="B513" s="4">
        <v>2017</v>
      </c>
      <c r="C513" t="s">
        <v>41</v>
      </c>
      <c r="D513" t="s">
        <v>42</v>
      </c>
      <c r="E513">
        <v>3</v>
      </c>
      <c r="F513" t="s">
        <v>38</v>
      </c>
      <c r="G513" t="s">
        <v>38</v>
      </c>
      <c r="H513" t="s">
        <v>38</v>
      </c>
      <c r="I513" t="s">
        <v>38</v>
      </c>
      <c r="J513">
        <v>72</v>
      </c>
      <c r="K513">
        <v>90</v>
      </c>
      <c r="L513">
        <v>732</v>
      </c>
      <c r="M513" s="20">
        <v>5584</v>
      </c>
      <c r="N513" s="20">
        <v>1467</v>
      </c>
      <c r="O513" s="20">
        <f t="shared" si="484"/>
        <v>987</v>
      </c>
      <c r="P513" s="20">
        <v>289</v>
      </c>
      <c r="Q513" s="20">
        <v>26</v>
      </c>
      <c r="R513" s="20">
        <v>165</v>
      </c>
      <c r="S513" s="20">
        <v>474</v>
      </c>
      <c r="T513" s="20">
        <v>66</v>
      </c>
      <c r="U513" s="20">
        <f t="shared" si="485"/>
        <v>3577</v>
      </c>
      <c r="V513">
        <v>1184</v>
      </c>
      <c r="W513">
        <v>77</v>
      </c>
      <c r="X513">
        <v>31</v>
      </c>
      <c r="Y513">
        <v>32</v>
      </c>
      <c r="Z513">
        <v>821</v>
      </c>
      <c r="AA513">
        <v>756</v>
      </c>
      <c r="AB513">
        <v>4.72</v>
      </c>
      <c r="AC513">
        <v>0</v>
      </c>
      <c r="AD513">
        <v>6</v>
      </c>
      <c r="AE513">
        <v>36</v>
      </c>
      <c r="AF513" s="27">
        <f t="shared" ca="1" si="542"/>
        <v>6290</v>
      </c>
      <c r="AG513" s="27">
        <f t="shared" ca="1" si="486"/>
        <v>1470</v>
      </c>
      <c r="AH513" s="27">
        <f t="shared" ca="1" si="487"/>
        <v>903</v>
      </c>
      <c r="AI513" s="27">
        <f t="shared" ca="1" si="488"/>
        <v>316</v>
      </c>
      <c r="AJ513" s="27">
        <f t="shared" ca="1" si="489"/>
        <v>27</v>
      </c>
      <c r="AK513" s="27">
        <f t="shared" ca="1" si="490"/>
        <v>224</v>
      </c>
      <c r="AL513" s="27">
        <f t="shared" ca="1" si="491"/>
        <v>416</v>
      </c>
      <c r="AM513" s="27">
        <f t="shared" ca="1" si="492"/>
        <v>38</v>
      </c>
      <c r="AN513" s="27">
        <f t="shared" ca="1" si="493"/>
        <v>4366</v>
      </c>
      <c r="AO513">
        <v>4324</v>
      </c>
      <c r="AP513">
        <v>1463</v>
      </c>
      <c r="AQ513">
        <v>192</v>
      </c>
      <c r="AR513">
        <v>584</v>
      </c>
      <c r="AS513">
        <v>1258</v>
      </c>
      <c r="AT513">
        <v>97</v>
      </c>
      <c r="AU513">
        <v>137</v>
      </c>
      <c r="AV513">
        <v>0.98399999999999999</v>
      </c>
      <c r="AW513" s="1"/>
      <c r="AX513" s="1"/>
      <c r="AY513" s="29">
        <f t="shared" si="494"/>
        <v>29700</v>
      </c>
      <c r="AZ513" s="31">
        <f t="shared" si="495"/>
        <v>165567</v>
      </c>
      <c r="BA513" s="31"/>
      <c r="BB513" s="30">
        <f t="shared" si="497"/>
        <v>0</v>
      </c>
    </row>
    <row r="514" spans="2:54" x14ac:dyDescent="0.5">
      <c r="B514" s="4">
        <v>2017</v>
      </c>
      <c r="C514" t="s">
        <v>44</v>
      </c>
      <c r="D514" t="s">
        <v>45</v>
      </c>
      <c r="E514">
        <v>5</v>
      </c>
      <c r="F514" t="s">
        <v>38</v>
      </c>
      <c r="G514" t="s">
        <v>38</v>
      </c>
      <c r="H514" t="s">
        <v>38</v>
      </c>
      <c r="I514" t="s">
        <v>38</v>
      </c>
      <c r="J514">
        <v>75</v>
      </c>
      <c r="K514">
        <v>87</v>
      </c>
      <c r="L514">
        <v>743</v>
      </c>
      <c r="M514" s="20">
        <v>5650</v>
      </c>
      <c r="N514" s="20">
        <v>1469</v>
      </c>
      <c r="O514" s="20">
        <f t="shared" si="484"/>
        <v>956</v>
      </c>
      <c r="P514" s="20">
        <v>269</v>
      </c>
      <c r="Q514" s="20">
        <v>12</v>
      </c>
      <c r="R514" s="20">
        <v>232</v>
      </c>
      <c r="S514" s="20">
        <v>392</v>
      </c>
      <c r="T514" s="20">
        <v>50</v>
      </c>
      <c r="U514" s="20">
        <f t="shared" si="485"/>
        <v>3739</v>
      </c>
      <c r="V514">
        <v>1412</v>
      </c>
      <c r="W514">
        <v>32</v>
      </c>
      <c r="X514">
        <v>13</v>
      </c>
      <c r="Y514">
        <v>37</v>
      </c>
      <c r="Z514">
        <v>841</v>
      </c>
      <c r="AA514">
        <v>795</v>
      </c>
      <c r="AB514">
        <v>4.97</v>
      </c>
      <c r="AC514">
        <v>1</v>
      </c>
      <c r="AD514">
        <v>10</v>
      </c>
      <c r="AE514">
        <v>35</v>
      </c>
      <c r="AF514" s="27">
        <f t="shared" ca="1" si="542"/>
        <v>6236</v>
      </c>
      <c r="AG514" s="27">
        <f t="shared" ca="1" si="486"/>
        <v>1401</v>
      </c>
      <c r="AH514" s="27">
        <f t="shared" ca="1" si="487"/>
        <v>959</v>
      </c>
      <c r="AI514" s="27">
        <f t="shared" ca="1" si="488"/>
        <v>224</v>
      </c>
      <c r="AJ514" s="27">
        <f t="shared" ca="1" si="489"/>
        <v>25</v>
      </c>
      <c r="AK514" s="27">
        <f t="shared" ca="1" si="490"/>
        <v>193</v>
      </c>
      <c r="AL514" s="27">
        <f t="shared" ca="1" si="491"/>
        <v>442</v>
      </c>
      <c r="AM514" s="27">
        <f t="shared" ca="1" si="492"/>
        <v>72</v>
      </c>
      <c r="AN514" s="27">
        <f t="shared" ca="1" si="493"/>
        <v>4321</v>
      </c>
      <c r="AO514">
        <v>4323</v>
      </c>
      <c r="AP514">
        <v>1505</v>
      </c>
      <c r="AQ514">
        <v>242</v>
      </c>
      <c r="AR514">
        <v>579</v>
      </c>
      <c r="AS514">
        <v>1233</v>
      </c>
      <c r="AT514">
        <v>94</v>
      </c>
      <c r="AU514">
        <v>175</v>
      </c>
      <c r="AV514">
        <v>0.98399999999999999</v>
      </c>
      <c r="AW514" s="1"/>
      <c r="AX514" s="1"/>
      <c r="AY514" s="29">
        <f t="shared" si="494"/>
        <v>29700</v>
      </c>
      <c r="AZ514" s="31">
        <f t="shared" si="495"/>
        <v>165567</v>
      </c>
      <c r="BA514" s="31">
        <f t="shared" ref="BA514" si="553">SUMIF($B$2:$B$571,$B514,$O$2:$O$571)</f>
        <v>26918</v>
      </c>
      <c r="BB514" s="30">
        <f t="shared" si="497"/>
        <v>0.16258070750813869</v>
      </c>
    </row>
    <row r="515" spans="2:54" x14ac:dyDescent="0.5">
      <c r="B515" s="4">
        <v>2017</v>
      </c>
      <c r="C515" t="s">
        <v>46</v>
      </c>
      <c r="D515" t="s">
        <v>47</v>
      </c>
      <c r="E515">
        <v>1</v>
      </c>
      <c r="F515" t="s">
        <v>43</v>
      </c>
      <c r="G515" t="s">
        <v>38</v>
      </c>
      <c r="H515" t="s">
        <v>38</v>
      </c>
      <c r="I515" t="s">
        <v>38</v>
      </c>
      <c r="J515">
        <v>93</v>
      </c>
      <c r="K515">
        <v>69</v>
      </c>
      <c r="L515">
        <v>785</v>
      </c>
      <c r="M515" s="20">
        <v>5669</v>
      </c>
      <c r="N515" s="20">
        <v>1461</v>
      </c>
      <c r="O515" s="20">
        <f t="shared" ref="O515:O571" si="554">N515-(P515+Q515+R515)</f>
        <v>972</v>
      </c>
      <c r="P515" s="20">
        <v>302</v>
      </c>
      <c r="Q515" s="20">
        <v>19</v>
      </c>
      <c r="R515" s="20">
        <v>168</v>
      </c>
      <c r="S515" s="20">
        <v>571</v>
      </c>
      <c r="T515" s="20">
        <v>53</v>
      </c>
      <c r="U515" s="20">
        <f t="shared" ref="U515:U571" si="555">M515-(N515+S515+T515)</f>
        <v>3584</v>
      </c>
      <c r="V515">
        <v>1224</v>
      </c>
      <c r="W515">
        <v>106</v>
      </c>
      <c r="X515">
        <v>31</v>
      </c>
      <c r="Y515">
        <v>36</v>
      </c>
      <c r="Z515">
        <v>668</v>
      </c>
      <c r="AA515">
        <v>610</v>
      </c>
      <c r="AB515">
        <v>3.7</v>
      </c>
      <c r="AC515">
        <v>5</v>
      </c>
      <c r="AD515">
        <v>11</v>
      </c>
      <c r="AE515">
        <v>39</v>
      </c>
      <c r="AF515" s="27">
        <f t="shared" ca="1" si="542"/>
        <v>6379</v>
      </c>
      <c r="AG515" s="27">
        <f t="shared" ref="AG515:AG571" ca="1" si="556">RANDBETWEEN(1300,1700)</f>
        <v>1691</v>
      </c>
      <c r="AH515" s="27">
        <f t="shared" ref="AH515:AH571" ca="1" si="557">AG515-(AI515+AJ515+AK515)</f>
        <v>1258</v>
      </c>
      <c r="AI515" s="27">
        <f t="shared" ref="AI515:AI571" ca="1" si="558">RANDBETWEEN(219,400)</f>
        <v>221</v>
      </c>
      <c r="AJ515" s="27">
        <f t="shared" ref="AJ515:AJ571" ca="1" si="559">RANDBETWEEN(20,50)</f>
        <v>36</v>
      </c>
      <c r="AK515" s="27">
        <f t="shared" ref="AK515:AK571" ca="1" si="560">RANDBETWEEN(130,240)</f>
        <v>176</v>
      </c>
      <c r="AL515" s="27">
        <f t="shared" ref="AL515:AL571" ca="1" si="561">RANDBETWEEN(400,700)</f>
        <v>643</v>
      </c>
      <c r="AM515" s="27">
        <f t="shared" ref="AM515:AM571" ca="1" si="562">RANDBETWEEN(30,90)</f>
        <v>36</v>
      </c>
      <c r="AN515" s="27">
        <f t="shared" ref="AN515:AN571" ca="1" si="563">AF515-(AG515+AL515+AM515)</f>
        <v>4009</v>
      </c>
      <c r="AO515">
        <v>4447</v>
      </c>
      <c r="AP515">
        <v>1384</v>
      </c>
      <c r="AQ515">
        <v>195</v>
      </c>
      <c r="AR515">
        <v>465</v>
      </c>
      <c r="AS515">
        <v>1580</v>
      </c>
      <c r="AT515">
        <v>107</v>
      </c>
      <c r="AU515">
        <v>126</v>
      </c>
      <c r="AV515">
        <v>0.98199999999999998</v>
      </c>
      <c r="AW515" s="1"/>
      <c r="AX515" s="1"/>
      <c r="AY515" s="29">
        <f t="shared" ref="AY515:AY571" si="564">SUM(O$2:O$31)</f>
        <v>29700</v>
      </c>
      <c r="AZ515" s="31">
        <f t="shared" ref="AZ515:AZ571" si="565">SUMIF($B$2:$B$571,$B515,$M$2:$M$571)</f>
        <v>165567</v>
      </c>
      <c r="BA515" s="31">
        <f t="shared" ref="BA515" si="566">SUMIF($B$2:$B$571,$B515,$P$2:$P$571)</f>
        <v>8397</v>
      </c>
      <c r="BB515" s="30">
        <f t="shared" ref="BB515:BB571" si="567">BA515/AZ515</f>
        <v>5.0716628313613218E-2</v>
      </c>
    </row>
    <row r="516" spans="2:54" x14ac:dyDescent="0.5">
      <c r="B516" s="4">
        <v>2017</v>
      </c>
      <c r="C516" t="s">
        <v>48</v>
      </c>
      <c r="D516" t="s">
        <v>49</v>
      </c>
      <c r="E516">
        <v>4</v>
      </c>
      <c r="F516" t="s">
        <v>38</v>
      </c>
      <c r="G516" t="s">
        <v>38</v>
      </c>
      <c r="H516" t="s">
        <v>38</v>
      </c>
      <c r="I516" t="s">
        <v>38</v>
      </c>
      <c r="J516">
        <v>67</v>
      </c>
      <c r="K516">
        <v>95</v>
      </c>
      <c r="L516">
        <v>706</v>
      </c>
      <c r="M516" s="20">
        <v>5513</v>
      </c>
      <c r="N516" s="20">
        <v>1412</v>
      </c>
      <c r="O516" s="20">
        <f t="shared" si="554"/>
        <v>933</v>
      </c>
      <c r="P516" s="20">
        <v>256</v>
      </c>
      <c r="Q516" s="20">
        <v>37</v>
      </c>
      <c r="R516" s="20">
        <v>186</v>
      </c>
      <c r="S516" s="20">
        <v>401</v>
      </c>
      <c r="T516" s="20">
        <v>76</v>
      </c>
      <c r="U516" s="20">
        <f t="shared" si="555"/>
        <v>3624</v>
      </c>
      <c r="V516">
        <v>1397</v>
      </c>
      <c r="W516">
        <v>71</v>
      </c>
      <c r="X516">
        <v>31</v>
      </c>
      <c r="Y516">
        <v>33</v>
      </c>
      <c r="Z516">
        <v>820</v>
      </c>
      <c r="AA516">
        <v>755</v>
      </c>
      <c r="AB516">
        <v>4.78</v>
      </c>
      <c r="AC516">
        <v>0</v>
      </c>
      <c r="AD516">
        <v>3</v>
      </c>
      <c r="AE516">
        <v>25</v>
      </c>
      <c r="AF516" s="27">
        <f t="shared" ca="1" si="542"/>
        <v>6399</v>
      </c>
      <c r="AG516" s="27">
        <f t="shared" ca="1" si="556"/>
        <v>1527</v>
      </c>
      <c r="AH516" s="27">
        <f t="shared" ca="1" si="557"/>
        <v>901</v>
      </c>
      <c r="AI516" s="27">
        <f t="shared" ca="1" si="558"/>
        <v>378</v>
      </c>
      <c r="AJ516" s="27">
        <f t="shared" ca="1" si="559"/>
        <v>30</v>
      </c>
      <c r="AK516" s="27">
        <f t="shared" ca="1" si="560"/>
        <v>218</v>
      </c>
      <c r="AL516" s="27">
        <f t="shared" ca="1" si="561"/>
        <v>408</v>
      </c>
      <c r="AM516" s="27">
        <f t="shared" ca="1" si="562"/>
        <v>90</v>
      </c>
      <c r="AN516" s="27">
        <f t="shared" ca="1" si="563"/>
        <v>4374</v>
      </c>
      <c r="AO516">
        <v>4265</v>
      </c>
      <c r="AP516">
        <v>1384</v>
      </c>
      <c r="AQ516">
        <v>242</v>
      </c>
      <c r="AR516">
        <v>632</v>
      </c>
      <c r="AS516">
        <v>1193</v>
      </c>
      <c r="AT516">
        <v>114</v>
      </c>
      <c r="AU516">
        <v>157</v>
      </c>
      <c r="AV516">
        <v>0.98099999999999998</v>
      </c>
      <c r="AW516" s="1"/>
      <c r="AX516" s="1"/>
      <c r="AY516" s="29">
        <f t="shared" si="564"/>
        <v>29700</v>
      </c>
      <c r="AZ516" s="31">
        <f t="shared" si="565"/>
        <v>165567</v>
      </c>
      <c r="BA516" s="31">
        <f t="shared" ref="BA516" si="568">SUMIF($B$2:$B$571,$B516,$Q$2:$Q$571)</f>
        <v>795</v>
      </c>
      <c r="BB516" s="30">
        <f t="shared" si="567"/>
        <v>4.8016814945007159E-3</v>
      </c>
    </row>
    <row r="517" spans="2:54" x14ac:dyDescent="0.5">
      <c r="B517" s="4">
        <v>2017</v>
      </c>
      <c r="C517" t="s">
        <v>50</v>
      </c>
      <c r="D517" t="s">
        <v>51</v>
      </c>
      <c r="E517">
        <v>1</v>
      </c>
      <c r="F517" t="s">
        <v>43</v>
      </c>
      <c r="G517" t="s">
        <v>38</v>
      </c>
      <c r="H517" t="s">
        <v>38</v>
      </c>
      <c r="I517" t="s">
        <v>38</v>
      </c>
      <c r="J517">
        <v>92</v>
      </c>
      <c r="K517">
        <v>70</v>
      </c>
      <c r="L517">
        <v>822</v>
      </c>
      <c r="M517" s="20">
        <v>5496</v>
      </c>
      <c r="N517" s="20">
        <v>1402</v>
      </c>
      <c r="O517" s="20">
        <f t="shared" si="554"/>
        <v>876</v>
      </c>
      <c r="P517" s="20">
        <v>274</v>
      </c>
      <c r="Q517" s="20">
        <v>29</v>
      </c>
      <c r="R517" s="20">
        <v>223</v>
      </c>
      <c r="S517" s="20">
        <v>622</v>
      </c>
      <c r="T517" s="20">
        <v>82</v>
      </c>
      <c r="U517" s="20">
        <f t="shared" si="555"/>
        <v>3390</v>
      </c>
      <c r="V517">
        <v>1401</v>
      </c>
      <c r="W517">
        <v>62</v>
      </c>
      <c r="X517">
        <v>31</v>
      </c>
      <c r="Y517">
        <v>32</v>
      </c>
      <c r="Z517">
        <v>695</v>
      </c>
      <c r="AA517">
        <v>636</v>
      </c>
      <c r="AB517">
        <v>3.95</v>
      </c>
      <c r="AC517">
        <v>2</v>
      </c>
      <c r="AD517">
        <v>8</v>
      </c>
      <c r="AE517">
        <v>38</v>
      </c>
      <c r="AF517" s="27">
        <f t="shared" ca="1" si="542"/>
        <v>6153</v>
      </c>
      <c r="AG517" s="27">
        <f t="shared" ca="1" si="556"/>
        <v>1475</v>
      </c>
      <c r="AH517" s="27">
        <f t="shared" ca="1" si="557"/>
        <v>938</v>
      </c>
      <c r="AI517" s="27">
        <f t="shared" ca="1" si="558"/>
        <v>332</v>
      </c>
      <c r="AJ517" s="27">
        <f t="shared" ca="1" si="559"/>
        <v>40</v>
      </c>
      <c r="AK517" s="27">
        <f t="shared" ca="1" si="560"/>
        <v>165</v>
      </c>
      <c r="AL517" s="27">
        <f t="shared" ca="1" si="561"/>
        <v>412</v>
      </c>
      <c r="AM517" s="27">
        <f t="shared" ca="1" si="562"/>
        <v>71</v>
      </c>
      <c r="AN517" s="27">
        <f t="shared" ca="1" si="563"/>
        <v>4195</v>
      </c>
      <c r="AO517">
        <v>4342</v>
      </c>
      <c r="AP517">
        <v>1294</v>
      </c>
      <c r="AQ517">
        <v>194</v>
      </c>
      <c r="AR517">
        <v>554</v>
      </c>
      <c r="AS517">
        <v>1439</v>
      </c>
      <c r="AT517">
        <v>95</v>
      </c>
      <c r="AU517">
        <v>139</v>
      </c>
      <c r="AV517">
        <v>0.98399999999999999</v>
      </c>
      <c r="AW517" s="1"/>
      <c r="AX517" s="1"/>
      <c r="AY517" s="29">
        <f t="shared" si="564"/>
        <v>29700</v>
      </c>
      <c r="AZ517" s="31">
        <f t="shared" si="565"/>
        <v>165567</v>
      </c>
      <c r="BA517" s="31">
        <f t="shared" ref="BA517" si="569">SUMIF($B$2:$B$571,$B517,$R$2:$R$571)</f>
        <v>6105</v>
      </c>
      <c r="BB517" s="30">
        <f t="shared" si="567"/>
        <v>3.6873289967203612E-2</v>
      </c>
    </row>
    <row r="518" spans="2:54" x14ac:dyDescent="0.5">
      <c r="B518" s="4">
        <v>2017</v>
      </c>
      <c r="C518" t="s">
        <v>52</v>
      </c>
      <c r="D518" t="s">
        <v>53</v>
      </c>
      <c r="E518">
        <v>5</v>
      </c>
      <c r="F518" t="s">
        <v>38</v>
      </c>
      <c r="G518" t="s">
        <v>38</v>
      </c>
      <c r="H518" t="s">
        <v>38</v>
      </c>
      <c r="I518" t="s">
        <v>38</v>
      </c>
      <c r="J518">
        <v>68</v>
      </c>
      <c r="K518">
        <v>94</v>
      </c>
      <c r="L518">
        <v>753</v>
      </c>
      <c r="M518" s="20">
        <v>5484</v>
      </c>
      <c r="N518" s="20">
        <v>1390</v>
      </c>
      <c r="O518" s="20">
        <f t="shared" si="554"/>
        <v>884</v>
      </c>
      <c r="P518" s="20">
        <v>249</v>
      </c>
      <c r="Q518" s="20">
        <v>38</v>
      </c>
      <c r="R518" s="20">
        <v>219</v>
      </c>
      <c r="S518" s="20">
        <v>565</v>
      </c>
      <c r="T518" s="20">
        <v>72</v>
      </c>
      <c r="U518" s="20">
        <f t="shared" si="555"/>
        <v>3457</v>
      </c>
      <c r="V518">
        <v>1329</v>
      </c>
      <c r="W518">
        <v>120</v>
      </c>
      <c r="X518">
        <v>39</v>
      </c>
      <c r="Y518">
        <v>42</v>
      </c>
      <c r="Z518">
        <v>869</v>
      </c>
      <c r="AA518">
        <v>821</v>
      </c>
      <c r="AB518">
        <v>5.17</v>
      </c>
      <c r="AC518">
        <v>2</v>
      </c>
      <c r="AD518">
        <v>8</v>
      </c>
      <c r="AE518">
        <v>33</v>
      </c>
      <c r="AF518" s="27">
        <f t="shared" ca="1" si="542"/>
        <v>6354</v>
      </c>
      <c r="AG518" s="27">
        <f t="shared" ca="1" si="556"/>
        <v>1358</v>
      </c>
      <c r="AH518" s="27">
        <f t="shared" ca="1" si="557"/>
        <v>866</v>
      </c>
      <c r="AI518" s="27">
        <f t="shared" ca="1" si="558"/>
        <v>262</v>
      </c>
      <c r="AJ518" s="27">
        <f t="shared" ca="1" si="559"/>
        <v>24</v>
      </c>
      <c r="AK518" s="27">
        <f t="shared" ca="1" si="560"/>
        <v>206</v>
      </c>
      <c r="AL518" s="27">
        <f t="shared" ca="1" si="561"/>
        <v>514</v>
      </c>
      <c r="AM518" s="27">
        <f t="shared" ca="1" si="562"/>
        <v>61</v>
      </c>
      <c r="AN518" s="27">
        <f t="shared" ca="1" si="563"/>
        <v>4421</v>
      </c>
      <c r="AO518">
        <v>4290</v>
      </c>
      <c r="AP518">
        <v>1442</v>
      </c>
      <c r="AQ518">
        <v>248</v>
      </c>
      <c r="AR518">
        <v>631</v>
      </c>
      <c r="AS518">
        <v>1300</v>
      </c>
      <c r="AT518">
        <v>81</v>
      </c>
      <c r="AU518">
        <v>132</v>
      </c>
      <c r="AV518">
        <v>0.98599999999999999</v>
      </c>
      <c r="AW518" s="1"/>
      <c r="AX518" s="1"/>
      <c r="AY518" s="29">
        <f t="shared" si="564"/>
        <v>29700</v>
      </c>
      <c r="AZ518" s="31">
        <f t="shared" si="565"/>
        <v>165567</v>
      </c>
      <c r="BA518" s="31">
        <f t="shared" ref="BA518" si="570">SUMIF($B$2:$B$571,$B518,$S$2:$S$571)</f>
        <v>15829</v>
      </c>
      <c r="BB518" s="30">
        <f t="shared" si="567"/>
        <v>9.5604800473524307E-2</v>
      </c>
    </row>
    <row r="519" spans="2:54" x14ac:dyDescent="0.5">
      <c r="B519" s="4">
        <v>2017</v>
      </c>
      <c r="C519" t="s">
        <v>54</v>
      </c>
      <c r="D519" t="s">
        <v>55</v>
      </c>
      <c r="E519">
        <v>1</v>
      </c>
      <c r="F519" t="s">
        <v>43</v>
      </c>
      <c r="G519" t="s">
        <v>38</v>
      </c>
      <c r="H519" t="s">
        <v>38</v>
      </c>
      <c r="I519" t="s">
        <v>38</v>
      </c>
      <c r="J519">
        <v>102</v>
      </c>
      <c r="K519">
        <v>60</v>
      </c>
      <c r="L519">
        <v>818</v>
      </c>
      <c r="M519" s="20">
        <v>5511</v>
      </c>
      <c r="N519" s="20">
        <v>1449</v>
      </c>
      <c r="O519" s="20">
        <f t="shared" si="554"/>
        <v>875</v>
      </c>
      <c r="P519" s="20">
        <v>333</v>
      </c>
      <c r="Q519" s="20">
        <v>29</v>
      </c>
      <c r="R519" s="20">
        <v>212</v>
      </c>
      <c r="S519" s="20">
        <v>604</v>
      </c>
      <c r="T519" s="20">
        <v>50</v>
      </c>
      <c r="U519" s="20">
        <f t="shared" si="555"/>
        <v>3408</v>
      </c>
      <c r="V519">
        <v>1153</v>
      </c>
      <c r="W519">
        <v>88</v>
      </c>
      <c r="X519">
        <v>23</v>
      </c>
      <c r="Y519">
        <v>45</v>
      </c>
      <c r="Z519">
        <v>564</v>
      </c>
      <c r="AA519">
        <v>529</v>
      </c>
      <c r="AB519">
        <v>3.3</v>
      </c>
      <c r="AC519">
        <v>7</v>
      </c>
      <c r="AD519">
        <v>19</v>
      </c>
      <c r="AE519">
        <v>37</v>
      </c>
      <c r="AF519" s="27">
        <f t="shared" ca="1" si="542"/>
        <v>6459</v>
      </c>
      <c r="AG519" s="27">
        <f t="shared" ca="1" si="556"/>
        <v>1535</v>
      </c>
      <c r="AH519" s="27">
        <f t="shared" ca="1" si="557"/>
        <v>1042</v>
      </c>
      <c r="AI519" s="27">
        <f t="shared" ca="1" si="558"/>
        <v>247</v>
      </c>
      <c r="AJ519" s="27">
        <f t="shared" ca="1" si="559"/>
        <v>48</v>
      </c>
      <c r="AK519" s="27">
        <f t="shared" ca="1" si="560"/>
        <v>198</v>
      </c>
      <c r="AL519" s="27">
        <f t="shared" ca="1" si="561"/>
        <v>573</v>
      </c>
      <c r="AM519" s="27">
        <f t="shared" ca="1" si="562"/>
        <v>64</v>
      </c>
      <c r="AN519" s="27">
        <f t="shared" ca="1" si="563"/>
        <v>4287</v>
      </c>
      <c r="AO519">
        <v>4322</v>
      </c>
      <c r="AP519">
        <v>1267</v>
      </c>
      <c r="AQ519">
        <v>163</v>
      </c>
      <c r="AR519">
        <v>406</v>
      </c>
      <c r="AS519">
        <v>1614</v>
      </c>
      <c r="AT519">
        <v>76</v>
      </c>
      <c r="AU519">
        <v>167</v>
      </c>
      <c r="AV519">
        <v>0.98699999999999999</v>
      </c>
      <c r="AW519" s="1"/>
      <c r="AX519" s="1"/>
      <c r="AY519" s="29">
        <f t="shared" si="564"/>
        <v>29700</v>
      </c>
      <c r="AZ519" s="31">
        <f t="shared" si="565"/>
        <v>165567</v>
      </c>
      <c r="BA519" s="31">
        <f t="shared" ref="BA519" si="571">SUMIF($B$2:$B$571,$B519,$T$2:$T$571)</f>
        <v>1763</v>
      </c>
      <c r="BB519" s="30">
        <f t="shared" si="567"/>
        <v>1.0648257201012279E-2</v>
      </c>
    </row>
    <row r="520" spans="2:54" x14ac:dyDescent="0.5">
      <c r="B520" s="4">
        <v>2017</v>
      </c>
      <c r="C520" t="s">
        <v>56</v>
      </c>
      <c r="D520" t="s">
        <v>57</v>
      </c>
      <c r="E520">
        <v>3</v>
      </c>
      <c r="F520" t="s">
        <v>38</v>
      </c>
      <c r="G520" t="s">
        <v>43</v>
      </c>
      <c r="H520" t="s">
        <v>38</v>
      </c>
      <c r="I520" t="s">
        <v>38</v>
      </c>
      <c r="J520">
        <v>87</v>
      </c>
      <c r="K520">
        <v>75</v>
      </c>
      <c r="L520">
        <v>824</v>
      </c>
      <c r="M520" s="20">
        <v>5534</v>
      </c>
      <c r="N520" s="20">
        <v>1510</v>
      </c>
      <c r="O520" s="20">
        <f t="shared" si="554"/>
        <v>987</v>
      </c>
      <c r="P520" s="20">
        <v>293</v>
      </c>
      <c r="Q520" s="20">
        <v>38</v>
      </c>
      <c r="R520" s="20">
        <v>192</v>
      </c>
      <c r="S520" s="20">
        <v>519</v>
      </c>
      <c r="T520" s="20">
        <v>44</v>
      </c>
      <c r="U520" s="20">
        <f t="shared" si="555"/>
        <v>3461</v>
      </c>
      <c r="V520">
        <v>1408</v>
      </c>
      <c r="W520">
        <v>59</v>
      </c>
      <c r="X520">
        <v>34</v>
      </c>
      <c r="Y520">
        <v>41</v>
      </c>
      <c r="Z520">
        <v>757</v>
      </c>
      <c r="AA520">
        <v>721</v>
      </c>
      <c r="AB520">
        <v>4.51</v>
      </c>
      <c r="AC520">
        <v>1</v>
      </c>
      <c r="AD520">
        <v>9</v>
      </c>
      <c r="AE520">
        <v>47</v>
      </c>
      <c r="AF520" s="27">
        <f t="shared" ca="1" si="542"/>
        <v>6383</v>
      </c>
      <c r="AG520" s="27">
        <f t="shared" ca="1" si="556"/>
        <v>1700</v>
      </c>
      <c r="AH520" s="27">
        <f t="shared" ca="1" si="557"/>
        <v>1212</v>
      </c>
      <c r="AI520" s="27">
        <f t="shared" ca="1" si="558"/>
        <v>298</v>
      </c>
      <c r="AJ520" s="27">
        <f t="shared" ca="1" si="559"/>
        <v>47</v>
      </c>
      <c r="AK520" s="27">
        <f t="shared" ca="1" si="560"/>
        <v>143</v>
      </c>
      <c r="AL520" s="27">
        <f t="shared" ca="1" si="561"/>
        <v>544</v>
      </c>
      <c r="AM520" s="27">
        <f t="shared" ca="1" si="562"/>
        <v>78</v>
      </c>
      <c r="AN520" s="27">
        <f t="shared" ca="1" si="563"/>
        <v>4061</v>
      </c>
      <c r="AO520">
        <v>4313</v>
      </c>
      <c r="AP520">
        <v>1453</v>
      </c>
      <c r="AQ520">
        <v>190</v>
      </c>
      <c r="AR520">
        <v>532</v>
      </c>
      <c r="AS520">
        <v>1270</v>
      </c>
      <c r="AT520">
        <v>77</v>
      </c>
      <c r="AU520">
        <v>168</v>
      </c>
      <c r="AV520">
        <v>0.98699999999999999</v>
      </c>
      <c r="AW520" s="1"/>
      <c r="AX520" s="1"/>
      <c r="AY520" s="29">
        <f t="shared" si="564"/>
        <v>29700</v>
      </c>
      <c r="AZ520" s="31">
        <f t="shared" si="565"/>
        <v>165567</v>
      </c>
      <c r="BA520" s="31">
        <f t="shared" ref="BA520" si="572">SUMIF($B$2:$B$571,$B520,$U$2:$U$571)</f>
        <v>105760</v>
      </c>
      <c r="BB520" s="30">
        <f t="shared" si="567"/>
        <v>0.63877463504200716</v>
      </c>
    </row>
    <row r="521" spans="2:54" x14ac:dyDescent="0.5">
      <c r="B521" s="4">
        <v>2017</v>
      </c>
      <c r="C521" t="s">
        <v>58</v>
      </c>
      <c r="D521" t="s">
        <v>59</v>
      </c>
      <c r="E521">
        <v>5</v>
      </c>
      <c r="F521" t="s">
        <v>38</v>
      </c>
      <c r="G521" t="s">
        <v>38</v>
      </c>
      <c r="H521" t="s">
        <v>38</v>
      </c>
      <c r="I521" t="s">
        <v>38</v>
      </c>
      <c r="J521">
        <v>64</v>
      </c>
      <c r="K521">
        <v>98</v>
      </c>
      <c r="L521">
        <v>735</v>
      </c>
      <c r="M521" s="20">
        <v>5556</v>
      </c>
      <c r="N521" s="20">
        <v>1435</v>
      </c>
      <c r="O521" s="20">
        <f t="shared" si="554"/>
        <v>924</v>
      </c>
      <c r="P521" s="20">
        <v>289</v>
      </c>
      <c r="Q521" s="20">
        <v>35</v>
      </c>
      <c r="R521" s="20">
        <v>187</v>
      </c>
      <c r="S521" s="20">
        <v>503</v>
      </c>
      <c r="T521" s="20">
        <v>52</v>
      </c>
      <c r="U521" s="20">
        <f t="shared" si="555"/>
        <v>3566</v>
      </c>
      <c r="V521">
        <v>1313</v>
      </c>
      <c r="W521">
        <v>65</v>
      </c>
      <c r="X521">
        <v>34</v>
      </c>
      <c r="Y521">
        <v>27</v>
      </c>
      <c r="Z521">
        <v>894</v>
      </c>
      <c r="AA521">
        <v>846</v>
      </c>
      <c r="AB521">
        <v>5.36</v>
      </c>
      <c r="AC521">
        <v>2</v>
      </c>
      <c r="AD521">
        <v>4</v>
      </c>
      <c r="AE521">
        <v>32</v>
      </c>
      <c r="AF521" s="27">
        <f t="shared" ca="1" si="542"/>
        <v>6251</v>
      </c>
      <c r="AG521" s="27">
        <f t="shared" ca="1" si="556"/>
        <v>1365</v>
      </c>
      <c r="AH521" s="27">
        <f t="shared" ca="1" si="557"/>
        <v>737</v>
      </c>
      <c r="AI521" s="27">
        <f t="shared" ca="1" si="558"/>
        <v>386</v>
      </c>
      <c r="AJ521" s="27">
        <f t="shared" ca="1" si="559"/>
        <v>32</v>
      </c>
      <c r="AK521" s="27">
        <f t="shared" ca="1" si="560"/>
        <v>210</v>
      </c>
      <c r="AL521" s="27">
        <f t="shared" ca="1" si="561"/>
        <v>422</v>
      </c>
      <c r="AM521" s="27">
        <f t="shared" ca="1" si="562"/>
        <v>39</v>
      </c>
      <c r="AN521" s="27">
        <f t="shared" ca="1" si="563"/>
        <v>4425</v>
      </c>
      <c r="AO521">
        <v>4261</v>
      </c>
      <c r="AP521">
        <v>1587</v>
      </c>
      <c r="AQ521">
        <v>218</v>
      </c>
      <c r="AR521">
        <v>538</v>
      </c>
      <c r="AS521">
        <v>1202</v>
      </c>
      <c r="AT521">
        <v>84</v>
      </c>
      <c r="AU521">
        <v>146</v>
      </c>
      <c r="AV521">
        <v>0.98499999999999999</v>
      </c>
      <c r="AW521" s="1"/>
      <c r="AX521" s="1"/>
      <c r="AY521" s="29">
        <f t="shared" si="564"/>
        <v>29700</v>
      </c>
      <c r="AZ521" s="31">
        <f t="shared" si="565"/>
        <v>165567</v>
      </c>
      <c r="BA521" s="31"/>
      <c r="BB521" s="30">
        <f t="shared" si="567"/>
        <v>0</v>
      </c>
    </row>
    <row r="522" spans="2:54" x14ac:dyDescent="0.5">
      <c r="B522" s="4">
        <v>2017</v>
      </c>
      <c r="C522" t="s">
        <v>62</v>
      </c>
      <c r="D522" t="s">
        <v>63</v>
      </c>
      <c r="E522">
        <v>1</v>
      </c>
      <c r="F522" t="s">
        <v>43</v>
      </c>
      <c r="G522" t="s">
        <v>38</v>
      </c>
      <c r="H522" t="s">
        <v>43</v>
      </c>
      <c r="I522" t="s">
        <v>43</v>
      </c>
      <c r="J522">
        <v>101</v>
      </c>
      <c r="K522">
        <v>61</v>
      </c>
      <c r="L522">
        <v>896</v>
      </c>
      <c r="M522" s="20">
        <v>5611</v>
      </c>
      <c r="N522" s="20">
        <v>1581</v>
      </c>
      <c r="O522" s="20">
        <f t="shared" si="554"/>
        <v>977</v>
      </c>
      <c r="P522" s="20">
        <v>346</v>
      </c>
      <c r="Q522" s="20">
        <v>20</v>
      </c>
      <c r="R522" s="20">
        <v>238</v>
      </c>
      <c r="S522" s="20">
        <v>509</v>
      </c>
      <c r="T522" s="20">
        <v>70</v>
      </c>
      <c r="U522" s="20">
        <f t="shared" si="555"/>
        <v>3451</v>
      </c>
      <c r="V522">
        <v>1087</v>
      </c>
      <c r="W522">
        <v>98</v>
      </c>
      <c r="X522">
        <v>42</v>
      </c>
      <c r="Y522">
        <v>61</v>
      </c>
      <c r="Z522">
        <v>700</v>
      </c>
      <c r="AA522">
        <v>662</v>
      </c>
      <c r="AB522">
        <v>4.12</v>
      </c>
      <c r="AC522">
        <v>1</v>
      </c>
      <c r="AD522">
        <v>9</v>
      </c>
      <c r="AE522">
        <v>45</v>
      </c>
      <c r="AF522" s="27">
        <f t="shared" ca="1" si="542"/>
        <v>6219</v>
      </c>
      <c r="AG522" s="27">
        <f t="shared" ca="1" si="556"/>
        <v>1515</v>
      </c>
      <c r="AH522" s="27">
        <f t="shared" ca="1" si="557"/>
        <v>992</v>
      </c>
      <c r="AI522" s="27">
        <f t="shared" ca="1" si="558"/>
        <v>286</v>
      </c>
      <c r="AJ522" s="27">
        <f t="shared" ca="1" si="559"/>
        <v>31</v>
      </c>
      <c r="AK522" s="27">
        <f t="shared" ca="1" si="560"/>
        <v>206</v>
      </c>
      <c r="AL522" s="27">
        <f t="shared" ca="1" si="561"/>
        <v>615</v>
      </c>
      <c r="AM522" s="27">
        <f t="shared" ca="1" si="562"/>
        <v>88</v>
      </c>
      <c r="AN522" s="27">
        <f t="shared" ca="1" si="563"/>
        <v>4001</v>
      </c>
      <c r="AO522">
        <v>4338</v>
      </c>
      <c r="AP522">
        <v>1314</v>
      </c>
      <c r="AQ522">
        <v>192</v>
      </c>
      <c r="AR522">
        <v>522</v>
      </c>
      <c r="AS522">
        <v>1593</v>
      </c>
      <c r="AT522">
        <v>99</v>
      </c>
      <c r="AU522">
        <v>153</v>
      </c>
      <c r="AV522">
        <v>0.98299999999999998</v>
      </c>
      <c r="AW522" s="1"/>
      <c r="AX522" s="1"/>
      <c r="AY522" s="29">
        <f t="shared" si="564"/>
        <v>29700</v>
      </c>
      <c r="AZ522" s="31">
        <f t="shared" si="565"/>
        <v>165567</v>
      </c>
      <c r="BA522" s="31">
        <f t="shared" ref="BA522" si="573">SUMIF($B$2:$B$571,$B522,$O$2:$O$571)</f>
        <v>26918</v>
      </c>
      <c r="BB522" s="30">
        <f t="shared" si="567"/>
        <v>0.16258070750813869</v>
      </c>
    </row>
    <row r="523" spans="2:54" x14ac:dyDescent="0.5">
      <c r="B523" s="4">
        <v>2017</v>
      </c>
      <c r="C523" t="s">
        <v>64</v>
      </c>
      <c r="D523" t="s">
        <v>65</v>
      </c>
      <c r="E523">
        <v>3</v>
      </c>
      <c r="F523" t="s">
        <v>38</v>
      </c>
      <c r="G523" t="s">
        <v>38</v>
      </c>
      <c r="H523" t="s">
        <v>38</v>
      </c>
      <c r="I523" t="s">
        <v>38</v>
      </c>
      <c r="J523">
        <v>80</v>
      </c>
      <c r="K523">
        <v>82</v>
      </c>
      <c r="L523">
        <v>702</v>
      </c>
      <c r="M523" s="20">
        <v>5536</v>
      </c>
      <c r="N523" s="20">
        <v>1436</v>
      </c>
      <c r="O523" s="20">
        <f t="shared" si="554"/>
        <v>959</v>
      </c>
      <c r="P523" s="20">
        <v>260</v>
      </c>
      <c r="Q523" s="20">
        <v>24</v>
      </c>
      <c r="R523" s="20">
        <v>193</v>
      </c>
      <c r="S523" s="20">
        <v>390</v>
      </c>
      <c r="T523" s="20">
        <v>45</v>
      </c>
      <c r="U523" s="20">
        <f t="shared" si="555"/>
        <v>3665</v>
      </c>
      <c r="V523">
        <v>1166</v>
      </c>
      <c r="W523">
        <v>91</v>
      </c>
      <c r="X523">
        <v>31</v>
      </c>
      <c r="Y523">
        <v>37</v>
      </c>
      <c r="Z523">
        <v>791</v>
      </c>
      <c r="AA523">
        <v>737</v>
      </c>
      <c r="AB523">
        <v>4.6100000000000003</v>
      </c>
      <c r="AC523">
        <v>1</v>
      </c>
      <c r="AD523">
        <v>6</v>
      </c>
      <c r="AE523">
        <v>39</v>
      </c>
      <c r="AF523" s="27">
        <f t="shared" ca="1" si="542"/>
        <v>6112</v>
      </c>
      <c r="AG523" s="27">
        <f t="shared" ca="1" si="556"/>
        <v>1355</v>
      </c>
      <c r="AH523" s="27">
        <f t="shared" ca="1" si="557"/>
        <v>772</v>
      </c>
      <c r="AI523" s="27">
        <f t="shared" ca="1" si="558"/>
        <v>325</v>
      </c>
      <c r="AJ523" s="27">
        <f t="shared" ca="1" si="559"/>
        <v>41</v>
      </c>
      <c r="AK523" s="27">
        <f t="shared" ca="1" si="560"/>
        <v>217</v>
      </c>
      <c r="AL523" s="27">
        <f t="shared" ca="1" si="561"/>
        <v>617</v>
      </c>
      <c r="AM523" s="27">
        <f t="shared" ca="1" si="562"/>
        <v>88</v>
      </c>
      <c r="AN523" s="27">
        <f t="shared" ca="1" si="563"/>
        <v>4052</v>
      </c>
      <c r="AO523">
        <v>4313</v>
      </c>
      <c r="AP523">
        <v>1480</v>
      </c>
      <c r="AQ523">
        <v>196</v>
      </c>
      <c r="AR523">
        <v>519</v>
      </c>
      <c r="AS523">
        <v>1216</v>
      </c>
      <c r="AT523">
        <v>79</v>
      </c>
      <c r="AU523">
        <v>145</v>
      </c>
      <c r="AV523">
        <v>0.98699999999999999</v>
      </c>
      <c r="AW523" s="1"/>
      <c r="AX523" s="1"/>
      <c r="AY523" s="29">
        <f t="shared" si="564"/>
        <v>29700</v>
      </c>
      <c r="AZ523" s="31">
        <f t="shared" si="565"/>
        <v>165567</v>
      </c>
      <c r="BA523" s="31">
        <f t="shared" ref="BA523" si="574">SUMIF($B$2:$B$571,$B523,$P$2:$P$571)</f>
        <v>8397</v>
      </c>
      <c r="BB523" s="30">
        <f t="shared" si="567"/>
        <v>5.0716628313613218E-2</v>
      </c>
    </row>
    <row r="524" spans="2:54" x14ac:dyDescent="0.5">
      <c r="B524" s="4">
        <v>2017</v>
      </c>
      <c r="C524" t="s">
        <v>98</v>
      </c>
      <c r="D524" t="s">
        <v>99</v>
      </c>
      <c r="E524">
        <v>2</v>
      </c>
      <c r="F524" t="s">
        <v>38</v>
      </c>
      <c r="G524" t="s">
        <v>38</v>
      </c>
      <c r="H524" t="s">
        <v>38</v>
      </c>
      <c r="I524" t="s">
        <v>38</v>
      </c>
      <c r="J524">
        <v>80</v>
      </c>
      <c r="K524">
        <v>82</v>
      </c>
      <c r="L524">
        <v>710</v>
      </c>
      <c r="M524" s="20">
        <v>5415</v>
      </c>
      <c r="N524" s="20">
        <v>1314</v>
      </c>
      <c r="O524" s="20">
        <f t="shared" si="554"/>
        <v>863</v>
      </c>
      <c r="P524" s="20">
        <v>251</v>
      </c>
      <c r="Q524" s="20">
        <v>14</v>
      </c>
      <c r="R524" s="20">
        <v>186</v>
      </c>
      <c r="S524" s="20">
        <v>523</v>
      </c>
      <c r="T524" s="20">
        <v>70</v>
      </c>
      <c r="U524" s="20">
        <f t="shared" si="555"/>
        <v>3508</v>
      </c>
      <c r="V524">
        <v>1198</v>
      </c>
      <c r="W524">
        <v>136</v>
      </c>
      <c r="X524">
        <v>44</v>
      </c>
      <c r="Y524">
        <v>46</v>
      </c>
      <c r="Z524">
        <v>709</v>
      </c>
      <c r="AA524">
        <v>672</v>
      </c>
      <c r="AB524">
        <v>4.2</v>
      </c>
      <c r="AC524">
        <v>1</v>
      </c>
      <c r="AD524">
        <v>10</v>
      </c>
      <c r="AE524">
        <v>43</v>
      </c>
      <c r="AF524" s="27">
        <f t="shared" ca="1" si="542"/>
        <v>6334</v>
      </c>
      <c r="AG524" s="27">
        <f t="shared" ca="1" si="556"/>
        <v>1632</v>
      </c>
      <c r="AH524" s="27">
        <f t="shared" ca="1" si="557"/>
        <v>1108</v>
      </c>
      <c r="AI524" s="27">
        <f t="shared" ca="1" si="558"/>
        <v>323</v>
      </c>
      <c r="AJ524" s="27">
        <f t="shared" ca="1" si="559"/>
        <v>38</v>
      </c>
      <c r="AK524" s="27">
        <f t="shared" ca="1" si="560"/>
        <v>163</v>
      </c>
      <c r="AL524" s="27">
        <f t="shared" ca="1" si="561"/>
        <v>641</v>
      </c>
      <c r="AM524" s="27">
        <f t="shared" ca="1" si="562"/>
        <v>85</v>
      </c>
      <c r="AN524" s="27">
        <f t="shared" ca="1" si="563"/>
        <v>3976</v>
      </c>
      <c r="AO524">
        <v>4322</v>
      </c>
      <c r="AP524">
        <v>1373</v>
      </c>
      <c r="AQ524">
        <v>224</v>
      </c>
      <c r="AR524">
        <v>470</v>
      </c>
      <c r="AS524">
        <v>1312</v>
      </c>
      <c r="AT524">
        <v>80</v>
      </c>
      <c r="AU524">
        <v>135</v>
      </c>
      <c r="AV524">
        <v>0.98599999999999999</v>
      </c>
      <c r="AW524" s="1"/>
      <c r="AX524" s="1"/>
      <c r="AY524" s="29">
        <f t="shared" si="564"/>
        <v>29700</v>
      </c>
      <c r="AZ524" s="31">
        <f t="shared" si="565"/>
        <v>165567</v>
      </c>
      <c r="BA524" s="31">
        <f t="shared" ref="BA524" si="575">SUMIF($B$2:$B$571,$B524,$Q$2:$Q$571)</f>
        <v>795</v>
      </c>
      <c r="BB524" s="30">
        <f t="shared" si="567"/>
        <v>4.8016814945007159E-3</v>
      </c>
    </row>
    <row r="525" spans="2:54" x14ac:dyDescent="0.5">
      <c r="B525" s="4">
        <v>2017</v>
      </c>
      <c r="C525" t="s">
        <v>66</v>
      </c>
      <c r="D525" t="s">
        <v>67</v>
      </c>
      <c r="E525">
        <v>1</v>
      </c>
      <c r="F525" t="s">
        <v>43</v>
      </c>
      <c r="G525" t="s">
        <v>38</v>
      </c>
      <c r="H525" t="s">
        <v>43</v>
      </c>
      <c r="I525" t="s">
        <v>38</v>
      </c>
      <c r="J525">
        <v>104</v>
      </c>
      <c r="K525">
        <v>58</v>
      </c>
      <c r="L525">
        <v>770</v>
      </c>
      <c r="M525" s="20">
        <v>5408</v>
      </c>
      <c r="N525" s="20">
        <v>1347</v>
      </c>
      <c r="O525" s="20">
        <f t="shared" si="554"/>
        <v>794</v>
      </c>
      <c r="P525" s="20">
        <v>312</v>
      </c>
      <c r="Q525" s="20">
        <v>20</v>
      </c>
      <c r="R525" s="20">
        <v>221</v>
      </c>
      <c r="S525" s="20">
        <v>649</v>
      </c>
      <c r="T525" s="20">
        <v>64</v>
      </c>
      <c r="U525" s="20">
        <f t="shared" si="555"/>
        <v>3348</v>
      </c>
      <c r="V525">
        <v>1380</v>
      </c>
      <c r="W525">
        <v>77</v>
      </c>
      <c r="X525">
        <v>28</v>
      </c>
      <c r="Y525">
        <v>38</v>
      </c>
      <c r="Z525">
        <v>580</v>
      </c>
      <c r="AA525">
        <v>543</v>
      </c>
      <c r="AB525">
        <v>3.38</v>
      </c>
      <c r="AC525">
        <v>2</v>
      </c>
      <c r="AD525">
        <v>16</v>
      </c>
      <c r="AE525">
        <v>51</v>
      </c>
      <c r="AF525" s="27">
        <f t="shared" ca="1" si="542"/>
        <v>6379</v>
      </c>
      <c r="AG525" s="27">
        <f t="shared" ca="1" si="556"/>
        <v>1347</v>
      </c>
      <c r="AH525" s="27">
        <f t="shared" ca="1" si="557"/>
        <v>847</v>
      </c>
      <c r="AI525" s="27">
        <f t="shared" ca="1" si="558"/>
        <v>240</v>
      </c>
      <c r="AJ525" s="27">
        <f t="shared" ca="1" si="559"/>
        <v>46</v>
      </c>
      <c r="AK525" s="27">
        <f t="shared" ca="1" si="560"/>
        <v>214</v>
      </c>
      <c r="AL525" s="27">
        <f t="shared" ca="1" si="561"/>
        <v>567</v>
      </c>
      <c r="AM525" s="27">
        <f t="shared" ca="1" si="562"/>
        <v>34</v>
      </c>
      <c r="AN525" s="27">
        <f t="shared" ca="1" si="563"/>
        <v>4431</v>
      </c>
      <c r="AO525">
        <v>4334</v>
      </c>
      <c r="AP525">
        <v>1226</v>
      </c>
      <c r="AQ525">
        <v>184</v>
      </c>
      <c r="AR525">
        <v>442</v>
      </c>
      <c r="AS525">
        <v>1549</v>
      </c>
      <c r="AT525">
        <v>88</v>
      </c>
      <c r="AU525">
        <v>131</v>
      </c>
      <c r="AV525">
        <v>0.98499999999999999</v>
      </c>
      <c r="AW525" s="1"/>
      <c r="AX525" s="1"/>
      <c r="AY525" s="29">
        <f t="shared" si="564"/>
        <v>29700</v>
      </c>
      <c r="AZ525" s="31">
        <f t="shared" si="565"/>
        <v>165567</v>
      </c>
      <c r="BA525" s="31">
        <f t="shared" ref="BA525" si="576">SUMIF($B$2:$B$571,$B525,$R$2:$R$571)</f>
        <v>6105</v>
      </c>
      <c r="BB525" s="30">
        <f t="shared" si="567"/>
        <v>3.6873289967203612E-2</v>
      </c>
    </row>
    <row r="526" spans="2:54" x14ac:dyDescent="0.5">
      <c r="B526" s="4">
        <v>2017</v>
      </c>
      <c r="C526" t="s">
        <v>103</v>
      </c>
      <c r="D526" t="s">
        <v>104</v>
      </c>
      <c r="E526">
        <v>2</v>
      </c>
      <c r="F526" t="s">
        <v>38</v>
      </c>
      <c r="G526" t="s">
        <v>38</v>
      </c>
      <c r="H526" t="s">
        <v>38</v>
      </c>
      <c r="I526" t="s">
        <v>38</v>
      </c>
      <c r="J526">
        <v>77</v>
      </c>
      <c r="K526">
        <v>85</v>
      </c>
      <c r="L526">
        <v>778</v>
      </c>
      <c r="M526" s="20">
        <v>5602</v>
      </c>
      <c r="N526" s="20">
        <v>1497</v>
      </c>
      <c r="O526" s="20">
        <f t="shared" si="554"/>
        <v>1001</v>
      </c>
      <c r="P526" s="20">
        <v>271</v>
      </c>
      <c r="Q526" s="20">
        <v>31</v>
      </c>
      <c r="R526" s="20">
        <v>194</v>
      </c>
      <c r="S526" s="20">
        <v>486</v>
      </c>
      <c r="T526" s="20">
        <v>67</v>
      </c>
      <c r="U526" s="20">
        <f t="shared" si="555"/>
        <v>3552</v>
      </c>
      <c r="V526">
        <v>1282</v>
      </c>
      <c r="W526">
        <v>91</v>
      </c>
      <c r="X526">
        <v>30</v>
      </c>
      <c r="Y526">
        <v>41</v>
      </c>
      <c r="Z526">
        <v>822</v>
      </c>
      <c r="AA526">
        <v>772</v>
      </c>
      <c r="AB526">
        <v>4.82</v>
      </c>
      <c r="AC526">
        <v>1</v>
      </c>
      <c r="AD526">
        <v>7</v>
      </c>
      <c r="AE526">
        <v>34</v>
      </c>
      <c r="AF526" s="27">
        <f t="shared" ca="1" si="542"/>
        <v>6344</v>
      </c>
      <c r="AG526" s="27">
        <f t="shared" ca="1" si="556"/>
        <v>1660</v>
      </c>
      <c r="AH526" s="27">
        <f t="shared" ca="1" si="557"/>
        <v>1197</v>
      </c>
      <c r="AI526" s="27">
        <f t="shared" ca="1" si="558"/>
        <v>276</v>
      </c>
      <c r="AJ526" s="27">
        <f t="shared" ca="1" si="559"/>
        <v>25</v>
      </c>
      <c r="AK526" s="27">
        <f t="shared" ca="1" si="560"/>
        <v>162</v>
      </c>
      <c r="AL526" s="27">
        <f t="shared" ca="1" si="561"/>
        <v>552</v>
      </c>
      <c r="AM526" s="27">
        <f t="shared" ca="1" si="562"/>
        <v>61</v>
      </c>
      <c r="AN526" s="27">
        <f t="shared" ca="1" si="563"/>
        <v>4071</v>
      </c>
      <c r="AO526">
        <v>4328</v>
      </c>
      <c r="AP526">
        <v>1450</v>
      </c>
      <c r="AQ526">
        <v>193</v>
      </c>
      <c r="AR526">
        <v>627</v>
      </c>
      <c r="AS526">
        <v>1202</v>
      </c>
      <c r="AT526">
        <v>73</v>
      </c>
      <c r="AU526">
        <v>156</v>
      </c>
      <c r="AV526">
        <v>0.98799999999999999</v>
      </c>
      <c r="AW526" s="1"/>
      <c r="AX526" s="1"/>
      <c r="AY526" s="29">
        <f t="shared" si="564"/>
        <v>29700</v>
      </c>
      <c r="AZ526" s="31">
        <f t="shared" si="565"/>
        <v>165567</v>
      </c>
      <c r="BA526" s="31">
        <f t="shared" ref="BA526" si="577">SUMIF($B$2:$B$571,$B526,$S$2:$S$571)</f>
        <v>15829</v>
      </c>
      <c r="BB526" s="30">
        <f t="shared" si="567"/>
        <v>9.5604800473524307E-2</v>
      </c>
    </row>
    <row r="527" spans="2:54" x14ac:dyDescent="0.5">
      <c r="B527" s="4">
        <v>2017</v>
      </c>
      <c r="C527" t="s">
        <v>68</v>
      </c>
      <c r="D527" t="s">
        <v>69</v>
      </c>
      <c r="E527">
        <v>2</v>
      </c>
      <c r="F527" t="s">
        <v>38</v>
      </c>
      <c r="G527" t="s">
        <v>38</v>
      </c>
      <c r="H527" t="s">
        <v>38</v>
      </c>
      <c r="I527" t="s">
        <v>38</v>
      </c>
      <c r="J527">
        <v>86</v>
      </c>
      <c r="K527">
        <v>76</v>
      </c>
      <c r="L527">
        <v>732</v>
      </c>
      <c r="M527" s="20">
        <v>5467</v>
      </c>
      <c r="N527" s="20">
        <v>1363</v>
      </c>
      <c r="O527" s="20">
        <f t="shared" si="554"/>
        <v>850</v>
      </c>
      <c r="P527" s="20">
        <v>267</v>
      </c>
      <c r="Q527" s="20">
        <v>22</v>
      </c>
      <c r="R527" s="20">
        <v>224</v>
      </c>
      <c r="S527" s="20">
        <v>547</v>
      </c>
      <c r="T527" s="20">
        <v>53</v>
      </c>
      <c r="U527" s="20">
        <f t="shared" si="555"/>
        <v>3504</v>
      </c>
      <c r="V527">
        <v>1571</v>
      </c>
      <c r="W527">
        <v>128</v>
      </c>
      <c r="X527">
        <v>41</v>
      </c>
      <c r="Y527">
        <v>26</v>
      </c>
      <c r="Z527">
        <v>697</v>
      </c>
      <c r="AA527">
        <v>642</v>
      </c>
      <c r="AB527">
        <v>4</v>
      </c>
      <c r="AC527">
        <v>1</v>
      </c>
      <c r="AD527">
        <v>12</v>
      </c>
      <c r="AE527">
        <v>54</v>
      </c>
      <c r="AF527" s="27">
        <f t="shared" ca="1" si="542"/>
        <v>6204</v>
      </c>
      <c r="AG527" s="27">
        <f t="shared" ca="1" si="556"/>
        <v>1504</v>
      </c>
      <c r="AH527" s="27">
        <f t="shared" ca="1" si="557"/>
        <v>993</v>
      </c>
      <c r="AI527" s="27">
        <f t="shared" ca="1" si="558"/>
        <v>310</v>
      </c>
      <c r="AJ527" s="27">
        <f t="shared" ca="1" si="559"/>
        <v>30</v>
      </c>
      <c r="AK527" s="27">
        <f t="shared" ca="1" si="560"/>
        <v>171</v>
      </c>
      <c r="AL527" s="27">
        <f t="shared" ca="1" si="561"/>
        <v>583</v>
      </c>
      <c r="AM527" s="27">
        <f t="shared" ca="1" si="562"/>
        <v>35</v>
      </c>
      <c r="AN527" s="27">
        <f t="shared" ca="1" si="563"/>
        <v>4082</v>
      </c>
      <c r="AO527">
        <v>4337</v>
      </c>
      <c r="AP527">
        <v>1381</v>
      </c>
      <c r="AQ527">
        <v>185</v>
      </c>
      <c r="AR527">
        <v>553</v>
      </c>
      <c r="AS527">
        <v>1346</v>
      </c>
      <c r="AT527">
        <v>115</v>
      </c>
      <c r="AU527">
        <v>164</v>
      </c>
      <c r="AV527">
        <v>0.98099999999999998</v>
      </c>
      <c r="AW527" s="1"/>
      <c r="AX527" s="1"/>
      <c r="AY527" s="29">
        <f t="shared" si="564"/>
        <v>29700</v>
      </c>
      <c r="AZ527" s="31">
        <f t="shared" si="565"/>
        <v>165567</v>
      </c>
      <c r="BA527" s="31">
        <f t="shared" ref="BA527" si="578">SUMIF($B$2:$B$571,$B527,$T$2:$T$571)</f>
        <v>1763</v>
      </c>
      <c r="BB527" s="30">
        <f t="shared" si="567"/>
        <v>1.0648257201012279E-2</v>
      </c>
    </row>
    <row r="528" spans="2:54" x14ac:dyDescent="0.5">
      <c r="B528" s="4">
        <v>2017</v>
      </c>
      <c r="C528" t="s">
        <v>70</v>
      </c>
      <c r="D528" t="s">
        <v>71</v>
      </c>
      <c r="E528">
        <v>2</v>
      </c>
      <c r="F528" t="s">
        <v>38</v>
      </c>
      <c r="G528" t="s">
        <v>43</v>
      </c>
      <c r="H528" t="s">
        <v>38</v>
      </c>
      <c r="I528" t="s">
        <v>38</v>
      </c>
      <c r="J528">
        <v>85</v>
      </c>
      <c r="K528">
        <v>77</v>
      </c>
      <c r="L528">
        <v>815</v>
      </c>
      <c r="M528" s="20">
        <v>5557</v>
      </c>
      <c r="N528" s="20">
        <v>1444</v>
      </c>
      <c r="O528" s="20">
        <f t="shared" si="554"/>
        <v>921</v>
      </c>
      <c r="P528" s="20">
        <v>286</v>
      </c>
      <c r="Q528" s="20">
        <v>31</v>
      </c>
      <c r="R528" s="20">
        <v>206</v>
      </c>
      <c r="S528" s="20">
        <v>593</v>
      </c>
      <c r="T528" s="20">
        <v>46</v>
      </c>
      <c r="U528" s="20">
        <f t="shared" si="555"/>
        <v>3474</v>
      </c>
      <c r="V528">
        <v>1342</v>
      </c>
      <c r="W528">
        <v>95</v>
      </c>
      <c r="X528">
        <v>28</v>
      </c>
      <c r="Y528">
        <v>39</v>
      </c>
      <c r="Z528">
        <v>788</v>
      </c>
      <c r="AA528">
        <v>732</v>
      </c>
      <c r="AB528">
        <v>4.59</v>
      </c>
      <c r="AC528">
        <v>6</v>
      </c>
      <c r="AD528">
        <v>11</v>
      </c>
      <c r="AE528">
        <v>42</v>
      </c>
      <c r="AF528" s="27">
        <f t="shared" ca="1" si="542"/>
        <v>6461</v>
      </c>
      <c r="AG528" s="27">
        <f t="shared" ca="1" si="556"/>
        <v>1309</v>
      </c>
      <c r="AH528" s="27">
        <f t="shared" ca="1" si="557"/>
        <v>819</v>
      </c>
      <c r="AI528" s="27">
        <f t="shared" ca="1" si="558"/>
        <v>303</v>
      </c>
      <c r="AJ528" s="27">
        <f t="shared" ca="1" si="559"/>
        <v>23</v>
      </c>
      <c r="AK528" s="27">
        <f t="shared" ca="1" si="560"/>
        <v>164</v>
      </c>
      <c r="AL528" s="27">
        <f t="shared" ca="1" si="561"/>
        <v>522</v>
      </c>
      <c r="AM528" s="27">
        <f t="shared" ca="1" si="562"/>
        <v>74</v>
      </c>
      <c r="AN528" s="27">
        <f t="shared" ca="1" si="563"/>
        <v>4556</v>
      </c>
      <c r="AO528">
        <v>4308</v>
      </c>
      <c r="AP528">
        <v>1487</v>
      </c>
      <c r="AQ528">
        <v>224</v>
      </c>
      <c r="AR528">
        <v>483</v>
      </c>
      <c r="AS528">
        <v>1166</v>
      </c>
      <c r="AT528">
        <v>78</v>
      </c>
      <c r="AU528">
        <v>143</v>
      </c>
      <c r="AV528">
        <v>0.98699999999999999</v>
      </c>
      <c r="AW528" s="1"/>
      <c r="AX528" s="1"/>
      <c r="AY528" s="29">
        <f t="shared" si="564"/>
        <v>29700</v>
      </c>
      <c r="AZ528" s="31">
        <f t="shared" si="565"/>
        <v>165567</v>
      </c>
      <c r="BA528" s="31">
        <f t="shared" ref="BA528" si="579">SUMIF($B$2:$B$571,$B528,$U$2:$U$571)</f>
        <v>105760</v>
      </c>
      <c r="BB528" s="30">
        <f t="shared" si="567"/>
        <v>0.63877463504200716</v>
      </c>
    </row>
    <row r="529" spans="2:54" x14ac:dyDescent="0.5">
      <c r="B529" s="4">
        <v>2017</v>
      </c>
      <c r="C529" t="s">
        <v>74</v>
      </c>
      <c r="D529" t="s">
        <v>75</v>
      </c>
      <c r="E529">
        <v>2</v>
      </c>
      <c r="F529" t="s">
        <v>38</v>
      </c>
      <c r="G529" t="s">
        <v>43</v>
      </c>
      <c r="H529" t="s">
        <v>38</v>
      </c>
      <c r="I529" t="s">
        <v>38</v>
      </c>
      <c r="J529">
        <v>91</v>
      </c>
      <c r="K529">
        <v>71</v>
      </c>
      <c r="L529">
        <v>858</v>
      </c>
      <c r="M529" s="20">
        <v>5594</v>
      </c>
      <c r="N529" s="20">
        <v>1463</v>
      </c>
      <c r="O529" s="20">
        <f t="shared" si="554"/>
        <v>933</v>
      </c>
      <c r="P529" s="20">
        <v>266</v>
      </c>
      <c r="Q529" s="20">
        <v>23</v>
      </c>
      <c r="R529" s="20">
        <v>241</v>
      </c>
      <c r="S529" s="20">
        <v>616</v>
      </c>
      <c r="T529" s="20">
        <v>64</v>
      </c>
      <c r="U529" s="20">
        <f t="shared" si="555"/>
        <v>3451</v>
      </c>
      <c r="V529">
        <v>1386</v>
      </c>
      <c r="W529">
        <v>90</v>
      </c>
      <c r="X529">
        <v>22</v>
      </c>
      <c r="Y529">
        <v>56</v>
      </c>
      <c r="Z529">
        <v>660</v>
      </c>
      <c r="AA529">
        <v>599</v>
      </c>
      <c r="AB529">
        <v>3.72</v>
      </c>
      <c r="AC529">
        <v>2</v>
      </c>
      <c r="AD529">
        <v>7</v>
      </c>
      <c r="AE529">
        <v>36</v>
      </c>
      <c r="AF529" s="27">
        <f t="shared" ca="1" si="542"/>
        <v>6245</v>
      </c>
      <c r="AG529" s="27">
        <f t="shared" ca="1" si="556"/>
        <v>1520</v>
      </c>
      <c r="AH529" s="27">
        <f t="shared" ca="1" si="557"/>
        <v>959</v>
      </c>
      <c r="AI529" s="27">
        <f t="shared" ca="1" si="558"/>
        <v>384</v>
      </c>
      <c r="AJ529" s="27">
        <f t="shared" ca="1" si="559"/>
        <v>40</v>
      </c>
      <c r="AK529" s="27">
        <f t="shared" ca="1" si="560"/>
        <v>137</v>
      </c>
      <c r="AL529" s="27">
        <f t="shared" ca="1" si="561"/>
        <v>577</v>
      </c>
      <c r="AM529" s="27">
        <f t="shared" ca="1" si="562"/>
        <v>46</v>
      </c>
      <c r="AN529" s="27">
        <f t="shared" ca="1" si="563"/>
        <v>4102</v>
      </c>
      <c r="AO529">
        <v>4346</v>
      </c>
      <c r="AP529">
        <v>1248</v>
      </c>
      <c r="AQ529">
        <v>192</v>
      </c>
      <c r="AR529">
        <v>504</v>
      </c>
      <c r="AS529">
        <v>1560</v>
      </c>
      <c r="AT529">
        <v>95</v>
      </c>
      <c r="AU529">
        <v>102</v>
      </c>
      <c r="AV529">
        <v>0.98399999999999999</v>
      </c>
      <c r="AW529" s="1"/>
      <c r="AX529" s="1"/>
      <c r="AY529" s="29">
        <f t="shared" si="564"/>
        <v>29700</v>
      </c>
      <c r="AZ529" s="31">
        <f t="shared" si="565"/>
        <v>165567</v>
      </c>
      <c r="BA529" s="31"/>
      <c r="BB529" s="30">
        <f t="shared" si="567"/>
        <v>0</v>
      </c>
    </row>
    <row r="530" spans="2:54" x14ac:dyDescent="0.5">
      <c r="B530" s="4">
        <v>2017</v>
      </c>
      <c r="C530" t="s">
        <v>76</v>
      </c>
      <c r="D530" t="s">
        <v>77</v>
      </c>
      <c r="E530">
        <v>4</v>
      </c>
      <c r="F530" t="s">
        <v>38</v>
      </c>
      <c r="G530" t="s">
        <v>38</v>
      </c>
      <c r="H530" t="s">
        <v>38</v>
      </c>
      <c r="I530" t="s">
        <v>38</v>
      </c>
      <c r="J530">
        <v>70</v>
      </c>
      <c r="K530">
        <v>92</v>
      </c>
      <c r="L530">
        <v>735</v>
      </c>
      <c r="M530" s="20">
        <v>5510</v>
      </c>
      <c r="N530" s="20">
        <v>1379</v>
      </c>
      <c r="O530" s="20">
        <f t="shared" si="554"/>
        <v>841</v>
      </c>
      <c r="P530" s="20">
        <v>286</v>
      </c>
      <c r="Q530" s="20">
        <v>28</v>
      </c>
      <c r="R530" s="20">
        <v>224</v>
      </c>
      <c r="S530" s="20">
        <v>529</v>
      </c>
      <c r="T530" s="20">
        <v>57</v>
      </c>
      <c r="U530" s="20">
        <f t="shared" si="555"/>
        <v>3545</v>
      </c>
      <c r="V530">
        <v>1291</v>
      </c>
      <c r="W530">
        <v>58</v>
      </c>
      <c r="X530">
        <v>23</v>
      </c>
      <c r="Y530">
        <v>37</v>
      </c>
      <c r="Z530">
        <v>863</v>
      </c>
      <c r="AA530">
        <v>799</v>
      </c>
      <c r="AB530">
        <v>5.01</v>
      </c>
      <c r="AC530">
        <v>2</v>
      </c>
      <c r="AD530">
        <v>5</v>
      </c>
      <c r="AE530">
        <v>34</v>
      </c>
      <c r="AF530" s="27">
        <f t="shared" ca="1" si="542"/>
        <v>6390</v>
      </c>
      <c r="AG530" s="27">
        <f t="shared" ca="1" si="556"/>
        <v>1614</v>
      </c>
      <c r="AH530" s="27">
        <f t="shared" ca="1" si="557"/>
        <v>1075</v>
      </c>
      <c r="AI530" s="27">
        <f t="shared" ca="1" si="558"/>
        <v>283</v>
      </c>
      <c r="AJ530" s="27">
        <f t="shared" ca="1" si="559"/>
        <v>26</v>
      </c>
      <c r="AK530" s="27">
        <f t="shared" ca="1" si="560"/>
        <v>230</v>
      </c>
      <c r="AL530" s="27">
        <f t="shared" ca="1" si="561"/>
        <v>487</v>
      </c>
      <c r="AM530" s="27">
        <f t="shared" ca="1" si="562"/>
        <v>67</v>
      </c>
      <c r="AN530" s="27">
        <f t="shared" ca="1" si="563"/>
        <v>4222</v>
      </c>
      <c r="AO530">
        <v>4304</v>
      </c>
      <c r="AP530">
        <v>1538</v>
      </c>
      <c r="AQ530">
        <v>220</v>
      </c>
      <c r="AR530">
        <v>593</v>
      </c>
      <c r="AS530">
        <v>1374</v>
      </c>
      <c r="AT530">
        <v>92</v>
      </c>
      <c r="AU530">
        <v>125</v>
      </c>
      <c r="AV530">
        <v>0.98399999999999999</v>
      </c>
      <c r="AW530" s="1"/>
      <c r="AX530" s="1"/>
      <c r="AY530" s="29">
        <f t="shared" si="564"/>
        <v>29700</v>
      </c>
      <c r="AZ530" s="31">
        <f t="shared" si="565"/>
        <v>165567</v>
      </c>
      <c r="BA530" s="31">
        <f t="shared" ref="BA530" si="580">SUMIF($B$2:$B$571,$B530,$O$2:$O$571)</f>
        <v>26918</v>
      </c>
      <c r="BB530" s="30">
        <f t="shared" si="567"/>
        <v>0.16258070750813869</v>
      </c>
    </row>
    <row r="531" spans="2:54" x14ac:dyDescent="0.5">
      <c r="B531" s="4">
        <v>2017</v>
      </c>
      <c r="C531" t="s">
        <v>78</v>
      </c>
      <c r="D531" t="s">
        <v>79</v>
      </c>
      <c r="E531">
        <v>5</v>
      </c>
      <c r="F531" t="s">
        <v>38</v>
      </c>
      <c r="G531" t="s">
        <v>38</v>
      </c>
      <c r="H531" t="s">
        <v>38</v>
      </c>
      <c r="I531" t="s">
        <v>38</v>
      </c>
      <c r="J531">
        <v>75</v>
      </c>
      <c r="K531">
        <v>87</v>
      </c>
      <c r="L531">
        <v>739</v>
      </c>
      <c r="M531" s="20">
        <v>5464</v>
      </c>
      <c r="N531" s="20">
        <v>1344</v>
      </c>
      <c r="O531" s="20">
        <f t="shared" si="554"/>
        <v>790</v>
      </c>
      <c r="P531" s="20">
        <v>305</v>
      </c>
      <c r="Q531" s="20">
        <v>15</v>
      </c>
      <c r="R531" s="20">
        <v>234</v>
      </c>
      <c r="S531" s="20">
        <v>565</v>
      </c>
      <c r="T531" s="20">
        <v>43</v>
      </c>
      <c r="U531" s="20">
        <f t="shared" si="555"/>
        <v>3512</v>
      </c>
      <c r="V531">
        <v>1491</v>
      </c>
      <c r="W531">
        <v>57</v>
      </c>
      <c r="X531">
        <v>22</v>
      </c>
      <c r="Y531">
        <v>40</v>
      </c>
      <c r="Z531">
        <v>826</v>
      </c>
      <c r="AA531">
        <v>743</v>
      </c>
      <c r="AB531">
        <v>4.67</v>
      </c>
      <c r="AC531">
        <v>1</v>
      </c>
      <c r="AD531">
        <v>6</v>
      </c>
      <c r="AE531">
        <v>35</v>
      </c>
      <c r="AF531" s="27">
        <f t="shared" ca="1" si="542"/>
        <v>6253</v>
      </c>
      <c r="AG531" s="27">
        <f t="shared" ca="1" si="556"/>
        <v>1532</v>
      </c>
      <c r="AH531" s="27">
        <f t="shared" ca="1" si="557"/>
        <v>1042</v>
      </c>
      <c r="AI531" s="27">
        <f t="shared" ca="1" si="558"/>
        <v>311</v>
      </c>
      <c r="AJ531" s="27">
        <f t="shared" ca="1" si="559"/>
        <v>34</v>
      </c>
      <c r="AK531" s="27">
        <f t="shared" ca="1" si="560"/>
        <v>145</v>
      </c>
      <c r="AL531" s="27">
        <f t="shared" ca="1" si="561"/>
        <v>698</v>
      </c>
      <c r="AM531" s="27">
        <f t="shared" ca="1" si="562"/>
        <v>45</v>
      </c>
      <c r="AN531" s="27">
        <f t="shared" ca="1" si="563"/>
        <v>3978</v>
      </c>
      <c r="AO531">
        <v>4293</v>
      </c>
      <c r="AP531">
        <v>1444</v>
      </c>
      <c r="AQ531">
        <v>210</v>
      </c>
      <c r="AR531">
        <v>502</v>
      </c>
      <c r="AS531">
        <v>1202</v>
      </c>
      <c r="AT531">
        <v>121</v>
      </c>
      <c r="AU531">
        <v>162</v>
      </c>
      <c r="AV531">
        <v>0.98</v>
      </c>
      <c r="AW531" s="1"/>
      <c r="AX531" s="1"/>
      <c r="AY531" s="29">
        <f t="shared" si="564"/>
        <v>29700</v>
      </c>
      <c r="AZ531" s="31">
        <f t="shared" si="565"/>
        <v>165567</v>
      </c>
      <c r="BA531" s="31">
        <f t="shared" ref="BA531" si="581">SUMIF($B$2:$B$571,$B531,$P$2:$P$571)</f>
        <v>8397</v>
      </c>
      <c r="BB531" s="30">
        <f t="shared" si="567"/>
        <v>5.0716628313613218E-2</v>
      </c>
    </row>
    <row r="532" spans="2:54" x14ac:dyDescent="0.5">
      <c r="B532" s="4">
        <v>2017</v>
      </c>
      <c r="C532" t="s">
        <v>80</v>
      </c>
      <c r="D532" t="s">
        <v>81</v>
      </c>
      <c r="E532">
        <v>5</v>
      </c>
      <c r="F532" t="s">
        <v>38</v>
      </c>
      <c r="G532" t="s">
        <v>38</v>
      </c>
      <c r="H532" t="s">
        <v>38</v>
      </c>
      <c r="I532" t="s">
        <v>38</v>
      </c>
      <c r="J532">
        <v>66</v>
      </c>
      <c r="K532">
        <v>96</v>
      </c>
      <c r="L532">
        <v>690</v>
      </c>
      <c r="M532" s="20">
        <v>5535</v>
      </c>
      <c r="N532" s="20">
        <v>1382</v>
      </c>
      <c r="O532" s="20">
        <f t="shared" si="554"/>
        <v>885</v>
      </c>
      <c r="P532" s="20">
        <v>287</v>
      </c>
      <c r="Q532" s="20">
        <v>36</v>
      </c>
      <c r="R532" s="20">
        <v>174</v>
      </c>
      <c r="S532" s="20">
        <v>494</v>
      </c>
      <c r="T532" s="20">
        <v>47</v>
      </c>
      <c r="U532" s="20">
        <f t="shared" si="555"/>
        <v>3612</v>
      </c>
      <c r="V532">
        <v>1417</v>
      </c>
      <c r="W532">
        <v>59</v>
      </c>
      <c r="X532">
        <v>25</v>
      </c>
      <c r="Y532">
        <v>36</v>
      </c>
      <c r="Z532">
        <v>782</v>
      </c>
      <c r="AA532">
        <v>729</v>
      </c>
      <c r="AB532">
        <v>4.55</v>
      </c>
      <c r="AC532">
        <v>1</v>
      </c>
      <c r="AD532">
        <v>7</v>
      </c>
      <c r="AE532">
        <v>33</v>
      </c>
      <c r="AF532" s="27">
        <f t="shared" ca="1" si="542"/>
        <v>6473</v>
      </c>
      <c r="AG532" s="27">
        <f t="shared" ca="1" si="556"/>
        <v>1403</v>
      </c>
      <c r="AH532" s="27">
        <f t="shared" ca="1" si="557"/>
        <v>793</v>
      </c>
      <c r="AI532" s="27">
        <f t="shared" ca="1" si="558"/>
        <v>345</v>
      </c>
      <c r="AJ532" s="27">
        <f t="shared" ca="1" si="559"/>
        <v>43</v>
      </c>
      <c r="AK532" s="27">
        <f t="shared" ca="1" si="560"/>
        <v>222</v>
      </c>
      <c r="AL532" s="27">
        <f t="shared" ca="1" si="561"/>
        <v>646</v>
      </c>
      <c r="AM532" s="27">
        <f t="shared" ca="1" si="562"/>
        <v>74</v>
      </c>
      <c r="AN532" s="27">
        <f t="shared" ca="1" si="563"/>
        <v>4350</v>
      </c>
      <c r="AO532">
        <v>4323</v>
      </c>
      <c r="AP532">
        <v>1471</v>
      </c>
      <c r="AQ532">
        <v>221</v>
      </c>
      <c r="AR532">
        <v>527</v>
      </c>
      <c r="AS532">
        <v>1309</v>
      </c>
      <c r="AT532">
        <v>82</v>
      </c>
      <c r="AU532">
        <v>145</v>
      </c>
      <c r="AV532">
        <v>0.98599999999999999</v>
      </c>
      <c r="AW532" s="1"/>
      <c r="AX532" s="1"/>
      <c r="AY532" s="29">
        <f t="shared" si="564"/>
        <v>29700</v>
      </c>
      <c r="AZ532" s="31">
        <f t="shared" si="565"/>
        <v>165567</v>
      </c>
      <c r="BA532" s="31">
        <f t="shared" ref="BA532" si="582">SUMIF($B$2:$B$571,$B532,$Q$2:$Q$571)</f>
        <v>795</v>
      </c>
      <c r="BB532" s="30">
        <f t="shared" si="567"/>
        <v>4.8016814945007159E-3</v>
      </c>
    </row>
    <row r="533" spans="2:54" x14ac:dyDescent="0.5">
      <c r="B533" s="4">
        <v>2017</v>
      </c>
      <c r="C533" t="s">
        <v>82</v>
      </c>
      <c r="D533" t="s">
        <v>83</v>
      </c>
      <c r="E533">
        <v>4</v>
      </c>
      <c r="F533" t="s">
        <v>38</v>
      </c>
      <c r="G533" t="s">
        <v>38</v>
      </c>
      <c r="H533" t="s">
        <v>38</v>
      </c>
      <c r="I533" t="s">
        <v>38</v>
      </c>
      <c r="J533">
        <v>75</v>
      </c>
      <c r="K533">
        <v>87</v>
      </c>
      <c r="L533">
        <v>668</v>
      </c>
      <c r="M533" s="20">
        <v>5458</v>
      </c>
      <c r="N533" s="20">
        <v>1331</v>
      </c>
      <c r="O533" s="20">
        <f t="shared" si="554"/>
        <v>895</v>
      </c>
      <c r="P533" s="20">
        <v>249</v>
      </c>
      <c r="Q533" s="20">
        <v>36</v>
      </c>
      <c r="R533" s="20">
        <v>151</v>
      </c>
      <c r="S533" s="20">
        <v>519</v>
      </c>
      <c r="T533" s="20">
        <v>88</v>
      </c>
      <c r="U533" s="20">
        <f t="shared" si="555"/>
        <v>3520</v>
      </c>
      <c r="V533">
        <v>1213</v>
      </c>
      <c r="W533">
        <v>67</v>
      </c>
      <c r="X533">
        <v>36</v>
      </c>
      <c r="Y533">
        <v>28</v>
      </c>
      <c r="Z533">
        <v>731</v>
      </c>
      <c r="AA533">
        <v>676</v>
      </c>
      <c r="AB533">
        <v>4.22</v>
      </c>
      <c r="AC533">
        <v>2</v>
      </c>
      <c r="AD533">
        <v>12</v>
      </c>
      <c r="AE533">
        <v>36</v>
      </c>
      <c r="AF533" s="27">
        <f t="shared" ca="1" si="542"/>
        <v>6248</v>
      </c>
      <c r="AG533" s="27">
        <f t="shared" ca="1" si="556"/>
        <v>1534</v>
      </c>
      <c r="AH533" s="27">
        <f t="shared" ca="1" si="557"/>
        <v>1041</v>
      </c>
      <c r="AI533" s="27">
        <f t="shared" ca="1" si="558"/>
        <v>250</v>
      </c>
      <c r="AJ533" s="27">
        <f t="shared" ca="1" si="559"/>
        <v>21</v>
      </c>
      <c r="AK533" s="27">
        <f t="shared" ca="1" si="560"/>
        <v>222</v>
      </c>
      <c r="AL533" s="27">
        <f t="shared" ca="1" si="561"/>
        <v>585</v>
      </c>
      <c r="AM533" s="27">
        <f t="shared" ca="1" si="562"/>
        <v>51</v>
      </c>
      <c r="AN533" s="27">
        <f t="shared" ca="1" si="563"/>
        <v>4078</v>
      </c>
      <c r="AO533">
        <v>4322</v>
      </c>
      <c r="AP533">
        <v>1464</v>
      </c>
      <c r="AQ533">
        <v>182</v>
      </c>
      <c r="AR533">
        <v>511</v>
      </c>
      <c r="AS533">
        <v>1262</v>
      </c>
      <c r="AT533">
        <v>99</v>
      </c>
      <c r="AU533">
        <v>156</v>
      </c>
      <c r="AV533">
        <v>0.98399999999999999</v>
      </c>
      <c r="AW533" s="1"/>
      <c r="AX533" s="1"/>
      <c r="AY533" s="29">
        <f t="shared" si="564"/>
        <v>29700</v>
      </c>
      <c r="AZ533" s="31">
        <f t="shared" si="565"/>
        <v>165567</v>
      </c>
      <c r="BA533" s="31">
        <f t="shared" ref="BA533" si="583">SUMIF($B$2:$B$571,$B533,$R$2:$R$571)</f>
        <v>6105</v>
      </c>
      <c r="BB533" s="30">
        <f t="shared" si="567"/>
        <v>3.6873289967203612E-2</v>
      </c>
    </row>
    <row r="534" spans="2:54" x14ac:dyDescent="0.5">
      <c r="B534" s="4">
        <v>2017</v>
      </c>
      <c r="C534" t="s">
        <v>84</v>
      </c>
      <c r="D534" t="s">
        <v>85</v>
      </c>
      <c r="E534">
        <v>4</v>
      </c>
      <c r="F534" t="s">
        <v>38</v>
      </c>
      <c r="G534" t="s">
        <v>38</v>
      </c>
      <c r="H534" t="s">
        <v>38</v>
      </c>
      <c r="I534" t="s">
        <v>38</v>
      </c>
      <c r="J534">
        <v>71</v>
      </c>
      <c r="K534">
        <v>91</v>
      </c>
      <c r="L534">
        <v>604</v>
      </c>
      <c r="M534" s="20">
        <v>5356</v>
      </c>
      <c r="N534" s="20">
        <v>1251</v>
      </c>
      <c r="O534" s="20">
        <f t="shared" si="554"/>
        <v>804</v>
      </c>
      <c r="P534" s="20">
        <v>227</v>
      </c>
      <c r="Q534" s="20">
        <v>31</v>
      </c>
      <c r="R534" s="20">
        <v>189</v>
      </c>
      <c r="S534" s="20">
        <v>460</v>
      </c>
      <c r="T534" s="20">
        <v>53</v>
      </c>
      <c r="U534" s="20">
        <f t="shared" si="555"/>
        <v>3592</v>
      </c>
      <c r="V534">
        <v>1499</v>
      </c>
      <c r="W534">
        <v>89</v>
      </c>
      <c r="X534">
        <v>33</v>
      </c>
      <c r="Y534">
        <v>33</v>
      </c>
      <c r="Z534">
        <v>816</v>
      </c>
      <c r="AA534">
        <v>742</v>
      </c>
      <c r="AB534">
        <v>4.67</v>
      </c>
      <c r="AC534">
        <v>2</v>
      </c>
      <c r="AD534">
        <v>12</v>
      </c>
      <c r="AE534">
        <v>45</v>
      </c>
      <c r="AF534" s="27">
        <f t="shared" ca="1" si="542"/>
        <v>6305</v>
      </c>
      <c r="AG534" s="27">
        <f t="shared" ca="1" si="556"/>
        <v>1628</v>
      </c>
      <c r="AH534" s="27">
        <f t="shared" ca="1" si="557"/>
        <v>1087</v>
      </c>
      <c r="AI534" s="27">
        <f t="shared" ca="1" si="558"/>
        <v>318</v>
      </c>
      <c r="AJ534" s="27">
        <f t="shared" ca="1" si="559"/>
        <v>28</v>
      </c>
      <c r="AK534" s="27">
        <f t="shared" ca="1" si="560"/>
        <v>195</v>
      </c>
      <c r="AL534" s="27">
        <f t="shared" ca="1" si="561"/>
        <v>544</v>
      </c>
      <c r="AM534" s="27">
        <f t="shared" ca="1" si="562"/>
        <v>46</v>
      </c>
      <c r="AN534" s="27">
        <f t="shared" ca="1" si="563"/>
        <v>4087</v>
      </c>
      <c r="AO534">
        <v>4292</v>
      </c>
      <c r="AP534">
        <v>1417</v>
      </c>
      <c r="AQ534">
        <v>226</v>
      </c>
      <c r="AR534">
        <v>554</v>
      </c>
      <c r="AS534">
        <v>1325</v>
      </c>
      <c r="AT534">
        <v>113</v>
      </c>
      <c r="AU534">
        <v>177</v>
      </c>
      <c r="AV534">
        <v>0.98099999999999998</v>
      </c>
      <c r="AW534" s="1"/>
      <c r="AX534" s="1"/>
      <c r="AY534" s="29">
        <f t="shared" si="564"/>
        <v>29700</v>
      </c>
      <c r="AZ534" s="31">
        <f t="shared" si="565"/>
        <v>165567</v>
      </c>
      <c r="BA534" s="31">
        <f t="shared" ref="BA534" si="584">SUMIF($B$2:$B$571,$B534,$S$2:$S$571)</f>
        <v>15829</v>
      </c>
      <c r="BB534" s="30">
        <f t="shared" si="567"/>
        <v>9.5604800473524307E-2</v>
      </c>
    </row>
    <row r="535" spans="2:54" x14ac:dyDescent="0.5">
      <c r="B535" s="4">
        <v>2017</v>
      </c>
      <c r="C535" t="s">
        <v>86</v>
      </c>
      <c r="D535" t="s">
        <v>87</v>
      </c>
      <c r="E535">
        <v>3</v>
      </c>
      <c r="F535" t="s">
        <v>38</v>
      </c>
      <c r="G535" t="s">
        <v>38</v>
      </c>
      <c r="H535" t="s">
        <v>38</v>
      </c>
      <c r="I535" t="s">
        <v>38</v>
      </c>
      <c r="J535">
        <v>78</v>
      </c>
      <c r="K535">
        <v>84</v>
      </c>
      <c r="L535">
        <v>750</v>
      </c>
      <c r="M535" s="20">
        <v>5551</v>
      </c>
      <c r="N535" s="20">
        <v>1436</v>
      </c>
      <c r="O535" s="20">
        <f t="shared" si="554"/>
        <v>938</v>
      </c>
      <c r="P535" s="20">
        <v>281</v>
      </c>
      <c r="Q535" s="20">
        <v>17</v>
      </c>
      <c r="R535" s="20">
        <v>200</v>
      </c>
      <c r="S535" s="20">
        <v>487</v>
      </c>
      <c r="T535" s="20">
        <v>78</v>
      </c>
      <c r="U535" s="20">
        <f t="shared" si="555"/>
        <v>3550</v>
      </c>
      <c r="V535">
        <v>1267</v>
      </c>
      <c r="W535">
        <v>89</v>
      </c>
      <c r="X535">
        <v>35</v>
      </c>
      <c r="Y535">
        <v>35</v>
      </c>
      <c r="Z535">
        <v>772</v>
      </c>
      <c r="AA535">
        <v>713</v>
      </c>
      <c r="AB535">
        <v>4.46</v>
      </c>
      <c r="AC535">
        <v>1</v>
      </c>
      <c r="AD535">
        <v>9</v>
      </c>
      <c r="AE535">
        <v>39</v>
      </c>
      <c r="AF535" s="27">
        <f t="shared" ca="1" si="542"/>
        <v>6120</v>
      </c>
      <c r="AG535" s="27">
        <f t="shared" ca="1" si="556"/>
        <v>1609</v>
      </c>
      <c r="AH535" s="27">
        <f t="shared" ca="1" si="557"/>
        <v>1122</v>
      </c>
      <c r="AI535" s="27">
        <f t="shared" ca="1" si="558"/>
        <v>232</v>
      </c>
      <c r="AJ535" s="27">
        <f t="shared" ca="1" si="559"/>
        <v>21</v>
      </c>
      <c r="AK535" s="27">
        <f t="shared" ca="1" si="560"/>
        <v>234</v>
      </c>
      <c r="AL535" s="27">
        <f t="shared" ca="1" si="561"/>
        <v>558</v>
      </c>
      <c r="AM535" s="27">
        <f t="shared" ca="1" si="562"/>
        <v>75</v>
      </c>
      <c r="AN535" s="27">
        <f t="shared" ca="1" si="563"/>
        <v>3878</v>
      </c>
      <c r="AO535">
        <v>4321</v>
      </c>
      <c r="AP535">
        <v>1399</v>
      </c>
      <c r="AQ535">
        <v>237</v>
      </c>
      <c r="AR535">
        <v>490</v>
      </c>
      <c r="AS535">
        <v>1244</v>
      </c>
      <c r="AT535">
        <v>103</v>
      </c>
      <c r="AU535">
        <v>147</v>
      </c>
      <c r="AV535">
        <v>0.98199999999999998</v>
      </c>
      <c r="AW535" s="1"/>
      <c r="AX535" s="1"/>
      <c r="AY535" s="29">
        <f t="shared" si="564"/>
        <v>29700</v>
      </c>
      <c r="AZ535" s="31">
        <f t="shared" si="565"/>
        <v>165567</v>
      </c>
      <c r="BA535" s="31">
        <f t="shared" ref="BA535" si="585">SUMIF($B$2:$B$571,$B535,$T$2:$T$571)</f>
        <v>1763</v>
      </c>
      <c r="BB535" s="30">
        <f t="shared" si="567"/>
        <v>1.0648257201012279E-2</v>
      </c>
    </row>
    <row r="536" spans="2:54" x14ac:dyDescent="0.5">
      <c r="B536" s="4">
        <v>2017</v>
      </c>
      <c r="C536" t="s">
        <v>88</v>
      </c>
      <c r="D536" t="s">
        <v>89</v>
      </c>
      <c r="E536">
        <v>5</v>
      </c>
      <c r="F536" t="s">
        <v>38</v>
      </c>
      <c r="G536" t="s">
        <v>38</v>
      </c>
      <c r="H536" t="s">
        <v>38</v>
      </c>
      <c r="I536" t="s">
        <v>38</v>
      </c>
      <c r="J536">
        <v>64</v>
      </c>
      <c r="K536">
        <v>98</v>
      </c>
      <c r="L536">
        <v>639</v>
      </c>
      <c r="M536" s="20">
        <v>5551</v>
      </c>
      <c r="N536" s="20">
        <v>1382</v>
      </c>
      <c r="O536" s="20">
        <f t="shared" si="554"/>
        <v>936</v>
      </c>
      <c r="P536" s="20">
        <v>290</v>
      </c>
      <c r="Q536" s="20">
        <v>28</v>
      </c>
      <c r="R536" s="20">
        <v>128</v>
      </c>
      <c r="S536" s="20">
        <v>467</v>
      </c>
      <c r="T536" s="20">
        <v>36</v>
      </c>
      <c r="U536" s="20">
        <f t="shared" si="555"/>
        <v>3666</v>
      </c>
      <c r="V536">
        <v>1204</v>
      </c>
      <c r="W536">
        <v>76</v>
      </c>
      <c r="X536">
        <v>34</v>
      </c>
      <c r="Y536">
        <v>52</v>
      </c>
      <c r="Z536">
        <v>776</v>
      </c>
      <c r="AA536">
        <v>726</v>
      </c>
      <c r="AB536">
        <v>4.5</v>
      </c>
      <c r="AC536">
        <v>3</v>
      </c>
      <c r="AD536">
        <v>5</v>
      </c>
      <c r="AE536">
        <v>32</v>
      </c>
      <c r="AF536" s="27">
        <f t="shared" ca="1" si="542"/>
        <v>6114</v>
      </c>
      <c r="AG536" s="27">
        <f t="shared" ca="1" si="556"/>
        <v>1478</v>
      </c>
      <c r="AH536" s="27">
        <f t="shared" ca="1" si="557"/>
        <v>989</v>
      </c>
      <c r="AI536" s="27">
        <f t="shared" ca="1" si="558"/>
        <v>300</v>
      </c>
      <c r="AJ536" s="27">
        <f t="shared" ca="1" si="559"/>
        <v>33</v>
      </c>
      <c r="AK536" s="27">
        <f t="shared" ca="1" si="560"/>
        <v>156</v>
      </c>
      <c r="AL536" s="27">
        <f t="shared" ca="1" si="561"/>
        <v>476</v>
      </c>
      <c r="AM536" s="27">
        <f t="shared" ca="1" si="562"/>
        <v>81</v>
      </c>
      <c r="AN536" s="27">
        <f t="shared" ca="1" si="563"/>
        <v>4079</v>
      </c>
      <c r="AO536">
        <v>4356</v>
      </c>
      <c r="AP536">
        <v>1515</v>
      </c>
      <c r="AQ536">
        <v>182</v>
      </c>
      <c r="AR536">
        <v>496</v>
      </c>
      <c r="AS536">
        <v>1234</v>
      </c>
      <c r="AT536">
        <v>87</v>
      </c>
      <c r="AU536">
        <v>127</v>
      </c>
      <c r="AV536">
        <v>0.98499999999999999</v>
      </c>
      <c r="AW536" s="1"/>
      <c r="AX536" s="1"/>
      <c r="AY536" s="29">
        <f t="shared" si="564"/>
        <v>29700</v>
      </c>
      <c r="AZ536" s="31">
        <f t="shared" si="565"/>
        <v>165567</v>
      </c>
      <c r="BA536" s="31">
        <f t="shared" ref="BA536" si="586">SUMIF($B$2:$B$571,$B536,$U$2:$U$571)</f>
        <v>105760</v>
      </c>
      <c r="BB536" s="30">
        <f t="shared" si="567"/>
        <v>0.63877463504200716</v>
      </c>
    </row>
    <row r="537" spans="2:54" x14ac:dyDescent="0.5">
      <c r="B537" s="4">
        <v>2017</v>
      </c>
      <c r="C537" t="s">
        <v>90</v>
      </c>
      <c r="D537" t="s">
        <v>91</v>
      </c>
      <c r="E537">
        <v>3</v>
      </c>
      <c r="F537" t="s">
        <v>38</v>
      </c>
      <c r="G537" t="s">
        <v>38</v>
      </c>
      <c r="H537" t="s">
        <v>38</v>
      </c>
      <c r="I537" t="s">
        <v>38</v>
      </c>
      <c r="J537">
        <v>83</v>
      </c>
      <c r="K537">
        <v>79</v>
      </c>
      <c r="L537">
        <v>761</v>
      </c>
      <c r="M537" s="20">
        <v>5470</v>
      </c>
      <c r="N537" s="20">
        <v>1402</v>
      </c>
      <c r="O537" s="20">
        <f t="shared" si="554"/>
        <v>894</v>
      </c>
      <c r="P537" s="20">
        <v>284</v>
      </c>
      <c r="Q537" s="20">
        <v>28</v>
      </c>
      <c r="R537" s="20">
        <v>196</v>
      </c>
      <c r="S537" s="20">
        <v>593</v>
      </c>
      <c r="T537" s="20">
        <v>65</v>
      </c>
      <c r="U537" s="20">
        <f t="shared" si="555"/>
        <v>3410</v>
      </c>
      <c r="V537">
        <v>1348</v>
      </c>
      <c r="W537">
        <v>81</v>
      </c>
      <c r="X537">
        <v>31</v>
      </c>
      <c r="Y537">
        <v>44</v>
      </c>
      <c r="Z537">
        <v>705</v>
      </c>
      <c r="AA537">
        <v>646</v>
      </c>
      <c r="AB537">
        <v>4.01</v>
      </c>
      <c r="AC537">
        <v>3</v>
      </c>
      <c r="AD537">
        <v>12</v>
      </c>
      <c r="AE537">
        <v>43</v>
      </c>
      <c r="AF537" s="27">
        <f t="shared" ca="1" si="542"/>
        <v>6186</v>
      </c>
      <c r="AG537" s="27">
        <f t="shared" ca="1" si="556"/>
        <v>1542</v>
      </c>
      <c r="AH537" s="27">
        <f t="shared" ca="1" si="557"/>
        <v>978</v>
      </c>
      <c r="AI537" s="27">
        <f t="shared" ca="1" si="558"/>
        <v>332</v>
      </c>
      <c r="AJ537" s="27">
        <f t="shared" ca="1" si="559"/>
        <v>36</v>
      </c>
      <c r="AK537" s="27">
        <f t="shared" ca="1" si="560"/>
        <v>196</v>
      </c>
      <c r="AL537" s="27">
        <f t="shared" ca="1" si="561"/>
        <v>537</v>
      </c>
      <c r="AM537" s="27">
        <f t="shared" ca="1" si="562"/>
        <v>46</v>
      </c>
      <c r="AN537" s="27">
        <f t="shared" ca="1" si="563"/>
        <v>4061</v>
      </c>
      <c r="AO537">
        <v>4351</v>
      </c>
      <c r="AP537">
        <v>1393</v>
      </c>
      <c r="AQ537">
        <v>183</v>
      </c>
      <c r="AR537">
        <v>493</v>
      </c>
      <c r="AS537">
        <v>1351</v>
      </c>
      <c r="AT537">
        <v>94</v>
      </c>
      <c r="AU537">
        <v>164</v>
      </c>
      <c r="AV537">
        <v>0.98399999999999999</v>
      </c>
      <c r="AW537" s="1"/>
      <c r="AX537" s="1"/>
      <c r="AY537" s="29">
        <f t="shared" si="564"/>
        <v>29700</v>
      </c>
      <c r="AZ537" s="31">
        <f t="shared" si="565"/>
        <v>165567</v>
      </c>
      <c r="BA537" s="31"/>
      <c r="BB537" s="30">
        <f t="shared" si="567"/>
        <v>0</v>
      </c>
    </row>
    <row r="538" spans="2:54" x14ac:dyDescent="0.5">
      <c r="B538" s="4">
        <v>2017</v>
      </c>
      <c r="C538" t="s">
        <v>102</v>
      </c>
      <c r="D538" t="s">
        <v>93</v>
      </c>
      <c r="E538">
        <v>3</v>
      </c>
      <c r="F538" t="s">
        <v>38</v>
      </c>
      <c r="G538" t="s">
        <v>38</v>
      </c>
      <c r="H538" t="s">
        <v>38</v>
      </c>
      <c r="I538" t="s">
        <v>38</v>
      </c>
      <c r="J538">
        <v>80</v>
      </c>
      <c r="K538">
        <v>82</v>
      </c>
      <c r="L538">
        <v>694</v>
      </c>
      <c r="M538" s="20">
        <v>5478</v>
      </c>
      <c r="N538" s="20">
        <v>1340</v>
      </c>
      <c r="O538" s="20">
        <f t="shared" si="554"/>
        <v>854</v>
      </c>
      <c r="P538" s="20">
        <v>226</v>
      </c>
      <c r="Q538" s="20">
        <v>32</v>
      </c>
      <c r="R538" s="20">
        <v>228</v>
      </c>
      <c r="S538" s="20">
        <v>545</v>
      </c>
      <c r="T538" s="20">
        <v>55</v>
      </c>
      <c r="U538" s="20">
        <f t="shared" si="555"/>
        <v>3538</v>
      </c>
      <c r="V538">
        <v>1538</v>
      </c>
      <c r="W538">
        <v>88</v>
      </c>
      <c r="X538">
        <v>34</v>
      </c>
      <c r="Y538">
        <v>48</v>
      </c>
      <c r="Z538">
        <v>704</v>
      </c>
      <c r="AA538">
        <v>638</v>
      </c>
      <c r="AB538">
        <v>3.97</v>
      </c>
      <c r="AC538">
        <v>0</v>
      </c>
      <c r="AD538">
        <v>9</v>
      </c>
      <c r="AE538">
        <v>53</v>
      </c>
      <c r="AF538" s="27">
        <f t="shared" ca="1" si="542"/>
        <v>6172</v>
      </c>
      <c r="AG538" s="27">
        <f t="shared" ca="1" si="556"/>
        <v>1568</v>
      </c>
      <c r="AH538" s="27">
        <f t="shared" ca="1" si="557"/>
        <v>989</v>
      </c>
      <c r="AI538" s="27">
        <f t="shared" ca="1" si="558"/>
        <v>338</v>
      </c>
      <c r="AJ538" s="27">
        <f t="shared" ca="1" si="559"/>
        <v>28</v>
      </c>
      <c r="AK538" s="27">
        <f t="shared" ca="1" si="560"/>
        <v>213</v>
      </c>
      <c r="AL538" s="27">
        <f t="shared" ca="1" si="561"/>
        <v>452</v>
      </c>
      <c r="AM538" s="27">
        <f t="shared" ca="1" si="562"/>
        <v>84</v>
      </c>
      <c r="AN538" s="27">
        <f t="shared" ca="1" si="563"/>
        <v>4068</v>
      </c>
      <c r="AO538">
        <v>4335</v>
      </c>
      <c r="AP538">
        <v>1324</v>
      </c>
      <c r="AQ538">
        <v>193</v>
      </c>
      <c r="AR538">
        <v>503</v>
      </c>
      <c r="AS538">
        <v>1352</v>
      </c>
      <c r="AT538">
        <v>100</v>
      </c>
      <c r="AU538">
        <v>129</v>
      </c>
      <c r="AV538">
        <v>0.98299999999999998</v>
      </c>
      <c r="AW538" s="1"/>
      <c r="AX538" s="1"/>
      <c r="AY538" s="29">
        <f t="shared" si="564"/>
        <v>29700</v>
      </c>
      <c r="AZ538" s="31">
        <f t="shared" si="565"/>
        <v>165567</v>
      </c>
      <c r="BA538" s="31">
        <f t="shared" ref="BA538" si="587">SUMIF($B$2:$B$571,$B538,$O$2:$O$571)</f>
        <v>26918</v>
      </c>
      <c r="BB538" s="30">
        <f t="shared" si="567"/>
        <v>0.16258070750813869</v>
      </c>
    </row>
    <row r="539" spans="2:54" x14ac:dyDescent="0.5">
      <c r="B539" s="4">
        <v>2017</v>
      </c>
      <c r="C539" t="s">
        <v>94</v>
      </c>
      <c r="D539" t="s">
        <v>95</v>
      </c>
      <c r="E539">
        <v>4</v>
      </c>
      <c r="F539" t="s">
        <v>38</v>
      </c>
      <c r="G539" t="s">
        <v>38</v>
      </c>
      <c r="H539" t="s">
        <v>38</v>
      </c>
      <c r="I539" t="s">
        <v>38</v>
      </c>
      <c r="J539">
        <v>78</v>
      </c>
      <c r="K539">
        <v>84</v>
      </c>
      <c r="L539">
        <v>799</v>
      </c>
      <c r="M539" s="20">
        <v>5430</v>
      </c>
      <c r="N539" s="20">
        <v>1326</v>
      </c>
      <c r="O539" s="20">
        <f t="shared" si="554"/>
        <v>813</v>
      </c>
      <c r="P539" s="20">
        <v>255</v>
      </c>
      <c r="Q539" s="20">
        <v>21</v>
      </c>
      <c r="R539" s="20">
        <v>237</v>
      </c>
      <c r="S539" s="20">
        <v>544</v>
      </c>
      <c r="T539" s="20">
        <v>81</v>
      </c>
      <c r="U539" s="20">
        <f t="shared" si="555"/>
        <v>3479</v>
      </c>
      <c r="V539">
        <v>1493</v>
      </c>
      <c r="W539">
        <v>113</v>
      </c>
      <c r="X539">
        <v>44</v>
      </c>
      <c r="Y539">
        <v>39</v>
      </c>
      <c r="Z539">
        <v>816</v>
      </c>
      <c r="AA539">
        <v>742</v>
      </c>
      <c r="AB539">
        <v>4.66</v>
      </c>
      <c r="AC539">
        <v>2</v>
      </c>
      <c r="AD539">
        <v>6</v>
      </c>
      <c r="AE539">
        <v>29</v>
      </c>
      <c r="AF539" s="27">
        <f t="shared" ca="1" si="542"/>
        <v>6106</v>
      </c>
      <c r="AG539" s="27">
        <f t="shared" ca="1" si="556"/>
        <v>1473</v>
      </c>
      <c r="AH539" s="27">
        <f t="shared" ca="1" si="557"/>
        <v>925</v>
      </c>
      <c r="AI539" s="27">
        <f t="shared" ca="1" si="558"/>
        <v>272</v>
      </c>
      <c r="AJ539" s="27">
        <f t="shared" ca="1" si="559"/>
        <v>48</v>
      </c>
      <c r="AK539" s="27">
        <f t="shared" ca="1" si="560"/>
        <v>228</v>
      </c>
      <c r="AL539" s="27">
        <f t="shared" ca="1" si="561"/>
        <v>476</v>
      </c>
      <c r="AM539" s="27">
        <f t="shared" ca="1" si="562"/>
        <v>66</v>
      </c>
      <c r="AN539" s="27">
        <f t="shared" ca="1" si="563"/>
        <v>4091</v>
      </c>
      <c r="AO539">
        <v>4303</v>
      </c>
      <c r="AP539">
        <v>1443</v>
      </c>
      <c r="AQ539">
        <v>214</v>
      </c>
      <c r="AR539">
        <v>559</v>
      </c>
      <c r="AS539">
        <v>1107</v>
      </c>
      <c r="AT539">
        <v>108</v>
      </c>
      <c r="AU539">
        <v>173</v>
      </c>
      <c r="AV539">
        <v>0.98199999999999998</v>
      </c>
      <c r="AW539" s="1"/>
      <c r="AX539" s="1"/>
      <c r="AY539" s="29">
        <f t="shared" si="564"/>
        <v>29700</v>
      </c>
      <c r="AZ539" s="31">
        <f t="shared" si="565"/>
        <v>165567</v>
      </c>
      <c r="BA539" s="31">
        <f t="shared" ref="BA539" si="588">SUMIF($B$2:$B$571,$B539,$P$2:$P$571)</f>
        <v>8397</v>
      </c>
      <c r="BB539" s="30">
        <f t="shared" si="567"/>
        <v>5.0716628313613218E-2</v>
      </c>
    </row>
    <row r="540" spans="2:54" x14ac:dyDescent="0.5">
      <c r="B540" s="4">
        <v>2017</v>
      </c>
      <c r="C540" t="s">
        <v>96</v>
      </c>
      <c r="D540" t="s">
        <v>97</v>
      </c>
      <c r="E540">
        <v>4</v>
      </c>
      <c r="F540" t="s">
        <v>38</v>
      </c>
      <c r="G540" t="s">
        <v>38</v>
      </c>
      <c r="H540" t="s">
        <v>38</v>
      </c>
      <c r="I540" t="s">
        <v>38</v>
      </c>
      <c r="J540">
        <v>76</v>
      </c>
      <c r="K540">
        <v>86</v>
      </c>
      <c r="L540">
        <v>693</v>
      </c>
      <c r="M540" s="20">
        <v>5499</v>
      </c>
      <c r="N540" s="20">
        <v>1320</v>
      </c>
      <c r="O540" s="20">
        <f t="shared" si="554"/>
        <v>824</v>
      </c>
      <c r="P540" s="20">
        <v>269</v>
      </c>
      <c r="Q540" s="20">
        <v>5</v>
      </c>
      <c r="R540" s="20">
        <v>222</v>
      </c>
      <c r="S540" s="20">
        <v>542</v>
      </c>
      <c r="T540" s="20">
        <v>51</v>
      </c>
      <c r="U540" s="20">
        <f t="shared" si="555"/>
        <v>3586</v>
      </c>
      <c r="V540">
        <v>1327</v>
      </c>
      <c r="W540">
        <v>53</v>
      </c>
      <c r="X540">
        <v>24</v>
      </c>
      <c r="Y540">
        <v>35</v>
      </c>
      <c r="Z540">
        <v>784</v>
      </c>
      <c r="AA540">
        <v>720</v>
      </c>
      <c r="AB540">
        <v>4.42</v>
      </c>
      <c r="AC540">
        <v>2</v>
      </c>
      <c r="AD540">
        <v>6</v>
      </c>
      <c r="AE540">
        <v>45</v>
      </c>
      <c r="AF540" s="27">
        <f t="shared" ca="1" si="542"/>
        <v>6437</v>
      </c>
      <c r="AG540" s="27">
        <f t="shared" ca="1" si="556"/>
        <v>1340</v>
      </c>
      <c r="AH540" s="27">
        <f t="shared" ca="1" si="557"/>
        <v>870</v>
      </c>
      <c r="AI540" s="27">
        <f t="shared" ca="1" si="558"/>
        <v>279</v>
      </c>
      <c r="AJ540" s="27">
        <f t="shared" ca="1" si="559"/>
        <v>29</v>
      </c>
      <c r="AK540" s="27">
        <f t="shared" ca="1" si="560"/>
        <v>162</v>
      </c>
      <c r="AL540" s="27">
        <f t="shared" ca="1" si="561"/>
        <v>639</v>
      </c>
      <c r="AM540" s="27">
        <f t="shared" ca="1" si="562"/>
        <v>60</v>
      </c>
      <c r="AN540" s="27">
        <f t="shared" ca="1" si="563"/>
        <v>4398</v>
      </c>
      <c r="AO540">
        <v>4395</v>
      </c>
      <c r="AP540">
        <v>1460</v>
      </c>
      <c r="AQ540">
        <v>203</v>
      </c>
      <c r="AR540">
        <v>549</v>
      </c>
      <c r="AS540">
        <v>1372</v>
      </c>
      <c r="AT540">
        <v>92</v>
      </c>
      <c r="AU540">
        <v>145</v>
      </c>
      <c r="AV540">
        <v>0.98499999999999999</v>
      </c>
      <c r="AW540" s="1"/>
      <c r="AX540" s="1"/>
      <c r="AY540" s="29">
        <f t="shared" si="564"/>
        <v>29700</v>
      </c>
      <c r="AZ540" s="31">
        <f t="shared" si="565"/>
        <v>165567</v>
      </c>
      <c r="BA540" s="31">
        <f t="shared" ref="BA540" si="589">SUMIF($B$2:$B$571,$B540,$Q$2:$Q$571)</f>
        <v>795</v>
      </c>
      <c r="BB540" s="30">
        <f t="shared" si="567"/>
        <v>4.8016814945007159E-3</v>
      </c>
    </row>
    <row r="541" spans="2:54" x14ac:dyDescent="0.5">
      <c r="B541" s="4">
        <v>2017</v>
      </c>
      <c r="C541" t="s">
        <v>100</v>
      </c>
      <c r="D541" t="s">
        <v>101</v>
      </c>
      <c r="E541">
        <v>1</v>
      </c>
      <c r="F541" t="s">
        <v>43</v>
      </c>
      <c r="G541" t="s">
        <v>38</v>
      </c>
      <c r="H541" t="s">
        <v>38</v>
      </c>
      <c r="I541" t="s">
        <v>38</v>
      </c>
      <c r="J541">
        <v>97</v>
      </c>
      <c r="K541">
        <v>65</v>
      </c>
      <c r="L541">
        <v>819</v>
      </c>
      <c r="M541" s="20">
        <v>5553</v>
      </c>
      <c r="N541" s="20">
        <v>1477</v>
      </c>
      <c r="O541" s="20">
        <f t="shared" si="554"/>
        <v>920</v>
      </c>
      <c r="P541" s="20">
        <v>311</v>
      </c>
      <c r="Q541" s="20">
        <v>31</v>
      </c>
      <c r="R541" s="20">
        <v>215</v>
      </c>
      <c r="S541" s="20">
        <v>542</v>
      </c>
      <c r="T541" s="20">
        <v>31</v>
      </c>
      <c r="U541" s="20">
        <f t="shared" si="555"/>
        <v>3503</v>
      </c>
      <c r="V541">
        <v>1327</v>
      </c>
      <c r="W541">
        <v>108</v>
      </c>
      <c r="X541">
        <v>30</v>
      </c>
      <c r="Y541">
        <v>45</v>
      </c>
      <c r="Z541">
        <v>672</v>
      </c>
      <c r="AA541">
        <v>623</v>
      </c>
      <c r="AB541">
        <v>3.88</v>
      </c>
      <c r="AC541">
        <v>3</v>
      </c>
      <c r="AD541">
        <v>5</v>
      </c>
      <c r="AE541">
        <v>46</v>
      </c>
      <c r="AF541" s="27">
        <f t="shared" ca="1" si="542"/>
        <v>6152</v>
      </c>
      <c r="AG541" s="27">
        <f t="shared" ca="1" si="556"/>
        <v>1607</v>
      </c>
      <c r="AH541" s="27">
        <f t="shared" ca="1" si="557"/>
        <v>1088</v>
      </c>
      <c r="AI541" s="27">
        <f t="shared" ca="1" si="558"/>
        <v>258</v>
      </c>
      <c r="AJ541" s="27">
        <f t="shared" ca="1" si="559"/>
        <v>39</v>
      </c>
      <c r="AK541" s="27">
        <f t="shared" ca="1" si="560"/>
        <v>222</v>
      </c>
      <c r="AL541" s="27">
        <f t="shared" ca="1" si="561"/>
        <v>541</v>
      </c>
      <c r="AM541" s="27">
        <f t="shared" ca="1" si="562"/>
        <v>33</v>
      </c>
      <c r="AN541" s="27">
        <f t="shared" ca="1" si="563"/>
        <v>3971</v>
      </c>
      <c r="AO541">
        <v>4340</v>
      </c>
      <c r="AP541">
        <v>1300</v>
      </c>
      <c r="AQ541">
        <v>189</v>
      </c>
      <c r="AR541">
        <v>495</v>
      </c>
      <c r="AS541">
        <v>1457</v>
      </c>
      <c r="AT541">
        <v>86</v>
      </c>
      <c r="AU541">
        <v>139</v>
      </c>
      <c r="AV541">
        <v>0.98499999999999999</v>
      </c>
      <c r="AW541" s="1"/>
      <c r="AX541" s="1"/>
      <c r="AY541" s="29">
        <f t="shared" si="564"/>
        <v>29700</v>
      </c>
      <c r="AZ541" s="31">
        <f t="shared" si="565"/>
        <v>165567</v>
      </c>
      <c r="BA541" s="31">
        <f t="shared" ref="BA541" si="590">SUMIF($B$2:$B$571,$B541,$R$2:$R$571)</f>
        <v>6105</v>
      </c>
      <c r="BB541" s="30">
        <f t="shared" si="567"/>
        <v>3.6873289967203612E-2</v>
      </c>
    </row>
    <row r="542" spans="2:54" x14ac:dyDescent="0.5">
      <c r="B542" s="4">
        <v>2018</v>
      </c>
      <c r="C542" t="s">
        <v>39</v>
      </c>
      <c r="D542" t="s">
        <v>40</v>
      </c>
      <c r="E542">
        <v>3</v>
      </c>
      <c r="F542" t="s">
        <v>38</v>
      </c>
      <c r="G542" t="s">
        <v>38</v>
      </c>
      <c r="H542" t="s">
        <v>38</v>
      </c>
      <c r="I542" t="s">
        <v>38</v>
      </c>
      <c r="J542">
        <v>82</v>
      </c>
      <c r="K542">
        <v>80</v>
      </c>
      <c r="L542">
        <v>693</v>
      </c>
      <c r="M542" s="20">
        <v>5460</v>
      </c>
      <c r="N542" s="20">
        <v>1283</v>
      </c>
      <c r="O542" s="20">
        <f t="shared" si="554"/>
        <v>798</v>
      </c>
      <c r="P542" s="20">
        <v>259</v>
      </c>
      <c r="Q542" s="20">
        <v>50</v>
      </c>
      <c r="R542" s="20">
        <v>176</v>
      </c>
      <c r="S542" s="20">
        <v>560</v>
      </c>
      <c r="T542" s="20">
        <v>52</v>
      </c>
      <c r="U542" s="20">
        <f t="shared" si="555"/>
        <v>3565</v>
      </c>
      <c r="V542">
        <v>1460</v>
      </c>
      <c r="W542">
        <v>79</v>
      </c>
      <c r="X542">
        <v>25</v>
      </c>
      <c r="Y542">
        <v>45</v>
      </c>
      <c r="Z542">
        <v>644</v>
      </c>
      <c r="AA542">
        <v>605</v>
      </c>
      <c r="AB542">
        <v>3.72</v>
      </c>
      <c r="AC542">
        <v>2</v>
      </c>
      <c r="AD542">
        <v>9</v>
      </c>
      <c r="AE542">
        <v>39</v>
      </c>
      <c r="AF542" s="27">
        <f t="shared" ca="1" si="542"/>
        <v>6059</v>
      </c>
      <c r="AG542" s="27">
        <f t="shared" ca="1" si="556"/>
        <v>1447</v>
      </c>
      <c r="AH542" s="27">
        <f t="shared" ca="1" si="557"/>
        <v>916</v>
      </c>
      <c r="AI542" s="27">
        <f t="shared" ca="1" si="558"/>
        <v>254</v>
      </c>
      <c r="AJ542" s="27">
        <f t="shared" ca="1" si="559"/>
        <v>38</v>
      </c>
      <c r="AK542" s="27">
        <f t="shared" ca="1" si="560"/>
        <v>239</v>
      </c>
      <c r="AL542" s="27">
        <f t="shared" ca="1" si="561"/>
        <v>473</v>
      </c>
      <c r="AM542" s="27">
        <f t="shared" ca="1" si="562"/>
        <v>63</v>
      </c>
      <c r="AN542" s="27">
        <f t="shared" ca="1" si="563"/>
        <v>4076</v>
      </c>
      <c r="AO542">
        <v>4389</v>
      </c>
      <c r="AP542">
        <v>1313</v>
      </c>
      <c r="AQ542">
        <v>174</v>
      </c>
      <c r="AR542">
        <v>522</v>
      </c>
      <c r="AS542">
        <v>1448</v>
      </c>
      <c r="AT542">
        <v>75</v>
      </c>
      <c r="AU542">
        <v>152</v>
      </c>
      <c r="AV542">
        <v>0.98799999999999999</v>
      </c>
      <c r="AW542" s="1"/>
      <c r="AX542" s="1"/>
      <c r="AY542" s="29">
        <f t="shared" si="564"/>
        <v>29700</v>
      </c>
      <c r="AZ542" s="31">
        <f t="shared" si="565"/>
        <v>165432</v>
      </c>
      <c r="BA542" s="31">
        <f t="shared" ref="BA542" si="591">SUMIF($B$2:$B$571,$B542,$S$2:$S$571)</f>
        <v>15686</v>
      </c>
      <c r="BB542" s="30">
        <f t="shared" si="567"/>
        <v>9.4818414816964069E-2</v>
      </c>
    </row>
    <row r="543" spans="2:54" x14ac:dyDescent="0.5">
      <c r="B543" s="4">
        <v>2018</v>
      </c>
      <c r="C543" t="s">
        <v>41</v>
      </c>
      <c r="D543" t="s">
        <v>42</v>
      </c>
      <c r="E543">
        <v>1</v>
      </c>
      <c r="F543" t="s">
        <v>43</v>
      </c>
      <c r="G543" t="s">
        <v>38</v>
      </c>
      <c r="H543" t="s">
        <v>38</v>
      </c>
      <c r="I543" t="s">
        <v>38</v>
      </c>
      <c r="J543">
        <v>90</v>
      </c>
      <c r="K543">
        <v>72</v>
      </c>
      <c r="L543">
        <v>759</v>
      </c>
      <c r="M543" s="20">
        <v>5582</v>
      </c>
      <c r="N543" s="20">
        <v>1433</v>
      </c>
      <c r="O543" s="20">
        <f t="shared" si="554"/>
        <v>915</v>
      </c>
      <c r="P543" s="20">
        <v>314</v>
      </c>
      <c r="Q543" s="20">
        <v>29</v>
      </c>
      <c r="R543" s="20">
        <v>175</v>
      </c>
      <c r="S543" s="20">
        <v>511</v>
      </c>
      <c r="T543" s="20">
        <v>66</v>
      </c>
      <c r="U543" s="20">
        <f t="shared" si="555"/>
        <v>3572</v>
      </c>
      <c r="V543">
        <v>1290</v>
      </c>
      <c r="W543">
        <v>90</v>
      </c>
      <c r="X543">
        <v>36</v>
      </c>
      <c r="Y543">
        <v>43</v>
      </c>
      <c r="Z543">
        <v>657</v>
      </c>
      <c r="AA543">
        <v>607</v>
      </c>
      <c r="AB543">
        <v>3.75</v>
      </c>
      <c r="AC543">
        <v>2</v>
      </c>
      <c r="AD543">
        <v>11</v>
      </c>
      <c r="AE543">
        <v>40</v>
      </c>
      <c r="AF543" s="27">
        <f t="shared" ca="1" si="542"/>
        <v>6462</v>
      </c>
      <c r="AG543" s="27">
        <f t="shared" ca="1" si="556"/>
        <v>1375</v>
      </c>
      <c r="AH543" s="27">
        <f t="shared" ca="1" si="557"/>
        <v>727</v>
      </c>
      <c r="AI543" s="27">
        <f t="shared" ca="1" si="558"/>
        <v>371</v>
      </c>
      <c r="AJ543" s="27">
        <f t="shared" ca="1" si="559"/>
        <v>44</v>
      </c>
      <c r="AK543" s="27">
        <f t="shared" ca="1" si="560"/>
        <v>233</v>
      </c>
      <c r="AL543" s="27">
        <f t="shared" ca="1" si="561"/>
        <v>661</v>
      </c>
      <c r="AM543" s="27">
        <f t="shared" ca="1" si="562"/>
        <v>77</v>
      </c>
      <c r="AN543" s="27">
        <f t="shared" ca="1" si="563"/>
        <v>4349</v>
      </c>
      <c r="AO543">
        <v>4370</v>
      </c>
      <c r="AP543">
        <v>1236</v>
      </c>
      <c r="AQ543">
        <v>153</v>
      </c>
      <c r="AR543">
        <v>635</v>
      </c>
      <c r="AS543">
        <v>1423</v>
      </c>
      <c r="AT543">
        <v>80</v>
      </c>
      <c r="AU543">
        <v>134</v>
      </c>
      <c r="AV543">
        <v>0.98599999999999999</v>
      </c>
      <c r="AW543" s="1"/>
      <c r="AX543" s="1"/>
      <c r="AY543" s="29">
        <f t="shared" si="564"/>
        <v>29700</v>
      </c>
      <c r="AZ543" s="31">
        <f t="shared" si="565"/>
        <v>165432</v>
      </c>
      <c r="BA543" s="31">
        <f t="shared" ref="BA543" si="592">SUMIF($B$2:$B$571,$B543,$T$2:$T$571)</f>
        <v>1922</v>
      </c>
      <c r="BB543" s="30">
        <f t="shared" si="567"/>
        <v>1.1618066637651725E-2</v>
      </c>
    </row>
    <row r="544" spans="2:54" x14ac:dyDescent="0.5">
      <c r="B544" s="4">
        <v>2018</v>
      </c>
      <c r="C544" t="s">
        <v>44</v>
      </c>
      <c r="D544" t="s">
        <v>45</v>
      </c>
      <c r="E544">
        <v>5</v>
      </c>
      <c r="F544" t="s">
        <v>38</v>
      </c>
      <c r="G544" t="s">
        <v>38</v>
      </c>
      <c r="H544" t="s">
        <v>38</v>
      </c>
      <c r="I544" t="s">
        <v>38</v>
      </c>
      <c r="J544">
        <v>47</v>
      </c>
      <c r="K544">
        <v>115</v>
      </c>
      <c r="L544">
        <v>622</v>
      </c>
      <c r="M544" s="20">
        <v>5507</v>
      </c>
      <c r="N544" s="20">
        <v>1317</v>
      </c>
      <c r="O544" s="20">
        <f t="shared" si="554"/>
        <v>872</v>
      </c>
      <c r="P544" s="20">
        <v>242</v>
      </c>
      <c r="Q544" s="20">
        <v>15</v>
      </c>
      <c r="R544" s="20">
        <v>188</v>
      </c>
      <c r="S544" s="20">
        <v>422</v>
      </c>
      <c r="T544" s="20">
        <v>57</v>
      </c>
      <c r="U544" s="20">
        <f t="shared" si="555"/>
        <v>3711</v>
      </c>
      <c r="V544">
        <v>1412</v>
      </c>
      <c r="W544">
        <v>81</v>
      </c>
      <c r="X544">
        <v>22</v>
      </c>
      <c r="Y544">
        <v>35</v>
      </c>
      <c r="Z544">
        <v>892</v>
      </c>
      <c r="AA544">
        <v>824</v>
      </c>
      <c r="AB544">
        <v>5.18</v>
      </c>
      <c r="AC544">
        <v>2</v>
      </c>
      <c r="AD544">
        <v>7</v>
      </c>
      <c r="AE544">
        <v>28</v>
      </c>
      <c r="AF544" s="27">
        <f t="shared" ca="1" si="542"/>
        <v>6406</v>
      </c>
      <c r="AG544" s="27">
        <f t="shared" ca="1" si="556"/>
        <v>1437</v>
      </c>
      <c r="AH544" s="27">
        <f t="shared" ca="1" si="557"/>
        <v>835</v>
      </c>
      <c r="AI544" s="27">
        <f t="shared" ca="1" si="558"/>
        <v>344</v>
      </c>
      <c r="AJ544" s="27">
        <f t="shared" ca="1" si="559"/>
        <v>23</v>
      </c>
      <c r="AK544" s="27">
        <f t="shared" ca="1" si="560"/>
        <v>235</v>
      </c>
      <c r="AL544" s="27">
        <f t="shared" ca="1" si="561"/>
        <v>678</v>
      </c>
      <c r="AM544" s="27">
        <f t="shared" ca="1" si="562"/>
        <v>73</v>
      </c>
      <c r="AN544" s="27">
        <f t="shared" ca="1" si="563"/>
        <v>4218</v>
      </c>
      <c r="AO544">
        <v>4293</v>
      </c>
      <c r="AP544">
        <v>1552</v>
      </c>
      <c r="AQ544">
        <v>234</v>
      </c>
      <c r="AR544">
        <v>589</v>
      </c>
      <c r="AS544">
        <v>1203</v>
      </c>
      <c r="AT544">
        <v>104</v>
      </c>
      <c r="AU544">
        <v>159</v>
      </c>
      <c r="AV544">
        <v>0.98199999999999998</v>
      </c>
      <c r="AW544" s="1"/>
      <c r="AX544" s="1"/>
      <c r="AY544" s="29">
        <f t="shared" si="564"/>
        <v>29700</v>
      </c>
      <c r="AZ544" s="31">
        <f t="shared" si="565"/>
        <v>165432</v>
      </c>
      <c r="BA544" s="31">
        <f t="shared" ref="BA544" si="593">SUMIF($B$2:$B$571,$B544,$U$2:$U$571)</f>
        <v>106804</v>
      </c>
      <c r="BB544" s="30">
        <f t="shared" si="567"/>
        <v>0.6456066540935248</v>
      </c>
    </row>
    <row r="545" spans="2:54" x14ac:dyDescent="0.5">
      <c r="B545" s="4">
        <v>2018</v>
      </c>
      <c r="C545" t="s">
        <v>46</v>
      </c>
      <c r="D545" t="s">
        <v>47</v>
      </c>
      <c r="E545">
        <v>1</v>
      </c>
      <c r="F545" t="s">
        <v>43</v>
      </c>
      <c r="G545" t="s">
        <v>38</v>
      </c>
      <c r="H545" t="s">
        <v>43</v>
      </c>
      <c r="I545" t="s">
        <v>43</v>
      </c>
      <c r="J545">
        <v>108</v>
      </c>
      <c r="K545">
        <v>54</v>
      </c>
      <c r="L545">
        <v>876</v>
      </c>
      <c r="M545" s="20">
        <v>5623</v>
      </c>
      <c r="N545" s="20">
        <v>1509</v>
      </c>
      <c r="O545" s="20">
        <f t="shared" si="554"/>
        <v>915</v>
      </c>
      <c r="P545" s="20">
        <v>355</v>
      </c>
      <c r="Q545" s="20">
        <v>31</v>
      </c>
      <c r="R545" s="20">
        <v>208</v>
      </c>
      <c r="S545" s="20">
        <v>569</v>
      </c>
      <c r="T545" s="20">
        <v>55</v>
      </c>
      <c r="U545" s="20">
        <f t="shared" si="555"/>
        <v>3490</v>
      </c>
      <c r="V545">
        <v>1253</v>
      </c>
      <c r="W545">
        <v>125</v>
      </c>
      <c r="X545">
        <v>31</v>
      </c>
      <c r="Y545">
        <v>48</v>
      </c>
      <c r="Z545">
        <v>647</v>
      </c>
      <c r="AA545">
        <v>608</v>
      </c>
      <c r="AB545">
        <v>3.75</v>
      </c>
      <c r="AC545">
        <v>2</v>
      </c>
      <c r="AD545">
        <v>14</v>
      </c>
      <c r="AE545">
        <v>46</v>
      </c>
      <c r="AF545" s="27">
        <f t="shared" ca="1" si="542"/>
        <v>6336</v>
      </c>
      <c r="AG545" s="27">
        <f t="shared" ca="1" si="556"/>
        <v>1306</v>
      </c>
      <c r="AH545" s="27">
        <f t="shared" ca="1" si="557"/>
        <v>655</v>
      </c>
      <c r="AI545" s="27">
        <f t="shared" ca="1" si="558"/>
        <v>392</v>
      </c>
      <c r="AJ545" s="27">
        <f t="shared" ca="1" si="559"/>
        <v>30</v>
      </c>
      <c r="AK545" s="27">
        <f t="shared" ca="1" si="560"/>
        <v>229</v>
      </c>
      <c r="AL545" s="27">
        <f t="shared" ca="1" si="561"/>
        <v>456</v>
      </c>
      <c r="AM545" s="27">
        <f t="shared" ca="1" si="562"/>
        <v>81</v>
      </c>
      <c r="AN545" s="27">
        <f t="shared" ca="1" si="563"/>
        <v>4493</v>
      </c>
      <c r="AO545">
        <v>4376</v>
      </c>
      <c r="AP545">
        <v>1305</v>
      </c>
      <c r="AQ545">
        <v>176</v>
      </c>
      <c r="AR545">
        <v>512</v>
      </c>
      <c r="AS545">
        <v>1558</v>
      </c>
      <c r="AT545">
        <v>77</v>
      </c>
      <c r="AU545">
        <v>106</v>
      </c>
      <c r="AV545">
        <v>0.98699999999999999</v>
      </c>
      <c r="AW545" s="1"/>
      <c r="AX545" s="1"/>
      <c r="AY545" s="29">
        <f t="shared" si="564"/>
        <v>29700</v>
      </c>
      <c r="AZ545" s="31">
        <f t="shared" si="565"/>
        <v>165432</v>
      </c>
      <c r="BA545" s="31"/>
      <c r="BB545" s="30">
        <f t="shared" si="567"/>
        <v>0</v>
      </c>
    </row>
    <row r="546" spans="2:54" x14ac:dyDescent="0.5">
      <c r="B546" s="4">
        <v>2018</v>
      </c>
      <c r="C546" t="s">
        <v>48</v>
      </c>
      <c r="D546" t="s">
        <v>49</v>
      </c>
      <c r="E546">
        <v>4</v>
      </c>
      <c r="F546" t="s">
        <v>38</v>
      </c>
      <c r="G546" t="s">
        <v>38</v>
      </c>
      <c r="H546" t="s">
        <v>38</v>
      </c>
      <c r="I546" t="s">
        <v>38</v>
      </c>
      <c r="J546">
        <v>62</v>
      </c>
      <c r="K546">
        <v>100</v>
      </c>
      <c r="L546">
        <v>656</v>
      </c>
      <c r="M546" s="20">
        <v>5523</v>
      </c>
      <c r="N546" s="20">
        <v>1332</v>
      </c>
      <c r="O546" s="20">
        <f t="shared" si="554"/>
        <v>851</v>
      </c>
      <c r="P546" s="20">
        <v>259</v>
      </c>
      <c r="Q546" s="20">
        <v>40</v>
      </c>
      <c r="R546" s="20">
        <v>182</v>
      </c>
      <c r="S546" s="20">
        <v>425</v>
      </c>
      <c r="T546" s="20">
        <v>66</v>
      </c>
      <c r="U546" s="20">
        <f t="shared" si="555"/>
        <v>3700</v>
      </c>
      <c r="V546">
        <v>1594</v>
      </c>
      <c r="W546">
        <v>98</v>
      </c>
      <c r="X546">
        <v>41</v>
      </c>
      <c r="Y546">
        <v>32</v>
      </c>
      <c r="Z546">
        <v>848</v>
      </c>
      <c r="AA546">
        <v>772</v>
      </c>
      <c r="AB546">
        <v>4.84</v>
      </c>
      <c r="AC546">
        <v>0</v>
      </c>
      <c r="AD546">
        <v>8</v>
      </c>
      <c r="AE546">
        <v>34</v>
      </c>
      <c r="AF546" s="27">
        <f t="shared" ca="1" si="542"/>
        <v>6354</v>
      </c>
      <c r="AG546" s="27">
        <f t="shared" ca="1" si="556"/>
        <v>1587</v>
      </c>
      <c r="AH546" s="27">
        <f t="shared" ca="1" si="557"/>
        <v>1044</v>
      </c>
      <c r="AI546" s="27">
        <f t="shared" ca="1" si="558"/>
        <v>293</v>
      </c>
      <c r="AJ546" s="27">
        <f t="shared" ca="1" si="559"/>
        <v>50</v>
      </c>
      <c r="AK546" s="27">
        <f t="shared" ca="1" si="560"/>
        <v>200</v>
      </c>
      <c r="AL546" s="27">
        <f t="shared" ca="1" si="561"/>
        <v>569</v>
      </c>
      <c r="AM546" s="27">
        <f t="shared" ca="1" si="562"/>
        <v>85</v>
      </c>
      <c r="AN546" s="27">
        <f t="shared" ca="1" si="563"/>
        <v>4113</v>
      </c>
      <c r="AO546">
        <v>4311</v>
      </c>
      <c r="AP546">
        <v>1405</v>
      </c>
      <c r="AQ546">
        <v>196</v>
      </c>
      <c r="AR546">
        <v>653</v>
      </c>
      <c r="AS546">
        <v>1259</v>
      </c>
      <c r="AT546">
        <v>114</v>
      </c>
      <c r="AU546">
        <v>135</v>
      </c>
      <c r="AV546">
        <v>0.98099999999999998</v>
      </c>
      <c r="AW546" s="1"/>
      <c r="AX546" s="1"/>
      <c r="AY546" s="29">
        <f t="shared" si="564"/>
        <v>29700</v>
      </c>
      <c r="AZ546" s="31">
        <f t="shared" si="565"/>
        <v>165432</v>
      </c>
      <c r="BA546" s="31">
        <f t="shared" ref="BA546" si="594">SUMIF($B$2:$B$571,$B546,$O$2:$O$571)</f>
        <v>26323</v>
      </c>
      <c r="BB546" s="30">
        <f t="shared" si="567"/>
        <v>0.15911673678611152</v>
      </c>
    </row>
    <row r="547" spans="2:54" x14ac:dyDescent="0.5">
      <c r="B547" s="4">
        <v>2018</v>
      </c>
      <c r="C547" t="s">
        <v>50</v>
      </c>
      <c r="D547" t="s">
        <v>51</v>
      </c>
      <c r="E547">
        <v>2</v>
      </c>
      <c r="F547" t="s">
        <v>38</v>
      </c>
      <c r="G547" t="s">
        <v>43</v>
      </c>
      <c r="H547" t="s">
        <v>38</v>
      </c>
      <c r="I547" t="s">
        <v>38</v>
      </c>
      <c r="J547">
        <v>95</v>
      </c>
      <c r="K547">
        <v>68</v>
      </c>
      <c r="L547">
        <v>761</v>
      </c>
      <c r="M547" s="20">
        <v>5624</v>
      </c>
      <c r="N547" s="20">
        <v>1453</v>
      </c>
      <c r="O547" s="20">
        <f t="shared" si="554"/>
        <v>966</v>
      </c>
      <c r="P547" s="20">
        <v>286</v>
      </c>
      <c r="Q547" s="20">
        <v>34</v>
      </c>
      <c r="R547" s="20">
        <v>167</v>
      </c>
      <c r="S547" s="20">
        <v>576</v>
      </c>
      <c r="T547" s="20">
        <v>78</v>
      </c>
      <c r="U547" s="20">
        <f t="shared" si="555"/>
        <v>3517</v>
      </c>
      <c r="V547">
        <v>1388</v>
      </c>
      <c r="W547">
        <v>66</v>
      </c>
      <c r="X547">
        <v>38</v>
      </c>
      <c r="Y547">
        <v>46</v>
      </c>
      <c r="Z547">
        <v>645</v>
      </c>
      <c r="AA547">
        <v>598</v>
      </c>
      <c r="AB547">
        <v>3.65</v>
      </c>
      <c r="AC547">
        <v>1</v>
      </c>
      <c r="AD547">
        <v>18</v>
      </c>
      <c r="AE547">
        <v>46</v>
      </c>
      <c r="AF547" s="27">
        <f t="shared" ca="1" si="542"/>
        <v>6354</v>
      </c>
      <c r="AG547" s="27">
        <f t="shared" ca="1" si="556"/>
        <v>1344</v>
      </c>
      <c r="AH547" s="27">
        <f t="shared" ca="1" si="557"/>
        <v>907</v>
      </c>
      <c r="AI547" s="27">
        <f t="shared" ca="1" si="558"/>
        <v>222</v>
      </c>
      <c r="AJ547" s="27">
        <f t="shared" ca="1" si="559"/>
        <v>43</v>
      </c>
      <c r="AK547" s="27">
        <f t="shared" ca="1" si="560"/>
        <v>172</v>
      </c>
      <c r="AL547" s="27">
        <f t="shared" ca="1" si="561"/>
        <v>523</v>
      </c>
      <c r="AM547" s="27">
        <f t="shared" ca="1" si="562"/>
        <v>37</v>
      </c>
      <c r="AN547" s="27">
        <f t="shared" ca="1" si="563"/>
        <v>4450</v>
      </c>
      <c r="AO547">
        <v>4429</v>
      </c>
      <c r="AP547">
        <v>1319</v>
      </c>
      <c r="AQ547">
        <v>157</v>
      </c>
      <c r="AR547">
        <v>622</v>
      </c>
      <c r="AS547">
        <v>1333</v>
      </c>
      <c r="AT547">
        <v>104</v>
      </c>
      <c r="AU547">
        <v>155</v>
      </c>
      <c r="AV547">
        <v>0.98299999999999998</v>
      </c>
      <c r="AW547" s="1"/>
      <c r="AX547" s="1"/>
      <c r="AY547" s="29">
        <f t="shared" si="564"/>
        <v>29700</v>
      </c>
      <c r="AZ547" s="31">
        <f t="shared" si="565"/>
        <v>165432</v>
      </c>
      <c r="BA547" s="31">
        <f t="shared" ref="BA547" si="595">SUMIF($B$2:$B$571,$B547,$P$2:$P$571)</f>
        <v>8265</v>
      </c>
      <c r="BB547" s="30">
        <f t="shared" si="567"/>
        <v>4.9960104453793702E-2</v>
      </c>
    </row>
    <row r="548" spans="2:54" x14ac:dyDescent="0.5">
      <c r="B548" s="4">
        <v>2018</v>
      </c>
      <c r="C548" t="s">
        <v>52</v>
      </c>
      <c r="D548" t="s">
        <v>53</v>
      </c>
      <c r="E548">
        <v>5</v>
      </c>
      <c r="F548" t="s">
        <v>38</v>
      </c>
      <c r="G548" t="s">
        <v>38</v>
      </c>
      <c r="H548" t="s">
        <v>38</v>
      </c>
      <c r="I548" t="s">
        <v>38</v>
      </c>
      <c r="J548">
        <v>67</v>
      </c>
      <c r="K548">
        <v>95</v>
      </c>
      <c r="L548">
        <v>696</v>
      </c>
      <c r="M548" s="20">
        <v>5532</v>
      </c>
      <c r="N548" s="20">
        <v>1404</v>
      </c>
      <c r="O548" s="20">
        <f t="shared" si="554"/>
        <v>956</v>
      </c>
      <c r="P548" s="20">
        <v>251</v>
      </c>
      <c r="Q548" s="20">
        <v>25</v>
      </c>
      <c r="R548" s="20">
        <v>172</v>
      </c>
      <c r="S548" s="20">
        <v>559</v>
      </c>
      <c r="T548" s="20">
        <v>65</v>
      </c>
      <c r="U548" s="20">
        <f t="shared" si="555"/>
        <v>3504</v>
      </c>
      <c r="V548">
        <v>1376</v>
      </c>
      <c r="W548">
        <v>77</v>
      </c>
      <c r="X548">
        <v>33</v>
      </c>
      <c r="Y548">
        <v>35</v>
      </c>
      <c r="Z548">
        <v>819</v>
      </c>
      <c r="AA548">
        <v>741</v>
      </c>
      <c r="AB548">
        <v>4.63</v>
      </c>
      <c r="AC548">
        <v>1</v>
      </c>
      <c r="AD548">
        <v>6</v>
      </c>
      <c r="AE548">
        <v>38</v>
      </c>
      <c r="AF548" s="27">
        <f t="shared" ca="1" si="542"/>
        <v>6073</v>
      </c>
      <c r="AG548" s="27">
        <f t="shared" ca="1" si="556"/>
        <v>1472</v>
      </c>
      <c r="AH548" s="27">
        <f t="shared" ca="1" si="557"/>
        <v>923</v>
      </c>
      <c r="AI548" s="27">
        <f t="shared" ca="1" si="558"/>
        <v>337</v>
      </c>
      <c r="AJ548" s="27">
        <f t="shared" ca="1" si="559"/>
        <v>32</v>
      </c>
      <c r="AK548" s="27">
        <f t="shared" ca="1" si="560"/>
        <v>180</v>
      </c>
      <c r="AL548" s="27">
        <f t="shared" ca="1" si="561"/>
        <v>491</v>
      </c>
      <c r="AM548" s="27">
        <f t="shared" ca="1" si="562"/>
        <v>69</v>
      </c>
      <c r="AN548" s="27">
        <f t="shared" ca="1" si="563"/>
        <v>4041</v>
      </c>
      <c r="AO548">
        <v>4323</v>
      </c>
      <c r="AP548">
        <v>1491</v>
      </c>
      <c r="AQ548">
        <v>228</v>
      </c>
      <c r="AR548">
        <v>532</v>
      </c>
      <c r="AS548">
        <v>1258</v>
      </c>
      <c r="AT548">
        <v>95</v>
      </c>
      <c r="AU548">
        <v>144</v>
      </c>
      <c r="AV548">
        <v>0.98399999999999999</v>
      </c>
      <c r="AW548" s="1"/>
      <c r="AX548" s="1"/>
      <c r="AY548" s="29">
        <f t="shared" si="564"/>
        <v>29700</v>
      </c>
      <c r="AZ548" s="31">
        <f t="shared" si="565"/>
        <v>165432</v>
      </c>
      <c r="BA548" s="31">
        <f t="shared" ref="BA548" si="596">SUMIF($B$2:$B$571,$B548,$Q$2:$Q$571)</f>
        <v>847</v>
      </c>
      <c r="BB548" s="30">
        <f t="shared" si="567"/>
        <v>5.1199284298080175E-3</v>
      </c>
    </row>
    <row r="549" spans="2:54" x14ac:dyDescent="0.5">
      <c r="B549" s="4">
        <v>2018</v>
      </c>
      <c r="C549" t="s">
        <v>54</v>
      </c>
      <c r="D549" t="s">
        <v>55</v>
      </c>
      <c r="E549">
        <v>1</v>
      </c>
      <c r="F549" t="s">
        <v>43</v>
      </c>
      <c r="G549" t="s">
        <v>38</v>
      </c>
      <c r="H549" t="s">
        <v>38</v>
      </c>
      <c r="I549" t="s">
        <v>38</v>
      </c>
      <c r="J549">
        <v>91</v>
      </c>
      <c r="K549">
        <v>71</v>
      </c>
      <c r="L549">
        <v>818</v>
      </c>
      <c r="M549" s="20">
        <v>5595</v>
      </c>
      <c r="N549" s="20">
        <v>1447</v>
      </c>
      <c r="O549" s="20">
        <f t="shared" si="554"/>
        <v>915</v>
      </c>
      <c r="P549" s="20">
        <v>297</v>
      </c>
      <c r="Q549" s="20">
        <v>19</v>
      </c>
      <c r="R549" s="20">
        <v>216</v>
      </c>
      <c r="S549" s="20">
        <v>554</v>
      </c>
      <c r="T549" s="20">
        <v>80</v>
      </c>
      <c r="U549" s="20">
        <f t="shared" si="555"/>
        <v>3514</v>
      </c>
      <c r="V549">
        <v>1189</v>
      </c>
      <c r="W549">
        <v>135</v>
      </c>
      <c r="X549">
        <v>36</v>
      </c>
      <c r="Y549">
        <v>44</v>
      </c>
      <c r="Z549">
        <v>648</v>
      </c>
      <c r="AA549">
        <v>611</v>
      </c>
      <c r="AB549">
        <v>3.77</v>
      </c>
      <c r="AC549">
        <v>5</v>
      </c>
      <c r="AD549">
        <v>17</v>
      </c>
      <c r="AE549">
        <v>41</v>
      </c>
      <c r="AF549" s="27">
        <f t="shared" ca="1" si="542"/>
        <v>6455</v>
      </c>
      <c r="AG549" s="27">
        <f t="shared" ca="1" si="556"/>
        <v>1691</v>
      </c>
      <c r="AH549" s="27">
        <f t="shared" ca="1" si="557"/>
        <v>1166</v>
      </c>
      <c r="AI549" s="27">
        <f t="shared" ca="1" si="558"/>
        <v>315</v>
      </c>
      <c r="AJ549" s="27">
        <f t="shared" ca="1" si="559"/>
        <v>28</v>
      </c>
      <c r="AK549" s="27">
        <f t="shared" ca="1" si="560"/>
        <v>182</v>
      </c>
      <c r="AL549" s="27">
        <f t="shared" ca="1" si="561"/>
        <v>642</v>
      </c>
      <c r="AM549" s="27">
        <f t="shared" ca="1" si="562"/>
        <v>32</v>
      </c>
      <c r="AN549" s="27">
        <f t="shared" ca="1" si="563"/>
        <v>4090</v>
      </c>
      <c r="AO549">
        <v>4372</v>
      </c>
      <c r="AP549">
        <v>1349</v>
      </c>
      <c r="AQ549">
        <v>200</v>
      </c>
      <c r="AR549">
        <v>407</v>
      </c>
      <c r="AS549">
        <v>1544</v>
      </c>
      <c r="AT549">
        <v>83</v>
      </c>
      <c r="AU549">
        <v>123</v>
      </c>
      <c r="AV549">
        <v>0.98599999999999999</v>
      </c>
      <c r="AW549" s="1"/>
      <c r="AX549" s="1"/>
      <c r="AY549" s="29">
        <f t="shared" si="564"/>
        <v>29700</v>
      </c>
      <c r="AZ549" s="31">
        <f t="shared" si="565"/>
        <v>165432</v>
      </c>
      <c r="BA549" s="31">
        <f t="shared" ref="BA549" si="597">SUMIF($B$2:$B$571,$B549,$R$2:$R$571)</f>
        <v>5585</v>
      </c>
      <c r="BB549" s="30">
        <f t="shared" si="567"/>
        <v>3.3760094782146137E-2</v>
      </c>
    </row>
    <row r="550" spans="2:54" x14ac:dyDescent="0.5">
      <c r="B550" s="4">
        <v>2018</v>
      </c>
      <c r="C550" t="s">
        <v>56</v>
      </c>
      <c r="D550" t="s">
        <v>57</v>
      </c>
      <c r="E550">
        <v>2</v>
      </c>
      <c r="F550" t="s">
        <v>38</v>
      </c>
      <c r="G550" t="s">
        <v>43</v>
      </c>
      <c r="H550" t="s">
        <v>38</v>
      </c>
      <c r="I550" t="s">
        <v>38</v>
      </c>
      <c r="J550">
        <v>91</v>
      </c>
      <c r="K550">
        <v>72</v>
      </c>
      <c r="L550">
        <v>780</v>
      </c>
      <c r="M550" s="20">
        <v>5541</v>
      </c>
      <c r="N550" s="20">
        <v>1418</v>
      </c>
      <c r="O550" s="20">
        <f t="shared" si="554"/>
        <v>886</v>
      </c>
      <c r="P550" s="20">
        <v>280</v>
      </c>
      <c r="Q550" s="20">
        <v>42</v>
      </c>
      <c r="R550" s="20">
        <v>210</v>
      </c>
      <c r="S550" s="20">
        <v>507</v>
      </c>
      <c r="T550" s="20">
        <v>51</v>
      </c>
      <c r="U550" s="20">
        <f t="shared" si="555"/>
        <v>3565</v>
      </c>
      <c r="V550">
        <v>1397</v>
      </c>
      <c r="W550">
        <v>95</v>
      </c>
      <c r="X550">
        <v>33</v>
      </c>
      <c r="Y550">
        <v>37</v>
      </c>
      <c r="Z550">
        <v>745</v>
      </c>
      <c r="AA550">
        <v>699</v>
      </c>
      <c r="AB550">
        <v>4.33</v>
      </c>
      <c r="AC550">
        <v>0</v>
      </c>
      <c r="AD550">
        <v>10</v>
      </c>
      <c r="AE550">
        <v>51</v>
      </c>
      <c r="AF550" s="27">
        <f t="shared" ca="1" si="542"/>
        <v>6132</v>
      </c>
      <c r="AG550" s="27">
        <f t="shared" ca="1" si="556"/>
        <v>1572</v>
      </c>
      <c r="AH550" s="27">
        <f t="shared" ca="1" si="557"/>
        <v>1048</v>
      </c>
      <c r="AI550" s="27">
        <f t="shared" ca="1" si="558"/>
        <v>234</v>
      </c>
      <c r="AJ550" s="27">
        <f t="shared" ca="1" si="559"/>
        <v>50</v>
      </c>
      <c r="AK550" s="27">
        <f t="shared" ca="1" si="560"/>
        <v>240</v>
      </c>
      <c r="AL550" s="27">
        <f t="shared" ca="1" si="561"/>
        <v>434</v>
      </c>
      <c r="AM550" s="27">
        <f t="shared" ca="1" si="562"/>
        <v>90</v>
      </c>
      <c r="AN550" s="27">
        <f t="shared" ca="1" si="563"/>
        <v>4036</v>
      </c>
      <c r="AO550">
        <v>4357</v>
      </c>
      <c r="AP550">
        <v>1378</v>
      </c>
      <c r="AQ550">
        <v>184</v>
      </c>
      <c r="AR550">
        <v>525</v>
      </c>
      <c r="AS550">
        <v>1409</v>
      </c>
      <c r="AT550">
        <v>74</v>
      </c>
      <c r="AU550">
        <v>162</v>
      </c>
      <c r="AV550">
        <v>0.98799999999999999</v>
      </c>
      <c r="AW550" s="1"/>
      <c r="AX550" s="1"/>
      <c r="AY550" s="29">
        <f t="shared" si="564"/>
        <v>29700</v>
      </c>
      <c r="AZ550" s="31">
        <f t="shared" si="565"/>
        <v>165432</v>
      </c>
      <c r="BA550" s="31">
        <f t="shared" ref="BA550" si="598">SUMIF($B$2:$B$571,$B550,$S$2:$S$571)</f>
        <v>15686</v>
      </c>
      <c r="BB550" s="30">
        <f t="shared" si="567"/>
        <v>9.4818414816964069E-2</v>
      </c>
    </row>
    <row r="551" spans="2:54" x14ac:dyDescent="0.5">
      <c r="B551" s="4">
        <v>2018</v>
      </c>
      <c r="C551" t="s">
        <v>58</v>
      </c>
      <c r="D551" t="s">
        <v>59</v>
      </c>
      <c r="E551">
        <v>3</v>
      </c>
      <c r="F551" t="s">
        <v>38</v>
      </c>
      <c r="G551" t="s">
        <v>38</v>
      </c>
      <c r="H551" t="s">
        <v>38</v>
      </c>
      <c r="I551" t="s">
        <v>38</v>
      </c>
      <c r="J551">
        <v>64</v>
      </c>
      <c r="K551">
        <v>98</v>
      </c>
      <c r="L551">
        <v>630</v>
      </c>
      <c r="M551" s="20">
        <v>5494</v>
      </c>
      <c r="N551" s="20">
        <v>1326</v>
      </c>
      <c r="O551" s="20">
        <f t="shared" si="554"/>
        <v>872</v>
      </c>
      <c r="P551" s="20">
        <v>284</v>
      </c>
      <c r="Q551" s="20">
        <v>35</v>
      </c>
      <c r="R551" s="20">
        <v>135</v>
      </c>
      <c r="S551" s="20">
        <v>428</v>
      </c>
      <c r="T551" s="20">
        <v>52</v>
      </c>
      <c r="U551" s="20">
        <f t="shared" si="555"/>
        <v>3688</v>
      </c>
      <c r="V551">
        <v>1341</v>
      </c>
      <c r="W551">
        <v>70</v>
      </c>
      <c r="X551">
        <v>30</v>
      </c>
      <c r="Y551">
        <v>40</v>
      </c>
      <c r="Z551">
        <v>796</v>
      </c>
      <c r="AA551">
        <v>726</v>
      </c>
      <c r="AB551">
        <v>4.58</v>
      </c>
      <c r="AC551">
        <v>0</v>
      </c>
      <c r="AD551">
        <v>2</v>
      </c>
      <c r="AE551">
        <v>37</v>
      </c>
      <c r="AF551" s="27">
        <f t="shared" ca="1" si="542"/>
        <v>6255</v>
      </c>
      <c r="AG551" s="27">
        <f t="shared" ca="1" si="556"/>
        <v>1619</v>
      </c>
      <c r="AH551" s="27">
        <f t="shared" ca="1" si="557"/>
        <v>1035</v>
      </c>
      <c r="AI551" s="27">
        <f t="shared" ca="1" si="558"/>
        <v>317</v>
      </c>
      <c r="AJ551" s="27">
        <f t="shared" ca="1" si="559"/>
        <v>31</v>
      </c>
      <c r="AK551" s="27">
        <f t="shared" ca="1" si="560"/>
        <v>236</v>
      </c>
      <c r="AL551" s="27">
        <f t="shared" ca="1" si="561"/>
        <v>422</v>
      </c>
      <c r="AM551" s="27">
        <f t="shared" ca="1" si="562"/>
        <v>46</v>
      </c>
      <c r="AN551" s="27">
        <f t="shared" ca="1" si="563"/>
        <v>4168</v>
      </c>
      <c r="AO551">
        <v>4276</v>
      </c>
      <c r="AP551">
        <v>1423</v>
      </c>
      <c r="AQ551">
        <v>216</v>
      </c>
      <c r="AR551">
        <v>491</v>
      </c>
      <c r="AS551">
        <v>1215</v>
      </c>
      <c r="AT551">
        <v>95</v>
      </c>
      <c r="AU551">
        <v>126</v>
      </c>
      <c r="AV551">
        <v>0.98399999999999999</v>
      </c>
      <c r="AW551" s="1"/>
      <c r="AX551" s="1"/>
      <c r="AY551" s="29">
        <f t="shared" si="564"/>
        <v>29700</v>
      </c>
      <c r="AZ551" s="31">
        <f t="shared" si="565"/>
        <v>165432</v>
      </c>
      <c r="BA551" s="31">
        <f t="shared" ref="BA551" si="599">SUMIF($B$2:$B$571,$B551,$T$2:$T$571)</f>
        <v>1922</v>
      </c>
      <c r="BB551" s="30">
        <f t="shared" si="567"/>
        <v>1.1618066637651725E-2</v>
      </c>
    </row>
    <row r="552" spans="2:54" x14ac:dyDescent="0.5">
      <c r="B552" s="4">
        <v>2018</v>
      </c>
      <c r="C552" t="s">
        <v>62</v>
      </c>
      <c r="D552" t="s">
        <v>63</v>
      </c>
      <c r="E552">
        <v>1</v>
      </c>
      <c r="F552" t="s">
        <v>43</v>
      </c>
      <c r="G552" t="s">
        <v>38</v>
      </c>
      <c r="H552" t="s">
        <v>38</v>
      </c>
      <c r="I552" t="s">
        <v>38</v>
      </c>
      <c r="J552">
        <v>103</v>
      </c>
      <c r="K552">
        <v>59</v>
      </c>
      <c r="L552">
        <v>797</v>
      </c>
      <c r="M552" s="20">
        <v>5453</v>
      </c>
      <c r="N552" s="20">
        <v>1390</v>
      </c>
      <c r="O552" s="20">
        <f t="shared" si="554"/>
        <v>889</v>
      </c>
      <c r="P552" s="20">
        <v>278</v>
      </c>
      <c r="Q552" s="20">
        <v>18</v>
      </c>
      <c r="R552" s="20">
        <v>205</v>
      </c>
      <c r="S552" s="20">
        <v>565</v>
      </c>
      <c r="T552" s="20">
        <v>61</v>
      </c>
      <c r="U552" s="20">
        <f t="shared" si="555"/>
        <v>3437</v>
      </c>
      <c r="V552">
        <v>1197</v>
      </c>
      <c r="W552">
        <v>71</v>
      </c>
      <c r="X552">
        <v>26</v>
      </c>
      <c r="Y552">
        <v>45</v>
      </c>
      <c r="Z552">
        <v>534</v>
      </c>
      <c r="AA552">
        <v>503</v>
      </c>
      <c r="AB552">
        <v>3.11</v>
      </c>
      <c r="AC552">
        <v>3</v>
      </c>
      <c r="AD552">
        <v>12</v>
      </c>
      <c r="AE552">
        <v>46</v>
      </c>
      <c r="AF552" s="27">
        <f t="shared" ca="1" si="542"/>
        <v>6292</v>
      </c>
      <c r="AG552" s="27">
        <f t="shared" ca="1" si="556"/>
        <v>1573</v>
      </c>
      <c r="AH552" s="27">
        <f t="shared" ca="1" si="557"/>
        <v>1011</v>
      </c>
      <c r="AI552" s="27">
        <f t="shared" ca="1" si="558"/>
        <v>284</v>
      </c>
      <c r="AJ552" s="27">
        <f t="shared" ca="1" si="559"/>
        <v>44</v>
      </c>
      <c r="AK552" s="27">
        <f t="shared" ca="1" si="560"/>
        <v>234</v>
      </c>
      <c r="AL552" s="27">
        <f t="shared" ca="1" si="561"/>
        <v>509</v>
      </c>
      <c r="AM552" s="27">
        <f t="shared" ca="1" si="562"/>
        <v>88</v>
      </c>
      <c r="AN552" s="27">
        <f t="shared" ca="1" si="563"/>
        <v>4122</v>
      </c>
      <c r="AO552">
        <v>4365</v>
      </c>
      <c r="AP552">
        <v>1164</v>
      </c>
      <c r="AQ552">
        <v>152</v>
      </c>
      <c r="AR552">
        <v>435</v>
      </c>
      <c r="AS552">
        <v>1687</v>
      </c>
      <c r="AT552">
        <v>63</v>
      </c>
      <c r="AU552">
        <v>116</v>
      </c>
      <c r="AV552">
        <v>0.98899999999999999</v>
      </c>
      <c r="AW552" s="1"/>
      <c r="AX552" s="1"/>
      <c r="AY552" s="29">
        <f t="shared" si="564"/>
        <v>29700</v>
      </c>
      <c r="AZ552" s="31">
        <f t="shared" si="565"/>
        <v>165432</v>
      </c>
      <c r="BA552" s="31">
        <f t="shared" ref="BA552" si="600">SUMIF($B$2:$B$571,$B552,$U$2:$U$571)</f>
        <v>106804</v>
      </c>
      <c r="BB552" s="30">
        <f t="shared" si="567"/>
        <v>0.6456066540935248</v>
      </c>
    </row>
    <row r="553" spans="2:54" x14ac:dyDescent="0.5">
      <c r="B553" s="4">
        <v>2018</v>
      </c>
      <c r="C553" t="s">
        <v>64</v>
      </c>
      <c r="D553" t="s">
        <v>65</v>
      </c>
      <c r="E553">
        <v>5</v>
      </c>
      <c r="F553" t="s">
        <v>38</v>
      </c>
      <c r="G553" t="s">
        <v>38</v>
      </c>
      <c r="H553" t="s">
        <v>38</v>
      </c>
      <c r="I553" t="s">
        <v>38</v>
      </c>
      <c r="J553">
        <v>58</v>
      </c>
      <c r="K553">
        <v>104</v>
      </c>
      <c r="L553">
        <v>638</v>
      </c>
      <c r="M553" s="20">
        <v>5505</v>
      </c>
      <c r="N553" s="20">
        <v>1350</v>
      </c>
      <c r="O553" s="20">
        <f t="shared" si="554"/>
        <v>883</v>
      </c>
      <c r="P553" s="20">
        <v>283</v>
      </c>
      <c r="Q553" s="20">
        <v>29</v>
      </c>
      <c r="R553" s="20">
        <v>155</v>
      </c>
      <c r="S553" s="20">
        <v>427</v>
      </c>
      <c r="T553" s="20">
        <v>67</v>
      </c>
      <c r="U553" s="20">
        <f t="shared" si="555"/>
        <v>3661</v>
      </c>
      <c r="V553">
        <v>1310</v>
      </c>
      <c r="W553">
        <v>117</v>
      </c>
      <c r="X553">
        <v>38</v>
      </c>
      <c r="Y553">
        <v>40</v>
      </c>
      <c r="Z553">
        <v>833</v>
      </c>
      <c r="AA553">
        <v>786</v>
      </c>
      <c r="AB553">
        <v>4.9400000000000004</v>
      </c>
      <c r="AC553">
        <v>2</v>
      </c>
      <c r="AD553">
        <v>8</v>
      </c>
      <c r="AE553">
        <v>33</v>
      </c>
      <c r="AF553" s="27">
        <f t="shared" ca="1" si="542"/>
        <v>6452</v>
      </c>
      <c r="AG553" s="27">
        <f t="shared" ca="1" si="556"/>
        <v>1418</v>
      </c>
      <c r="AH553" s="27">
        <f t="shared" ca="1" si="557"/>
        <v>952</v>
      </c>
      <c r="AI553" s="27">
        <f t="shared" ca="1" si="558"/>
        <v>251</v>
      </c>
      <c r="AJ553" s="27">
        <f t="shared" ca="1" si="559"/>
        <v>29</v>
      </c>
      <c r="AK553" s="27">
        <f t="shared" ca="1" si="560"/>
        <v>186</v>
      </c>
      <c r="AL553" s="27">
        <f t="shared" ca="1" si="561"/>
        <v>585</v>
      </c>
      <c r="AM553" s="27">
        <f t="shared" ca="1" si="562"/>
        <v>70</v>
      </c>
      <c r="AN553" s="27">
        <f t="shared" ca="1" si="563"/>
        <v>4379</v>
      </c>
      <c r="AO553">
        <v>4296</v>
      </c>
      <c r="AP553">
        <v>1542</v>
      </c>
      <c r="AQ553">
        <v>205</v>
      </c>
      <c r="AR553">
        <v>549</v>
      </c>
      <c r="AS553">
        <v>1157</v>
      </c>
      <c r="AT553">
        <v>77</v>
      </c>
      <c r="AU553">
        <v>142</v>
      </c>
      <c r="AV553">
        <v>0.98699999999999999</v>
      </c>
      <c r="AW553" s="1"/>
      <c r="AX553" s="1"/>
      <c r="AY553" s="29">
        <f t="shared" si="564"/>
        <v>29700</v>
      </c>
      <c r="AZ553" s="31">
        <f t="shared" si="565"/>
        <v>165432</v>
      </c>
      <c r="BA553" s="31"/>
      <c r="BB553" s="30">
        <f t="shared" si="567"/>
        <v>0</v>
      </c>
    </row>
    <row r="554" spans="2:54" x14ac:dyDescent="0.5">
      <c r="B554" s="4">
        <v>2018</v>
      </c>
      <c r="C554" t="s">
        <v>98</v>
      </c>
      <c r="D554" t="s">
        <v>99</v>
      </c>
      <c r="E554">
        <v>4</v>
      </c>
      <c r="F554" t="s">
        <v>38</v>
      </c>
      <c r="G554" t="s">
        <v>38</v>
      </c>
      <c r="H554" t="s">
        <v>38</v>
      </c>
      <c r="I554" t="s">
        <v>38</v>
      </c>
      <c r="J554">
        <v>80</v>
      </c>
      <c r="K554">
        <v>82</v>
      </c>
      <c r="L554">
        <v>721</v>
      </c>
      <c r="M554" s="20">
        <v>5472</v>
      </c>
      <c r="N554" s="20">
        <v>1323</v>
      </c>
      <c r="O554" s="20">
        <f t="shared" si="554"/>
        <v>837</v>
      </c>
      <c r="P554" s="20">
        <v>249</v>
      </c>
      <c r="Q554" s="20">
        <v>23</v>
      </c>
      <c r="R554" s="20">
        <v>214</v>
      </c>
      <c r="S554" s="20">
        <v>514</v>
      </c>
      <c r="T554" s="20">
        <v>73</v>
      </c>
      <c r="U554" s="20">
        <f t="shared" si="555"/>
        <v>3562</v>
      </c>
      <c r="V554">
        <v>1300</v>
      </c>
      <c r="W554">
        <v>89</v>
      </c>
      <c r="X554">
        <v>22</v>
      </c>
      <c r="Y554">
        <v>39</v>
      </c>
      <c r="Z554">
        <v>722</v>
      </c>
      <c r="AA554">
        <v>662</v>
      </c>
      <c r="AB554">
        <v>4.1500000000000004</v>
      </c>
      <c r="AC554">
        <v>1</v>
      </c>
      <c r="AD554">
        <v>9</v>
      </c>
      <c r="AE554">
        <v>35</v>
      </c>
      <c r="AF554" s="27">
        <f t="shared" ca="1" si="542"/>
        <v>6137</v>
      </c>
      <c r="AG554" s="27">
        <f t="shared" ca="1" si="556"/>
        <v>1601</v>
      </c>
      <c r="AH554" s="27">
        <f t="shared" ca="1" si="557"/>
        <v>1092</v>
      </c>
      <c r="AI554" s="27">
        <f t="shared" ca="1" si="558"/>
        <v>321</v>
      </c>
      <c r="AJ554" s="27">
        <f t="shared" ca="1" si="559"/>
        <v>34</v>
      </c>
      <c r="AK554" s="27">
        <f t="shared" ca="1" si="560"/>
        <v>154</v>
      </c>
      <c r="AL554" s="27">
        <f t="shared" ca="1" si="561"/>
        <v>464</v>
      </c>
      <c r="AM554" s="27">
        <f t="shared" ca="1" si="562"/>
        <v>42</v>
      </c>
      <c r="AN554" s="27">
        <f t="shared" ca="1" si="563"/>
        <v>4030</v>
      </c>
      <c r="AO554">
        <v>4312</v>
      </c>
      <c r="AP554">
        <v>1353</v>
      </c>
      <c r="AQ554">
        <v>205</v>
      </c>
      <c r="AR554">
        <v>546</v>
      </c>
      <c r="AS554">
        <v>1386</v>
      </c>
      <c r="AT554">
        <v>76</v>
      </c>
      <c r="AU554">
        <v>173</v>
      </c>
      <c r="AV554">
        <v>0.98699999999999999</v>
      </c>
      <c r="AW554" s="1"/>
      <c r="AX554" s="1"/>
      <c r="AY554" s="29">
        <f t="shared" si="564"/>
        <v>29700</v>
      </c>
      <c r="AZ554" s="31">
        <f t="shared" si="565"/>
        <v>165432</v>
      </c>
      <c r="BA554" s="31">
        <f t="shared" ref="BA554" si="601">SUMIF($B$2:$B$571,$B554,$O$2:$O$571)</f>
        <v>26323</v>
      </c>
      <c r="BB554" s="30">
        <f t="shared" si="567"/>
        <v>0.15911673678611152</v>
      </c>
    </row>
    <row r="555" spans="2:54" x14ac:dyDescent="0.5">
      <c r="B555" s="4">
        <v>2018</v>
      </c>
      <c r="C555" t="s">
        <v>66</v>
      </c>
      <c r="D555" t="s">
        <v>67</v>
      </c>
      <c r="E555">
        <v>1</v>
      </c>
      <c r="F555" t="s">
        <v>43</v>
      </c>
      <c r="G555" t="s">
        <v>38</v>
      </c>
      <c r="H555" t="s">
        <v>43</v>
      </c>
      <c r="I555" t="s">
        <v>38</v>
      </c>
      <c r="J555">
        <v>92</v>
      </c>
      <c r="K555">
        <v>71</v>
      </c>
      <c r="L555">
        <v>804</v>
      </c>
      <c r="M555" s="20">
        <v>5572</v>
      </c>
      <c r="N555" s="20">
        <v>1394</v>
      </c>
      <c r="O555" s="20">
        <f t="shared" si="554"/>
        <v>830</v>
      </c>
      <c r="P555" s="20">
        <v>296</v>
      </c>
      <c r="Q555" s="20">
        <v>33</v>
      </c>
      <c r="R555" s="20">
        <v>235</v>
      </c>
      <c r="S555" s="20">
        <v>647</v>
      </c>
      <c r="T555" s="20">
        <v>61</v>
      </c>
      <c r="U555" s="20">
        <f t="shared" si="555"/>
        <v>3470</v>
      </c>
      <c r="V555">
        <v>1436</v>
      </c>
      <c r="W555">
        <v>75</v>
      </c>
      <c r="X555">
        <v>24</v>
      </c>
      <c r="Y555">
        <v>39</v>
      </c>
      <c r="Z555">
        <v>610</v>
      </c>
      <c r="AA555">
        <v>554</v>
      </c>
      <c r="AB555">
        <v>3.38</v>
      </c>
      <c r="AC555">
        <v>0</v>
      </c>
      <c r="AD555">
        <v>11</v>
      </c>
      <c r="AE555">
        <v>48</v>
      </c>
      <c r="AF555" s="27">
        <f t="shared" ca="1" si="542"/>
        <v>6083</v>
      </c>
      <c r="AG555" s="27">
        <f t="shared" ca="1" si="556"/>
        <v>1689</v>
      </c>
      <c r="AH555" s="27">
        <f t="shared" ca="1" si="557"/>
        <v>1135</v>
      </c>
      <c r="AI555" s="27">
        <f t="shared" ca="1" si="558"/>
        <v>306</v>
      </c>
      <c r="AJ555" s="27">
        <f t="shared" ca="1" si="559"/>
        <v>34</v>
      </c>
      <c r="AK555" s="27">
        <f t="shared" ca="1" si="560"/>
        <v>214</v>
      </c>
      <c r="AL555" s="27">
        <f t="shared" ca="1" si="561"/>
        <v>467</v>
      </c>
      <c r="AM555" s="27">
        <f t="shared" ca="1" si="562"/>
        <v>51</v>
      </c>
      <c r="AN555" s="27">
        <f t="shared" ca="1" si="563"/>
        <v>3876</v>
      </c>
      <c r="AO555">
        <v>4428</v>
      </c>
      <c r="AP555">
        <v>1279</v>
      </c>
      <c r="AQ555">
        <v>179</v>
      </c>
      <c r="AR555">
        <v>422</v>
      </c>
      <c r="AS555">
        <v>1565</v>
      </c>
      <c r="AT555">
        <v>100</v>
      </c>
      <c r="AU555">
        <v>111</v>
      </c>
      <c r="AV555">
        <v>0.98299999999999998</v>
      </c>
      <c r="AW555" s="1"/>
      <c r="AX555" s="1"/>
      <c r="AY555" s="29">
        <f t="shared" si="564"/>
        <v>29700</v>
      </c>
      <c r="AZ555" s="31">
        <f t="shared" si="565"/>
        <v>165432</v>
      </c>
      <c r="BA555" s="31">
        <f t="shared" ref="BA555" si="602">SUMIF($B$2:$B$571,$B555,$P$2:$P$571)</f>
        <v>8265</v>
      </c>
      <c r="BB555" s="30">
        <f t="shared" si="567"/>
        <v>4.9960104453793702E-2</v>
      </c>
    </row>
    <row r="556" spans="2:54" x14ac:dyDescent="0.5">
      <c r="B556" s="4">
        <v>2018</v>
      </c>
      <c r="C556" t="s">
        <v>103</v>
      </c>
      <c r="D556" t="s">
        <v>104</v>
      </c>
      <c r="E556">
        <v>5</v>
      </c>
      <c r="F556" t="s">
        <v>38</v>
      </c>
      <c r="G556" t="s">
        <v>38</v>
      </c>
      <c r="H556" t="s">
        <v>38</v>
      </c>
      <c r="I556" t="s">
        <v>38</v>
      </c>
      <c r="J556">
        <v>63</v>
      </c>
      <c r="K556">
        <v>98</v>
      </c>
      <c r="L556">
        <v>589</v>
      </c>
      <c r="M556" s="20">
        <v>5488</v>
      </c>
      <c r="N556" s="20">
        <v>1303</v>
      </c>
      <c r="O556" s="20">
        <f t="shared" si="554"/>
        <v>929</v>
      </c>
      <c r="P556" s="20">
        <v>222</v>
      </c>
      <c r="Q556" s="20">
        <v>24</v>
      </c>
      <c r="R556" s="20">
        <v>128</v>
      </c>
      <c r="S556" s="20">
        <v>455</v>
      </c>
      <c r="T556" s="20">
        <v>73</v>
      </c>
      <c r="U556" s="20">
        <f t="shared" si="555"/>
        <v>3657</v>
      </c>
      <c r="V556">
        <v>1384</v>
      </c>
      <c r="W556">
        <v>45</v>
      </c>
      <c r="X556">
        <v>31</v>
      </c>
      <c r="Y556">
        <v>31</v>
      </c>
      <c r="Z556">
        <v>809</v>
      </c>
      <c r="AA556">
        <v>762</v>
      </c>
      <c r="AB556">
        <v>4.76</v>
      </c>
      <c r="AC556">
        <v>1</v>
      </c>
      <c r="AD556">
        <v>12</v>
      </c>
      <c r="AE556">
        <v>30</v>
      </c>
      <c r="AF556" s="27">
        <f t="shared" ca="1" si="542"/>
        <v>6304</v>
      </c>
      <c r="AG556" s="27">
        <f t="shared" ca="1" si="556"/>
        <v>1667</v>
      </c>
      <c r="AH556" s="27">
        <f t="shared" ca="1" si="557"/>
        <v>1201</v>
      </c>
      <c r="AI556" s="27">
        <f t="shared" ca="1" si="558"/>
        <v>223</v>
      </c>
      <c r="AJ556" s="27">
        <f t="shared" ca="1" si="559"/>
        <v>47</v>
      </c>
      <c r="AK556" s="27">
        <f t="shared" ca="1" si="560"/>
        <v>196</v>
      </c>
      <c r="AL556" s="27">
        <f t="shared" ca="1" si="561"/>
        <v>696</v>
      </c>
      <c r="AM556" s="27">
        <f t="shared" ca="1" si="562"/>
        <v>63</v>
      </c>
      <c r="AN556" s="27">
        <f t="shared" ca="1" si="563"/>
        <v>3878</v>
      </c>
      <c r="AO556">
        <v>4326</v>
      </c>
      <c r="AP556">
        <v>1388</v>
      </c>
      <c r="AQ556">
        <v>192</v>
      </c>
      <c r="AR556">
        <v>605</v>
      </c>
      <c r="AS556">
        <v>1249</v>
      </c>
      <c r="AT556">
        <v>83</v>
      </c>
      <c r="AU556">
        <v>133</v>
      </c>
      <c r="AV556">
        <v>0.98599999999999999</v>
      </c>
      <c r="AW556" s="1"/>
      <c r="AX556" s="1"/>
      <c r="AY556" s="29">
        <f t="shared" si="564"/>
        <v>29700</v>
      </c>
      <c r="AZ556" s="31">
        <f t="shared" si="565"/>
        <v>165432</v>
      </c>
      <c r="BA556" s="31">
        <f t="shared" ref="BA556" si="603">SUMIF($B$2:$B$571,$B556,$Q$2:$Q$571)</f>
        <v>847</v>
      </c>
      <c r="BB556" s="30">
        <f t="shared" si="567"/>
        <v>5.1199284298080175E-3</v>
      </c>
    </row>
    <row r="557" spans="2:54" x14ac:dyDescent="0.5">
      <c r="B557" s="4">
        <v>2018</v>
      </c>
      <c r="C557" t="s">
        <v>68</v>
      </c>
      <c r="D557" t="s">
        <v>69</v>
      </c>
      <c r="E557">
        <v>1</v>
      </c>
      <c r="F557" t="s">
        <v>43</v>
      </c>
      <c r="G557" t="s">
        <v>38</v>
      </c>
      <c r="H557" t="s">
        <v>38</v>
      </c>
      <c r="I557" t="s">
        <v>38</v>
      </c>
      <c r="J557">
        <v>96</v>
      </c>
      <c r="K557">
        <v>67</v>
      </c>
      <c r="L557">
        <v>754</v>
      </c>
      <c r="M557" s="20">
        <v>5542</v>
      </c>
      <c r="N557" s="20">
        <v>1398</v>
      </c>
      <c r="O557" s="20">
        <f t="shared" si="554"/>
        <v>904</v>
      </c>
      <c r="P557" s="20">
        <v>252</v>
      </c>
      <c r="Q557" s="20">
        <v>24</v>
      </c>
      <c r="R557" s="20">
        <v>218</v>
      </c>
      <c r="S557" s="20">
        <v>537</v>
      </c>
      <c r="T557" s="20">
        <v>58</v>
      </c>
      <c r="U557" s="20">
        <f t="shared" si="555"/>
        <v>3549</v>
      </c>
      <c r="V557">
        <v>1458</v>
      </c>
      <c r="W557">
        <v>124</v>
      </c>
      <c r="X557">
        <v>32</v>
      </c>
      <c r="Y557">
        <v>41</v>
      </c>
      <c r="Z557">
        <v>659</v>
      </c>
      <c r="AA557">
        <v>606</v>
      </c>
      <c r="AB557">
        <v>3.73</v>
      </c>
      <c r="AC557">
        <v>0</v>
      </c>
      <c r="AD557">
        <v>14</v>
      </c>
      <c r="AE557">
        <v>49</v>
      </c>
      <c r="AF557" s="27">
        <f t="shared" ca="1" si="542"/>
        <v>6180</v>
      </c>
      <c r="AG557" s="27">
        <f t="shared" ca="1" si="556"/>
        <v>1397</v>
      </c>
      <c r="AH557" s="27">
        <f t="shared" ca="1" si="557"/>
        <v>993</v>
      </c>
      <c r="AI557" s="27">
        <f t="shared" ca="1" si="558"/>
        <v>228</v>
      </c>
      <c r="AJ557" s="27">
        <f t="shared" ca="1" si="559"/>
        <v>40</v>
      </c>
      <c r="AK557" s="27">
        <f t="shared" ca="1" si="560"/>
        <v>136</v>
      </c>
      <c r="AL557" s="27">
        <f t="shared" ca="1" si="561"/>
        <v>568</v>
      </c>
      <c r="AM557" s="27">
        <f t="shared" ca="1" si="562"/>
        <v>30</v>
      </c>
      <c r="AN557" s="27">
        <f t="shared" ca="1" si="563"/>
        <v>4185</v>
      </c>
      <c r="AO557">
        <v>4383</v>
      </c>
      <c r="AP557">
        <v>1259</v>
      </c>
      <c r="AQ557">
        <v>173</v>
      </c>
      <c r="AR557">
        <v>553</v>
      </c>
      <c r="AS557">
        <v>1428</v>
      </c>
      <c r="AT557">
        <v>108</v>
      </c>
      <c r="AU557">
        <v>141</v>
      </c>
      <c r="AV557">
        <v>0.98199999999999998</v>
      </c>
      <c r="AW557" s="1"/>
      <c r="AX557" s="1"/>
      <c r="AY557" s="29">
        <f t="shared" si="564"/>
        <v>29700</v>
      </c>
      <c r="AZ557" s="31">
        <f t="shared" si="565"/>
        <v>165432</v>
      </c>
      <c r="BA557" s="31">
        <f t="shared" ref="BA557" si="604">SUMIF($B$2:$B$571,$B557,$R$2:$R$571)</f>
        <v>5585</v>
      </c>
      <c r="BB557" s="30">
        <f t="shared" si="567"/>
        <v>3.3760094782146137E-2</v>
      </c>
    </row>
    <row r="558" spans="2:54" x14ac:dyDescent="0.5">
      <c r="B558" s="4">
        <v>2018</v>
      </c>
      <c r="C558" t="s">
        <v>70</v>
      </c>
      <c r="D558" t="s">
        <v>71</v>
      </c>
      <c r="E558">
        <v>2</v>
      </c>
      <c r="F558" t="s">
        <v>38</v>
      </c>
      <c r="G558" t="s">
        <v>38</v>
      </c>
      <c r="H558" t="s">
        <v>38</v>
      </c>
      <c r="I558" t="s">
        <v>38</v>
      </c>
      <c r="J558">
        <v>78</v>
      </c>
      <c r="K558">
        <v>84</v>
      </c>
      <c r="L558">
        <v>738</v>
      </c>
      <c r="M558" s="20">
        <v>5526</v>
      </c>
      <c r="N558" s="20">
        <v>1380</v>
      </c>
      <c r="O558" s="20">
        <f t="shared" si="554"/>
        <v>874</v>
      </c>
      <c r="P558" s="20">
        <v>318</v>
      </c>
      <c r="Q558" s="20">
        <v>22</v>
      </c>
      <c r="R558" s="20">
        <v>166</v>
      </c>
      <c r="S558" s="20">
        <v>534</v>
      </c>
      <c r="T558" s="20">
        <v>37</v>
      </c>
      <c r="U558" s="20">
        <f t="shared" si="555"/>
        <v>3575</v>
      </c>
      <c r="V558">
        <v>1328</v>
      </c>
      <c r="W558">
        <v>47</v>
      </c>
      <c r="X558">
        <v>27</v>
      </c>
      <c r="Y558">
        <v>38</v>
      </c>
      <c r="Z558">
        <v>775</v>
      </c>
      <c r="AA558">
        <v>721</v>
      </c>
      <c r="AB558">
        <v>4.5</v>
      </c>
      <c r="AC558">
        <v>2</v>
      </c>
      <c r="AD558">
        <v>7</v>
      </c>
      <c r="AE558">
        <v>37</v>
      </c>
      <c r="AF558" s="27">
        <f t="shared" ca="1" si="542"/>
        <v>6057</v>
      </c>
      <c r="AG558" s="27">
        <f t="shared" ca="1" si="556"/>
        <v>1565</v>
      </c>
      <c r="AH558" s="27">
        <f t="shared" ca="1" si="557"/>
        <v>1023</v>
      </c>
      <c r="AI558" s="27">
        <f t="shared" ca="1" si="558"/>
        <v>274</v>
      </c>
      <c r="AJ558" s="27">
        <f t="shared" ca="1" si="559"/>
        <v>28</v>
      </c>
      <c r="AK558" s="27">
        <f t="shared" ca="1" si="560"/>
        <v>240</v>
      </c>
      <c r="AL558" s="27">
        <f t="shared" ca="1" si="561"/>
        <v>532</v>
      </c>
      <c r="AM558" s="27">
        <f t="shared" ca="1" si="562"/>
        <v>35</v>
      </c>
      <c r="AN558" s="27">
        <f t="shared" ca="1" si="563"/>
        <v>3925</v>
      </c>
      <c r="AO558">
        <v>4330</v>
      </c>
      <c r="AP558">
        <v>1425</v>
      </c>
      <c r="AQ558">
        <v>198</v>
      </c>
      <c r="AR558">
        <v>573</v>
      </c>
      <c r="AS558">
        <v>1377</v>
      </c>
      <c r="AT558">
        <v>97</v>
      </c>
      <c r="AU558">
        <v>127</v>
      </c>
      <c r="AV558">
        <v>0.98399999999999999</v>
      </c>
      <c r="AW558" s="1"/>
      <c r="AX558" s="1"/>
      <c r="AY558" s="29">
        <f t="shared" si="564"/>
        <v>29700</v>
      </c>
      <c r="AZ558" s="31">
        <f t="shared" si="565"/>
        <v>165432</v>
      </c>
      <c r="BA558" s="31">
        <f t="shared" ref="BA558" si="605">SUMIF($B$2:$B$571,$B558,$S$2:$S$571)</f>
        <v>15686</v>
      </c>
      <c r="BB558" s="30">
        <f t="shared" si="567"/>
        <v>9.4818414816964069E-2</v>
      </c>
    </row>
    <row r="559" spans="2:54" x14ac:dyDescent="0.5">
      <c r="B559" s="4">
        <v>2018</v>
      </c>
      <c r="C559" t="s">
        <v>74</v>
      </c>
      <c r="D559" t="s">
        <v>75</v>
      </c>
      <c r="E559">
        <v>2</v>
      </c>
      <c r="F559" t="s">
        <v>38</v>
      </c>
      <c r="G559" t="s">
        <v>43</v>
      </c>
      <c r="H559" t="s">
        <v>38</v>
      </c>
      <c r="I559" t="s">
        <v>38</v>
      </c>
      <c r="J559">
        <v>100</v>
      </c>
      <c r="K559">
        <v>62</v>
      </c>
      <c r="L559">
        <v>851</v>
      </c>
      <c r="M559" s="20">
        <v>5515</v>
      </c>
      <c r="N559" s="20">
        <v>1374</v>
      </c>
      <c r="O559" s="20">
        <f t="shared" si="554"/>
        <v>815</v>
      </c>
      <c r="P559" s="20">
        <v>269</v>
      </c>
      <c r="Q559" s="20">
        <v>23</v>
      </c>
      <c r="R559" s="20">
        <v>267</v>
      </c>
      <c r="S559" s="20">
        <v>625</v>
      </c>
      <c r="T559" s="20">
        <v>62</v>
      </c>
      <c r="U559" s="20">
        <f t="shared" si="555"/>
        <v>3454</v>
      </c>
      <c r="V559">
        <v>1421</v>
      </c>
      <c r="W559">
        <v>63</v>
      </c>
      <c r="X559">
        <v>21</v>
      </c>
      <c r="Y559">
        <v>59</v>
      </c>
      <c r="Z559">
        <v>669</v>
      </c>
      <c r="AA559">
        <v>611</v>
      </c>
      <c r="AB559">
        <v>3.78</v>
      </c>
      <c r="AC559">
        <v>2</v>
      </c>
      <c r="AD559">
        <v>11</v>
      </c>
      <c r="AE559">
        <v>49</v>
      </c>
      <c r="AF559" s="27">
        <f t="shared" ca="1" si="542"/>
        <v>6278</v>
      </c>
      <c r="AG559" s="27">
        <f t="shared" ca="1" si="556"/>
        <v>1318</v>
      </c>
      <c r="AH559" s="27">
        <f t="shared" ca="1" si="557"/>
        <v>775</v>
      </c>
      <c r="AI559" s="27">
        <f t="shared" ca="1" si="558"/>
        <v>311</v>
      </c>
      <c r="AJ559" s="27">
        <f t="shared" ca="1" si="559"/>
        <v>25</v>
      </c>
      <c r="AK559" s="27">
        <f t="shared" ca="1" si="560"/>
        <v>207</v>
      </c>
      <c r="AL559" s="27">
        <f t="shared" ca="1" si="561"/>
        <v>449</v>
      </c>
      <c r="AM559" s="27">
        <f t="shared" ca="1" si="562"/>
        <v>82</v>
      </c>
      <c r="AN559" s="27">
        <f t="shared" ca="1" si="563"/>
        <v>4429</v>
      </c>
      <c r="AO559">
        <v>4369</v>
      </c>
      <c r="AP559">
        <v>1311</v>
      </c>
      <c r="AQ559">
        <v>177</v>
      </c>
      <c r="AR559">
        <v>494</v>
      </c>
      <c r="AS559">
        <v>1634</v>
      </c>
      <c r="AT559">
        <v>94</v>
      </c>
      <c r="AU559">
        <v>95</v>
      </c>
      <c r="AV559">
        <v>0.98399999999999999</v>
      </c>
      <c r="AW559" s="1"/>
      <c r="AX559" s="1"/>
      <c r="AY559" s="29">
        <f t="shared" si="564"/>
        <v>29700</v>
      </c>
      <c r="AZ559" s="31">
        <f t="shared" si="565"/>
        <v>165432</v>
      </c>
      <c r="BA559" s="31">
        <f t="shared" ref="BA559" si="606">SUMIF($B$2:$B$571,$B559,$T$2:$T$571)</f>
        <v>1922</v>
      </c>
      <c r="BB559" s="30">
        <f t="shared" si="567"/>
        <v>1.1618066637651725E-2</v>
      </c>
    </row>
    <row r="560" spans="2:54" x14ac:dyDescent="0.5">
      <c r="B560" s="4">
        <v>2018</v>
      </c>
      <c r="C560" t="s">
        <v>76</v>
      </c>
      <c r="D560" t="s">
        <v>77</v>
      </c>
      <c r="E560">
        <v>4</v>
      </c>
      <c r="F560" t="s">
        <v>38</v>
      </c>
      <c r="G560" t="s">
        <v>38</v>
      </c>
      <c r="H560" t="s">
        <v>38</v>
      </c>
      <c r="I560" t="s">
        <v>38</v>
      </c>
      <c r="J560">
        <v>77</v>
      </c>
      <c r="K560">
        <v>85</v>
      </c>
      <c r="L560">
        <v>676</v>
      </c>
      <c r="M560" s="20">
        <v>5468</v>
      </c>
      <c r="N560" s="20">
        <v>1282</v>
      </c>
      <c r="O560" s="20">
        <f t="shared" si="554"/>
        <v>813</v>
      </c>
      <c r="P560" s="20">
        <v>265</v>
      </c>
      <c r="Q560" s="20">
        <v>34</v>
      </c>
      <c r="R560" s="20">
        <v>170</v>
      </c>
      <c r="S560" s="20">
        <v>566</v>
      </c>
      <c r="T560" s="20">
        <v>73</v>
      </c>
      <c r="U560" s="20">
        <f t="shared" si="555"/>
        <v>3547</v>
      </c>
      <c r="V560">
        <v>1404</v>
      </c>
      <c r="W560">
        <v>71</v>
      </c>
      <c r="X560">
        <v>39</v>
      </c>
      <c r="Y560">
        <v>42</v>
      </c>
      <c r="Z560">
        <v>707</v>
      </c>
      <c r="AA560">
        <v>661</v>
      </c>
      <c r="AB560">
        <v>4.07</v>
      </c>
      <c r="AC560">
        <v>3</v>
      </c>
      <c r="AD560">
        <v>15</v>
      </c>
      <c r="AE560">
        <v>41</v>
      </c>
      <c r="AF560" s="27">
        <f t="shared" ca="1" si="542"/>
        <v>6288</v>
      </c>
      <c r="AG560" s="27">
        <f t="shared" ca="1" si="556"/>
        <v>1563</v>
      </c>
      <c r="AH560" s="27">
        <f t="shared" ca="1" si="557"/>
        <v>961</v>
      </c>
      <c r="AI560" s="27">
        <f t="shared" ca="1" si="558"/>
        <v>341</v>
      </c>
      <c r="AJ560" s="27">
        <f t="shared" ca="1" si="559"/>
        <v>41</v>
      </c>
      <c r="AK560" s="27">
        <f t="shared" ca="1" si="560"/>
        <v>220</v>
      </c>
      <c r="AL560" s="27">
        <f t="shared" ca="1" si="561"/>
        <v>581</v>
      </c>
      <c r="AM560" s="27">
        <f t="shared" ca="1" si="562"/>
        <v>49</v>
      </c>
      <c r="AN560" s="27">
        <f t="shared" ca="1" si="563"/>
        <v>4095</v>
      </c>
      <c r="AO560">
        <v>4382</v>
      </c>
      <c r="AP560">
        <v>1364</v>
      </c>
      <c r="AQ560">
        <v>185</v>
      </c>
      <c r="AR560">
        <v>484</v>
      </c>
      <c r="AS560">
        <v>1446</v>
      </c>
      <c r="AT560">
        <v>88</v>
      </c>
      <c r="AU560">
        <v>121</v>
      </c>
      <c r="AV560">
        <v>0.98499999999999999</v>
      </c>
      <c r="AW560" s="1"/>
      <c r="AX560" s="1"/>
      <c r="AY560" s="29">
        <f t="shared" si="564"/>
        <v>29700</v>
      </c>
      <c r="AZ560" s="31">
        <f t="shared" si="565"/>
        <v>165432</v>
      </c>
      <c r="BA560" s="31">
        <f t="shared" ref="BA560" si="607">SUMIF($B$2:$B$571,$B560,$U$2:$U$571)</f>
        <v>106804</v>
      </c>
      <c r="BB560" s="30">
        <f t="shared" si="567"/>
        <v>0.6456066540935248</v>
      </c>
    </row>
    <row r="561" spans="2:54" x14ac:dyDescent="0.5">
      <c r="B561" s="4">
        <v>2018</v>
      </c>
      <c r="C561" t="s">
        <v>78</v>
      </c>
      <c r="D561" t="s">
        <v>79</v>
      </c>
      <c r="E561">
        <v>2</v>
      </c>
      <c r="F561" t="s">
        <v>38</v>
      </c>
      <c r="G561" t="s">
        <v>43</v>
      </c>
      <c r="H561" t="s">
        <v>38</v>
      </c>
      <c r="I561" t="s">
        <v>38</v>
      </c>
      <c r="J561">
        <v>97</v>
      </c>
      <c r="K561">
        <v>65</v>
      </c>
      <c r="L561">
        <v>813</v>
      </c>
      <c r="M561" s="20">
        <v>5579</v>
      </c>
      <c r="N561" s="20">
        <v>1407</v>
      </c>
      <c r="O561" s="20">
        <f t="shared" si="554"/>
        <v>838</v>
      </c>
      <c r="P561" s="20">
        <v>322</v>
      </c>
      <c r="Q561" s="20">
        <v>20</v>
      </c>
      <c r="R561" s="20">
        <v>227</v>
      </c>
      <c r="S561" s="20">
        <v>550</v>
      </c>
      <c r="T561" s="20">
        <v>76</v>
      </c>
      <c r="U561" s="20">
        <f t="shared" si="555"/>
        <v>3546</v>
      </c>
      <c r="V561">
        <v>1381</v>
      </c>
      <c r="W561">
        <v>35</v>
      </c>
      <c r="X561">
        <v>21</v>
      </c>
      <c r="Y561">
        <v>44</v>
      </c>
      <c r="Z561">
        <v>674</v>
      </c>
      <c r="AA561">
        <v>621</v>
      </c>
      <c r="AB561">
        <v>3.81</v>
      </c>
      <c r="AC561">
        <v>2</v>
      </c>
      <c r="AD561">
        <v>14</v>
      </c>
      <c r="AE561">
        <v>44</v>
      </c>
      <c r="AF561" s="27">
        <f t="shared" ca="1" si="542"/>
        <v>6250</v>
      </c>
      <c r="AG561" s="27">
        <f t="shared" ca="1" si="556"/>
        <v>1609</v>
      </c>
      <c r="AH561" s="27">
        <f t="shared" ca="1" si="557"/>
        <v>1095</v>
      </c>
      <c r="AI561" s="27">
        <f t="shared" ca="1" si="558"/>
        <v>263</v>
      </c>
      <c r="AJ561" s="27">
        <f t="shared" ca="1" si="559"/>
        <v>37</v>
      </c>
      <c r="AK561" s="27">
        <f t="shared" ca="1" si="560"/>
        <v>214</v>
      </c>
      <c r="AL561" s="27">
        <f t="shared" ca="1" si="561"/>
        <v>642</v>
      </c>
      <c r="AM561" s="27">
        <f t="shared" ca="1" si="562"/>
        <v>73</v>
      </c>
      <c r="AN561" s="27">
        <f t="shared" ca="1" si="563"/>
        <v>3926</v>
      </c>
      <c r="AO561">
        <v>4397</v>
      </c>
      <c r="AP561">
        <v>1303</v>
      </c>
      <c r="AQ561">
        <v>184</v>
      </c>
      <c r="AR561">
        <v>474</v>
      </c>
      <c r="AS561">
        <v>1237</v>
      </c>
      <c r="AT561">
        <v>89</v>
      </c>
      <c r="AU561">
        <v>125</v>
      </c>
      <c r="AV561">
        <v>0.98499999999999999</v>
      </c>
      <c r="AW561" s="1"/>
      <c r="AX561" s="1"/>
      <c r="AY561" s="29">
        <f t="shared" si="564"/>
        <v>29700</v>
      </c>
      <c r="AZ561" s="31">
        <f t="shared" si="565"/>
        <v>165432</v>
      </c>
      <c r="BA561" s="31"/>
      <c r="BB561" s="30">
        <f t="shared" si="567"/>
        <v>0</v>
      </c>
    </row>
    <row r="562" spans="2:54" x14ac:dyDescent="0.5">
      <c r="B562" s="4">
        <v>2018</v>
      </c>
      <c r="C562" t="s">
        <v>80</v>
      </c>
      <c r="D562" t="s">
        <v>81</v>
      </c>
      <c r="E562">
        <v>3</v>
      </c>
      <c r="F562" t="s">
        <v>38</v>
      </c>
      <c r="G562" t="s">
        <v>38</v>
      </c>
      <c r="H562" t="s">
        <v>38</v>
      </c>
      <c r="I562" t="s">
        <v>38</v>
      </c>
      <c r="J562">
        <v>80</v>
      </c>
      <c r="K562">
        <v>82</v>
      </c>
      <c r="L562">
        <v>677</v>
      </c>
      <c r="M562" s="20">
        <v>5424</v>
      </c>
      <c r="N562" s="20">
        <v>1271</v>
      </c>
      <c r="O562" s="20">
        <f t="shared" si="554"/>
        <v>814</v>
      </c>
      <c r="P562" s="20">
        <v>241</v>
      </c>
      <c r="Q562" s="20">
        <v>30</v>
      </c>
      <c r="R562" s="20">
        <v>186</v>
      </c>
      <c r="S562" s="20">
        <v>582</v>
      </c>
      <c r="T562" s="20">
        <v>64</v>
      </c>
      <c r="U562" s="20">
        <f t="shared" si="555"/>
        <v>3507</v>
      </c>
      <c r="V562">
        <v>1520</v>
      </c>
      <c r="W562">
        <v>69</v>
      </c>
      <c r="X562">
        <v>26</v>
      </c>
      <c r="Y562">
        <v>32</v>
      </c>
      <c r="Z562">
        <v>728</v>
      </c>
      <c r="AA562">
        <v>665</v>
      </c>
      <c r="AB562">
        <v>4.1399999999999997</v>
      </c>
      <c r="AC562">
        <v>0</v>
      </c>
      <c r="AD562">
        <v>12</v>
      </c>
      <c r="AE562">
        <v>44</v>
      </c>
      <c r="AF562" s="27">
        <f t="shared" ca="1" si="542"/>
        <v>6207</v>
      </c>
      <c r="AG562" s="27">
        <f t="shared" ca="1" si="556"/>
        <v>1458</v>
      </c>
      <c r="AH562" s="27">
        <f t="shared" ca="1" si="557"/>
        <v>1023</v>
      </c>
      <c r="AI562" s="27">
        <f t="shared" ca="1" si="558"/>
        <v>285</v>
      </c>
      <c r="AJ562" s="27">
        <f t="shared" ca="1" si="559"/>
        <v>20</v>
      </c>
      <c r="AK562" s="27">
        <f t="shared" ca="1" si="560"/>
        <v>130</v>
      </c>
      <c r="AL562" s="27">
        <f t="shared" ca="1" si="561"/>
        <v>692</v>
      </c>
      <c r="AM562" s="27">
        <f t="shared" ca="1" si="562"/>
        <v>84</v>
      </c>
      <c r="AN562" s="27">
        <f t="shared" ca="1" si="563"/>
        <v>3973</v>
      </c>
      <c r="AO562">
        <v>4337</v>
      </c>
      <c r="AP562">
        <v>1366</v>
      </c>
      <c r="AQ562">
        <v>171</v>
      </c>
      <c r="AR562">
        <v>500</v>
      </c>
      <c r="AS562">
        <v>1465</v>
      </c>
      <c r="AT562">
        <v>123</v>
      </c>
      <c r="AU562">
        <v>138</v>
      </c>
      <c r="AV562">
        <v>0.97899999999999998</v>
      </c>
      <c r="AW562" s="1"/>
      <c r="AX562" s="1"/>
      <c r="AY562" s="29">
        <f t="shared" si="564"/>
        <v>29700</v>
      </c>
      <c r="AZ562" s="31">
        <f t="shared" si="565"/>
        <v>165432</v>
      </c>
      <c r="BA562" s="31">
        <f t="shared" ref="BA562" si="608">SUMIF($B$2:$B$571,$B562,$O$2:$O$571)</f>
        <v>26323</v>
      </c>
      <c r="BB562" s="30">
        <f t="shared" si="567"/>
        <v>0.15911673678611152</v>
      </c>
    </row>
    <row r="563" spans="2:54" x14ac:dyDescent="0.5">
      <c r="B563" s="4">
        <v>2018</v>
      </c>
      <c r="C563" t="s">
        <v>82</v>
      </c>
      <c r="D563" t="s">
        <v>83</v>
      </c>
      <c r="E563">
        <v>4</v>
      </c>
      <c r="F563" t="s">
        <v>38</v>
      </c>
      <c r="G563" t="s">
        <v>38</v>
      </c>
      <c r="H563" t="s">
        <v>38</v>
      </c>
      <c r="I563" t="s">
        <v>38</v>
      </c>
      <c r="J563">
        <v>82</v>
      </c>
      <c r="K563">
        <v>79</v>
      </c>
      <c r="L563">
        <v>692</v>
      </c>
      <c r="M563" s="20">
        <v>5447</v>
      </c>
      <c r="N563" s="20">
        <v>1381</v>
      </c>
      <c r="O563" s="20">
        <f t="shared" si="554"/>
        <v>896</v>
      </c>
      <c r="P563" s="20">
        <v>290</v>
      </c>
      <c r="Q563" s="20">
        <v>38</v>
      </c>
      <c r="R563" s="20">
        <v>157</v>
      </c>
      <c r="S563" s="20">
        <v>474</v>
      </c>
      <c r="T563" s="20">
        <v>59</v>
      </c>
      <c r="U563" s="20">
        <f t="shared" si="555"/>
        <v>3533</v>
      </c>
      <c r="V563">
        <v>1229</v>
      </c>
      <c r="W563">
        <v>70</v>
      </c>
      <c r="X563">
        <v>38</v>
      </c>
      <c r="Y563">
        <v>52</v>
      </c>
      <c r="Z563">
        <v>693</v>
      </c>
      <c r="AA563">
        <v>637</v>
      </c>
      <c r="AB563">
        <v>4</v>
      </c>
      <c r="AC563">
        <v>3</v>
      </c>
      <c r="AD563">
        <v>16</v>
      </c>
      <c r="AE563">
        <v>40</v>
      </c>
      <c r="AF563" s="27">
        <f t="shared" ca="1" si="542"/>
        <v>6435</v>
      </c>
      <c r="AG563" s="27">
        <f t="shared" ca="1" si="556"/>
        <v>1646</v>
      </c>
      <c r="AH563" s="27">
        <f t="shared" ca="1" si="557"/>
        <v>1084</v>
      </c>
      <c r="AI563" s="27">
        <f t="shared" ca="1" si="558"/>
        <v>400</v>
      </c>
      <c r="AJ563" s="27">
        <f t="shared" ca="1" si="559"/>
        <v>31</v>
      </c>
      <c r="AK563" s="27">
        <f t="shared" ca="1" si="560"/>
        <v>131</v>
      </c>
      <c r="AL563" s="27">
        <f t="shared" ca="1" si="561"/>
        <v>674</v>
      </c>
      <c r="AM563" s="27">
        <f t="shared" ca="1" si="562"/>
        <v>47</v>
      </c>
      <c r="AN563" s="27">
        <f t="shared" ca="1" si="563"/>
        <v>4068</v>
      </c>
      <c r="AO563">
        <v>4302</v>
      </c>
      <c r="AP563">
        <v>1380</v>
      </c>
      <c r="AQ563">
        <v>174</v>
      </c>
      <c r="AR563">
        <v>497</v>
      </c>
      <c r="AS563">
        <v>1336</v>
      </c>
      <c r="AT563">
        <v>105</v>
      </c>
      <c r="AU563">
        <v>129</v>
      </c>
      <c r="AV563">
        <v>0.98199999999999998</v>
      </c>
      <c r="AW563" s="1"/>
      <c r="AX563" s="1"/>
      <c r="AY563" s="29">
        <f t="shared" si="564"/>
        <v>29700</v>
      </c>
      <c r="AZ563" s="31">
        <f t="shared" si="565"/>
        <v>165432</v>
      </c>
      <c r="BA563" s="31">
        <f t="shared" ref="BA563" si="609">SUMIF($B$2:$B$571,$B563,$P$2:$P$571)</f>
        <v>8265</v>
      </c>
      <c r="BB563" s="30">
        <f t="shared" si="567"/>
        <v>4.9960104453793702E-2</v>
      </c>
    </row>
    <row r="564" spans="2:54" x14ac:dyDescent="0.5">
      <c r="B564" s="4">
        <v>2018</v>
      </c>
      <c r="C564" t="s">
        <v>84</v>
      </c>
      <c r="D564" t="s">
        <v>85</v>
      </c>
      <c r="E564">
        <v>5</v>
      </c>
      <c r="F564" t="s">
        <v>38</v>
      </c>
      <c r="G564" t="s">
        <v>38</v>
      </c>
      <c r="H564" t="s">
        <v>38</v>
      </c>
      <c r="I564" t="s">
        <v>38</v>
      </c>
      <c r="J564">
        <v>66</v>
      </c>
      <c r="K564">
        <v>96</v>
      </c>
      <c r="L564">
        <v>617</v>
      </c>
      <c r="M564" s="20">
        <v>5486</v>
      </c>
      <c r="N564" s="20">
        <v>1289</v>
      </c>
      <c r="O564" s="20">
        <f t="shared" si="554"/>
        <v>847</v>
      </c>
      <c r="P564" s="20">
        <v>250</v>
      </c>
      <c r="Q564" s="20">
        <v>30</v>
      </c>
      <c r="R564" s="20">
        <v>162</v>
      </c>
      <c r="S564" s="20">
        <v>471</v>
      </c>
      <c r="T564" s="20">
        <v>31</v>
      </c>
      <c r="U564" s="20">
        <f t="shared" si="555"/>
        <v>3695</v>
      </c>
      <c r="V564">
        <v>1523</v>
      </c>
      <c r="W564">
        <v>95</v>
      </c>
      <c r="X564">
        <v>36</v>
      </c>
      <c r="Y564">
        <v>36</v>
      </c>
      <c r="Z564">
        <v>767</v>
      </c>
      <c r="AA564">
        <v>713</v>
      </c>
      <c r="AB564">
        <v>4.4000000000000004</v>
      </c>
      <c r="AC564">
        <v>0</v>
      </c>
      <c r="AD564">
        <v>5</v>
      </c>
      <c r="AE564">
        <v>36</v>
      </c>
      <c r="AF564" s="27">
        <f t="shared" ca="1" si="542"/>
        <v>6165</v>
      </c>
      <c r="AG564" s="27">
        <f t="shared" ca="1" si="556"/>
        <v>1494</v>
      </c>
      <c r="AH564" s="27">
        <f t="shared" ca="1" si="557"/>
        <v>957</v>
      </c>
      <c r="AI564" s="27">
        <f t="shared" ca="1" si="558"/>
        <v>347</v>
      </c>
      <c r="AJ564" s="27">
        <f t="shared" ca="1" si="559"/>
        <v>24</v>
      </c>
      <c r="AK564" s="27">
        <f t="shared" ca="1" si="560"/>
        <v>166</v>
      </c>
      <c r="AL564" s="27">
        <f t="shared" ca="1" si="561"/>
        <v>642</v>
      </c>
      <c r="AM564" s="27">
        <f t="shared" ca="1" si="562"/>
        <v>84</v>
      </c>
      <c r="AN564" s="27">
        <f t="shared" ca="1" si="563"/>
        <v>3945</v>
      </c>
      <c r="AO564">
        <v>4371</v>
      </c>
      <c r="AP564">
        <v>1430</v>
      </c>
      <c r="AQ564">
        <v>185</v>
      </c>
      <c r="AR564">
        <v>519</v>
      </c>
      <c r="AS564">
        <v>1399</v>
      </c>
      <c r="AT564">
        <v>100</v>
      </c>
      <c r="AU564">
        <v>127</v>
      </c>
      <c r="AV564">
        <v>0.98299999999999998</v>
      </c>
      <c r="AW564" s="1"/>
      <c r="AX564" s="1"/>
      <c r="AY564" s="29">
        <f t="shared" si="564"/>
        <v>29700</v>
      </c>
      <c r="AZ564" s="31">
        <f t="shared" si="565"/>
        <v>165432</v>
      </c>
      <c r="BA564" s="31">
        <f t="shared" ref="BA564" si="610">SUMIF($B$2:$B$571,$B564,$Q$2:$Q$571)</f>
        <v>847</v>
      </c>
      <c r="BB564" s="30">
        <f t="shared" si="567"/>
        <v>5.1199284298080175E-3</v>
      </c>
    </row>
    <row r="565" spans="2:54" x14ac:dyDescent="0.5">
      <c r="B565" s="4">
        <v>2018</v>
      </c>
      <c r="C565" t="s">
        <v>86</v>
      </c>
      <c r="D565" t="s">
        <v>87</v>
      </c>
      <c r="E565">
        <v>3</v>
      </c>
      <c r="F565" t="s">
        <v>38</v>
      </c>
      <c r="G565" t="s">
        <v>38</v>
      </c>
      <c r="H565" t="s">
        <v>38</v>
      </c>
      <c r="I565" t="s">
        <v>38</v>
      </c>
      <c r="J565">
        <v>89</v>
      </c>
      <c r="K565">
        <v>73</v>
      </c>
      <c r="L565">
        <v>677</v>
      </c>
      <c r="M565" s="20">
        <v>5513</v>
      </c>
      <c r="N565" s="20">
        <v>1402</v>
      </c>
      <c r="O565" s="20">
        <f t="shared" si="554"/>
        <v>938</v>
      </c>
      <c r="P565" s="20">
        <v>256</v>
      </c>
      <c r="Q565" s="20">
        <v>32</v>
      </c>
      <c r="R565" s="20">
        <v>176</v>
      </c>
      <c r="S565" s="20">
        <v>430</v>
      </c>
      <c r="T565" s="20">
        <v>70</v>
      </c>
      <c r="U565" s="20">
        <f t="shared" si="555"/>
        <v>3611</v>
      </c>
      <c r="V565">
        <v>1221</v>
      </c>
      <c r="W565">
        <v>79</v>
      </c>
      <c r="X565">
        <v>37</v>
      </c>
      <c r="Y565">
        <v>41</v>
      </c>
      <c r="Z565">
        <v>711</v>
      </c>
      <c r="AA565">
        <v>664</v>
      </c>
      <c r="AB565">
        <v>4.13</v>
      </c>
      <c r="AC565">
        <v>3</v>
      </c>
      <c r="AD565">
        <v>12</v>
      </c>
      <c r="AE565">
        <v>60</v>
      </c>
      <c r="AF565" s="27">
        <f t="shared" ca="1" si="542"/>
        <v>6189</v>
      </c>
      <c r="AG565" s="27">
        <f t="shared" ca="1" si="556"/>
        <v>1621</v>
      </c>
      <c r="AH565" s="27">
        <f t="shared" ca="1" si="557"/>
        <v>1149</v>
      </c>
      <c r="AI565" s="27">
        <f t="shared" ca="1" si="558"/>
        <v>293</v>
      </c>
      <c r="AJ565" s="27">
        <f t="shared" ca="1" si="559"/>
        <v>44</v>
      </c>
      <c r="AK565" s="27">
        <f t="shared" ca="1" si="560"/>
        <v>135</v>
      </c>
      <c r="AL565" s="27">
        <f t="shared" ca="1" si="561"/>
        <v>471</v>
      </c>
      <c r="AM565" s="27">
        <f t="shared" ca="1" si="562"/>
        <v>87</v>
      </c>
      <c r="AN565" s="27">
        <f t="shared" ca="1" si="563"/>
        <v>4010</v>
      </c>
      <c r="AO565">
        <v>4346</v>
      </c>
      <c r="AP565">
        <v>1396</v>
      </c>
      <c r="AQ565">
        <v>195</v>
      </c>
      <c r="AR565">
        <v>400</v>
      </c>
      <c r="AS565">
        <v>1328</v>
      </c>
      <c r="AT565">
        <v>88</v>
      </c>
      <c r="AU565">
        <v>152</v>
      </c>
      <c r="AV565">
        <v>0.98499999999999999</v>
      </c>
      <c r="AW565" s="1"/>
      <c r="AX565" s="1"/>
      <c r="AY565" s="29">
        <f t="shared" si="564"/>
        <v>29700</v>
      </c>
      <c r="AZ565" s="31">
        <f t="shared" si="565"/>
        <v>165432</v>
      </c>
      <c r="BA565" s="31">
        <f t="shared" ref="BA565" si="611">SUMIF($B$2:$B$571,$B565,$R$2:$R$571)</f>
        <v>5585</v>
      </c>
      <c r="BB565" s="30">
        <f t="shared" si="567"/>
        <v>3.3760094782146137E-2</v>
      </c>
    </row>
    <row r="566" spans="2:54" x14ac:dyDescent="0.5">
      <c r="B566" s="4">
        <v>2018</v>
      </c>
      <c r="C566" t="s">
        <v>88</v>
      </c>
      <c r="D566" t="s">
        <v>89</v>
      </c>
      <c r="E566">
        <v>4</v>
      </c>
      <c r="F566" t="s">
        <v>38</v>
      </c>
      <c r="G566" t="s">
        <v>38</v>
      </c>
      <c r="H566" t="s">
        <v>38</v>
      </c>
      <c r="I566" t="s">
        <v>38</v>
      </c>
      <c r="J566">
        <v>73</v>
      </c>
      <c r="K566">
        <v>89</v>
      </c>
      <c r="L566">
        <v>603</v>
      </c>
      <c r="M566" s="20">
        <v>5541</v>
      </c>
      <c r="N566" s="20">
        <v>1324</v>
      </c>
      <c r="O566" s="20">
        <f t="shared" si="554"/>
        <v>906</v>
      </c>
      <c r="P566" s="20">
        <v>255</v>
      </c>
      <c r="Q566" s="20">
        <v>30</v>
      </c>
      <c r="R566" s="20">
        <v>133</v>
      </c>
      <c r="S566" s="20">
        <v>448</v>
      </c>
      <c r="T566" s="20">
        <v>49</v>
      </c>
      <c r="U566" s="20">
        <f t="shared" si="555"/>
        <v>3720</v>
      </c>
      <c r="V566">
        <v>1467</v>
      </c>
      <c r="W566">
        <v>77</v>
      </c>
      <c r="X566">
        <v>34</v>
      </c>
      <c r="Y566">
        <v>42</v>
      </c>
      <c r="Z566">
        <v>699</v>
      </c>
      <c r="AA566">
        <v>641</v>
      </c>
      <c r="AB566">
        <v>3.95</v>
      </c>
      <c r="AC566">
        <v>1</v>
      </c>
      <c r="AD566">
        <v>15</v>
      </c>
      <c r="AE566">
        <v>36</v>
      </c>
      <c r="AF566" s="27">
        <f t="shared" ref="AF566:AF571" ca="1" si="612">RANDBETWEEN(6049,6490)</f>
        <v>6404</v>
      </c>
      <c r="AG566" s="27">
        <f t="shared" ca="1" si="556"/>
        <v>1521</v>
      </c>
      <c r="AH566" s="27">
        <f t="shared" ca="1" si="557"/>
        <v>1051</v>
      </c>
      <c r="AI566" s="27">
        <f t="shared" ca="1" si="558"/>
        <v>301</v>
      </c>
      <c r="AJ566" s="27">
        <f t="shared" ca="1" si="559"/>
        <v>38</v>
      </c>
      <c r="AK566" s="27">
        <f t="shared" ca="1" si="560"/>
        <v>131</v>
      </c>
      <c r="AL566" s="27">
        <f t="shared" ca="1" si="561"/>
        <v>497</v>
      </c>
      <c r="AM566" s="27">
        <f t="shared" ca="1" si="562"/>
        <v>75</v>
      </c>
      <c r="AN566" s="27">
        <f t="shared" ca="1" si="563"/>
        <v>4311</v>
      </c>
      <c r="AO566">
        <v>4384</v>
      </c>
      <c r="AP566">
        <v>1387</v>
      </c>
      <c r="AQ566">
        <v>156</v>
      </c>
      <c r="AR566">
        <v>524</v>
      </c>
      <c r="AS566">
        <v>1269</v>
      </c>
      <c r="AT566">
        <v>97</v>
      </c>
      <c r="AU566">
        <v>160</v>
      </c>
      <c r="AV566">
        <v>0.98399999999999999</v>
      </c>
      <c r="AW566" s="1"/>
      <c r="AX566" s="1"/>
      <c r="AY566" s="29">
        <f t="shared" si="564"/>
        <v>29700</v>
      </c>
      <c r="AZ566" s="31">
        <f t="shared" si="565"/>
        <v>165432</v>
      </c>
      <c r="BA566" s="31">
        <f t="shared" ref="BA566" si="613">SUMIF($B$2:$B$571,$B566,$S$2:$S$571)</f>
        <v>15686</v>
      </c>
      <c r="BB566" s="30">
        <f t="shared" si="567"/>
        <v>9.4818414816964069E-2</v>
      </c>
    </row>
    <row r="567" spans="2:54" x14ac:dyDescent="0.5">
      <c r="B567" s="4">
        <v>2018</v>
      </c>
      <c r="C567" t="s">
        <v>90</v>
      </c>
      <c r="D567" t="s">
        <v>91</v>
      </c>
      <c r="E567">
        <v>3</v>
      </c>
      <c r="F567" t="s">
        <v>38</v>
      </c>
      <c r="G567" t="s">
        <v>38</v>
      </c>
      <c r="H567" t="s">
        <v>38</v>
      </c>
      <c r="I567" t="s">
        <v>38</v>
      </c>
      <c r="J567">
        <v>88</v>
      </c>
      <c r="K567">
        <v>74</v>
      </c>
      <c r="L567">
        <v>759</v>
      </c>
      <c r="M567" s="20">
        <v>5498</v>
      </c>
      <c r="N567" s="20">
        <v>1369</v>
      </c>
      <c r="O567" s="20">
        <f t="shared" si="554"/>
        <v>907</v>
      </c>
      <c r="P567" s="20">
        <v>248</v>
      </c>
      <c r="Q567" s="20">
        <v>9</v>
      </c>
      <c r="R567" s="20">
        <v>205</v>
      </c>
      <c r="S567" s="20">
        <v>525</v>
      </c>
      <c r="T567" s="20">
        <v>80</v>
      </c>
      <c r="U567" s="20">
        <f t="shared" si="555"/>
        <v>3524</v>
      </c>
      <c r="V567">
        <v>1380</v>
      </c>
      <c r="W567">
        <v>63</v>
      </c>
      <c r="X567">
        <v>32</v>
      </c>
      <c r="Y567">
        <v>48</v>
      </c>
      <c r="Z567">
        <v>691</v>
      </c>
      <c r="AA567">
        <v>622</v>
      </c>
      <c r="AB567">
        <v>3.85</v>
      </c>
      <c r="AC567">
        <v>1</v>
      </c>
      <c r="AD567">
        <v>8</v>
      </c>
      <c r="AE567">
        <v>43</v>
      </c>
      <c r="AF567" s="27">
        <f t="shared" ca="1" si="612"/>
        <v>6365</v>
      </c>
      <c r="AG567" s="27">
        <f t="shared" ca="1" si="556"/>
        <v>1533</v>
      </c>
      <c r="AH567" s="27">
        <f t="shared" ca="1" si="557"/>
        <v>1008</v>
      </c>
      <c r="AI567" s="27">
        <f t="shared" ca="1" si="558"/>
        <v>295</v>
      </c>
      <c r="AJ567" s="27">
        <f t="shared" ca="1" si="559"/>
        <v>32</v>
      </c>
      <c r="AK567" s="27">
        <f t="shared" ca="1" si="560"/>
        <v>198</v>
      </c>
      <c r="AL567" s="27">
        <f t="shared" ca="1" si="561"/>
        <v>507</v>
      </c>
      <c r="AM567" s="27">
        <f t="shared" ca="1" si="562"/>
        <v>85</v>
      </c>
      <c r="AN567" s="27">
        <f t="shared" ca="1" si="563"/>
        <v>4240</v>
      </c>
      <c r="AO567">
        <v>4366</v>
      </c>
      <c r="AP567">
        <v>1354</v>
      </c>
      <c r="AQ567">
        <v>144</v>
      </c>
      <c r="AR567">
        <v>593</v>
      </c>
      <c r="AS567">
        <v>1337</v>
      </c>
      <c r="AT567">
        <v>133</v>
      </c>
      <c r="AU567">
        <v>151</v>
      </c>
      <c r="AV567">
        <v>0.97799999999999998</v>
      </c>
      <c r="AW567" s="1"/>
      <c r="AX567" s="1"/>
      <c r="AY567" s="29">
        <f t="shared" si="564"/>
        <v>29700</v>
      </c>
      <c r="AZ567" s="31">
        <f t="shared" si="565"/>
        <v>165432</v>
      </c>
      <c r="BA567" s="31">
        <f t="shared" ref="BA567" si="614">SUMIF($B$2:$B$571,$B567,$T$2:$T$571)</f>
        <v>1922</v>
      </c>
      <c r="BB567" s="30">
        <f t="shared" si="567"/>
        <v>1.1618066637651725E-2</v>
      </c>
    </row>
    <row r="568" spans="2:54" x14ac:dyDescent="0.5">
      <c r="B568" s="4">
        <v>2018</v>
      </c>
      <c r="C568" t="s">
        <v>102</v>
      </c>
      <c r="D568" t="s">
        <v>93</v>
      </c>
      <c r="E568">
        <v>3</v>
      </c>
      <c r="F568" t="s">
        <v>38</v>
      </c>
      <c r="G568" t="s">
        <v>38</v>
      </c>
      <c r="H568" t="s">
        <v>38</v>
      </c>
      <c r="I568" t="s">
        <v>38</v>
      </c>
      <c r="J568">
        <v>90</v>
      </c>
      <c r="K568">
        <v>72</v>
      </c>
      <c r="L568">
        <v>716</v>
      </c>
      <c r="M568" s="20">
        <v>5475</v>
      </c>
      <c r="N568" s="20">
        <v>1415</v>
      </c>
      <c r="O568" s="20">
        <f t="shared" si="554"/>
        <v>948</v>
      </c>
      <c r="P568" s="20">
        <v>274</v>
      </c>
      <c r="Q568" s="20">
        <v>43</v>
      </c>
      <c r="R568" s="20">
        <v>150</v>
      </c>
      <c r="S568" s="20">
        <v>540</v>
      </c>
      <c r="T568" s="20">
        <v>101</v>
      </c>
      <c r="U568" s="20">
        <f t="shared" si="555"/>
        <v>3419</v>
      </c>
      <c r="V568">
        <v>1388</v>
      </c>
      <c r="W568">
        <v>128</v>
      </c>
      <c r="X568">
        <v>51</v>
      </c>
      <c r="Y568">
        <v>50</v>
      </c>
      <c r="Z568">
        <v>646</v>
      </c>
      <c r="AA568">
        <v>602</v>
      </c>
      <c r="AB568">
        <v>3.74</v>
      </c>
      <c r="AC568">
        <v>0</v>
      </c>
      <c r="AD568">
        <v>14</v>
      </c>
      <c r="AE568">
        <v>52</v>
      </c>
      <c r="AF568" s="27">
        <f t="shared" ca="1" si="612"/>
        <v>6151</v>
      </c>
      <c r="AG568" s="27">
        <f t="shared" ca="1" si="556"/>
        <v>1602</v>
      </c>
      <c r="AH568" s="27">
        <f t="shared" ca="1" si="557"/>
        <v>1121</v>
      </c>
      <c r="AI568" s="27">
        <f t="shared" ca="1" si="558"/>
        <v>282</v>
      </c>
      <c r="AJ568" s="27">
        <f t="shared" ca="1" si="559"/>
        <v>24</v>
      </c>
      <c r="AK568" s="27">
        <f t="shared" ca="1" si="560"/>
        <v>175</v>
      </c>
      <c r="AL568" s="27">
        <f t="shared" ca="1" si="561"/>
        <v>591</v>
      </c>
      <c r="AM568" s="27">
        <f t="shared" ca="1" si="562"/>
        <v>81</v>
      </c>
      <c r="AN568" s="27">
        <f t="shared" ca="1" si="563"/>
        <v>3877</v>
      </c>
      <c r="AO568">
        <v>4345</v>
      </c>
      <c r="AP568">
        <v>1236</v>
      </c>
      <c r="AQ568">
        <v>164</v>
      </c>
      <c r="AR568">
        <v>501</v>
      </c>
      <c r="AS568">
        <v>1421</v>
      </c>
      <c r="AT568">
        <v>85</v>
      </c>
      <c r="AU568">
        <v>136</v>
      </c>
      <c r="AV568">
        <v>0.98599999999999999</v>
      </c>
      <c r="AW568" s="1"/>
      <c r="AX568" s="1"/>
      <c r="AY568" s="29">
        <f t="shared" si="564"/>
        <v>29700</v>
      </c>
      <c r="AZ568" s="31">
        <f t="shared" si="565"/>
        <v>165432</v>
      </c>
      <c r="BA568" s="31">
        <f t="shared" ref="BA568" si="615">SUMIF($B$2:$B$571,$B568,$U$2:$U$571)</f>
        <v>106804</v>
      </c>
      <c r="BB568" s="30">
        <f t="shared" si="567"/>
        <v>0.6456066540935248</v>
      </c>
    </row>
    <row r="569" spans="2:54" x14ac:dyDescent="0.5">
      <c r="B569" s="4">
        <v>2018</v>
      </c>
      <c r="C569" t="s">
        <v>94</v>
      </c>
      <c r="D569" t="s">
        <v>95</v>
      </c>
      <c r="E569">
        <v>5</v>
      </c>
      <c r="F569" t="s">
        <v>38</v>
      </c>
      <c r="G569" t="s">
        <v>38</v>
      </c>
      <c r="H569" t="s">
        <v>38</v>
      </c>
      <c r="I569" t="s">
        <v>38</v>
      </c>
      <c r="J569">
        <v>67</v>
      </c>
      <c r="K569">
        <v>95</v>
      </c>
      <c r="L569">
        <v>737</v>
      </c>
      <c r="M569" s="20">
        <v>5453</v>
      </c>
      <c r="N569" s="20">
        <v>1308</v>
      </c>
      <c r="O569" s="20">
        <f t="shared" si="554"/>
        <v>824</v>
      </c>
      <c r="P569" s="20">
        <v>266</v>
      </c>
      <c r="Q569" s="20">
        <v>24</v>
      </c>
      <c r="R569" s="20">
        <v>194</v>
      </c>
      <c r="S569" s="20">
        <v>555</v>
      </c>
      <c r="T569" s="20">
        <v>88</v>
      </c>
      <c r="U569" s="20">
        <f t="shared" si="555"/>
        <v>3502</v>
      </c>
      <c r="V569">
        <v>1484</v>
      </c>
      <c r="W569">
        <v>74</v>
      </c>
      <c r="X569">
        <v>35</v>
      </c>
      <c r="Y569">
        <v>34</v>
      </c>
      <c r="Z569">
        <v>848</v>
      </c>
      <c r="AA569">
        <v>783</v>
      </c>
      <c r="AB569">
        <v>4.92</v>
      </c>
      <c r="AC569">
        <v>1</v>
      </c>
      <c r="AD569">
        <v>5</v>
      </c>
      <c r="AE569">
        <v>42</v>
      </c>
      <c r="AF569" s="27">
        <f t="shared" ca="1" si="612"/>
        <v>6184</v>
      </c>
      <c r="AG569" s="27">
        <f t="shared" ca="1" si="556"/>
        <v>1403</v>
      </c>
      <c r="AH569" s="27">
        <f t="shared" ca="1" si="557"/>
        <v>802</v>
      </c>
      <c r="AI569" s="27">
        <f t="shared" ca="1" si="558"/>
        <v>370</v>
      </c>
      <c r="AJ569" s="27">
        <f t="shared" ca="1" si="559"/>
        <v>30</v>
      </c>
      <c r="AK569" s="27">
        <f t="shared" ca="1" si="560"/>
        <v>201</v>
      </c>
      <c r="AL569" s="27">
        <f t="shared" ca="1" si="561"/>
        <v>581</v>
      </c>
      <c r="AM569" s="27">
        <f t="shared" ca="1" si="562"/>
        <v>37</v>
      </c>
      <c r="AN569" s="27">
        <f t="shared" ca="1" si="563"/>
        <v>4163</v>
      </c>
      <c r="AO569">
        <v>4293</v>
      </c>
      <c r="AP569">
        <v>1516</v>
      </c>
      <c r="AQ569">
        <v>222</v>
      </c>
      <c r="AR569">
        <v>491</v>
      </c>
      <c r="AS569">
        <v>1121</v>
      </c>
      <c r="AT569">
        <v>120</v>
      </c>
      <c r="AU569">
        <v>168</v>
      </c>
      <c r="AV569">
        <v>0.98</v>
      </c>
      <c r="AW569" s="1"/>
      <c r="AX569" s="1"/>
      <c r="AY569" s="29">
        <f t="shared" si="564"/>
        <v>29700</v>
      </c>
      <c r="AZ569" s="31">
        <f t="shared" si="565"/>
        <v>165432</v>
      </c>
      <c r="BA569" s="31"/>
      <c r="BB569" s="30">
        <f t="shared" si="567"/>
        <v>0</v>
      </c>
    </row>
    <row r="570" spans="2:54" x14ac:dyDescent="0.5">
      <c r="B570" s="4">
        <v>2018</v>
      </c>
      <c r="C570" t="s">
        <v>96</v>
      </c>
      <c r="D570" t="s">
        <v>97</v>
      </c>
      <c r="E570">
        <v>4</v>
      </c>
      <c r="F570" t="s">
        <v>38</v>
      </c>
      <c r="G570" t="s">
        <v>38</v>
      </c>
      <c r="H570" t="s">
        <v>38</v>
      </c>
      <c r="I570" t="s">
        <v>38</v>
      </c>
      <c r="J570">
        <v>73</v>
      </c>
      <c r="K570">
        <v>89</v>
      </c>
      <c r="L570">
        <v>709</v>
      </c>
      <c r="M570" s="20">
        <v>5477</v>
      </c>
      <c r="N570" s="20">
        <v>1336</v>
      </c>
      <c r="O570" s="20">
        <f t="shared" si="554"/>
        <v>783</v>
      </c>
      <c r="P570" s="20">
        <v>320</v>
      </c>
      <c r="Q570" s="20">
        <v>16</v>
      </c>
      <c r="R570" s="20">
        <v>217</v>
      </c>
      <c r="S570" s="20">
        <v>499</v>
      </c>
      <c r="T570" s="20">
        <v>58</v>
      </c>
      <c r="U570" s="20">
        <f t="shared" si="555"/>
        <v>3584</v>
      </c>
      <c r="V570">
        <v>1387</v>
      </c>
      <c r="W570">
        <v>47</v>
      </c>
      <c r="X570">
        <v>30</v>
      </c>
      <c r="Y570">
        <v>37</v>
      </c>
      <c r="Z570">
        <v>832</v>
      </c>
      <c r="AA570">
        <v>772</v>
      </c>
      <c r="AB570">
        <v>4.8499999999999996</v>
      </c>
      <c r="AC570">
        <v>0</v>
      </c>
      <c r="AD570">
        <v>3</v>
      </c>
      <c r="AE570">
        <v>39</v>
      </c>
      <c r="AF570" s="27">
        <f t="shared" ca="1" si="612"/>
        <v>6408</v>
      </c>
      <c r="AG570" s="27">
        <f t="shared" ca="1" si="556"/>
        <v>1591</v>
      </c>
      <c r="AH570" s="27">
        <f t="shared" ca="1" si="557"/>
        <v>1186</v>
      </c>
      <c r="AI570" s="27">
        <f t="shared" ca="1" si="558"/>
        <v>223</v>
      </c>
      <c r="AJ570" s="27">
        <f t="shared" ca="1" si="559"/>
        <v>26</v>
      </c>
      <c r="AK570" s="27">
        <f t="shared" ca="1" si="560"/>
        <v>156</v>
      </c>
      <c r="AL570" s="27">
        <f t="shared" ca="1" si="561"/>
        <v>434</v>
      </c>
      <c r="AM570" s="27">
        <f t="shared" ca="1" si="562"/>
        <v>44</v>
      </c>
      <c r="AN570" s="27">
        <f t="shared" ca="1" si="563"/>
        <v>4339</v>
      </c>
      <c r="AO570">
        <v>4301</v>
      </c>
      <c r="AP570">
        <v>1476</v>
      </c>
      <c r="AQ570">
        <v>208</v>
      </c>
      <c r="AR570">
        <v>551</v>
      </c>
      <c r="AS570">
        <v>1298</v>
      </c>
      <c r="AT570">
        <v>101</v>
      </c>
      <c r="AU570">
        <v>138</v>
      </c>
      <c r="AV570">
        <v>0.98299999999999998</v>
      </c>
      <c r="AW570" s="1"/>
      <c r="AX570" s="1"/>
      <c r="AY570" s="29">
        <f t="shared" si="564"/>
        <v>29700</v>
      </c>
      <c r="AZ570" s="31">
        <f t="shared" si="565"/>
        <v>165432</v>
      </c>
      <c r="BA570" s="31">
        <f t="shared" ref="BA570" si="616">SUMIF($B$2:$B$571,$B570,$O$2:$O$571)</f>
        <v>26323</v>
      </c>
      <c r="BB570" s="30">
        <f t="shared" si="567"/>
        <v>0.15911673678611152</v>
      </c>
    </row>
    <row r="571" spans="2:54" x14ac:dyDescent="0.5">
      <c r="B571" s="4">
        <v>2018</v>
      </c>
      <c r="C571" t="s">
        <v>100</v>
      </c>
      <c r="D571" t="s">
        <v>101</v>
      </c>
      <c r="E571">
        <v>2</v>
      </c>
      <c r="F571" t="s">
        <v>38</v>
      </c>
      <c r="G571" t="s">
        <v>38</v>
      </c>
      <c r="H571" t="s">
        <v>38</v>
      </c>
      <c r="I571" t="s">
        <v>38</v>
      </c>
      <c r="J571">
        <v>82</v>
      </c>
      <c r="K571">
        <v>80</v>
      </c>
      <c r="L571">
        <v>771</v>
      </c>
      <c r="M571" s="20">
        <v>5517</v>
      </c>
      <c r="N571" s="20">
        <v>1402</v>
      </c>
      <c r="O571" s="20">
        <f t="shared" si="554"/>
        <v>902</v>
      </c>
      <c r="P571" s="20">
        <v>284</v>
      </c>
      <c r="Q571" s="20">
        <v>25</v>
      </c>
      <c r="R571" s="20">
        <v>191</v>
      </c>
      <c r="S571" s="20">
        <v>631</v>
      </c>
      <c r="T571" s="20">
        <v>59</v>
      </c>
      <c r="U571" s="20">
        <f t="shared" si="555"/>
        <v>3425</v>
      </c>
      <c r="V571">
        <v>1289</v>
      </c>
      <c r="W571">
        <v>119</v>
      </c>
      <c r="X571">
        <v>33</v>
      </c>
      <c r="Y571">
        <v>40</v>
      </c>
      <c r="Z571">
        <v>682</v>
      </c>
      <c r="AA571">
        <v>649</v>
      </c>
      <c r="AB571">
        <v>4.04</v>
      </c>
      <c r="AC571">
        <v>2</v>
      </c>
      <c r="AD571">
        <v>7</v>
      </c>
      <c r="AE571">
        <v>40</v>
      </c>
      <c r="AF571" s="27">
        <f t="shared" ca="1" si="612"/>
        <v>6288</v>
      </c>
      <c r="AG571" s="27">
        <f t="shared" ca="1" si="556"/>
        <v>1667</v>
      </c>
      <c r="AH571" s="27">
        <f t="shared" ca="1" si="557"/>
        <v>1123</v>
      </c>
      <c r="AI571" s="27">
        <f t="shared" ca="1" si="558"/>
        <v>347</v>
      </c>
      <c r="AJ571" s="27">
        <f t="shared" ca="1" si="559"/>
        <v>43</v>
      </c>
      <c r="AK571" s="27">
        <f t="shared" ca="1" si="560"/>
        <v>154</v>
      </c>
      <c r="AL571" s="27">
        <f t="shared" ca="1" si="561"/>
        <v>691</v>
      </c>
      <c r="AM571" s="27">
        <f t="shared" ca="1" si="562"/>
        <v>80</v>
      </c>
      <c r="AN571" s="27">
        <f t="shared" ca="1" si="563"/>
        <v>3850</v>
      </c>
      <c r="AO571">
        <v>4338</v>
      </c>
      <c r="AP571">
        <v>1320</v>
      </c>
      <c r="AQ571">
        <v>198</v>
      </c>
      <c r="AR571">
        <v>487</v>
      </c>
      <c r="AS571">
        <v>1417</v>
      </c>
      <c r="AT571">
        <v>64</v>
      </c>
      <c r="AU571">
        <v>115</v>
      </c>
      <c r="AV571">
        <v>0.98899999999999999</v>
      </c>
      <c r="AW571" s="1"/>
      <c r="AX571" s="1"/>
      <c r="AY571" s="29">
        <f t="shared" si="564"/>
        <v>29700</v>
      </c>
      <c r="AZ571" s="31">
        <f t="shared" si="565"/>
        <v>165432</v>
      </c>
      <c r="BA571" s="31">
        <f t="shared" ref="BA571" si="617">SUMIF($B$2:$B$571,$B571,$P$2:$P$571)</f>
        <v>8265</v>
      </c>
      <c r="BB571" s="30">
        <f t="shared" si="567"/>
        <v>4.9960104453793702E-2</v>
      </c>
    </row>
  </sheetData>
  <mergeCells count="1">
    <mergeCell ref="AW1:BA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9741C-689B-4EF9-A385-6D2447B2B08E}">
  <sheetPr codeName="Sheet6"/>
  <dimension ref="A1:AD601"/>
  <sheetViews>
    <sheetView zoomScale="80" zoomScaleNormal="80" workbookViewId="0">
      <pane ySplit="1" topLeftCell="A381" activePane="bottomLeft" state="frozen"/>
      <selection pane="bottomLeft" activeCell="I2" sqref="I2"/>
    </sheetView>
  </sheetViews>
  <sheetFormatPr defaultRowHeight="15.75" x14ac:dyDescent="0.5"/>
  <cols>
    <col min="1" max="1" width="9" style="35"/>
    <col min="8" max="8" width="20" bestFit="1" customWidth="1"/>
    <col min="9" max="9" width="24.5" bestFit="1" customWidth="1"/>
    <col min="10" max="10" width="9" style="2"/>
  </cols>
  <sheetData>
    <row r="1" spans="1:30" s="40" customFormat="1" ht="18" x14ac:dyDescent="0.5">
      <c r="A1" s="40" t="s">
        <v>106</v>
      </c>
      <c r="B1" s="40" t="s">
        <v>152</v>
      </c>
      <c r="C1" s="40" t="s">
        <v>169</v>
      </c>
      <c r="D1" s="40" t="s">
        <v>153</v>
      </c>
      <c r="E1" s="40" t="s">
        <v>10</v>
      </c>
      <c r="F1" s="40" t="s">
        <v>12</v>
      </c>
      <c r="G1" s="59" t="s">
        <v>176</v>
      </c>
      <c r="H1" s="59" t="s">
        <v>175</v>
      </c>
      <c r="I1" s="59" t="s">
        <v>200</v>
      </c>
      <c r="J1" s="59" t="s">
        <v>11</v>
      </c>
      <c r="K1" s="59" t="s">
        <v>122</v>
      </c>
      <c r="L1" s="59" t="s">
        <v>13</v>
      </c>
      <c r="M1" s="59" t="s">
        <v>14</v>
      </c>
      <c r="N1" s="59" t="s">
        <v>15</v>
      </c>
      <c r="O1" s="59" t="s">
        <v>16</v>
      </c>
      <c r="P1" s="59" t="s">
        <v>20</v>
      </c>
      <c r="Q1" s="59" t="s">
        <v>131</v>
      </c>
      <c r="R1" s="40" t="s">
        <v>163</v>
      </c>
      <c r="S1" s="40" t="s">
        <v>164</v>
      </c>
      <c r="T1" s="40" t="s">
        <v>17</v>
      </c>
      <c r="U1" s="40" t="s">
        <v>158</v>
      </c>
      <c r="V1" s="40" t="s">
        <v>21</v>
      </c>
      <c r="W1" s="40" t="s">
        <v>165</v>
      </c>
      <c r="X1" s="40" t="s">
        <v>161</v>
      </c>
      <c r="Y1" s="40" t="s">
        <v>160</v>
      </c>
      <c r="Z1" s="40" t="s">
        <v>18</v>
      </c>
      <c r="AA1" s="40" t="s">
        <v>19</v>
      </c>
      <c r="AB1" s="40" t="s">
        <v>166</v>
      </c>
      <c r="AC1" s="40" t="s">
        <v>167</v>
      </c>
      <c r="AD1" s="40" t="s">
        <v>168</v>
      </c>
    </row>
    <row r="2" spans="1:30" x14ac:dyDescent="0.5">
      <c r="A2" s="35">
        <v>2000</v>
      </c>
      <c r="B2" t="s">
        <v>37</v>
      </c>
      <c r="C2" t="s">
        <v>149</v>
      </c>
      <c r="D2">
        <v>162</v>
      </c>
      <c r="E2">
        <v>864</v>
      </c>
      <c r="F2">
        <v>1574</v>
      </c>
      <c r="G2" s="60">
        <v>2000</v>
      </c>
      <c r="H2" s="60" t="s">
        <v>36</v>
      </c>
      <c r="I2" s="60" t="str">
        <f>G2&amp;" "&amp;H2</f>
        <v>2000 Anaheim Angels</v>
      </c>
      <c r="J2" s="60">
        <v>5628</v>
      </c>
      <c r="K2" s="60">
        <f t="shared" ref="K2:K65" si="0">F2-(L2+M2+N2)</f>
        <v>995</v>
      </c>
      <c r="L2" s="60">
        <v>309</v>
      </c>
      <c r="M2" s="60">
        <v>34</v>
      </c>
      <c r="N2" s="60">
        <v>236</v>
      </c>
      <c r="O2" s="60">
        <v>608</v>
      </c>
      <c r="P2" s="60">
        <v>47</v>
      </c>
      <c r="Q2" s="60">
        <f t="shared" ref="Q2:Q65" si="1">J2-(F2+O2+P2)</f>
        <v>3399</v>
      </c>
      <c r="R2">
        <v>837</v>
      </c>
      <c r="S2">
        <v>43</v>
      </c>
      <c r="T2">
        <v>1024</v>
      </c>
      <c r="U2">
        <v>47</v>
      </c>
      <c r="V2">
        <v>43</v>
      </c>
      <c r="W2">
        <v>0</v>
      </c>
      <c r="X2">
        <v>49</v>
      </c>
      <c r="Y2">
        <v>126</v>
      </c>
      <c r="Z2">
        <v>93</v>
      </c>
      <c r="AA2">
        <v>52</v>
      </c>
      <c r="AB2">
        <v>0.28000000000000003</v>
      </c>
      <c r="AC2">
        <v>0.35199999999999998</v>
      </c>
      <c r="AD2">
        <v>0.47199999999999998</v>
      </c>
    </row>
    <row r="3" spans="1:30" x14ac:dyDescent="0.5">
      <c r="A3" s="35">
        <v>2000</v>
      </c>
      <c r="B3" t="s">
        <v>40</v>
      </c>
      <c r="C3" t="s">
        <v>38</v>
      </c>
      <c r="D3">
        <v>162</v>
      </c>
      <c r="E3">
        <v>792</v>
      </c>
      <c r="F3">
        <v>1466</v>
      </c>
      <c r="G3" s="60">
        <v>2000</v>
      </c>
      <c r="H3" s="60" t="s">
        <v>39</v>
      </c>
      <c r="I3" s="60" t="str">
        <f t="shared" ref="I3:I66" si="2">G3&amp;" "&amp;H3</f>
        <v>2000 Arizona Diamondbacks</v>
      </c>
      <c r="J3" s="60">
        <v>5527</v>
      </c>
      <c r="K3" s="60">
        <f t="shared" si="0"/>
        <v>961</v>
      </c>
      <c r="L3" s="60">
        <v>282</v>
      </c>
      <c r="M3" s="60">
        <v>44</v>
      </c>
      <c r="N3" s="60">
        <v>179</v>
      </c>
      <c r="O3" s="60">
        <v>535</v>
      </c>
      <c r="P3" s="60">
        <v>59</v>
      </c>
      <c r="Q3" s="60">
        <f t="shared" si="1"/>
        <v>3467</v>
      </c>
      <c r="R3">
        <v>756</v>
      </c>
      <c r="S3">
        <v>37</v>
      </c>
      <c r="T3">
        <v>975</v>
      </c>
      <c r="U3">
        <v>61</v>
      </c>
      <c r="V3">
        <v>58</v>
      </c>
      <c r="W3">
        <v>1</v>
      </c>
      <c r="X3">
        <v>71</v>
      </c>
      <c r="Y3">
        <v>114</v>
      </c>
      <c r="Z3">
        <v>97</v>
      </c>
      <c r="AA3">
        <v>44</v>
      </c>
      <c r="AB3">
        <v>0.26500000000000001</v>
      </c>
      <c r="AC3">
        <v>0.33300000000000002</v>
      </c>
      <c r="AD3">
        <v>0.42899999999999999</v>
      </c>
    </row>
    <row r="4" spans="1:30" x14ac:dyDescent="0.5">
      <c r="A4" s="35">
        <v>2000</v>
      </c>
      <c r="B4" t="s">
        <v>42</v>
      </c>
      <c r="C4" t="s">
        <v>38</v>
      </c>
      <c r="D4">
        <v>162</v>
      </c>
      <c r="E4">
        <v>810</v>
      </c>
      <c r="F4">
        <v>1490</v>
      </c>
      <c r="G4" s="60">
        <v>2000</v>
      </c>
      <c r="H4" s="60" t="s">
        <v>41</v>
      </c>
      <c r="I4" s="60" t="str">
        <f t="shared" si="2"/>
        <v>2000 Atlanta Braves</v>
      </c>
      <c r="J4" s="60">
        <v>5489</v>
      </c>
      <c r="K4" s="60">
        <f t="shared" si="0"/>
        <v>1011</v>
      </c>
      <c r="L4" s="60">
        <v>274</v>
      </c>
      <c r="M4" s="60">
        <v>26</v>
      </c>
      <c r="N4" s="60">
        <v>179</v>
      </c>
      <c r="O4" s="60">
        <v>595</v>
      </c>
      <c r="P4" s="60">
        <v>59</v>
      </c>
      <c r="Q4" s="60">
        <f t="shared" si="1"/>
        <v>3345</v>
      </c>
      <c r="R4">
        <v>758</v>
      </c>
      <c r="S4">
        <v>38</v>
      </c>
      <c r="T4">
        <v>1010</v>
      </c>
      <c r="U4">
        <v>87</v>
      </c>
      <c r="V4">
        <v>45</v>
      </c>
      <c r="W4">
        <v>0</v>
      </c>
      <c r="X4">
        <v>106</v>
      </c>
      <c r="Y4">
        <v>127</v>
      </c>
      <c r="Z4">
        <v>148</v>
      </c>
      <c r="AA4">
        <v>56</v>
      </c>
      <c r="AB4">
        <v>0.27100000000000002</v>
      </c>
      <c r="AC4">
        <v>0.34599999999999997</v>
      </c>
      <c r="AD4">
        <v>0.42899999999999999</v>
      </c>
    </row>
    <row r="5" spans="1:30" x14ac:dyDescent="0.5">
      <c r="A5" s="35">
        <v>2000</v>
      </c>
      <c r="B5" t="s">
        <v>45</v>
      </c>
      <c r="C5" t="s">
        <v>149</v>
      </c>
      <c r="D5">
        <v>162</v>
      </c>
      <c r="E5">
        <v>794</v>
      </c>
      <c r="F5">
        <v>1508</v>
      </c>
      <c r="G5" s="60">
        <v>2000</v>
      </c>
      <c r="H5" s="60" t="s">
        <v>44</v>
      </c>
      <c r="I5" s="60" t="str">
        <f t="shared" si="2"/>
        <v>2000 Baltimore Orioles</v>
      </c>
      <c r="J5" s="60">
        <v>5549</v>
      </c>
      <c r="K5" s="60">
        <f t="shared" si="0"/>
        <v>992</v>
      </c>
      <c r="L5" s="60">
        <v>310</v>
      </c>
      <c r="M5" s="60">
        <v>22</v>
      </c>
      <c r="N5" s="60">
        <v>184</v>
      </c>
      <c r="O5" s="60">
        <v>558</v>
      </c>
      <c r="P5" s="60">
        <v>49</v>
      </c>
      <c r="Q5" s="60">
        <f t="shared" si="1"/>
        <v>3434</v>
      </c>
      <c r="R5">
        <v>750</v>
      </c>
      <c r="S5">
        <v>34</v>
      </c>
      <c r="T5">
        <v>900</v>
      </c>
      <c r="U5">
        <v>27</v>
      </c>
      <c r="V5">
        <v>54</v>
      </c>
      <c r="W5">
        <v>1</v>
      </c>
      <c r="X5">
        <v>76</v>
      </c>
      <c r="Y5">
        <v>148</v>
      </c>
      <c r="Z5">
        <v>126</v>
      </c>
      <c r="AA5">
        <v>65</v>
      </c>
      <c r="AB5">
        <v>0.27200000000000002</v>
      </c>
      <c r="AC5">
        <v>0.34100000000000003</v>
      </c>
      <c r="AD5">
        <v>0.435</v>
      </c>
    </row>
    <row r="6" spans="1:30" x14ac:dyDescent="0.5">
      <c r="A6" s="35">
        <v>2000</v>
      </c>
      <c r="B6" t="s">
        <v>47</v>
      </c>
      <c r="C6" t="s">
        <v>149</v>
      </c>
      <c r="D6">
        <v>162</v>
      </c>
      <c r="E6">
        <v>792</v>
      </c>
      <c r="F6">
        <v>1503</v>
      </c>
      <c r="G6" s="60">
        <v>2000</v>
      </c>
      <c r="H6" s="60" t="s">
        <v>46</v>
      </c>
      <c r="I6" s="60" t="str">
        <f t="shared" si="2"/>
        <v>2000 Boston Red Sox</v>
      </c>
      <c r="J6" s="60">
        <v>5630</v>
      </c>
      <c r="K6" s="60">
        <f t="shared" si="0"/>
        <v>988</v>
      </c>
      <c r="L6" s="60">
        <v>316</v>
      </c>
      <c r="M6" s="60">
        <v>32</v>
      </c>
      <c r="N6" s="60">
        <v>167</v>
      </c>
      <c r="O6" s="60">
        <v>611</v>
      </c>
      <c r="P6" s="60">
        <v>42</v>
      </c>
      <c r="Q6" s="60">
        <f t="shared" si="1"/>
        <v>3474</v>
      </c>
      <c r="R6">
        <v>755</v>
      </c>
      <c r="S6">
        <v>40</v>
      </c>
      <c r="T6">
        <v>1019</v>
      </c>
      <c r="U6">
        <v>40</v>
      </c>
      <c r="V6">
        <v>48</v>
      </c>
      <c r="W6">
        <v>0</v>
      </c>
      <c r="X6">
        <v>66</v>
      </c>
      <c r="Y6">
        <v>115</v>
      </c>
      <c r="Z6">
        <v>43</v>
      </c>
      <c r="AA6">
        <v>30</v>
      </c>
      <c r="AB6">
        <v>0.26700000000000002</v>
      </c>
      <c r="AC6">
        <v>0.34100000000000003</v>
      </c>
      <c r="AD6">
        <v>0.42299999999999999</v>
      </c>
    </row>
    <row r="7" spans="1:30" x14ac:dyDescent="0.5">
      <c r="A7" s="35">
        <v>2000</v>
      </c>
      <c r="B7" t="s">
        <v>143</v>
      </c>
      <c r="C7" t="s">
        <v>38</v>
      </c>
      <c r="D7">
        <v>162</v>
      </c>
      <c r="E7">
        <v>764</v>
      </c>
      <c r="F7">
        <v>1426</v>
      </c>
      <c r="G7" s="60">
        <v>2000</v>
      </c>
      <c r="H7" s="60" t="s">
        <v>50</v>
      </c>
      <c r="I7" s="60" t="str">
        <f t="shared" si="2"/>
        <v>2000 Chicago Cubs</v>
      </c>
      <c r="J7" s="60">
        <v>5577</v>
      </c>
      <c r="K7" s="60">
        <f t="shared" si="0"/>
        <v>948</v>
      </c>
      <c r="L7" s="60">
        <v>272</v>
      </c>
      <c r="M7" s="60">
        <v>23</v>
      </c>
      <c r="N7" s="60">
        <v>183</v>
      </c>
      <c r="O7" s="60">
        <v>632</v>
      </c>
      <c r="P7" s="60">
        <v>54</v>
      </c>
      <c r="Q7" s="60">
        <f t="shared" si="1"/>
        <v>3465</v>
      </c>
      <c r="R7">
        <v>722</v>
      </c>
      <c r="S7">
        <v>50</v>
      </c>
      <c r="T7">
        <v>1120</v>
      </c>
      <c r="U7">
        <v>89</v>
      </c>
      <c r="V7">
        <v>45</v>
      </c>
      <c r="W7">
        <v>0</v>
      </c>
      <c r="X7">
        <v>74</v>
      </c>
      <c r="Y7">
        <v>114</v>
      </c>
      <c r="Z7">
        <v>93</v>
      </c>
      <c r="AA7">
        <v>37</v>
      </c>
      <c r="AB7">
        <v>0.25600000000000001</v>
      </c>
      <c r="AC7">
        <v>0.33500000000000002</v>
      </c>
      <c r="AD7">
        <v>0.41099999999999998</v>
      </c>
    </row>
    <row r="8" spans="1:30" x14ac:dyDescent="0.5">
      <c r="A8" s="35">
        <v>2000</v>
      </c>
      <c r="B8" t="s">
        <v>143</v>
      </c>
      <c r="C8" t="s">
        <v>149</v>
      </c>
      <c r="D8">
        <v>162</v>
      </c>
      <c r="E8">
        <v>978</v>
      </c>
      <c r="F8">
        <v>1615</v>
      </c>
      <c r="G8" s="60">
        <v>2000</v>
      </c>
      <c r="H8" s="60" t="s">
        <v>48</v>
      </c>
      <c r="I8" s="60" t="str">
        <f t="shared" si="2"/>
        <v>2000 Chicago White Sox</v>
      </c>
      <c r="J8" s="60">
        <v>5646</v>
      </c>
      <c r="K8" s="60">
        <f t="shared" si="0"/>
        <v>1041</v>
      </c>
      <c r="L8" s="60">
        <v>325</v>
      </c>
      <c r="M8" s="60">
        <v>33</v>
      </c>
      <c r="N8" s="60">
        <v>216</v>
      </c>
      <c r="O8" s="60">
        <v>591</v>
      </c>
      <c r="P8" s="60">
        <v>53</v>
      </c>
      <c r="Q8" s="60">
        <f t="shared" si="1"/>
        <v>3387</v>
      </c>
      <c r="R8">
        <v>926</v>
      </c>
      <c r="S8">
        <v>28</v>
      </c>
      <c r="T8">
        <v>960</v>
      </c>
      <c r="U8">
        <v>55</v>
      </c>
      <c r="V8">
        <v>61</v>
      </c>
      <c r="W8">
        <v>4</v>
      </c>
      <c r="X8">
        <v>76</v>
      </c>
      <c r="Y8">
        <v>140</v>
      </c>
      <c r="Z8">
        <v>119</v>
      </c>
      <c r="AA8">
        <v>42</v>
      </c>
      <c r="AB8">
        <v>0.28599999999999998</v>
      </c>
      <c r="AC8">
        <v>0.35599999999999998</v>
      </c>
      <c r="AD8">
        <v>0.47</v>
      </c>
    </row>
    <row r="9" spans="1:30" x14ac:dyDescent="0.5">
      <c r="A9" s="35">
        <v>2000</v>
      </c>
      <c r="B9" t="s">
        <v>53</v>
      </c>
      <c r="C9" t="s">
        <v>38</v>
      </c>
      <c r="D9">
        <v>163</v>
      </c>
      <c r="E9">
        <v>825</v>
      </c>
      <c r="F9">
        <v>1545</v>
      </c>
      <c r="G9" s="60">
        <v>2000</v>
      </c>
      <c r="H9" s="60" t="s">
        <v>52</v>
      </c>
      <c r="I9" s="60" t="str">
        <f t="shared" si="2"/>
        <v>2000 Cincinnati Reds</v>
      </c>
      <c r="J9" s="60">
        <v>5635</v>
      </c>
      <c r="K9" s="60">
        <f t="shared" si="0"/>
        <v>1007</v>
      </c>
      <c r="L9" s="60">
        <v>302</v>
      </c>
      <c r="M9" s="60">
        <v>36</v>
      </c>
      <c r="N9" s="60">
        <v>200</v>
      </c>
      <c r="O9" s="60">
        <v>559</v>
      </c>
      <c r="P9" s="60">
        <v>64</v>
      </c>
      <c r="Q9" s="60">
        <f t="shared" si="1"/>
        <v>3467</v>
      </c>
      <c r="R9">
        <v>794</v>
      </c>
      <c r="S9">
        <v>60</v>
      </c>
      <c r="T9">
        <v>995</v>
      </c>
      <c r="U9">
        <v>56</v>
      </c>
      <c r="V9">
        <v>58</v>
      </c>
      <c r="W9">
        <v>1</v>
      </c>
      <c r="X9">
        <v>67</v>
      </c>
      <c r="Y9">
        <v>137</v>
      </c>
      <c r="Z9">
        <v>100</v>
      </c>
      <c r="AA9">
        <v>38</v>
      </c>
      <c r="AB9">
        <v>0.27400000000000002</v>
      </c>
      <c r="AC9">
        <v>0.34300000000000003</v>
      </c>
      <c r="AD9">
        <v>0.44700000000000001</v>
      </c>
    </row>
    <row r="10" spans="1:30" x14ac:dyDescent="0.5">
      <c r="A10" s="35">
        <v>2000</v>
      </c>
      <c r="B10" t="s">
        <v>55</v>
      </c>
      <c r="C10" t="s">
        <v>149</v>
      </c>
      <c r="D10">
        <v>162</v>
      </c>
      <c r="E10">
        <v>950</v>
      </c>
      <c r="F10">
        <v>1639</v>
      </c>
      <c r="G10" s="60">
        <v>2000</v>
      </c>
      <c r="H10" s="60" t="s">
        <v>54</v>
      </c>
      <c r="I10" s="60" t="str">
        <f t="shared" si="2"/>
        <v>2000 Cleveland Indians</v>
      </c>
      <c r="J10" s="60">
        <v>5683</v>
      </c>
      <c r="K10" s="60">
        <f t="shared" si="0"/>
        <v>1078</v>
      </c>
      <c r="L10" s="60">
        <v>310</v>
      </c>
      <c r="M10" s="60">
        <v>30</v>
      </c>
      <c r="N10" s="60">
        <v>221</v>
      </c>
      <c r="O10" s="60">
        <v>685</v>
      </c>
      <c r="P10" s="60">
        <v>51</v>
      </c>
      <c r="Q10" s="60">
        <f t="shared" si="1"/>
        <v>3308</v>
      </c>
      <c r="R10">
        <v>889</v>
      </c>
      <c r="S10">
        <v>27</v>
      </c>
      <c r="T10">
        <v>1057</v>
      </c>
      <c r="U10">
        <v>41</v>
      </c>
      <c r="V10">
        <v>52</v>
      </c>
      <c r="W10">
        <v>0</v>
      </c>
      <c r="X10">
        <v>81</v>
      </c>
      <c r="Y10">
        <v>134</v>
      </c>
      <c r="Z10">
        <v>113</v>
      </c>
      <c r="AA10">
        <v>34</v>
      </c>
      <c r="AB10">
        <v>0.28799999999999998</v>
      </c>
      <c r="AC10">
        <v>0.36699999999999999</v>
      </c>
      <c r="AD10">
        <v>0.47</v>
      </c>
    </row>
    <row r="11" spans="1:30" x14ac:dyDescent="0.5">
      <c r="A11" s="35">
        <v>2000</v>
      </c>
      <c r="B11" t="s">
        <v>57</v>
      </c>
      <c r="C11" t="s">
        <v>38</v>
      </c>
      <c r="D11">
        <v>162</v>
      </c>
      <c r="E11">
        <v>968</v>
      </c>
      <c r="F11">
        <v>1664</v>
      </c>
      <c r="G11" s="60">
        <v>2000</v>
      </c>
      <c r="H11" s="60" t="s">
        <v>56</v>
      </c>
      <c r="I11" s="60" t="str">
        <f t="shared" si="2"/>
        <v>2000 Colorado Rockies</v>
      </c>
      <c r="J11" s="60">
        <v>5660</v>
      </c>
      <c r="K11" s="60">
        <f t="shared" si="0"/>
        <v>1130</v>
      </c>
      <c r="L11" s="60">
        <v>320</v>
      </c>
      <c r="M11" s="60">
        <v>53</v>
      </c>
      <c r="N11" s="60">
        <v>161</v>
      </c>
      <c r="O11" s="60">
        <v>601</v>
      </c>
      <c r="P11" s="60">
        <v>42</v>
      </c>
      <c r="Q11" s="60">
        <f t="shared" si="1"/>
        <v>3353</v>
      </c>
      <c r="R11">
        <v>905</v>
      </c>
      <c r="S11">
        <v>64</v>
      </c>
      <c r="T11">
        <v>907</v>
      </c>
      <c r="U11">
        <v>75</v>
      </c>
      <c r="V11">
        <v>75</v>
      </c>
      <c r="W11">
        <v>0</v>
      </c>
      <c r="X11">
        <v>111</v>
      </c>
      <c r="Y11">
        <v>126</v>
      </c>
      <c r="Z11">
        <v>131</v>
      </c>
      <c r="AA11">
        <v>61</v>
      </c>
      <c r="AB11">
        <v>0.29399999999999998</v>
      </c>
      <c r="AC11">
        <v>0.36199999999999999</v>
      </c>
      <c r="AD11">
        <v>0.45500000000000002</v>
      </c>
    </row>
    <row r="12" spans="1:30" x14ac:dyDescent="0.5">
      <c r="A12" s="35">
        <v>2000</v>
      </c>
      <c r="B12" t="s">
        <v>59</v>
      </c>
      <c r="C12" t="s">
        <v>149</v>
      </c>
      <c r="D12">
        <v>162</v>
      </c>
      <c r="E12">
        <v>823</v>
      </c>
      <c r="F12">
        <v>1553</v>
      </c>
      <c r="G12" s="60">
        <v>2000</v>
      </c>
      <c r="H12" s="60" t="s">
        <v>58</v>
      </c>
      <c r="I12" s="60" t="str">
        <f t="shared" si="2"/>
        <v>2000 Detroit Tigers</v>
      </c>
      <c r="J12" s="60">
        <v>5644</v>
      </c>
      <c r="K12" s="60">
        <f t="shared" si="0"/>
        <v>1028</v>
      </c>
      <c r="L12" s="60">
        <v>307</v>
      </c>
      <c r="M12" s="60">
        <v>41</v>
      </c>
      <c r="N12" s="60">
        <v>177</v>
      </c>
      <c r="O12" s="60">
        <v>562</v>
      </c>
      <c r="P12" s="60">
        <v>43</v>
      </c>
      <c r="Q12" s="60">
        <f t="shared" si="1"/>
        <v>3486</v>
      </c>
      <c r="R12">
        <v>785</v>
      </c>
      <c r="S12">
        <v>22</v>
      </c>
      <c r="T12">
        <v>982</v>
      </c>
      <c r="U12">
        <v>42</v>
      </c>
      <c r="V12">
        <v>49</v>
      </c>
      <c r="W12">
        <v>3</v>
      </c>
      <c r="X12">
        <v>74</v>
      </c>
      <c r="Y12">
        <v>142</v>
      </c>
      <c r="Z12">
        <v>83</v>
      </c>
      <c r="AA12">
        <v>38</v>
      </c>
      <c r="AB12">
        <v>0.27500000000000002</v>
      </c>
      <c r="AC12">
        <v>0.34300000000000003</v>
      </c>
      <c r="AD12">
        <v>0.438</v>
      </c>
    </row>
    <row r="13" spans="1:30" x14ac:dyDescent="0.5">
      <c r="A13" s="35">
        <v>2000</v>
      </c>
      <c r="B13" t="s">
        <v>146</v>
      </c>
      <c r="C13" t="s">
        <v>38</v>
      </c>
      <c r="D13">
        <v>161</v>
      </c>
      <c r="E13">
        <v>731</v>
      </c>
      <c r="F13">
        <v>1441</v>
      </c>
      <c r="G13" s="60">
        <v>2000</v>
      </c>
      <c r="H13" s="60" t="s">
        <v>60</v>
      </c>
      <c r="I13" s="60" t="str">
        <f t="shared" si="2"/>
        <v>2000 Florida Marlins</v>
      </c>
      <c r="J13" s="60">
        <v>5509</v>
      </c>
      <c r="K13" s="60">
        <f t="shared" si="0"/>
        <v>978</v>
      </c>
      <c r="L13" s="60">
        <v>274</v>
      </c>
      <c r="M13" s="60">
        <v>29</v>
      </c>
      <c r="N13" s="60">
        <v>160</v>
      </c>
      <c r="O13" s="60">
        <v>540</v>
      </c>
      <c r="P13" s="60">
        <v>60</v>
      </c>
      <c r="Q13" s="60">
        <f t="shared" si="1"/>
        <v>3468</v>
      </c>
      <c r="R13">
        <v>691</v>
      </c>
      <c r="S13">
        <v>39</v>
      </c>
      <c r="T13">
        <v>1184</v>
      </c>
      <c r="U13">
        <v>42</v>
      </c>
      <c r="V13">
        <v>51</v>
      </c>
      <c r="W13">
        <v>1</v>
      </c>
      <c r="X13">
        <v>78</v>
      </c>
      <c r="Y13">
        <v>100</v>
      </c>
      <c r="Z13">
        <v>168</v>
      </c>
      <c r="AA13">
        <v>55</v>
      </c>
      <c r="AB13">
        <v>0.26200000000000001</v>
      </c>
      <c r="AC13">
        <v>0.33100000000000002</v>
      </c>
      <c r="AD13">
        <v>0.40899999999999997</v>
      </c>
    </row>
    <row r="14" spans="1:30" x14ac:dyDescent="0.5">
      <c r="A14" s="35">
        <v>2000</v>
      </c>
      <c r="B14" t="s">
        <v>63</v>
      </c>
      <c r="C14" t="s">
        <v>38</v>
      </c>
      <c r="D14">
        <v>162</v>
      </c>
      <c r="E14">
        <v>938</v>
      </c>
      <c r="F14">
        <v>1547</v>
      </c>
      <c r="G14" s="60">
        <v>2000</v>
      </c>
      <c r="H14" s="60" t="s">
        <v>62</v>
      </c>
      <c r="I14" s="60" t="str">
        <f t="shared" si="2"/>
        <v>2000 Houston Astros</v>
      </c>
      <c r="J14" s="60">
        <v>5570</v>
      </c>
      <c r="K14" s="60">
        <f t="shared" si="0"/>
        <v>973</v>
      </c>
      <c r="L14" s="60">
        <v>289</v>
      </c>
      <c r="M14" s="60">
        <v>36</v>
      </c>
      <c r="N14" s="60">
        <v>249</v>
      </c>
      <c r="O14" s="60">
        <v>673</v>
      </c>
      <c r="P14" s="60">
        <v>83</v>
      </c>
      <c r="Q14" s="60">
        <f t="shared" si="1"/>
        <v>3267</v>
      </c>
      <c r="R14">
        <v>900</v>
      </c>
      <c r="S14">
        <v>57</v>
      </c>
      <c r="T14">
        <v>1129</v>
      </c>
      <c r="U14">
        <v>57</v>
      </c>
      <c r="V14">
        <v>61</v>
      </c>
      <c r="W14">
        <v>0</v>
      </c>
      <c r="X14">
        <v>73</v>
      </c>
      <c r="Y14">
        <v>154</v>
      </c>
      <c r="Z14">
        <v>114</v>
      </c>
      <c r="AA14">
        <v>52</v>
      </c>
      <c r="AB14">
        <v>0.27800000000000002</v>
      </c>
      <c r="AC14">
        <v>0.36099999999999999</v>
      </c>
      <c r="AD14">
        <v>0.47699999999999998</v>
      </c>
    </row>
    <row r="15" spans="1:30" x14ac:dyDescent="0.5">
      <c r="A15" s="35">
        <v>2000</v>
      </c>
      <c r="B15" t="s">
        <v>150</v>
      </c>
      <c r="C15" t="s">
        <v>149</v>
      </c>
      <c r="D15">
        <v>162</v>
      </c>
      <c r="E15">
        <v>879</v>
      </c>
      <c r="F15">
        <v>1644</v>
      </c>
      <c r="G15" s="60">
        <v>2000</v>
      </c>
      <c r="H15" s="60" t="s">
        <v>64</v>
      </c>
      <c r="I15" s="60" t="str">
        <f t="shared" si="2"/>
        <v>2000 Kansas City Royals</v>
      </c>
      <c r="J15" s="60">
        <v>5709</v>
      </c>
      <c r="K15" s="60">
        <f t="shared" si="0"/>
        <v>1186</v>
      </c>
      <c r="L15" s="60">
        <v>281</v>
      </c>
      <c r="M15" s="60">
        <v>27</v>
      </c>
      <c r="N15" s="60">
        <v>150</v>
      </c>
      <c r="O15" s="60">
        <v>511</v>
      </c>
      <c r="P15" s="60">
        <v>48</v>
      </c>
      <c r="Q15" s="60">
        <f t="shared" si="1"/>
        <v>3506</v>
      </c>
      <c r="R15">
        <v>831</v>
      </c>
      <c r="S15">
        <v>28</v>
      </c>
      <c r="T15">
        <v>840</v>
      </c>
      <c r="U15">
        <v>56</v>
      </c>
      <c r="V15">
        <v>70</v>
      </c>
      <c r="W15">
        <v>0</v>
      </c>
      <c r="X15">
        <v>95</v>
      </c>
      <c r="Y15">
        <v>139</v>
      </c>
      <c r="Z15">
        <v>121</v>
      </c>
      <c r="AA15">
        <v>35</v>
      </c>
      <c r="AB15">
        <v>0.28799999999999998</v>
      </c>
      <c r="AC15">
        <v>0.34799999999999998</v>
      </c>
      <c r="AD15">
        <v>0.42499999999999999</v>
      </c>
    </row>
    <row r="16" spans="1:30" x14ac:dyDescent="0.5">
      <c r="A16" s="35">
        <v>2000</v>
      </c>
      <c r="B16" t="s">
        <v>145</v>
      </c>
      <c r="C16" t="s">
        <v>38</v>
      </c>
      <c r="D16">
        <v>162</v>
      </c>
      <c r="E16">
        <v>798</v>
      </c>
      <c r="F16">
        <v>1408</v>
      </c>
      <c r="G16" s="60">
        <v>2000</v>
      </c>
      <c r="H16" s="60" t="s">
        <v>66</v>
      </c>
      <c r="I16" s="60" t="str">
        <f t="shared" si="2"/>
        <v>2000 Los Angeles Dodgers</v>
      </c>
      <c r="J16" s="60">
        <v>5481</v>
      </c>
      <c r="K16" s="60">
        <f t="shared" si="0"/>
        <v>904</v>
      </c>
      <c r="L16" s="60">
        <v>265</v>
      </c>
      <c r="M16" s="60">
        <v>28</v>
      </c>
      <c r="N16" s="60">
        <v>211</v>
      </c>
      <c r="O16" s="60">
        <v>668</v>
      </c>
      <c r="P16" s="60">
        <v>51</v>
      </c>
      <c r="Q16" s="60">
        <f t="shared" si="1"/>
        <v>3354</v>
      </c>
      <c r="R16">
        <v>756</v>
      </c>
      <c r="S16">
        <v>42</v>
      </c>
      <c r="T16">
        <v>1083</v>
      </c>
      <c r="U16">
        <v>66</v>
      </c>
      <c r="V16">
        <v>46</v>
      </c>
      <c r="W16">
        <v>0</v>
      </c>
      <c r="X16">
        <v>80</v>
      </c>
      <c r="Y16">
        <v>129</v>
      </c>
      <c r="Z16">
        <v>95</v>
      </c>
      <c r="AA16">
        <v>42</v>
      </c>
      <c r="AB16">
        <v>0.25700000000000001</v>
      </c>
      <c r="AC16">
        <v>0.34100000000000003</v>
      </c>
      <c r="AD16">
        <v>0.43099999999999999</v>
      </c>
    </row>
    <row r="17" spans="1:30" x14ac:dyDescent="0.5">
      <c r="A17" s="35">
        <v>2000</v>
      </c>
      <c r="B17" t="s">
        <v>69</v>
      </c>
      <c r="C17" t="s">
        <v>38</v>
      </c>
      <c r="D17">
        <v>163</v>
      </c>
      <c r="E17">
        <v>740</v>
      </c>
      <c r="F17">
        <v>1366</v>
      </c>
      <c r="G17" s="60">
        <v>2000</v>
      </c>
      <c r="H17" s="60" t="s">
        <v>68</v>
      </c>
      <c r="I17" s="60" t="str">
        <f t="shared" si="2"/>
        <v>2000 Milwaukee Brewers</v>
      </c>
      <c r="J17" s="60">
        <v>5563</v>
      </c>
      <c r="K17" s="60">
        <f t="shared" si="0"/>
        <v>867</v>
      </c>
      <c r="L17" s="60">
        <v>297</v>
      </c>
      <c r="M17" s="60">
        <v>25</v>
      </c>
      <c r="N17" s="60">
        <v>177</v>
      </c>
      <c r="O17" s="60">
        <v>620</v>
      </c>
      <c r="P17" s="60">
        <v>61</v>
      </c>
      <c r="Q17" s="60">
        <f t="shared" si="1"/>
        <v>3516</v>
      </c>
      <c r="R17">
        <v>708</v>
      </c>
      <c r="S17">
        <v>47</v>
      </c>
      <c r="T17">
        <v>1245</v>
      </c>
      <c r="U17">
        <v>61</v>
      </c>
      <c r="V17">
        <v>49</v>
      </c>
      <c r="W17">
        <v>1</v>
      </c>
      <c r="X17">
        <v>91</v>
      </c>
      <c r="Y17">
        <v>126</v>
      </c>
      <c r="Z17">
        <v>72</v>
      </c>
      <c r="AA17">
        <v>44</v>
      </c>
      <c r="AB17">
        <v>0.246</v>
      </c>
      <c r="AC17">
        <v>0.32500000000000001</v>
      </c>
      <c r="AD17">
        <v>0.40300000000000002</v>
      </c>
    </row>
    <row r="18" spans="1:30" x14ac:dyDescent="0.5">
      <c r="A18" s="35">
        <v>2000</v>
      </c>
      <c r="B18" t="s">
        <v>71</v>
      </c>
      <c r="C18" t="s">
        <v>149</v>
      </c>
      <c r="D18">
        <v>162</v>
      </c>
      <c r="E18">
        <v>748</v>
      </c>
      <c r="F18">
        <v>1516</v>
      </c>
      <c r="G18" s="60">
        <v>2000</v>
      </c>
      <c r="H18" s="60" t="s">
        <v>70</v>
      </c>
      <c r="I18" s="60" t="str">
        <f t="shared" si="2"/>
        <v>2000 Minnesota Twins</v>
      </c>
      <c r="J18" s="60">
        <v>5615</v>
      </c>
      <c r="K18" s="60">
        <f t="shared" si="0"/>
        <v>1026</v>
      </c>
      <c r="L18" s="60">
        <v>325</v>
      </c>
      <c r="M18" s="60">
        <v>49</v>
      </c>
      <c r="N18" s="60">
        <v>116</v>
      </c>
      <c r="O18" s="60">
        <v>556</v>
      </c>
      <c r="P18" s="60">
        <v>35</v>
      </c>
      <c r="Q18" s="60">
        <f t="shared" si="1"/>
        <v>3508</v>
      </c>
      <c r="R18">
        <v>711</v>
      </c>
      <c r="S18">
        <v>31</v>
      </c>
      <c r="T18">
        <v>1021</v>
      </c>
      <c r="U18">
        <v>24</v>
      </c>
      <c r="V18">
        <v>51</v>
      </c>
      <c r="W18">
        <v>2</v>
      </c>
      <c r="X18">
        <v>87</v>
      </c>
      <c r="Y18">
        <v>143</v>
      </c>
      <c r="Z18">
        <v>90</v>
      </c>
      <c r="AA18">
        <v>45</v>
      </c>
      <c r="AB18">
        <v>0.27</v>
      </c>
      <c r="AC18">
        <v>0.33700000000000002</v>
      </c>
      <c r="AD18">
        <v>0.40699999999999997</v>
      </c>
    </row>
    <row r="19" spans="1:30" x14ac:dyDescent="0.5">
      <c r="A19" s="35">
        <v>2000</v>
      </c>
      <c r="B19" t="s">
        <v>73</v>
      </c>
      <c r="C19" t="s">
        <v>38</v>
      </c>
      <c r="D19">
        <v>162</v>
      </c>
      <c r="E19">
        <v>738</v>
      </c>
      <c r="F19">
        <v>1475</v>
      </c>
      <c r="G19" s="60">
        <v>2000</v>
      </c>
      <c r="H19" s="60" t="s">
        <v>72</v>
      </c>
      <c r="I19" s="60" t="str">
        <f t="shared" si="2"/>
        <v>2000 Montreal Expos</v>
      </c>
      <c r="J19" s="60">
        <v>5535</v>
      </c>
      <c r="K19" s="60">
        <f t="shared" si="0"/>
        <v>952</v>
      </c>
      <c r="L19" s="60">
        <v>310</v>
      </c>
      <c r="M19" s="60">
        <v>35</v>
      </c>
      <c r="N19" s="60">
        <v>178</v>
      </c>
      <c r="O19" s="60">
        <v>476</v>
      </c>
      <c r="P19" s="60">
        <v>29</v>
      </c>
      <c r="Q19" s="60">
        <f t="shared" si="1"/>
        <v>3555</v>
      </c>
      <c r="R19">
        <v>705</v>
      </c>
      <c r="S19">
        <v>53</v>
      </c>
      <c r="T19">
        <v>1048</v>
      </c>
      <c r="U19">
        <v>78</v>
      </c>
      <c r="V19">
        <v>34</v>
      </c>
      <c r="W19">
        <v>1</v>
      </c>
      <c r="X19">
        <v>70</v>
      </c>
      <c r="Y19">
        <v>111</v>
      </c>
      <c r="Z19">
        <v>58</v>
      </c>
      <c r="AA19">
        <v>48</v>
      </c>
      <c r="AB19">
        <v>0.26600000000000001</v>
      </c>
      <c r="AC19">
        <v>0.32600000000000001</v>
      </c>
      <c r="AD19">
        <v>0.432</v>
      </c>
    </row>
    <row r="20" spans="1:30" x14ac:dyDescent="0.5">
      <c r="A20" s="35">
        <v>2000</v>
      </c>
      <c r="B20" t="s">
        <v>144</v>
      </c>
      <c r="C20" t="s">
        <v>38</v>
      </c>
      <c r="D20">
        <v>162</v>
      </c>
      <c r="E20">
        <v>807</v>
      </c>
      <c r="F20">
        <v>1445</v>
      </c>
      <c r="G20" s="60">
        <v>2000</v>
      </c>
      <c r="H20" s="60" t="s">
        <v>76</v>
      </c>
      <c r="I20" s="60" t="str">
        <f t="shared" si="2"/>
        <v>2000 New York Mets</v>
      </c>
      <c r="J20" s="60">
        <v>5486</v>
      </c>
      <c r="K20" s="60">
        <f t="shared" si="0"/>
        <v>946</v>
      </c>
      <c r="L20" s="60">
        <v>281</v>
      </c>
      <c r="M20" s="60">
        <v>20</v>
      </c>
      <c r="N20" s="60">
        <v>198</v>
      </c>
      <c r="O20" s="60">
        <v>675</v>
      </c>
      <c r="P20" s="60">
        <v>45</v>
      </c>
      <c r="Q20" s="60">
        <f t="shared" si="1"/>
        <v>3321</v>
      </c>
      <c r="R20">
        <v>761</v>
      </c>
      <c r="S20">
        <v>42</v>
      </c>
      <c r="T20">
        <v>1037</v>
      </c>
      <c r="U20">
        <v>70</v>
      </c>
      <c r="V20">
        <v>51</v>
      </c>
      <c r="W20">
        <v>1</v>
      </c>
      <c r="X20">
        <v>82</v>
      </c>
      <c r="Y20">
        <v>122</v>
      </c>
      <c r="Z20">
        <v>66</v>
      </c>
      <c r="AA20">
        <v>46</v>
      </c>
      <c r="AB20">
        <v>0.26300000000000001</v>
      </c>
      <c r="AC20">
        <v>0.34599999999999997</v>
      </c>
      <c r="AD20">
        <v>0.43</v>
      </c>
    </row>
    <row r="21" spans="1:30" x14ac:dyDescent="0.5">
      <c r="A21" s="35">
        <v>2000</v>
      </c>
      <c r="B21" t="s">
        <v>144</v>
      </c>
      <c r="C21" t="s">
        <v>149</v>
      </c>
      <c r="D21">
        <v>161</v>
      </c>
      <c r="E21">
        <v>871</v>
      </c>
      <c r="F21">
        <v>1541</v>
      </c>
      <c r="G21" s="60">
        <v>2000</v>
      </c>
      <c r="H21" s="60" t="s">
        <v>74</v>
      </c>
      <c r="I21" s="60" t="str">
        <f t="shared" si="2"/>
        <v>2000 New York Yankees</v>
      </c>
      <c r="J21" s="60">
        <v>5556</v>
      </c>
      <c r="K21" s="60">
        <f t="shared" si="0"/>
        <v>1017</v>
      </c>
      <c r="L21" s="60">
        <v>294</v>
      </c>
      <c r="M21" s="60">
        <v>25</v>
      </c>
      <c r="N21" s="60">
        <v>205</v>
      </c>
      <c r="O21" s="60">
        <v>631</v>
      </c>
      <c r="P21" s="60">
        <v>57</v>
      </c>
      <c r="Q21" s="60">
        <f t="shared" si="1"/>
        <v>3327</v>
      </c>
      <c r="R21">
        <v>833</v>
      </c>
      <c r="S21">
        <v>42</v>
      </c>
      <c r="T21">
        <v>1007</v>
      </c>
      <c r="U21">
        <v>16</v>
      </c>
      <c r="V21">
        <v>50</v>
      </c>
      <c r="W21">
        <v>1</v>
      </c>
      <c r="X21">
        <v>64</v>
      </c>
      <c r="Y21">
        <v>134</v>
      </c>
      <c r="Z21">
        <v>99</v>
      </c>
      <c r="AA21">
        <v>48</v>
      </c>
      <c r="AB21">
        <v>0.27700000000000002</v>
      </c>
      <c r="AC21">
        <v>0.35399999999999998</v>
      </c>
      <c r="AD21">
        <v>0.45</v>
      </c>
    </row>
    <row r="22" spans="1:30" x14ac:dyDescent="0.5">
      <c r="A22" s="35">
        <v>2000</v>
      </c>
      <c r="B22" t="s">
        <v>79</v>
      </c>
      <c r="C22" t="s">
        <v>149</v>
      </c>
      <c r="D22">
        <v>161</v>
      </c>
      <c r="E22">
        <v>947</v>
      </c>
      <c r="F22">
        <v>1501</v>
      </c>
      <c r="G22" s="60">
        <v>2000</v>
      </c>
      <c r="H22" s="60" t="s">
        <v>78</v>
      </c>
      <c r="I22" s="60" t="str">
        <f t="shared" si="2"/>
        <v>2000 Oakland Athletics</v>
      </c>
      <c r="J22" s="60">
        <v>5560</v>
      </c>
      <c r="K22" s="60">
        <f t="shared" si="0"/>
        <v>958</v>
      </c>
      <c r="L22" s="60">
        <v>281</v>
      </c>
      <c r="M22" s="60">
        <v>23</v>
      </c>
      <c r="N22" s="60">
        <v>239</v>
      </c>
      <c r="O22" s="60">
        <v>750</v>
      </c>
      <c r="P22" s="60">
        <v>52</v>
      </c>
      <c r="Q22" s="60">
        <f t="shared" si="1"/>
        <v>3257</v>
      </c>
      <c r="R22">
        <v>908</v>
      </c>
      <c r="S22">
        <v>32</v>
      </c>
      <c r="T22">
        <v>1159</v>
      </c>
      <c r="U22">
        <v>26</v>
      </c>
      <c r="V22">
        <v>44</v>
      </c>
      <c r="W22">
        <v>0</v>
      </c>
      <c r="X22">
        <v>71</v>
      </c>
      <c r="Y22">
        <v>147</v>
      </c>
      <c r="Z22">
        <v>40</v>
      </c>
      <c r="AA22">
        <v>15</v>
      </c>
      <c r="AB22">
        <v>0.27</v>
      </c>
      <c r="AC22">
        <v>0.36</v>
      </c>
      <c r="AD22">
        <v>0.45800000000000002</v>
      </c>
    </row>
    <row r="23" spans="1:30" x14ac:dyDescent="0.5">
      <c r="A23" s="35">
        <v>2000</v>
      </c>
      <c r="B23" t="s">
        <v>81</v>
      </c>
      <c r="C23" t="s">
        <v>38</v>
      </c>
      <c r="D23">
        <v>162</v>
      </c>
      <c r="E23">
        <v>708</v>
      </c>
      <c r="F23">
        <v>1386</v>
      </c>
      <c r="G23" s="60">
        <v>2000</v>
      </c>
      <c r="H23" s="60" t="s">
        <v>80</v>
      </c>
      <c r="I23" s="60" t="str">
        <f t="shared" si="2"/>
        <v>2000 Philadelphia Phillies</v>
      </c>
      <c r="J23" s="60">
        <v>5511</v>
      </c>
      <c r="K23" s="60">
        <f t="shared" si="0"/>
        <v>898</v>
      </c>
      <c r="L23" s="60">
        <v>304</v>
      </c>
      <c r="M23" s="60">
        <v>40</v>
      </c>
      <c r="N23" s="60">
        <v>144</v>
      </c>
      <c r="O23" s="60">
        <v>611</v>
      </c>
      <c r="P23" s="60">
        <v>44</v>
      </c>
      <c r="Q23" s="60">
        <f t="shared" si="1"/>
        <v>3470</v>
      </c>
      <c r="R23">
        <v>668</v>
      </c>
      <c r="S23">
        <v>40</v>
      </c>
      <c r="T23">
        <v>1117</v>
      </c>
      <c r="U23">
        <v>70</v>
      </c>
      <c r="V23">
        <v>37</v>
      </c>
      <c r="W23">
        <v>0</v>
      </c>
      <c r="X23">
        <v>74</v>
      </c>
      <c r="Y23">
        <v>115</v>
      </c>
      <c r="Z23">
        <v>102</v>
      </c>
      <c r="AA23">
        <v>30</v>
      </c>
      <c r="AB23">
        <v>0.251</v>
      </c>
      <c r="AC23">
        <v>0.32900000000000001</v>
      </c>
      <c r="AD23">
        <v>0.4</v>
      </c>
    </row>
    <row r="24" spans="1:30" x14ac:dyDescent="0.5">
      <c r="A24" s="35">
        <v>2000</v>
      </c>
      <c r="B24" t="s">
        <v>83</v>
      </c>
      <c r="C24" t="s">
        <v>38</v>
      </c>
      <c r="D24">
        <v>162</v>
      </c>
      <c r="E24">
        <v>793</v>
      </c>
      <c r="F24">
        <v>1506</v>
      </c>
      <c r="G24" s="60">
        <v>2000</v>
      </c>
      <c r="H24" s="60" t="s">
        <v>82</v>
      </c>
      <c r="I24" s="60" t="str">
        <f t="shared" si="2"/>
        <v>2000 Pittsburgh Pirates</v>
      </c>
      <c r="J24" s="60">
        <v>5643</v>
      </c>
      <c r="K24" s="60">
        <f t="shared" si="0"/>
        <v>987</v>
      </c>
      <c r="L24" s="60">
        <v>320</v>
      </c>
      <c r="M24" s="60">
        <v>31</v>
      </c>
      <c r="N24" s="60">
        <v>168</v>
      </c>
      <c r="O24" s="60">
        <v>564</v>
      </c>
      <c r="P24" s="60">
        <v>66</v>
      </c>
      <c r="Q24" s="60">
        <f t="shared" si="1"/>
        <v>3507</v>
      </c>
      <c r="R24">
        <v>749</v>
      </c>
      <c r="S24">
        <v>41</v>
      </c>
      <c r="T24">
        <v>1032</v>
      </c>
      <c r="U24">
        <v>59</v>
      </c>
      <c r="V24">
        <v>37</v>
      </c>
      <c r="W24">
        <v>0</v>
      </c>
      <c r="X24">
        <v>83</v>
      </c>
      <c r="Y24">
        <v>133</v>
      </c>
      <c r="Z24">
        <v>86</v>
      </c>
      <c r="AA24">
        <v>40</v>
      </c>
      <c r="AB24">
        <v>0.26700000000000002</v>
      </c>
      <c r="AC24">
        <v>0.33900000000000002</v>
      </c>
      <c r="AD24">
        <v>0.42399999999999999</v>
      </c>
    </row>
    <row r="25" spans="1:30" x14ac:dyDescent="0.5">
      <c r="A25" s="35">
        <v>2000</v>
      </c>
      <c r="B25" t="s">
        <v>147</v>
      </c>
      <c r="C25" t="s">
        <v>38</v>
      </c>
      <c r="D25">
        <v>162</v>
      </c>
      <c r="E25">
        <v>752</v>
      </c>
      <c r="F25">
        <v>1413</v>
      </c>
      <c r="G25" s="60">
        <v>2000</v>
      </c>
      <c r="H25" s="60" t="s">
        <v>84</v>
      </c>
      <c r="I25" s="60" t="str">
        <f t="shared" si="2"/>
        <v>2000 San Diego Padres</v>
      </c>
      <c r="J25" s="60">
        <v>5560</v>
      </c>
      <c r="K25" s="60">
        <f t="shared" si="0"/>
        <v>940</v>
      </c>
      <c r="L25" s="60">
        <v>279</v>
      </c>
      <c r="M25" s="60">
        <v>37</v>
      </c>
      <c r="N25" s="60">
        <v>157</v>
      </c>
      <c r="O25" s="60">
        <v>602</v>
      </c>
      <c r="P25" s="60">
        <v>46</v>
      </c>
      <c r="Q25" s="60">
        <f t="shared" si="1"/>
        <v>3499</v>
      </c>
      <c r="R25">
        <v>714</v>
      </c>
      <c r="S25">
        <v>50</v>
      </c>
      <c r="T25">
        <v>1177</v>
      </c>
      <c r="U25">
        <v>39</v>
      </c>
      <c r="V25">
        <v>43</v>
      </c>
      <c r="W25">
        <v>1</v>
      </c>
      <c r="X25">
        <v>72</v>
      </c>
      <c r="Y25">
        <v>123</v>
      </c>
      <c r="Z25">
        <v>131</v>
      </c>
      <c r="AA25">
        <v>53</v>
      </c>
      <c r="AB25">
        <v>0.254</v>
      </c>
      <c r="AC25">
        <v>0.33</v>
      </c>
      <c r="AD25">
        <v>0.40200000000000002</v>
      </c>
    </row>
    <row r="26" spans="1:30" x14ac:dyDescent="0.5">
      <c r="A26" s="35">
        <v>2000</v>
      </c>
      <c r="B26" t="s">
        <v>87</v>
      </c>
      <c r="C26" t="s">
        <v>149</v>
      </c>
      <c r="D26">
        <v>162</v>
      </c>
      <c r="E26">
        <v>907</v>
      </c>
      <c r="F26">
        <v>1481</v>
      </c>
      <c r="G26" s="60">
        <v>2000</v>
      </c>
      <c r="H26" s="60" t="s">
        <v>86</v>
      </c>
      <c r="I26" s="60" t="str">
        <f t="shared" si="2"/>
        <v>2000 Seattle Mariners</v>
      </c>
      <c r="J26" s="60">
        <v>5497</v>
      </c>
      <c r="K26" s="60">
        <f t="shared" si="0"/>
        <v>957</v>
      </c>
      <c r="L26" s="60">
        <v>300</v>
      </c>
      <c r="M26" s="60">
        <v>26</v>
      </c>
      <c r="N26" s="60">
        <v>198</v>
      </c>
      <c r="O26" s="60">
        <v>775</v>
      </c>
      <c r="P26" s="60">
        <v>48</v>
      </c>
      <c r="Q26" s="60">
        <f t="shared" si="1"/>
        <v>3193</v>
      </c>
      <c r="R26">
        <v>869</v>
      </c>
      <c r="S26">
        <v>34</v>
      </c>
      <c r="T26">
        <v>1073</v>
      </c>
      <c r="U26">
        <v>63</v>
      </c>
      <c r="V26">
        <v>61</v>
      </c>
      <c r="W26">
        <v>0</v>
      </c>
      <c r="X26">
        <v>77</v>
      </c>
      <c r="Y26">
        <v>129</v>
      </c>
      <c r="Z26">
        <v>122</v>
      </c>
      <c r="AA26">
        <v>56</v>
      </c>
      <c r="AB26">
        <v>0.26900000000000002</v>
      </c>
      <c r="AC26">
        <v>0.36099999999999999</v>
      </c>
      <c r="AD26">
        <v>0.442</v>
      </c>
    </row>
    <row r="27" spans="1:30" x14ac:dyDescent="0.5">
      <c r="A27" s="35">
        <v>2000</v>
      </c>
      <c r="B27" t="s">
        <v>21</v>
      </c>
      <c r="C27" t="s">
        <v>38</v>
      </c>
      <c r="D27">
        <v>162</v>
      </c>
      <c r="E27">
        <v>925</v>
      </c>
      <c r="F27">
        <v>1535</v>
      </c>
      <c r="G27" s="60">
        <v>2000</v>
      </c>
      <c r="H27" s="60" t="s">
        <v>88</v>
      </c>
      <c r="I27" s="60" t="str">
        <f t="shared" si="2"/>
        <v>2000 San Francisco Giants</v>
      </c>
      <c r="J27" s="60">
        <v>5519</v>
      </c>
      <c r="K27" s="60">
        <f t="shared" si="0"/>
        <v>961</v>
      </c>
      <c r="L27" s="60">
        <v>304</v>
      </c>
      <c r="M27" s="60">
        <v>44</v>
      </c>
      <c r="N27" s="60">
        <v>226</v>
      </c>
      <c r="O27" s="60">
        <v>709</v>
      </c>
      <c r="P27" s="60">
        <v>51</v>
      </c>
      <c r="Q27" s="60">
        <f t="shared" si="1"/>
        <v>3224</v>
      </c>
      <c r="R27">
        <v>889</v>
      </c>
      <c r="S27">
        <v>60</v>
      </c>
      <c r="T27">
        <v>1032</v>
      </c>
      <c r="U27">
        <v>73</v>
      </c>
      <c r="V27">
        <v>66</v>
      </c>
      <c r="W27">
        <v>0</v>
      </c>
      <c r="X27">
        <v>68</v>
      </c>
      <c r="Y27">
        <v>131</v>
      </c>
      <c r="Z27">
        <v>79</v>
      </c>
      <c r="AA27">
        <v>39</v>
      </c>
      <c r="AB27">
        <v>0.27800000000000002</v>
      </c>
      <c r="AC27">
        <v>0.36199999999999999</v>
      </c>
      <c r="AD27">
        <v>0.47199999999999998</v>
      </c>
    </row>
    <row r="28" spans="1:30" x14ac:dyDescent="0.5">
      <c r="A28" s="35">
        <v>2000</v>
      </c>
      <c r="B28" t="s">
        <v>142</v>
      </c>
      <c r="C28" t="s">
        <v>38</v>
      </c>
      <c r="D28">
        <v>162</v>
      </c>
      <c r="E28">
        <v>887</v>
      </c>
      <c r="F28">
        <v>1481</v>
      </c>
      <c r="G28" s="60">
        <v>2000</v>
      </c>
      <c r="H28" s="60" t="s">
        <v>90</v>
      </c>
      <c r="I28" s="60" t="str">
        <f t="shared" si="2"/>
        <v>2000 St. Louis Cardinals</v>
      </c>
      <c r="J28" s="60">
        <v>5478</v>
      </c>
      <c r="K28" s="60">
        <f t="shared" si="0"/>
        <v>962</v>
      </c>
      <c r="L28" s="60">
        <v>259</v>
      </c>
      <c r="M28" s="60">
        <v>25</v>
      </c>
      <c r="N28" s="60">
        <v>235</v>
      </c>
      <c r="O28" s="60">
        <v>675</v>
      </c>
      <c r="P28" s="60">
        <v>84</v>
      </c>
      <c r="Q28" s="60">
        <f t="shared" si="1"/>
        <v>3238</v>
      </c>
      <c r="R28">
        <v>841</v>
      </c>
      <c r="S28">
        <v>33</v>
      </c>
      <c r="T28">
        <v>1253</v>
      </c>
      <c r="U28">
        <v>79</v>
      </c>
      <c r="V28">
        <v>53</v>
      </c>
      <c r="W28">
        <v>0</v>
      </c>
      <c r="X28">
        <v>87</v>
      </c>
      <c r="Y28">
        <v>116</v>
      </c>
      <c r="Z28">
        <v>87</v>
      </c>
      <c r="AA28">
        <v>51</v>
      </c>
      <c r="AB28">
        <v>0.27</v>
      </c>
      <c r="AC28">
        <v>0.35599999999999998</v>
      </c>
      <c r="AD28">
        <v>0.45500000000000002</v>
      </c>
    </row>
    <row r="29" spans="1:30" x14ac:dyDescent="0.5">
      <c r="A29" s="35">
        <v>2000</v>
      </c>
      <c r="B29" t="s">
        <v>151</v>
      </c>
      <c r="C29" t="s">
        <v>149</v>
      </c>
      <c r="D29">
        <v>161</v>
      </c>
      <c r="E29">
        <v>733</v>
      </c>
      <c r="F29">
        <v>1414</v>
      </c>
      <c r="G29" s="60">
        <v>2000</v>
      </c>
      <c r="H29" s="60" t="s">
        <v>92</v>
      </c>
      <c r="I29" s="60" t="str">
        <f t="shared" si="2"/>
        <v>2000 Tampa Bay Devil Rays</v>
      </c>
      <c r="J29" s="60">
        <v>5505</v>
      </c>
      <c r="K29" s="60">
        <f t="shared" si="0"/>
        <v>977</v>
      </c>
      <c r="L29" s="60">
        <v>253</v>
      </c>
      <c r="M29" s="60">
        <v>22</v>
      </c>
      <c r="N29" s="60">
        <v>162</v>
      </c>
      <c r="O29" s="60">
        <v>558</v>
      </c>
      <c r="P29" s="60">
        <v>51</v>
      </c>
      <c r="Q29" s="60">
        <f t="shared" si="1"/>
        <v>3482</v>
      </c>
      <c r="R29">
        <v>692</v>
      </c>
      <c r="S29">
        <v>25</v>
      </c>
      <c r="T29">
        <v>1022</v>
      </c>
      <c r="U29">
        <v>52</v>
      </c>
      <c r="V29">
        <v>40</v>
      </c>
      <c r="W29">
        <v>0</v>
      </c>
      <c r="X29">
        <v>71</v>
      </c>
      <c r="Y29">
        <v>126</v>
      </c>
      <c r="Z29">
        <v>90</v>
      </c>
      <c r="AA29">
        <v>46</v>
      </c>
      <c r="AB29">
        <v>0.25700000000000001</v>
      </c>
      <c r="AC29">
        <v>0.32900000000000001</v>
      </c>
      <c r="AD29">
        <v>0.39900000000000002</v>
      </c>
    </row>
    <row r="30" spans="1:30" x14ac:dyDescent="0.5">
      <c r="A30" s="35">
        <v>2000</v>
      </c>
      <c r="B30" t="s">
        <v>95</v>
      </c>
      <c r="C30" t="s">
        <v>149</v>
      </c>
      <c r="D30">
        <v>162</v>
      </c>
      <c r="E30">
        <v>848</v>
      </c>
      <c r="F30">
        <v>1601</v>
      </c>
      <c r="G30" s="60">
        <v>2000</v>
      </c>
      <c r="H30" s="60" t="s">
        <v>94</v>
      </c>
      <c r="I30" s="60" t="str">
        <f t="shared" si="2"/>
        <v>2000 Texas Rangers</v>
      </c>
      <c r="J30" s="60">
        <v>5648</v>
      </c>
      <c r="K30" s="60">
        <f t="shared" si="0"/>
        <v>1063</v>
      </c>
      <c r="L30" s="60">
        <v>330</v>
      </c>
      <c r="M30" s="60">
        <v>35</v>
      </c>
      <c r="N30" s="60">
        <v>173</v>
      </c>
      <c r="O30" s="60">
        <v>580</v>
      </c>
      <c r="P30" s="60">
        <v>39</v>
      </c>
      <c r="Q30" s="60">
        <f t="shared" si="1"/>
        <v>3428</v>
      </c>
      <c r="R30">
        <v>806</v>
      </c>
      <c r="S30">
        <v>39</v>
      </c>
      <c r="T30">
        <v>922</v>
      </c>
      <c r="U30">
        <v>48</v>
      </c>
      <c r="V30">
        <v>48</v>
      </c>
      <c r="W30">
        <v>1</v>
      </c>
      <c r="X30">
        <v>80</v>
      </c>
      <c r="Y30">
        <v>161</v>
      </c>
      <c r="Z30">
        <v>69</v>
      </c>
      <c r="AA30">
        <v>47</v>
      </c>
      <c r="AB30">
        <v>0.28299999999999997</v>
      </c>
      <c r="AC30">
        <v>0.35199999999999998</v>
      </c>
      <c r="AD30">
        <v>0.44600000000000001</v>
      </c>
    </row>
    <row r="31" spans="1:30" x14ac:dyDescent="0.5">
      <c r="A31" s="35">
        <v>2000</v>
      </c>
      <c r="B31" t="s">
        <v>97</v>
      </c>
      <c r="C31" t="s">
        <v>149</v>
      </c>
      <c r="D31">
        <v>162</v>
      </c>
      <c r="E31">
        <v>861</v>
      </c>
      <c r="F31">
        <v>1562</v>
      </c>
      <c r="G31" s="60">
        <v>2000</v>
      </c>
      <c r="H31" s="60" t="s">
        <v>96</v>
      </c>
      <c r="I31" s="60" t="str">
        <f t="shared" si="2"/>
        <v>2000 Toronto Blue Jays</v>
      </c>
      <c r="J31" s="60">
        <v>5677</v>
      </c>
      <c r="K31" s="60">
        <f t="shared" si="0"/>
        <v>969</v>
      </c>
      <c r="L31" s="60">
        <v>328</v>
      </c>
      <c r="M31" s="60">
        <v>21</v>
      </c>
      <c r="N31" s="60">
        <v>244</v>
      </c>
      <c r="O31" s="60">
        <v>526</v>
      </c>
      <c r="P31" s="60">
        <v>60</v>
      </c>
      <c r="Q31" s="60">
        <f t="shared" si="1"/>
        <v>3529</v>
      </c>
      <c r="R31">
        <v>826</v>
      </c>
      <c r="S31">
        <v>32</v>
      </c>
      <c r="T31">
        <v>1026</v>
      </c>
      <c r="U31">
        <v>29</v>
      </c>
      <c r="V31">
        <v>34</v>
      </c>
      <c r="W31">
        <v>0</v>
      </c>
      <c r="X31">
        <v>79</v>
      </c>
      <c r="Y31">
        <v>130</v>
      </c>
      <c r="Z31">
        <v>89</v>
      </c>
      <c r="AA31">
        <v>34</v>
      </c>
      <c r="AB31">
        <v>0.27500000000000002</v>
      </c>
      <c r="AC31">
        <v>0.34100000000000003</v>
      </c>
      <c r="AD31">
        <v>0.46899999999999997</v>
      </c>
    </row>
    <row r="32" spans="1:30" x14ac:dyDescent="0.5">
      <c r="A32" s="35">
        <v>2001</v>
      </c>
      <c r="B32" t="s">
        <v>37</v>
      </c>
      <c r="C32" t="s">
        <v>149</v>
      </c>
      <c r="D32">
        <v>162</v>
      </c>
      <c r="E32">
        <v>691</v>
      </c>
      <c r="F32">
        <v>1447</v>
      </c>
      <c r="G32" s="60">
        <v>2001</v>
      </c>
      <c r="H32" s="60" t="s">
        <v>36</v>
      </c>
      <c r="I32" s="60" t="str">
        <f t="shared" si="2"/>
        <v>2001 Anaheim Angels</v>
      </c>
      <c r="J32" s="60">
        <v>5551</v>
      </c>
      <c r="K32" s="60">
        <f t="shared" si="0"/>
        <v>988</v>
      </c>
      <c r="L32" s="60">
        <v>275</v>
      </c>
      <c r="M32" s="60">
        <v>26</v>
      </c>
      <c r="N32" s="60">
        <v>158</v>
      </c>
      <c r="O32" s="60">
        <v>494</v>
      </c>
      <c r="P32" s="60">
        <v>77</v>
      </c>
      <c r="Q32" s="60">
        <f t="shared" si="1"/>
        <v>3533</v>
      </c>
      <c r="R32">
        <v>662</v>
      </c>
      <c r="S32">
        <v>34</v>
      </c>
      <c r="T32">
        <v>1001</v>
      </c>
      <c r="U32">
        <v>46</v>
      </c>
      <c r="V32">
        <v>53</v>
      </c>
      <c r="W32">
        <v>5</v>
      </c>
      <c r="X32">
        <v>88</v>
      </c>
      <c r="Y32">
        <v>109</v>
      </c>
      <c r="Z32">
        <v>116</v>
      </c>
      <c r="AA32">
        <v>52</v>
      </c>
      <c r="AB32">
        <v>0.26100000000000001</v>
      </c>
      <c r="AC32">
        <v>0.32700000000000001</v>
      </c>
      <c r="AD32">
        <v>0.40500000000000003</v>
      </c>
    </row>
    <row r="33" spans="1:30" x14ac:dyDescent="0.5">
      <c r="A33" s="35">
        <v>2001</v>
      </c>
      <c r="B33" t="s">
        <v>40</v>
      </c>
      <c r="C33" t="s">
        <v>38</v>
      </c>
      <c r="D33">
        <v>162</v>
      </c>
      <c r="E33">
        <v>818</v>
      </c>
      <c r="F33">
        <v>1494</v>
      </c>
      <c r="G33" s="60">
        <v>2001</v>
      </c>
      <c r="H33" s="60" t="s">
        <v>39</v>
      </c>
      <c r="I33" s="60" t="str">
        <f t="shared" si="2"/>
        <v>2001 Arizona Diamondbacks</v>
      </c>
      <c r="J33" s="60">
        <v>5595</v>
      </c>
      <c r="K33" s="60">
        <f t="shared" si="0"/>
        <v>967</v>
      </c>
      <c r="L33" s="60">
        <v>284</v>
      </c>
      <c r="M33" s="60">
        <v>35</v>
      </c>
      <c r="N33" s="60">
        <v>208</v>
      </c>
      <c r="O33" s="60">
        <v>587</v>
      </c>
      <c r="P33" s="60">
        <v>57</v>
      </c>
      <c r="Q33" s="60">
        <f t="shared" si="1"/>
        <v>3457</v>
      </c>
      <c r="R33">
        <v>776</v>
      </c>
      <c r="S33">
        <v>73</v>
      </c>
      <c r="T33">
        <v>1052</v>
      </c>
      <c r="U33">
        <v>71</v>
      </c>
      <c r="V33">
        <v>36</v>
      </c>
      <c r="W33">
        <v>3</v>
      </c>
      <c r="X33">
        <v>60</v>
      </c>
      <c r="Y33">
        <v>105</v>
      </c>
      <c r="Z33">
        <v>71</v>
      </c>
      <c r="AA33">
        <v>38</v>
      </c>
      <c r="AB33">
        <v>0.26700000000000002</v>
      </c>
      <c r="AC33">
        <v>0.34100000000000003</v>
      </c>
      <c r="AD33">
        <v>0.442</v>
      </c>
    </row>
    <row r="34" spans="1:30" x14ac:dyDescent="0.5">
      <c r="A34" s="35">
        <v>2001</v>
      </c>
      <c r="B34" t="s">
        <v>42</v>
      </c>
      <c r="C34" t="s">
        <v>38</v>
      </c>
      <c r="D34">
        <v>162</v>
      </c>
      <c r="E34">
        <v>729</v>
      </c>
      <c r="F34">
        <v>1432</v>
      </c>
      <c r="G34" s="60">
        <v>2001</v>
      </c>
      <c r="H34" s="60" t="s">
        <v>41</v>
      </c>
      <c r="I34" s="60" t="str">
        <f t="shared" si="2"/>
        <v>2001 Atlanta Braves</v>
      </c>
      <c r="J34" s="60">
        <v>5498</v>
      </c>
      <c r="K34" s="60">
        <f t="shared" si="0"/>
        <v>971</v>
      </c>
      <c r="L34" s="60">
        <v>263</v>
      </c>
      <c r="M34" s="60">
        <v>24</v>
      </c>
      <c r="N34" s="60">
        <v>174</v>
      </c>
      <c r="O34" s="60">
        <v>493</v>
      </c>
      <c r="P34" s="60">
        <v>45</v>
      </c>
      <c r="Q34" s="60">
        <f t="shared" si="1"/>
        <v>3528</v>
      </c>
      <c r="R34">
        <v>696</v>
      </c>
      <c r="S34">
        <v>51</v>
      </c>
      <c r="T34">
        <v>1039</v>
      </c>
      <c r="U34">
        <v>64</v>
      </c>
      <c r="V34">
        <v>52</v>
      </c>
      <c r="W34">
        <v>0</v>
      </c>
      <c r="X34">
        <v>82</v>
      </c>
      <c r="Y34">
        <v>132</v>
      </c>
      <c r="Z34">
        <v>85</v>
      </c>
      <c r="AA34">
        <v>46</v>
      </c>
      <c r="AB34">
        <v>0.26</v>
      </c>
      <c r="AC34">
        <v>0.32400000000000001</v>
      </c>
      <c r="AD34">
        <v>0.41199999999999998</v>
      </c>
    </row>
    <row r="35" spans="1:30" x14ac:dyDescent="0.5">
      <c r="A35" s="35">
        <v>2001</v>
      </c>
      <c r="B35" t="s">
        <v>45</v>
      </c>
      <c r="C35" t="s">
        <v>149</v>
      </c>
      <c r="D35">
        <v>162</v>
      </c>
      <c r="E35">
        <v>687</v>
      </c>
      <c r="F35">
        <v>1359</v>
      </c>
      <c r="G35" s="60">
        <v>2001</v>
      </c>
      <c r="H35" s="60" t="s">
        <v>44</v>
      </c>
      <c r="I35" s="60" t="str">
        <f t="shared" si="2"/>
        <v>2001 Baltimore Orioles</v>
      </c>
      <c r="J35" s="60">
        <v>5472</v>
      </c>
      <c r="K35" s="60">
        <f t="shared" si="0"/>
        <v>937</v>
      </c>
      <c r="L35" s="60">
        <v>262</v>
      </c>
      <c r="M35" s="60">
        <v>24</v>
      </c>
      <c r="N35" s="60">
        <v>136</v>
      </c>
      <c r="O35" s="60">
        <v>514</v>
      </c>
      <c r="P35" s="60">
        <v>77</v>
      </c>
      <c r="Q35" s="60">
        <f t="shared" si="1"/>
        <v>3522</v>
      </c>
      <c r="R35">
        <v>663</v>
      </c>
      <c r="S35">
        <v>26</v>
      </c>
      <c r="T35">
        <v>989</v>
      </c>
      <c r="U35">
        <v>38</v>
      </c>
      <c r="V35">
        <v>49</v>
      </c>
      <c r="W35">
        <v>1</v>
      </c>
      <c r="X35">
        <v>69</v>
      </c>
      <c r="Y35">
        <v>121</v>
      </c>
      <c r="Z35">
        <v>133</v>
      </c>
      <c r="AA35">
        <v>53</v>
      </c>
      <c r="AB35">
        <v>0.248</v>
      </c>
      <c r="AC35">
        <v>0.31900000000000001</v>
      </c>
      <c r="AD35">
        <v>0.38</v>
      </c>
    </row>
    <row r="36" spans="1:30" x14ac:dyDescent="0.5">
      <c r="A36" s="35">
        <v>2001</v>
      </c>
      <c r="B36" t="s">
        <v>47</v>
      </c>
      <c r="C36" t="s">
        <v>149</v>
      </c>
      <c r="D36">
        <v>161</v>
      </c>
      <c r="E36">
        <v>772</v>
      </c>
      <c r="F36">
        <v>1493</v>
      </c>
      <c r="G36" s="60">
        <v>2001</v>
      </c>
      <c r="H36" s="60" t="s">
        <v>46</v>
      </c>
      <c r="I36" s="60" t="str">
        <f t="shared" si="2"/>
        <v>2001 Boston Red Sox</v>
      </c>
      <c r="J36" s="60">
        <v>5605</v>
      </c>
      <c r="K36" s="60">
        <f t="shared" si="0"/>
        <v>950</v>
      </c>
      <c r="L36" s="60">
        <v>316</v>
      </c>
      <c r="M36" s="60">
        <v>29</v>
      </c>
      <c r="N36" s="60">
        <v>198</v>
      </c>
      <c r="O36" s="60">
        <v>520</v>
      </c>
      <c r="P36" s="60">
        <v>70</v>
      </c>
      <c r="Q36" s="60">
        <f t="shared" si="1"/>
        <v>3522</v>
      </c>
      <c r="R36">
        <v>739</v>
      </c>
      <c r="S36">
        <v>50</v>
      </c>
      <c r="T36">
        <v>1131</v>
      </c>
      <c r="U36">
        <v>28</v>
      </c>
      <c r="V36">
        <v>41</v>
      </c>
      <c r="W36">
        <v>0</v>
      </c>
      <c r="X36">
        <v>72</v>
      </c>
      <c r="Y36">
        <v>132</v>
      </c>
      <c r="Z36">
        <v>46</v>
      </c>
      <c r="AA36">
        <v>35</v>
      </c>
      <c r="AB36">
        <v>0.26600000000000001</v>
      </c>
      <c r="AC36">
        <v>0.33400000000000002</v>
      </c>
      <c r="AD36">
        <v>0.439</v>
      </c>
    </row>
    <row r="37" spans="1:30" x14ac:dyDescent="0.5">
      <c r="A37" s="35">
        <v>2001</v>
      </c>
      <c r="B37" t="s">
        <v>143</v>
      </c>
      <c r="C37" t="s">
        <v>38</v>
      </c>
      <c r="D37">
        <v>162</v>
      </c>
      <c r="E37">
        <v>777</v>
      </c>
      <c r="F37">
        <v>1409</v>
      </c>
      <c r="G37" s="60">
        <v>2001</v>
      </c>
      <c r="H37" s="60" t="s">
        <v>50</v>
      </c>
      <c r="I37" s="60" t="str">
        <f t="shared" si="2"/>
        <v>2001 Chicago Cubs</v>
      </c>
      <c r="J37" s="60">
        <v>5406</v>
      </c>
      <c r="K37" s="60">
        <f t="shared" si="0"/>
        <v>915</v>
      </c>
      <c r="L37" s="60">
        <v>268</v>
      </c>
      <c r="M37" s="60">
        <v>32</v>
      </c>
      <c r="N37" s="60">
        <v>194</v>
      </c>
      <c r="O37" s="60">
        <v>577</v>
      </c>
      <c r="P37" s="60">
        <v>66</v>
      </c>
      <c r="Q37" s="60">
        <f t="shared" si="1"/>
        <v>3354</v>
      </c>
      <c r="R37">
        <v>748</v>
      </c>
      <c r="S37">
        <v>72</v>
      </c>
      <c r="T37">
        <v>1077</v>
      </c>
      <c r="U37">
        <v>117</v>
      </c>
      <c r="V37">
        <v>53</v>
      </c>
      <c r="W37">
        <v>0</v>
      </c>
      <c r="X37">
        <v>86</v>
      </c>
      <c r="Y37">
        <v>132</v>
      </c>
      <c r="Z37">
        <v>67</v>
      </c>
      <c r="AA37">
        <v>36</v>
      </c>
      <c r="AB37">
        <v>0.26100000000000001</v>
      </c>
      <c r="AC37">
        <v>0.33600000000000002</v>
      </c>
      <c r="AD37">
        <v>0.43</v>
      </c>
    </row>
    <row r="38" spans="1:30" x14ac:dyDescent="0.5">
      <c r="A38" s="35">
        <v>2001</v>
      </c>
      <c r="B38" t="s">
        <v>143</v>
      </c>
      <c r="C38" t="s">
        <v>149</v>
      </c>
      <c r="D38">
        <v>162</v>
      </c>
      <c r="E38">
        <v>798</v>
      </c>
      <c r="F38">
        <v>1463</v>
      </c>
      <c r="G38" s="60">
        <v>2001</v>
      </c>
      <c r="H38" s="60" t="s">
        <v>48</v>
      </c>
      <c r="I38" s="60" t="str">
        <f t="shared" si="2"/>
        <v>2001 Chicago White Sox</v>
      </c>
      <c r="J38" s="60">
        <v>5464</v>
      </c>
      <c r="K38" s="60">
        <f t="shared" si="0"/>
        <v>920</v>
      </c>
      <c r="L38" s="60">
        <v>300</v>
      </c>
      <c r="M38" s="60">
        <v>29</v>
      </c>
      <c r="N38" s="60">
        <v>214</v>
      </c>
      <c r="O38" s="60">
        <v>520</v>
      </c>
      <c r="P38" s="60">
        <v>52</v>
      </c>
      <c r="Q38" s="60">
        <f t="shared" si="1"/>
        <v>3429</v>
      </c>
      <c r="R38">
        <v>770</v>
      </c>
      <c r="S38">
        <v>31</v>
      </c>
      <c r="T38">
        <v>998</v>
      </c>
      <c r="U38">
        <v>63</v>
      </c>
      <c r="V38">
        <v>51</v>
      </c>
      <c r="W38">
        <v>1</v>
      </c>
      <c r="X38">
        <v>69</v>
      </c>
      <c r="Y38">
        <v>128</v>
      </c>
      <c r="Z38">
        <v>123</v>
      </c>
      <c r="AA38">
        <v>59</v>
      </c>
      <c r="AB38">
        <v>0.26800000000000002</v>
      </c>
      <c r="AC38">
        <v>0.33400000000000002</v>
      </c>
      <c r="AD38">
        <v>0.45100000000000001</v>
      </c>
    </row>
    <row r="39" spans="1:30" x14ac:dyDescent="0.5">
      <c r="A39" s="35">
        <v>2001</v>
      </c>
      <c r="B39" t="s">
        <v>53</v>
      </c>
      <c r="C39" t="s">
        <v>38</v>
      </c>
      <c r="D39">
        <v>162</v>
      </c>
      <c r="E39">
        <v>735</v>
      </c>
      <c r="F39">
        <v>1464</v>
      </c>
      <c r="G39" s="60">
        <v>2001</v>
      </c>
      <c r="H39" s="60" t="s">
        <v>52</v>
      </c>
      <c r="I39" s="60" t="str">
        <f t="shared" si="2"/>
        <v>2001 Cincinnati Reds</v>
      </c>
      <c r="J39" s="60">
        <v>5583</v>
      </c>
      <c r="K39" s="60">
        <f t="shared" si="0"/>
        <v>962</v>
      </c>
      <c r="L39" s="60">
        <v>304</v>
      </c>
      <c r="M39" s="60">
        <v>22</v>
      </c>
      <c r="N39" s="60">
        <v>176</v>
      </c>
      <c r="O39" s="60">
        <v>468</v>
      </c>
      <c r="P39" s="60">
        <v>65</v>
      </c>
      <c r="Q39" s="60">
        <f t="shared" si="1"/>
        <v>3586</v>
      </c>
      <c r="R39">
        <v>690</v>
      </c>
      <c r="S39">
        <v>47</v>
      </c>
      <c r="T39">
        <v>1172</v>
      </c>
      <c r="U39">
        <v>66</v>
      </c>
      <c r="V39">
        <v>40</v>
      </c>
      <c r="W39">
        <v>0</v>
      </c>
      <c r="X39">
        <v>95</v>
      </c>
      <c r="Y39">
        <v>130</v>
      </c>
      <c r="Z39">
        <v>103</v>
      </c>
      <c r="AA39">
        <v>54</v>
      </c>
      <c r="AB39">
        <v>0.26200000000000001</v>
      </c>
      <c r="AC39">
        <v>0.32400000000000001</v>
      </c>
      <c r="AD39">
        <v>0.41899999999999998</v>
      </c>
    </row>
    <row r="40" spans="1:30" x14ac:dyDescent="0.5">
      <c r="A40" s="35">
        <v>2001</v>
      </c>
      <c r="B40" t="s">
        <v>55</v>
      </c>
      <c r="C40" t="s">
        <v>149</v>
      </c>
      <c r="D40">
        <v>162</v>
      </c>
      <c r="E40">
        <v>897</v>
      </c>
      <c r="F40">
        <v>1559</v>
      </c>
      <c r="G40" s="60">
        <v>2001</v>
      </c>
      <c r="H40" s="60" t="s">
        <v>54</v>
      </c>
      <c r="I40" s="60" t="str">
        <f t="shared" si="2"/>
        <v>2001 Cleveland Indians</v>
      </c>
      <c r="J40" s="60">
        <v>5600</v>
      </c>
      <c r="K40" s="60">
        <f t="shared" si="0"/>
        <v>1016</v>
      </c>
      <c r="L40" s="60">
        <v>294</v>
      </c>
      <c r="M40" s="60">
        <v>37</v>
      </c>
      <c r="N40" s="60">
        <v>212</v>
      </c>
      <c r="O40" s="60">
        <v>577</v>
      </c>
      <c r="P40" s="60">
        <v>69</v>
      </c>
      <c r="Q40" s="60">
        <f t="shared" si="1"/>
        <v>3395</v>
      </c>
      <c r="R40">
        <v>868</v>
      </c>
      <c r="S40">
        <v>32</v>
      </c>
      <c r="T40">
        <v>1076</v>
      </c>
      <c r="U40">
        <v>49</v>
      </c>
      <c r="V40">
        <v>62</v>
      </c>
      <c r="W40">
        <v>0</v>
      </c>
      <c r="X40">
        <v>59</v>
      </c>
      <c r="Y40">
        <v>126</v>
      </c>
      <c r="Z40">
        <v>79</v>
      </c>
      <c r="AA40">
        <v>41</v>
      </c>
      <c r="AB40">
        <v>0.27800000000000002</v>
      </c>
      <c r="AC40">
        <v>0.35</v>
      </c>
      <c r="AD40">
        <v>0.45800000000000002</v>
      </c>
    </row>
    <row r="41" spans="1:30" x14ac:dyDescent="0.5">
      <c r="A41" s="35">
        <v>2001</v>
      </c>
      <c r="B41" t="s">
        <v>57</v>
      </c>
      <c r="C41" t="s">
        <v>38</v>
      </c>
      <c r="D41">
        <v>162</v>
      </c>
      <c r="E41">
        <v>923</v>
      </c>
      <c r="F41">
        <v>1663</v>
      </c>
      <c r="G41" s="60">
        <v>2001</v>
      </c>
      <c r="H41" s="60" t="s">
        <v>56</v>
      </c>
      <c r="I41" s="60" t="str">
        <f t="shared" si="2"/>
        <v>2001 Colorado Rockies</v>
      </c>
      <c r="J41" s="60">
        <v>5690</v>
      </c>
      <c r="K41" s="60">
        <f t="shared" si="0"/>
        <v>1065</v>
      </c>
      <c r="L41" s="60">
        <v>324</v>
      </c>
      <c r="M41" s="60">
        <v>61</v>
      </c>
      <c r="N41" s="60">
        <v>213</v>
      </c>
      <c r="O41" s="60">
        <v>511</v>
      </c>
      <c r="P41" s="60">
        <v>61</v>
      </c>
      <c r="Q41" s="60">
        <f t="shared" si="1"/>
        <v>3455</v>
      </c>
      <c r="R41">
        <v>874</v>
      </c>
      <c r="S41">
        <v>50</v>
      </c>
      <c r="T41">
        <v>1027</v>
      </c>
      <c r="U41">
        <v>81</v>
      </c>
      <c r="V41">
        <v>50</v>
      </c>
      <c r="W41">
        <v>1</v>
      </c>
      <c r="X41">
        <v>84</v>
      </c>
      <c r="Y41">
        <v>116</v>
      </c>
      <c r="Z41">
        <v>132</v>
      </c>
      <c r="AA41">
        <v>54</v>
      </c>
      <c r="AB41">
        <v>0.29199999999999998</v>
      </c>
      <c r="AC41">
        <v>0.35399999999999998</v>
      </c>
      <c r="AD41">
        <v>0.48299999999999998</v>
      </c>
    </row>
    <row r="42" spans="1:30" x14ac:dyDescent="0.5">
      <c r="A42" s="35">
        <v>2001</v>
      </c>
      <c r="B42" t="s">
        <v>59</v>
      </c>
      <c r="C42" t="s">
        <v>149</v>
      </c>
      <c r="D42">
        <v>162</v>
      </c>
      <c r="E42">
        <v>724</v>
      </c>
      <c r="F42">
        <v>1439</v>
      </c>
      <c r="G42" s="60">
        <v>2001</v>
      </c>
      <c r="H42" s="60" t="s">
        <v>58</v>
      </c>
      <c r="I42" s="60" t="str">
        <f t="shared" si="2"/>
        <v>2001 Detroit Tigers</v>
      </c>
      <c r="J42" s="60">
        <v>5537</v>
      </c>
      <c r="K42" s="60">
        <f t="shared" si="0"/>
        <v>949</v>
      </c>
      <c r="L42" s="60">
        <v>291</v>
      </c>
      <c r="M42" s="60">
        <v>60</v>
      </c>
      <c r="N42" s="60">
        <v>139</v>
      </c>
      <c r="O42" s="60">
        <v>466</v>
      </c>
      <c r="P42" s="60">
        <v>51</v>
      </c>
      <c r="Q42" s="60">
        <f t="shared" si="1"/>
        <v>3581</v>
      </c>
      <c r="R42">
        <v>691</v>
      </c>
      <c r="S42">
        <v>26</v>
      </c>
      <c r="T42">
        <v>972</v>
      </c>
      <c r="U42">
        <v>41</v>
      </c>
      <c r="V42">
        <v>49</v>
      </c>
      <c r="W42">
        <v>1</v>
      </c>
      <c r="X42">
        <v>89</v>
      </c>
      <c r="Y42">
        <v>120</v>
      </c>
      <c r="Z42">
        <v>133</v>
      </c>
      <c r="AA42">
        <v>61</v>
      </c>
      <c r="AB42">
        <v>0.26</v>
      </c>
      <c r="AC42">
        <v>0.32</v>
      </c>
      <c r="AD42">
        <v>0.40899999999999997</v>
      </c>
    </row>
    <row r="43" spans="1:30" x14ac:dyDescent="0.5">
      <c r="A43" s="35">
        <v>2001</v>
      </c>
      <c r="B43" t="s">
        <v>146</v>
      </c>
      <c r="C43" t="s">
        <v>38</v>
      </c>
      <c r="D43">
        <v>162</v>
      </c>
      <c r="E43">
        <v>742</v>
      </c>
      <c r="F43">
        <v>1461</v>
      </c>
      <c r="G43" s="60">
        <v>2001</v>
      </c>
      <c r="H43" s="60" t="s">
        <v>60</v>
      </c>
      <c r="I43" s="60" t="str">
        <f t="shared" si="2"/>
        <v>2001 Florida Marlins</v>
      </c>
      <c r="J43" s="60">
        <v>5542</v>
      </c>
      <c r="K43" s="60">
        <f t="shared" si="0"/>
        <v>940</v>
      </c>
      <c r="L43" s="60">
        <v>325</v>
      </c>
      <c r="M43" s="60">
        <v>30</v>
      </c>
      <c r="N43" s="60">
        <v>166</v>
      </c>
      <c r="O43" s="60">
        <v>470</v>
      </c>
      <c r="P43" s="60">
        <v>67</v>
      </c>
      <c r="Q43" s="60">
        <f t="shared" si="1"/>
        <v>3544</v>
      </c>
      <c r="R43">
        <v>713</v>
      </c>
      <c r="S43">
        <v>43</v>
      </c>
      <c r="T43">
        <v>1145</v>
      </c>
      <c r="U43">
        <v>60</v>
      </c>
      <c r="V43">
        <v>45</v>
      </c>
      <c r="W43">
        <v>0</v>
      </c>
      <c r="X43">
        <v>68</v>
      </c>
      <c r="Y43">
        <v>118</v>
      </c>
      <c r="Z43">
        <v>89</v>
      </c>
      <c r="AA43">
        <v>40</v>
      </c>
      <c r="AB43">
        <v>0.26400000000000001</v>
      </c>
      <c r="AC43">
        <v>0.32600000000000001</v>
      </c>
      <c r="AD43">
        <v>0.42299999999999999</v>
      </c>
    </row>
    <row r="44" spans="1:30" x14ac:dyDescent="0.5">
      <c r="A44" s="35">
        <v>2001</v>
      </c>
      <c r="B44" t="s">
        <v>63</v>
      </c>
      <c r="C44" t="s">
        <v>38</v>
      </c>
      <c r="D44">
        <v>162</v>
      </c>
      <c r="E44">
        <v>847</v>
      </c>
      <c r="F44">
        <v>1500</v>
      </c>
      <c r="G44" s="60">
        <v>2001</v>
      </c>
      <c r="H44" s="60" t="s">
        <v>62</v>
      </c>
      <c r="I44" s="60" t="str">
        <f t="shared" si="2"/>
        <v>2001 Houston Astros</v>
      </c>
      <c r="J44" s="60">
        <v>5528</v>
      </c>
      <c r="K44" s="60">
        <f t="shared" si="0"/>
        <v>950</v>
      </c>
      <c r="L44" s="60">
        <v>313</v>
      </c>
      <c r="M44" s="60">
        <v>29</v>
      </c>
      <c r="N44" s="60">
        <v>208</v>
      </c>
      <c r="O44" s="60">
        <v>581</v>
      </c>
      <c r="P44" s="60">
        <v>89</v>
      </c>
      <c r="Q44" s="60">
        <f t="shared" si="1"/>
        <v>3358</v>
      </c>
      <c r="R44">
        <v>805</v>
      </c>
      <c r="S44">
        <v>52</v>
      </c>
      <c r="T44">
        <v>1119</v>
      </c>
      <c r="U44">
        <v>71</v>
      </c>
      <c r="V44">
        <v>56</v>
      </c>
      <c r="W44">
        <v>0</v>
      </c>
      <c r="X44">
        <v>77</v>
      </c>
      <c r="Y44">
        <v>128</v>
      </c>
      <c r="Z44">
        <v>64</v>
      </c>
      <c r="AA44">
        <v>49</v>
      </c>
      <c r="AB44">
        <v>0.27100000000000002</v>
      </c>
      <c r="AC44">
        <v>0.34699999999999998</v>
      </c>
      <c r="AD44">
        <v>0.45100000000000001</v>
      </c>
    </row>
    <row r="45" spans="1:30" x14ac:dyDescent="0.5">
      <c r="A45" s="35">
        <v>2001</v>
      </c>
      <c r="B45" t="s">
        <v>150</v>
      </c>
      <c r="C45" t="s">
        <v>149</v>
      </c>
      <c r="D45">
        <v>162</v>
      </c>
      <c r="E45">
        <v>729</v>
      </c>
      <c r="F45">
        <v>1503</v>
      </c>
      <c r="G45" s="60">
        <v>2001</v>
      </c>
      <c r="H45" s="60" t="s">
        <v>64</v>
      </c>
      <c r="I45" s="60" t="str">
        <f t="shared" si="2"/>
        <v>2001 Kansas City Royals</v>
      </c>
      <c r="J45" s="60">
        <v>5643</v>
      </c>
      <c r="K45" s="60">
        <f t="shared" si="0"/>
        <v>1037</v>
      </c>
      <c r="L45" s="60">
        <v>277</v>
      </c>
      <c r="M45" s="60">
        <v>37</v>
      </c>
      <c r="N45" s="60">
        <v>152</v>
      </c>
      <c r="O45" s="60">
        <v>406</v>
      </c>
      <c r="P45" s="60">
        <v>44</v>
      </c>
      <c r="Q45" s="60">
        <f t="shared" si="1"/>
        <v>3690</v>
      </c>
      <c r="R45">
        <v>691</v>
      </c>
      <c r="S45">
        <v>31</v>
      </c>
      <c r="T45">
        <v>898</v>
      </c>
      <c r="U45">
        <v>36</v>
      </c>
      <c r="V45">
        <v>47</v>
      </c>
      <c r="W45">
        <v>0</v>
      </c>
      <c r="X45">
        <v>91</v>
      </c>
      <c r="Y45">
        <v>134</v>
      </c>
      <c r="Z45">
        <v>100</v>
      </c>
      <c r="AA45">
        <v>42</v>
      </c>
      <c r="AB45">
        <v>0.26600000000000001</v>
      </c>
      <c r="AC45">
        <v>0.318</v>
      </c>
      <c r="AD45">
        <v>0.40899999999999997</v>
      </c>
    </row>
    <row r="46" spans="1:30" x14ac:dyDescent="0.5">
      <c r="A46" s="35">
        <v>2001</v>
      </c>
      <c r="B46" t="s">
        <v>145</v>
      </c>
      <c r="C46" t="s">
        <v>38</v>
      </c>
      <c r="D46">
        <v>162</v>
      </c>
      <c r="E46">
        <v>758</v>
      </c>
      <c r="F46">
        <v>1399</v>
      </c>
      <c r="G46" s="60">
        <v>2001</v>
      </c>
      <c r="H46" s="60" t="s">
        <v>66</v>
      </c>
      <c r="I46" s="60" t="str">
        <f t="shared" si="2"/>
        <v>2001 Los Angeles Dodgers</v>
      </c>
      <c r="J46" s="60">
        <v>5493</v>
      </c>
      <c r="K46" s="60">
        <f t="shared" si="0"/>
        <v>902</v>
      </c>
      <c r="L46" s="60">
        <v>264</v>
      </c>
      <c r="M46" s="60">
        <v>27</v>
      </c>
      <c r="N46" s="60">
        <v>206</v>
      </c>
      <c r="O46" s="60">
        <v>519</v>
      </c>
      <c r="P46" s="60">
        <v>56</v>
      </c>
      <c r="Q46" s="60">
        <f t="shared" si="1"/>
        <v>3519</v>
      </c>
      <c r="R46">
        <v>714</v>
      </c>
      <c r="S46">
        <v>45</v>
      </c>
      <c r="T46">
        <v>1062</v>
      </c>
      <c r="U46">
        <v>57</v>
      </c>
      <c r="V46">
        <v>44</v>
      </c>
      <c r="W46">
        <v>0</v>
      </c>
      <c r="X46">
        <v>73</v>
      </c>
      <c r="Y46">
        <v>115</v>
      </c>
      <c r="Z46">
        <v>89</v>
      </c>
      <c r="AA46">
        <v>42</v>
      </c>
      <c r="AB46">
        <v>0.255</v>
      </c>
      <c r="AC46">
        <v>0.32300000000000001</v>
      </c>
      <c r="AD46">
        <v>0.42499999999999999</v>
      </c>
    </row>
    <row r="47" spans="1:30" x14ac:dyDescent="0.5">
      <c r="A47" s="35">
        <v>2001</v>
      </c>
      <c r="B47" t="s">
        <v>69</v>
      </c>
      <c r="C47" t="s">
        <v>38</v>
      </c>
      <c r="D47">
        <v>162</v>
      </c>
      <c r="E47">
        <v>740</v>
      </c>
      <c r="F47">
        <v>1378</v>
      </c>
      <c r="G47" s="60">
        <v>2001</v>
      </c>
      <c r="H47" s="60" t="s">
        <v>68</v>
      </c>
      <c r="I47" s="60" t="str">
        <f t="shared" si="2"/>
        <v>2001 Milwaukee Brewers</v>
      </c>
      <c r="J47" s="60">
        <v>5488</v>
      </c>
      <c r="K47" s="60">
        <f t="shared" si="0"/>
        <v>866</v>
      </c>
      <c r="L47" s="60">
        <v>273</v>
      </c>
      <c r="M47" s="60">
        <v>30</v>
      </c>
      <c r="N47" s="60">
        <v>209</v>
      </c>
      <c r="O47" s="60">
        <v>488</v>
      </c>
      <c r="P47" s="60">
        <v>72</v>
      </c>
      <c r="Q47" s="60">
        <f t="shared" si="1"/>
        <v>3550</v>
      </c>
      <c r="R47">
        <v>712</v>
      </c>
      <c r="S47">
        <v>44</v>
      </c>
      <c r="T47">
        <v>1399</v>
      </c>
      <c r="U47">
        <v>65</v>
      </c>
      <c r="V47">
        <v>35</v>
      </c>
      <c r="W47">
        <v>0</v>
      </c>
      <c r="X47">
        <v>62</v>
      </c>
      <c r="Y47">
        <v>102</v>
      </c>
      <c r="Z47">
        <v>66</v>
      </c>
      <c r="AA47">
        <v>36</v>
      </c>
      <c r="AB47">
        <v>0.251</v>
      </c>
      <c r="AC47">
        <v>0.31900000000000001</v>
      </c>
      <c r="AD47">
        <v>0.42599999999999999</v>
      </c>
    </row>
    <row r="48" spans="1:30" x14ac:dyDescent="0.5">
      <c r="A48" s="35">
        <v>2001</v>
      </c>
      <c r="B48" t="s">
        <v>71</v>
      </c>
      <c r="C48" t="s">
        <v>149</v>
      </c>
      <c r="D48">
        <v>162</v>
      </c>
      <c r="E48">
        <v>771</v>
      </c>
      <c r="F48">
        <v>1514</v>
      </c>
      <c r="G48" s="60">
        <v>2001</v>
      </c>
      <c r="H48" s="60" t="s">
        <v>70</v>
      </c>
      <c r="I48" s="60" t="str">
        <f t="shared" si="2"/>
        <v>2001 Minnesota Twins</v>
      </c>
      <c r="J48" s="60">
        <v>5560</v>
      </c>
      <c r="K48" s="60">
        <f t="shared" si="0"/>
        <v>984</v>
      </c>
      <c r="L48" s="60">
        <v>328</v>
      </c>
      <c r="M48" s="60">
        <v>38</v>
      </c>
      <c r="N48" s="60">
        <v>164</v>
      </c>
      <c r="O48" s="60">
        <v>495</v>
      </c>
      <c r="P48" s="60">
        <v>64</v>
      </c>
      <c r="Q48" s="60">
        <f t="shared" si="1"/>
        <v>3487</v>
      </c>
      <c r="R48">
        <v>717</v>
      </c>
      <c r="S48">
        <v>42</v>
      </c>
      <c r="T48">
        <v>1083</v>
      </c>
      <c r="U48">
        <v>25</v>
      </c>
      <c r="V48">
        <v>38</v>
      </c>
      <c r="W48">
        <v>3</v>
      </c>
      <c r="X48">
        <v>67</v>
      </c>
      <c r="Y48">
        <v>124</v>
      </c>
      <c r="Z48">
        <v>146</v>
      </c>
      <c r="AA48">
        <v>67</v>
      </c>
      <c r="AB48">
        <v>0.27200000000000002</v>
      </c>
      <c r="AC48">
        <v>0.33700000000000002</v>
      </c>
      <c r="AD48">
        <v>0.433</v>
      </c>
    </row>
    <row r="49" spans="1:30" x14ac:dyDescent="0.5">
      <c r="A49" s="35">
        <v>2001</v>
      </c>
      <c r="B49" t="s">
        <v>73</v>
      </c>
      <c r="C49" t="s">
        <v>38</v>
      </c>
      <c r="D49">
        <v>162</v>
      </c>
      <c r="E49">
        <v>670</v>
      </c>
      <c r="F49">
        <v>1361</v>
      </c>
      <c r="G49" s="60">
        <v>2001</v>
      </c>
      <c r="H49" s="60" t="s">
        <v>72</v>
      </c>
      <c r="I49" s="60" t="str">
        <f t="shared" si="2"/>
        <v>2001 Montreal Expos</v>
      </c>
      <c r="J49" s="60">
        <v>5379</v>
      </c>
      <c r="K49" s="60">
        <f t="shared" si="0"/>
        <v>882</v>
      </c>
      <c r="L49" s="60">
        <v>320</v>
      </c>
      <c r="M49" s="60">
        <v>28</v>
      </c>
      <c r="N49" s="60">
        <v>131</v>
      </c>
      <c r="O49" s="60">
        <v>478</v>
      </c>
      <c r="P49" s="60">
        <v>60</v>
      </c>
      <c r="Q49" s="60">
        <f t="shared" si="1"/>
        <v>3480</v>
      </c>
      <c r="R49">
        <v>622</v>
      </c>
      <c r="S49">
        <v>59</v>
      </c>
      <c r="T49">
        <v>1071</v>
      </c>
      <c r="U49">
        <v>64</v>
      </c>
      <c r="V49">
        <v>45</v>
      </c>
      <c r="W49">
        <v>0</v>
      </c>
      <c r="X49">
        <v>66</v>
      </c>
      <c r="Y49">
        <v>151</v>
      </c>
      <c r="Z49">
        <v>101</v>
      </c>
      <c r="AA49">
        <v>51</v>
      </c>
      <c r="AB49">
        <v>0.253</v>
      </c>
      <c r="AC49">
        <v>0.31900000000000001</v>
      </c>
      <c r="AD49">
        <v>0.39600000000000002</v>
      </c>
    </row>
    <row r="50" spans="1:30" x14ac:dyDescent="0.5">
      <c r="A50" s="35">
        <v>2001</v>
      </c>
      <c r="B50" t="s">
        <v>144</v>
      </c>
      <c r="C50" t="s">
        <v>38</v>
      </c>
      <c r="D50">
        <v>162</v>
      </c>
      <c r="E50">
        <v>642</v>
      </c>
      <c r="F50">
        <v>1361</v>
      </c>
      <c r="G50" s="60">
        <v>2001</v>
      </c>
      <c r="H50" s="60" t="s">
        <v>76</v>
      </c>
      <c r="I50" s="60" t="str">
        <f t="shared" si="2"/>
        <v>2001 New York Mets</v>
      </c>
      <c r="J50" s="60">
        <v>5459</v>
      </c>
      <c r="K50" s="60">
        <f t="shared" si="0"/>
        <v>923</v>
      </c>
      <c r="L50" s="60">
        <v>273</v>
      </c>
      <c r="M50" s="60">
        <v>18</v>
      </c>
      <c r="N50" s="60">
        <v>147</v>
      </c>
      <c r="O50" s="60">
        <v>545</v>
      </c>
      <c r="P50" s="60">
        <v>65</v>
      </c>
      <c r="Q50" s="60">
        <f t="shared" si="1"/>
        <v>3488</v>
      </c>
      <c r="R50">
        <v>608</v>
      </c>
      <c r="S50">
        <v>59</v>
      </c>
      <c r="T50">
        <v>1062</v>
      </c>
      <c r="U50">
        <v>52</v>
      </c>
      <c r="V50">
        <v>35</v>
      </c>
      <c r="W50">
        <v>0</v>
      </c>
      <c r="X50">
        <v>78</v>
      </c>
      <c r="Y50">
        <v>124</v>
      </c>
      <c r="Z50">
        <v>66</v>
      </c>
      <c r="AA50">
        <v>48</v>
      </c>
      <c r="AB50">
        <v>0.249</v>
      </c>
      <c r="AC50">
        <v>0.32300000000000001</v>
      </c>
      <c r="AD50">
        <v>0.38700000000000001</v>
      </c>
    </row>
    <row r="51" spans="1:30" x14ac:dyDescent="0.5">
      <c r="A51" s="35">
        <v>2001</v>
      </c>
      <c r="B51" t="s">
        <v>144</v>
      </c>
      <c r="C51" t="s">
        <v>149</v>
      </c>
      <c r="D51">
        <v>161</v>
      </c>
      <c r="E51">
        <v>804</v>
      </c>
      <c r="F51">
        <v>1488</v>
      </c>
      <c r="G51" s="60">
        <v>2001</v>
      </c>
      <c r="H51" s="60" t="s">
        <v>74</v>
      </c>
      <c r="I51" s="60" t="str">
        <f t="shared" si="2"/>
        <v>2001 New York Yankees</v>
      </c>
      <c r="J51" s="60">
        <v>5577</v>
      </c>
      <c r="K51" s="60">
        <f t="shared" si="0"/>
        <v>976</v>
      </c>
      <c r="L51" s="60">
        <v>289</v>
      </c>
      <c r="M51" s="60">
        <v>20</v>
      </c>
      <c r="N51" s="60">
        <v>203</v>
      </c>
      <c r="O51" s="60">
        <v>519</v>
      </c>
      <c r="P51" s="60">
        <v>64</v>
      </c>
      <c r="Q51" s="60">
        <f t="shared" si="1"/>
        <v>3506</v>
      </c>
      <c r="R51">
        <v>774</v>
      </c>
      <c r="S51">
        <v>38</v>
      </c>
      <c r="T51">
        <v>1035</v>
      </c>
      <c r="U51">
        <v>30</v>
      </c>
      <c r="V51">
        <v>43</v>
      </c>
      <c r="W51">
        <v>0</v>
      </c>
      <c r="X51">
        <v>78</v>
      </c>
      <c r="Y51">
        <v>119</v>
      </c>
      <c r="Z51">
        <v>161</v>
      </c>
      <c r="AA51">
        <v>53</v>
      </c>
      <c r="AB51">
        <v>0.26700000000000002</v>
      </c>
      <c r="AC51">
        <v>0.33400000000000002</v>
      </c>
      <c r="AD51">
        <v>0.435</v>
      </c>
    </row>
    <row r="52" spans="1:30" x14ac:dyDescent="0.5">
      <c r="A52" s="35">
        <v>2001</v>
      </c>
      <c r="B52" t="s">
        <v>79</v>
      </c>
      <c r="C52" t="s">
        <v>149</v>
      </c>
      <c r="D52">
        <v>162</v>
      </c>
      <c r="E52">
        <v>884</v>
      </c>
      <c r="F52">
        <v>1469</v>
      </c>
      <c r="G52" s="60">
        <v>2001</v>
      </c>
      <c r="H52" s="60" t="s">
        <v>78</v>
      </c>
      <c r="I52" s="60" t="str">
        <f t="shared" si="2"/>
        <v>2001 Oakland Athletics</v>
      </c>
      <c r="J52" s="60">
        <v>5573</v>
      </c>
      <c r="K52" s="60">
        <f t="shared" si="0"/>
        <v>914</v>
      </c>
      <c r="L52" s="60">
        <v>334</v>
      </c>
      <c r="M52" s="60">
        <v>22</v>
      </c>
      <c r="N52" s="60">
        <v>199</v>
      </c>
      <c r="O52" s="60">
        <v>640</v>
      </c>
      <c r="P52" s="60">
        <v>88</v>
      </c>
      <c r="Q52" s="60">
        <f t="shared" si="1"/>
        <v>3376</v>
      </c>
      <c r="R52">
        <v>835</v>
      </c>
      <c r="S52">
        <v>57</v>
      </c>
      <c r="T52">
        <v>1021</v>
      </c>
      <c r="U52">
        <v>25</v>
      </c>
      <c r="V52">
        <v>59</v>
      </c>
      <c r="W52">
        <v>0</v>
      </c>
      <c r="X52">
        <v>64</v>
      </c>
      <c r="Y52">
        <v>131</v>
      </c>
      <c r="Z52">
        <v>68</v>
      </c>
      <c r="AA52">
        <v>29</v>
      </c>
      <c r="AB52">
        <v>0.26400000000000001</v>
      </c>
      <c r="AC52">
        <v>0.34499999999999997</v>
      </c>
      <c r="AD52">
        <v>0.439</v>
      </c>
    </row>
    <row r="53" spans="1:30" x14ac:dyDescent="0.5">
      <c r="A53" s="35">
        <v>2001</v>
      </c>
      <c r="B53" t="s">
        <v>81</v>
      </c>
      <c r="C53" t="s">
        <v>38</v>
      </c>
      <c r="D53">
        <v>162</v>
      </c>
      <c r="E53">
        <v>746</v>
      </c>
      <c r="F53">
        <v>1431</v>
      </c>
      <c r="G53" s="60">
        <v>2001</v>
      </c>
      <c r="H53" s="60" t="s">
        <v>80</v>
      </c>
      <c r="I53" s="60" t="str">
        <f t="shared" si="2"/>
        <v>2001 Philadelphia Phillies</v>
      </c>
      <c r="J53" s="60">
        <v>5497</v>
      </c>
      <c r="K53" s="60">
        <f t="shared" si="0"/>
        <v>943</v>
      </c>
      <c r="L53" s="60">
        <v>295</v>
      </c>
      <c r="M53" s="60">
        <v>29</v>
      </c>
      <c r="N53" s="60">
        <v>164</v>
      </c>
      <c r="O53" s="60">
        <v>551</v>
      </c>
      <c r="P53" s="60">
        <v>43</v>
      </c>
      <c r="Q53" s="60">
        <f t="shared" si="1"/>
        <v>3472</v>
      </c>
      <c r="R53">
        <v>708</v>
      </c>
      <c r="S53">
        <v>52</v>
      </c>
      <c r="T53">
        <v>1125</v>
      </c>
      <c r="U53">
        <v>67</v>
      </c>
      <c r="V53">
        <v>61</v>
      </c>
      <c r="W53">
        <v>0</v>
      </c>
      <c r="X53">
        <v>71</v>
      </c>
      <c r="Y53">
        <v>104</v>
      </c>
      <c r="Z53">
        <v>153</v>
      </c>
      <c r="AA53">
        <v>47</v>
      </c>
      <c r="AB53">
        <v>0.26</v>
      </c>
      <c r="AC53">
        <v>0.32900000000000001</v>
      </c>
      <c r="AD53">
        <v>0.41399999999999998</v>
      </c>
    </row>
    <row r="54" spans="1:30" x14ac:dyDescent="0.5">
      <c r="A54" s="35">
        <v>2001</v>
      </c>
      <c r="B54" t="s">
        <v>83</v>
      </c>
      <c r="C54" t="s">
        <v>38</v>
      </c>
      <c r="D54">
        <v>162</v>
      </c>
      <c r="E54">
        <v>657</v>
      </c>
      <c r="F54">
        <v>1333</v>
      </c>
      <c r="G54" s="60">
        <v>2001</v>
      </c>
      <c r="H54" s="60" t="s">
        <v>82</v>
      </c>
      <c r="I54" s="60" t="str">
        <f t="shared" si="2"/>
        <v>2001 Pittsburgh Pirates</v>
      </c>
      <c r="J54" s="60">
        <v>5398</v>
      </c>
      <c r="K54" s="60">
        <f t="shared" si="0"/>
        <v>891</v>
      </c>
      <c r="L54" s="60">
        <v>256</v>
      </c>
      <c r="M54" s="60">
        <v>25</v>
      </c>
      <c r="N54" s="60">
        <v>161</v>
      </c>
      <c r="O54" s="60">
        <v>467</v>
      </c>
      <c r="P54" s="60">
        <v>67</v>
      </c>
      <c r="Q54" s="60">
        <f t="shared" si="1"/>
        <v>3531</v>
      </c>
      <c r="R54">
        <v>618</v>
      </c>
      <c r="S54">
        <v>51</v>
      </c>
      <c r="T54">
        <v>1106</v>
      </c>
      <c r="U54">
        <v>60</v>
      </c>
      <c r="V54">
        <v>35</v>
      </c>
      <c r="W54">
        <v>0</v>
      </c>
      <c r="X54">
        <v>91</v>
      </c>
      <c r="Y54">
        <v>114</v>
      </c>
      <c r="Z54">
        <v>93</v>
      </c>
      <c r="AA54">
        <v>73</v>
      </c>
      <c r="AB54">
        <v>0.247</v>
      </c>
      <c r="AC54">
        <v>0.313</v>
      </c>
      <c r="AD54">
        <v>0.39300000000000002</v>
      </c>
    </row>
    <row r="55" spans="1:30" x14ac:dyDescent="0.5">
      <c r="A55" s="35">
        <v>2001</v>
      </c>
      <c r="B55" t="s">
        <v>147</v>
      </c>
      <c r="C55" t="s">
        <v>38</v>
      </c>
      <c r="D55">
        <v>162</v>
      </c>
      <c r="E55">
        <v>789</v>
      </c>
      <c r="F55">
        <v>1379</v>
      </c>
      <c r="G55" s="60">
        <v>2001</v>
      </c>
      <c r="H55" s="60" t="s">
        <v>84</v>
      </c>
      <c r="I55" s="60" t="str">
        <f t="shared" si="2"/>
        <v>2001 San Diego Padres</v>
      </c>
      <c r="J55" s="60">
        <v>5482</v>
      </c>
      <c r="K55" s="60">
        <f t="shared" si="0"/>
        <v>919</v>
      </c>
      <c r="L55" s="60">
        <v>273</v>
      </c>
      <c r="M55" s="60">
        <v>26</v>
      </c>
      <c r="N55" s="60">
        <v>161</v>
      </c>
      <c r="O55" s="60">
        <v>678</v>
      </c>
      <c r="P55" s="60">
        <v>41</v>
      </c>
      <c r="Q55" s="60">
        <f t="shared" si="1"/>
        <v>3384</v>
      </c>
      <c r="R55">
        <v>753</v>
      </c>
      <c r="S55">
        <v>37</v>
      </c>
      <c r="T55">
        <v>1273</v>
      </c>
      <c r="U55">
        <v>29</v>
      </c>
      <c r="V55">
        <v>48</v>
      </c>
      <c r="W55">
        <v>0</v>
      </c>
      <c r="X55">
        <v>76</v>
      </c>
      <c r="Y55">
        <v>121</v>
      </c>
      <c r="Z55">
        <v>129</v>
      </c>
      <c r="AA55">
        <v>44</v>
      </c>
      <c r="AB55">
        <v>0.252</v>
      </c>
      <c r="AC55">
        <v>0.33600000000000002</v>
      </c>
      <c r="AD55">
        <v>0.39900000000000002</v>
      </c>
    </row>
    <row r="56" spans="1:30" x14ac:dyDescent="0.5">
      <c r="A56" s="35">
        <v>2001</v>
      </c>
      <c r="B56" t="s">
        <v>87</v>
      </c>
      <c r="C56" t="s">
        <v>149</v>
      </c>
      <c r="D56">
        <v>162</v>
      </c>
      <c r="E56">
        <v>927</v>
      </c>
      <c r="F56">
        <v>1637</v>
      </c>
      <c r="G56" s="60">
        <v>2001</v>
      </c>
      <c r="H56" s="60" t="s">
        <v>86</v>
      </c>
      <c r="I56" s="60" t="str">
        <f t="shared" si="2"/>
        <v>2001 Seattle Mariners</v>
      </c>
      <c r="J56" s="60">
        <v>5680</v>
      </c>
      <c r="K56" s="60">
        <f t="shared" si="0"/>
        <v>1120</v>
      </c>
      <c r="L56" s="60">
        <v>310</v>
      </c>
      <c r="M56" s="60">
        <v>38</v>
      </c>
      <c r="N56" s="60">
        <v>169</v>
      </c>
      <c r="O56" s="60">
        <v>614</v>
      </c>
      <c r="P56" s="60">
        <v>62</v>
      </c>
      <c r="Q56" s="60">
        <f t="shared" si="1"/>
        <v>3367</v>
      </c>
      <c r="R56">
        <v>881</v>
      </c>
      <c r="S56">
        <v>54</v>
      </c>
      <c r="T56">
        <v>989</v>
      </c>
      <c r="U56">
        <v>48</v>
      </c>
      <c r="V56">
        <v>70</v>
      </c>
      <c r="W56">
        <v>0</v>
      </c>
      <c r="X56">
        <v>80</v>
      </c>
      <c r="Y56">
        <v>112</v>
      </c>
      <c r="Z56">
        <v>174</v>
      </c>
      <c r="AA56">
        <v>42</v>
      </c>
      <c r="AB56">
        <v>0.28799999999999998</v>
      </c>
      <c r="AC56">
        <v>0.36</v>
      </c>
      <c r="AD56">
        <v>0.44500000000000001</v>
      </c>
    </row>
    <row r="57" spans="1:30" x14ac:dyDescent="0.5">
      <c r="A57" s="35">
        <v>2001</v>
      </c>
      <c r="B57" t="s">
        <v>21</v>
      </c>
      <c r="C57" t="s">
        <v>38</v>
      </c>
      <c r="D57">
        <v>162</v>
      </c>
      <c r="E57">
        <v>799</v>
      </c>
      <c r="F57">
        <v>1493</v>
      </c>
      <c r="G57" s="60">
        <v>2001</v>
      </c>
      <c r="H57" s="60" t="s">
        <v>88</v>
      </c>
      <c r="I57" s="60" t="str">
        <f t="shared" si="2"/>
        <v>2001 San Francisco Giants</v>
      </c>
      <c r="J57" s="60">
        <v>5612</v>
      </c>
      <c r="K57" s="60">
        <f t="shared" si="0"/>
        <v>914</v>
      </c>
      <c r="L57" s="60">
        <v>304</v>
      </c>
      <c r="M57" s="60">
        <v>40</v>
      </c>
      <c r="N57" s="60">
        <v>235</v>
      </c>
      <c r="O57" s="60">
        <v>625</v>
      </c>
      <c r="P57" s="60">
        <v>50</v>
      </c>
      <c r="Q57" s="60">
        <f t="shared" si="1"/>
        <v>3444</v>
      </c>
      <c r="R57">
        <v>775</v>
      </c>
      <c r="S57">
        <v>79</v>
      </c>
      <c r="T57">
        <v>1090</v>
      </c>
      <c r="U57">
        <v>67</v>
      </c>
      <c r="V57">
        <v>54</v>
      </c>
      <c r="W57">
        <v>0</v>
      </c>
      <c r="X57">
        <v>67</v>
      </c>
      <c r="Y57">
        <v>108</v>
      </c>
      <c r="Z57">
        <v>57</v>
      </c>
      <c r="AA57">
        <v>42</v>
      </c>
      <c r="AB57">
        <v>0.26600000000000001</v>
      </c>
      <c r="AC57">
        <v>0.34200000000000003</v>
      </c>
      <c r="AD57">
        <v>0.46</v>
      </c>
    </row>
    <row r="58" spans="1:30" x14ac:dyDescent="0.5">
      <c r="A58" s="35">
        <v>2001</v>
      </c>
      <c r="B58" t="s">
        <v>142</v>
      </c>
      <c r="C58" t="s">
        <v>38</v>
      </c>
      <c r="D58">
        <v>162</v>
      </c>
      <c r="E58">
        <v>814</v>
      </c>
      <c r="F58">
        <v>1469</v>
      </c>
      <c r="G58" s="60">
        <v>2001</v>
      </c>
      <c r="H58" s="60" t="s">
        <v>90</v>
      </c>
      <c r="I58" s="60" t="str">
        <f t="shared" si="2"/>
        <v>2001 St. Louis Cardinals</v>
      </c>
      <c r="J58" s="60">
        <v>5450</v>
      </c>
      <c r="K58" s="60">
        <f t="shared" si="0"/>
        <v>964</v>
      </c>
      <c r="L58" s="60">
        <v>274</v>
      </c>
      <c r="M58" s="60">
        <v>32</v>
      </c>
      <c r="N58" s="60">
        <v>199</v>
      </c>
      <c r="O58" s="60">
        <v>529</v>
      </c>
      <c r="P58" s="60">
        <v>65</v>
      </c>
      <c r="Q58" s="60">
        <f t="shared" si="1"/>
        <v>3387</v>
      </c>
      <c r="R58">
        <v>768</v>
      </c>
      <c r="S58">
        <v>51</v>
      </c>
      <c r="T58">
        <v>1089</v>
      </c>
      <c r="U58">
        <v>83</v>
      </c>
      <c r="V58">
        <v>50</v>
      </c>
      <c r="W58">
        <v>0</v>
      </c>
      <c r="X58">
        <v>69</v>
      </c>
      <c r="Y58">
        <v>125</v>
      </c>
      <c r="Z58">
        <v>91</v>
      </c>
      <c r="AA58">
        <v>35</v>
      </c>
      <c r="AB58">
        <v>0.27</v>
      </c>
      <c r="AC58">
        <v>0.33900000000000002</v>
      </c>
      <c r="AD58">
        <v>0.441</v>
      </c>
    </row>
    <row r="59" spans="1:30" x14ac:dyDescent="0.5">
      <c r="A59" s="35">
        <v>2001</v>
      </c>
      <c r="B59" t="s">
        <v>151</v>
      </c>
      <c r="C59" t="s">
        <v>149</v>
      </c>
      <c r="D59">
        <v>162</v>
      </c>
      <c r="E59">
        <v>672</v>
      </c>
      <c r="F59">
        <v>1426</v>
      </c>
      <c r="G59" s="60">
        <v>2001</v>
      </c>
      <c r="H59" s="60" t="s">
        <v>92</v>
      </c>
      <c r="I59" s="60" t="str">
        <f t="shared" si="2"/>
        <v>2001 Tampa Bay Devil Rays</v>
      </c>
      <c r="J59" s="60">
        <v>5524</v>
      </c>
      <c r="K59" s="60">
        <f t="shared" si="0"/>
        <v>973</v>
      </c>
      <c r="L59" s="60">
        <v>311</v>
      </c>
      <c r="M59" s="60">
        <v>21</v>
      </c>
      <c r="N59" s="60">
        <v>121</v>
      </c>
      <c r="O59" s="60">
        <v>456</v>
      </c>
      <c r="P59" s="60">
        <v>54</v>
      </c>
      <c r="Q59" s="60">
        <f t="shared" si="1"/>
        <v>3588</v>
      </c>
      <c r="R59">
        <v>645</v>
      </c>
      <c r="S59">
        <v>24</v>
      </c>
      <c r="T59">
        <v>1116</v>
      </c>
      <c r="U59">
        <v>45</v>
      </c>
      <c r="V59">
        <v>25</v>
      </c>
      <c r="W59">
        <v>0</v>
      </c>
      <c r="X59">
        <v>74</v>
      </c>
      <c r="Y59">
        <v>130</v>
      </c>
      <c r="Z59">
        <v>115</v>
      </c>
      <c r="AA59">
        <v>52</v>
      </c>
      <c r="AB59">
        <v>0.25800000000000001</v>
      </c>
      <c r="AC59">
        <v>0.32</v>
      </c>
      <c r="AD59">
        <v>0.38800000000000001</v>
      </c>
    </row>
    <row r="60" spans="1:30" x14ac:dyDescent="0.5">
      <c r="A60" s="35">
        <v>2001</v>
      </c>
      <c r="B60" t="s">
        <v>95</v>
      </c>
      <c r="C60" t="s">
        <v>149</v>
      </c>
      <c r="D60">
        <v>162</v>
      </c>
      <c r="E60">
        <v>890</v>
      </c>
      <c r="F60">
        <v>1566</v>
      </c>
      <c r="G60" s="60">
        <v>2001</v>
      </c>
      <c r="H60" s="60" t="s">
        <v>94</v>
      </c>
      <c r="I60" s="60" t="str">
        <f t="shared" si="2"/>
        <v>2001 Texas Rangers</v>
      </c>
      <c r="J60" s="60">
        <v>5685</v>
      </c>
      <c r="K60" s="60">
        <f t="shared" si="0"/>
        <v>971</v>
      </c>
      <c r="L60" s="60">
        <v>326</v>
      </c>
      <c r="M60" s="60">
        <v>23</v>
      </c>
      <c r="N60" s="60">
        <v>246</v>
      </c>
      <c r="O60" s="60">
        <v>548</v>
      </c>
      <c r="P60" s="60">
        <v>75</v>
      </c>
      <c r="Q60" s="60">
        <f t="shared" si="1"/>
        <v>3496</v>
      </c>
      <c r="R60">
        <v>844</v>
      </c>
      <c r="S60">
        <v>27</v>
      </c>
      <c r="T60">
        <v>1093</v>
      </c>
      <c r="U60">
        <v>25</v>
      </c>
      <c r="V60">
        <v>55</v>
      </c>
      <c r="W60">
        <v>0</v>
      </c>
      <c r="X60">
        <v>80</v>
      </c>
      <c r="Y60">
        <v>131</v>
      </c>
      <c r="Z60">
        <v>97</v>
      </c>
      <c r="AA60">
        <v>32</v>
      </c>
      <c r="AB60">
        <v>0.27500000000000002</v>
      </c>
      <c r="AC60">
        <v>0.34399999999999997</v>
      </c>
      <c r="AD60">
        <v>0.47099999999999997</v>
      </c>
    </row>
    <row r="61" spans="1:30" x14ac:dyDescent="0.5">
      <c r="A61" s="35">
        <v>2001</v>
      </c>
      <c r="B61" t="s">
        <v>97</v>
      </c>
      <c r="C61" t="s">
        <v>149</v>
      </c>
      <c r="D61">
        <v>162</v>
      </c>
      <c r="E61">
        <v>767</v>
      </c>
      <c r="F61">
        <v>1489</v>
      </c>
      <c r="G61" s="60">
        <v>2001</v>
      </c>
      <c r="H61" s="60" t="s">
        <v>96</v>
      </c>
      <c r="I61" s="60" t="str">
        <f t="shared" si="2"/>
        <v>2001 Toronto Blue Jays</v>
      </c>
      <c r="J61" s="60">
        <v>5663</v>
      </c>
      <c r="K61" s="60">
        <f t="shared" si="0"/>
        <v>971</v>
      </c>
      <c r="L61" s="60">
        <v>287</v>
      </c>
      <c r="M61" s="60">
        <v>36</v>
      </c>
      <c r="N61" s="60">
        <v>195</v>
      </c>
      <c r="O61" s="60">
        <v>470</v>
      </c>
      <c r="P61" s="60">
        <v>74</v>
      </c>
      <c r="Q61" s="60">
        <f t="shared" si="1"/>
        <v>3630</v>
      </c>
      <c r="R61">
        <v>728</v>
      </c>
      <c r="S61">
        <v>47</v>
      </c>
      <c r="T61">
        <v>1094</v>
      </c>
      <c r="U61">
        <v>34</v>
      </c>
      <c r="V61">
        <v>43</v>
      </c>
      <c r="W61">
        <v>0</v>
      </c>
      <c r="X61">
        <v>71</v>
      </c>
      <c r="Y61">
        <v>111</v>
      </c>
      <c r="Z61">
        <v>156</v>
      </c>
      <c r="AA61">
        <v>55</v>
      </c>
      <c r="AB61">
        <v>0.26300000000000001</v>
      </c>
      <c r="AC61">
        <v>0.32500000000000001</v>
      </c>
      <c r="AD61">
        <v>0.43</v>
      </c>
    </row>
    <row r="62" spans="1:30" x14ac:dyDescent="0.5">
      <c r="A62" s="35">
        <v>2002</v>
      </c>
      <c r="B62" t="s">
        <v>37</v>
      </c>
      <c r="C62" t="s">
        <v>149</v>
      </c>
      <c r="D62">
        <v>162</v>
      </c>
      <c r="E62">
        <v>851</v>
      </c>
      <c r="F62">
        <v>1603</v>
      </c>
      <c r="G62" s="60">
        <v>2002</v>
      </c>
      <c r="H62" s="60" t="s">
        <v>36</v>
      </c>
      <c r="I62" s="60" t="str">
        <f t="shared" si="2"/>
        <v>2002 Anaheim Angels</v>
      </c>
      <c r="J62" s="60">
        <v>5678</v>
      </c>
      <c r="K62" s="60">
        <f t="shared" si="0"/>
        <v>1086</v>
      </c>
      <c r="L62" s="60">
        <v>333</v>
      </c>
      <c r="M62" s="60">
        <v>32</v>
      </c>
      <c r="N62" s="60">
        <v>152</v>
      </c>
      <c r="O62" s="60">
        <v>462</v>
      </c>
      <c r="P62" s="60">
        <v>74</v>
      </c>
      <c r="Q62" s="60">
        <f t="shared" si="1"/>
        <v>3539</v>
      </c>
      <c r="R62">
        <v>811</v>
      </c>
      <c r="S62">
        <v>42</v>
      </c>
      <c r="T62">
        <v>805</v>
      </c>
      <c r="U62">
        <v>49</v>
      </c>
      <c r="V62">
        <v>64</v>
      </c>
      <c r="W62">
        <v>0</v>
      </c>
      <c r="X62">
        <v>84</v>
      </c>
      <c r="Y62">
        <v>105</v>
      </c>
      <c r="Z62">
        <v>117</v>
      </c>
      <c r="AA62">
        <v>51</v>
      </c>
      <c r="AB62">
        <v>0.28199999999999997</v>
      </c>
      <c r="AC62">
        <v>0.34100000000000003</v>
      </c>
      <c r="AD62">
        <v>0.433</v>
      </c>
    </row>
    <row r="63" spans="1:30" x14ac:dyDescent="0.5">
      <c r="A63" s="35">
        <v>2002</v>
      </c>
      <c r="B63" t="s">
        <v>40</v>
      </c>
      <c r="C63" t="s">
        <v>38</v>
      </c>
      <c r="D63">
        <v>162</v>
      </c>
      <c r="E63">
        <v>819</v>
      </c>
      <c r="F63">
        <v>1471</v>
      </c>
      <c r="G63" s="60">
        <v>2002</v>
      </c>
      <c r="H63" s="60" t="s">
        <v>39</v>
      </c>
      <c r="I63" s="60" t="str">
        <f t="shared" si="2"/>
        <v>2002 Arizona Diamondbacks</v>
      </c>
      <c r="J63" s="60">
        <v>5508</v>
      </c>
      <c r="K63" s="60">
        <f t="shared" si="0"/>
        <v>982</v>
      </c>
      <c r="L63" s="60">
        <v>283</v>
      </c>
      <c r="M63" s="60">
        <v>41</v>
      </c>
      <c r="N63" s="60">
        <v>165</v>
      </c>
      <c r="O63" s="60">
        <v>643</v>
      </c>
      <c r="P63" s="60">
        <v>50</v>
      </c>
      <c r="Q63" s="60">
        <f t="shared" si="1"/>
        <v>3344</v>
      </c>
      <c r="R63">
        <v>783</v>
      </c>
      <c r="S63">
        <v>58</v>
      </c>
      <c r="T63">
        <v>1016</v>
      </c>
      <c r="U63">
        <v>62</v>
      </c>
      <c r="V63">
        <v>53</v>
      </c>
      <c r="W63">
        <v>2</v>
      </c>
      <c r="X63">
        <v>92</v>
      </c>
      <c r="Y63">
        <v>130</v>
      </c>
      <c r="Z63">
        <v>92</v>
      </c>
      <c r="AA63">
        <v>46</v>
      </c>
      <c r="AB63">
        <v>0.26700000000000002</v>
      </c>
      <c r="AC63">
        <v>0.34599999999999997</v>
      </c>
      <c r="AD63">
        <v>0.42299999999999999</v>
      </c>
    </row>
    <row r="64" spans="1:30" x14ac:dyDescent="0.5">
      <c r="A64" s="35">
        <v>2002</v>
      </c>
      <c r="B64" t="s">
        <v>42</v>
      </c>
      <c r="C64" t="s">
        <v>38</v>
      </c>
      <c r="D64">
        <v>161</v>
      </c>
      <c r="E64">
        <v>708</v>
      </c>
      <c r="F64">
        <v>1428</v>
      </c>
      <c r="G64" s="60">
        <v>2002</v>
      </c>
      <c r="H64" s="60" t="s">
        <v>41</v>
      </c>
      <c r="I64" s="60" t="str">
        <f t="shared" si="2"/>
        <v>2002 Atlanta Braves</v>
      </c>
      <c r="J64" s="60">
        <v>5495</v>
      </c>
      <c r="K64" s="60">
        <f t="shared" si="0"/>
        <v>959</v>
      </c>
      <c r="L64" s="60">
        <v>280</v>
      </c>
      <c r="M64" s="60">
        <v>25</v>
      </c>
      <c r="N64" s="60">
        <v>164</v>
      </c>
      <c r="O64" s="60">
        <v>558</v>
      </c>
      <c r="P64" s="60">
        <v>54</v>
      </c>
      <c r="Q64" s="60">
        <f t="shared" si="1"/>
        <v>3455</v>
      </c>
      <c r="R64">
        <v>669</v>
      </c>
      <c r="S64">
        <v>68</v>
      </c>
      <c r="T64">
        <v>1028</v>
      </c>
      <c r="U64">
        <v>67</v>
      </c>
      <c r="V64">
        <v>49</v>
      </c>
      <c r="W64">
        <v>1</v>
      </c>
      <c r="X64">
        <v>80</v>
      </c>
      <c r="Y64">
        <v>147</v>
      </c>
      <c r="Z64">
        <v>76</v>
      </c>
      <c r="AA64">
        <v>39</v>
      </c>
      <c r="AB64">
        <v>0.26</v>
      </c>
      <c r="AC64">
        <v>0.33100000000000002</v>
      </c>
      <c r="AD64">
        <v>0.40899999999999997</v>
      </c>
    </row>
    <row r="65" spans="1:30" x14ac:dyDescent="0.5">
      <c r="A65" s="35">
        <v>2002</v>
      </c>
      <c r="B65" t="s">
        <v>45</v>
      </c>
      <c r="C65" t="s">
        <v>149</v>
      </c>
      <c r="D65">
        <v>162</v>
      </c>
      <c r="E65">
        <v>667</v>
      </c>
      <c r="F65">
        <v>1353</v>
      </c>
      <c r="G65" s="60">
        <v>2002</v>
      </c>
      <c r="H65" s="60" t="s">
        <v>44</v>
      </c>
      <c r="I65" s="60" t="str">
        <f t="shared" si="2"/>
        <v>2002 Baltimore Orioles</v>
      </c>
      <c r="J65" s="60">
        <v>5491</v>
      </c>
      <c r="K65" s="60">
        <f t="shared" si="0"/>
        <v>850</v>
      </c>
      <c r="L65" s="60">
        <v>311</v>
      </c>
      <c r="M65" s="60">
        <v>27</v>
      </c>
      <c r="N65" s="60">
        <v>165</v>
      </c>
      <c r="O65" s="60">
        <v>452</v>
      </c>
      <c r="P65" s="60">
        <v>64</v>
      </c>
      <c r="Q65" s="60">
        <f t="shared" si="1"/>
        <v>3622</v>
      </c>
      <c r="R65">
        <v>636</v>
      </c>
      <c r="S65">
        <v>25</v>
      </c>
      <c r="T65">
        <v>993</v>
      </c>
      <c r="U65">
        <v>40</v>
      </c>
      <c r="V65">
        <v>49</v>
      </c>
      <c r="W65">
        <v>0</v>
      </c>
      <c r="X65">
        <v>57</v>
      </c>
      <c r="Y65">
        <v>128</v>
      </c>
      <c r="Z65">
        <v>110</v>
      </c>
      <c r="AA65">
        <v>48</v>
      </c>
      <c r="AB65">
        <v>0.246</v>
      </c>
      <c r="AC65">
        <v>0.309</v>
      </c>
      <c r="AD65">
        <v>0.40300000000000002</v>
      </c>
    </row>
    <row r="66" spans="1:30" x14ac:dyDescent="0.5">
      <c r="A66" s="35">
        <v>2002</v>
      </c>
      <c r="B66" t="s">
        <v>47</v>
      </c>
      <c r="C66" t="s">
        <v>149</v>
      </c>
      <c r="D66">
        <v>162</v>
      </c>
      <c r="E66">
        <v>859</v>
      </c>
      <c r="F66">
        <v>1560</v>
      </c>
      <c r="G66" s="60">
        <v>2002</v>
      </c>
      <c r="H66" s="60" t="s">
        <v>46</v>
      </c>
      <c r="I66" s="60" t="str">
        <f t="shared" si="2"/>
        <v>2002 Boston Red Sox</v>
      </c>
      <c r="J66" s="60">
        <v>5640</v>
      </c>
      <c r="K66" s="60">
        <f t="shared" ref="K66:K129" si="3">F66-(L66+M66+N66)</f>
        <v>1002</v>
      </c>
      <c r="L66" s="60">
        <v>348</v>
      </c>
      <c r="M66" s="60">
        <v>33</v>
      </c>
      <c r="N66" s="60">
        <v>177</v>
      </c>
      <c r="O66" s="60">
        <v>545</v>
      </c>
      <c r="P66" s="60">
        <v>72</v>
      </c>
      <c r="Q66" s="60">
        <f t="shared" ref="Q66:Q129" si="4">J66-(F66+O66+P66)</f>
        <v>3463</v>
      </c>
      <c r="R66">
        <v>810</v>
      </c>
      <c r="S66">
        <v>39</v>
      </c>
      <c r="T66">
        <v>944</v>
      </c>
      <c r="U66">
        <v>22</v>
      </c>
      <c r="V66">
        <v>53</v>
      </c>
      <c r="W66">
        <v>0</v>
      </c>
      <c r="X66">
        <v>70</v>
      </c>
      <c r="Y66">
        <v>139</v>
      </c>
      <c r="Z66">
        <v>80</v>
      </c>
      <c r="AA66">
        <v>28</v>
      </c>
      <c r="AB66">
        <v>0.27700000000000002</v>
      </c>
      <c r="AC66">
        <v>0.34499999999999997</v>
      </c>
      <c r="AD66">
        <v>0.44400000000000001</v>
      </c>
    </row>
    <row r="67" spans="1:30" x14ac:dyDescent="0.5">
      <c r="A67" s="35">
        <v>2002</v>
      </c>
      <c r="B67" t="s">
        <v>143</v>
      </c>
      <c r="C67" t="s">
        <v>38</v>
      </c>
      <c r="D67">
        <v>162</v>
      </c>
      <c r="E67">
        <v>706</v>
      </c>
      <c r="F67">
        <v>1351</v>
      </c>
      <c r="G67" s="60">
        <v>2002</v>
      </c>
      <c r="H67" s="60" t="s">
        <v>50</v>
      </c>
      <c r="I67" s="60" t="str">
        <f t="shared" ref="I67:I130" si="5">G67&amp;" "&amp;H67</f>
        <v>2002 Chicago Cubs</v>
      </c>
      <c r="J67" s="60">
        <v>5496</v>
      </c>
      <c r="K67" s="60">
        <f t="shared" si="3"/>
        <v>863</v>
      </c>
      <c r="L67" s="60">
        <v>259</v>
      </c>
      <c r="M67" s="60">
        <v>29</v>
      </c>
      <c r="N67" s="60">
        <v>200</v>
      </c>
      <c r="O67" s="60">
        <v>585</v>
      </c>
      <c r="P67" s="60">
        <v>44</v>
      </c>
      <c r="Q67" s="60">
        <f t="shared" si="4"/>
        <v>3516</v>
      </c>
      <c r="R67">
        <v>676</v>
      </c>
      <c r="S67">
        <v>52</v>
      </c>
      <c r="T67">
        <v>1269</v>
      </c>
      <c r="U67">
        <v>78</v>
      </c>
      <c r="V67">
        <v>39</v>
      </c>
      <c r="W67">
        <v>0</v>
      </c>
      <c r="X67">
        <v>80</v>
      </c>
      <c r="Y67">
        <v>117</v>
      </c>
      <c r="Z67">
        <v>63</v>
      </c>
      <c r="AA67">
        <v>21</v>
      </c>
      <c r="AB67">
        <v>0.246</v>
      </c>
      <c r="AC67">
        <v>0.32100000000000001</v>
      </c>
      <c r="AD67">
        <v>0.41299999999999998</v>
      </c>
    </row>
    <row r="68" spans="1:30" x14ac:dyDescent="0.5">
      <c r="A68" s="35">
        <v>2002</v>
      </c>
      <c r="B68" t="s">
        <v>143</v>
      </c>
      <c r="C68" t="s">
        <v>149</v>
      </c>
      <c r="D68">
        <v>162</v>
      </c>
      <c r="E68">
        <v>856</v>
      </c>
      <c r="F68">
        <v>1475</v>
      </c>
      <c r="G68" s="60">
        <v>2002</v>
      </c>
      <c r="H68" s="60" t="s">
        <v>48</v>
      </c>
      <c r="I68" s="60" t="str">
        <f t="shared" si="5"/>
        <v>2002 Chicago White Sox</v>
      </c>
      <c r="J68" s="60">
        <v>5502</v>
      </c>
      <c r="K68" s="60">
        <f t="shared" si="3"/>
        <v>940</v>
      </c>
      <c r="L68" s="60">
        <v>289</v>
      </c>
      <c r="M68" s="60">
        <v>29</v>
      </c>
      <c r="N68" s="60">
        <v>217</v>
      </c>
      <c r="O68" s="60">
        <v>555</v>
      </c>
      <c r="P68" s="60">
        <v>49</v>
      </c>
      <c r="Q68" s="60">
        <f t="shared" si="4"/>
        <v>3423</v>
      </c>
      <c r="R68">
        <v>819</v>
      </c>
      <c r="S68">
        <v>17</v>
      </c>
      <c r="T68">
        <v>952</v>
      </c>
      <c r="U68">
        <v>48</v>
      </c>
      <c r="V68">
        <v>53</v>
      </c>
      <c r="W68">
        <v>1</v>
      </c>
      <c r="X68">
        <v>68</v>
      </c>
      <c r="Y68">
        <v>111</v>
      </c>
      <c r="Z68">
        <v>75</v>
      </c>
      <c r="AA68">
        <v>31</v>
      </c>
      <c r="AB68">
        <v>0.26800000000000002</v>
      </c>
      <c r="AC68">
        <v>0.33800000000000002</v>
      </c>
      <c r="AD68">
        <v>0.44900000000000001</v>
      </c>
    </row>
    <row r="69" spans="1:30" x14ac:dyDescent="0.5">
      <c r="A69" s="35">
        <v>2002</v>
      </c>
      <c r="B69" t="s">
        <v>53</v>
      </c>
      <c r="C69" t="s">
        <v>38</v>
      </c>
      <c r="D69">
        <v>162</v>
      </c>
      <c r="E69">
        <v>709</v>
      </c>
      <c r="F69">
        <v>1386</v>
      </c>
      <c r="G69" s="60">
        <v>2002</v>
      </c>
      <c r="H69" s="60" t="s">
        <v>52</v>
      </c>
      <c r="I69" s="60" t="str">
        <f t="shared" si="5"/>
        <v>2002 Cincinnati Reds</v>
      </c>
      <c r="J69" s="60">
        <v>5470</v>
      </c>
      <c r="K69" s="60">
        <f t="shared" si="3"/>
        <v>899</v>
      </c>
      <c r="L69" s="60">
        <v>297</v>
      </c>
      <c r="M69" s="60">
        <v>21</v>
      </c>
      <c r="N69" s="60">
        <v>169</v>
      </c>
      <c r="O69" s="60">
        <v>583</v>
      </c>
      <c r="P69" s="60">
        <v>66</v>
      </c>
      <c r="Q69" s="60">
        <f t="shared" si="4"/>
        <v>3435</v>
      </c>
      <c r="R69">
        <v>678</v>
      </c>
      <c r="S69">
        <v>66</v>
      </c>
      <c r="T69">
        <v>1188</v>
      </c>
      <c r="U69">
        <v>95</v>
      </c>
      <c r="V69">
        <v>40</v>
      </c>
      <c r="W69">
        <v>0</v>
      </c>
      <c r="X69">
        <v>69</v>
      </c>
      <c r="Y69">
        <v>119</v>
      </c>
      <c r="Z69">
        <v>116</v>
      </c>
      <c r="AA69">
        <v>52</v>
      </c>
      <c r="AB69">
        <v>0.253</v>
      </c>
      <c r="AC69">
        <v>0.33</v>
      </c>
      <c r="AD69">
        <v>0.40799999999999997</v>
      </c>
    </row>
    <row r="70" spans="1:30" x14ac:dyDescent="0.5">
      <c r="A70" s="35">
        <v>2002</v>
      </c>
      <c r="B70" t="s">
        <v>55</v>
      </c>
      <c r="C70" t="s">
        <v>149</v>
      </c>
      <c r="D70">
        <v>162</v>
      </c>
      <c r="E70">
        <v>739</v>
      </c>
      <c r="F70">
        <v>1349</v>
      </c>
      <c r="G70" s="60">
        <v>2002</v>
      </c>
      <c r="H70" s="60" t="s">
        <v>54</v>
      </c>
      <c r="I70" s="60" t="str">
        <f t="shared" si="5"/>
        <v>2002 Cleveland Indians</v>
      </c>
      <c r="J70" s="60">
        <v>5423</v>
      </c>
      <c r="K70" s="60">
        <f t="shared" si="3"/>
        <v>876</v>
      </c>
      <c r="L70" s="60">
        <v>255</v>
      </c>
      <c r="M70" s="60">
        <v>26</v>
      </c>
      <c r="N70" s="60">
        <v>192</v>
      </c>
      <c r="O70" s="60">
        <v>542</v>
      </c>
      <c r="P70" s="60">
        <v>56</v>
      </c>
      <c r="Q70" s="60">
        <f t="shared" si="4"/>
        <v>3476</v>
      </c>
      <c r="R70">
        <v>706</v>
      </c>
      <c r="S70">
        <v>35</v>
      </c>
      <c r="T70">
        <v>1000</v>
      </c>
      <c r="U70">
        <v>39</v>
      </c>
      <c r="V70">
        <v>39</v>
      </c>
      <c r="W70">
        <v>0</v>
      </c>
      <c r="X70">
        <v>81</v>
      </c>
      <c r="Y70">
        <v>149</v>
      </c>
      <c r="Z70">
        <v>52</v>
      </c>
      <c r="AA70">
        <v>37</v>
      </c>
      <c r="AB70">
        <v>0.249</v>
      </c>
      <c r="AC70">
        <v>0.32100000000000001</v>
      </c>
      <c r="AD70">
        <v>0.41199999999999998</v>
      </c>
    </row>
    <row r="71" spans="1:30" x14ac:dyDescent="0.5">
      <c r="A71" s="35">
        <v>2002</v>
      </c>
      <c r="B71" t="s">
        <v>57</v>
      </c>
      <c r="C71" t="s">
        <v>38</v>
      </c>
      <c r="D71">
        <v>162</v>
      </c>
      <c r="E71">
        <v>778</v>
      </c>
      <c r="F71">
        <v>1508</v>
      </c>
      <c r="G71" s="60">
        <v>2002</v>
      </c>
      <c r="H71" s="60" t="s">
        <v>56</v>
      </c>
      <c r="I71" s="60" t="str">
        <f t="shared" si="5"/>
        <v>2002 Colorado Rockies</v>
      </c>
      <c r="J71" s="60">
        <v>5512</v>
      </c>
      <c r="K71" s="60">
        <f t="shared" si="3"/>
        <v>1032</v>
      </c>
      <c r="L71" s="60">
        <v>283</v>
      </c>
      <c r="M71" s="60">
        <v>41</v>
      </c>
      <c r="N71" s="60">
        <v>152</v>
      </c>
      <c r="O71" s="60">
        <v>497</v>
      </c>
      <c r="P71" s="60">
        <v>56</v>
      </c>
      <c r="Q71" s="60">
        <f t="shared" si="4"/>
        <v>3451</v>
      </c>
      <c r="R71">
        <v>726</v>
      </c>
      <c r="S71">
        <v>40</v>
      </c>
      <c r="T71">
        <v>1043</v>
      </c>
      <c r="U71">
        <v>49</v>
      </c>
      <c r="V71">
        <v>50</v>
      </c>
      <c r="W71">
        <v>1</v>
      </c>
      <c r="X71">
        <v>60</v>
      </c>
      <c r="Y71">
        <v>133</v>
      </c>
      <c r="Z71">
        <v>103</v>
      </c>
      <c r="AA71">
        <v>53</v>
      </c>
      <c r="AB71">
        <v>0.27400000000000002</v>
      </c>
      <c r="AC71">
        <v>0.33700000000000002</v>
      </c>
      <c r="AD71">
        <v>0.42299999999999999</v>
      </c>
    </row>
    <row r="72" spans="1:30" x14ac:dyDescent="0.5">
      <c r="A72" s="35">
        <v>2002</v>
      </c>
      <c r="B72" t="s">
        <v>59</v>
      </c>
      <c r="C72" t="s">
        <v>149</v>
      </c>
      <c r="D72">
        <v>161</v>
      </c>
      <c r="E72">
        <v>575</v>
      </c>
      <c r="F72">
        <v>1340</v>
      </c>
      <c r="G72" s="60">
        <v>2002</v>
      </c>
      <c r="H72" s="60" t="s">
        <v>58</v>
      </c>
      <c r="I72" s="60" t="str">
        <f t="shared" si="5"/>
        <v>2002 Detroit Tigers</v>
      </c>
      <c r="J72" s="60">
        <v>5406</v>
      </c>
      <c r="K72" s="60">
        <f t="shared" si="3"/>
        <v>914</v>
      </c>
      <c r="L72" s="60">
        <v>265</v>
      </c>
      <c r="M72" s="60">
        <v>37</v>
      </c>
      <c r="N72" s="60">
        <v>124</v>
      </c>
      <c r="O72" s="60">
        <v>363</v>
      </c>
      <c r="P72" s="60">
        <v>64</v>
      </c>
      <c r="Q72" s="60">
        <f t="shared" si="4"/>
        <v>3639</v>
      </c>
      <c r="R72">
        <v>546</v>
      </c>
      <c r="S72">
        <v>22</v>
      </c>
      <c r="T72">
        <v>1035</v>
      </c>
      <c r="U72">
        <v>30</v>
      </c>
      <c r="V72">
        <v>57</v>
      </c>
      <c r="W72">
        <v>0</v>
      </c>
      <c r="X72">
        <v>50</v>
      </c>
      <c r="Y72">
        <v>125</v>
      </c>
      <c r="Z72">
        <v>65</v>
      </c>
      <c r="AA72">
        <v>44</v>
      </c>
      <c r="AB72">
        <v>0.248</v>
      </c>
      <c r="AC72">
        <v>0.3</v>
      </c>
      <c r="AD72">
        <v>0.379</v>
      </c>
    </row>
    <row r="73" spans="1:30" x14ac:dyDescent="0.5">
      <c r="A73" s="35">
        <v>2002</v>
      </c>
      <c r="B73" t="s">
        <v>146</v>
      </c>
      <c r="C73" t="s">
        <v>38</v>
      </c>
      <c r="D73">
        <v>162</v>
      </c>
      <c r="E73">
        <v>699</v>
      </c>
      <c r="F73">
        <v>1433</v>
      </c>
      <c r="G73" s="60">
        <v>2002</v>
      </c>
      <c r="H73" s="60" t="s">
        <v>60</v>
      </c>
      <c r="I73" s="60" t="str">
        <f t="shared" si="5"/>
        <v>2002 Florida Marlins</v>
      </c>
      <c r="J73" s="60">
        <v>5496</v>
      </c>
      <c r="K73" s="60">
        <f t="shared" si="3"/>
        <v>975</v>
      </c>
      <c r="L73" s="60">
        <v>280</v>
      </c>
      <c r="M73" s="60">
        <v>32</v>
      </c>
      <c r="N73" s="60">
        <v>146</v>
      </c>
      <c r="O73" s="60">
        <v>595</v>
      </c>
      <c r="P73" s="60">
        <v>61</v>
      </c>
      <c r="Q73" s="60">
        <f t="shared" si="4"/>
        <v>3407</v>
      </c>
      <c r="R73">
        <v>653</v>
      </c>
      <c r="S73">
        <v>69</v>
      </c>
      <c r="T73">
        <v>1130</v>
      </c>
      <c r="U73">
        <v>59</v>
      </c>
      <c r="V73">
        <v>49</v>
      </c>
      <c r="W73">
        <v>3</v>
      </c>
      <c r="X73">
        <v>60</v>
      </c>
      <c r="Y73">
        <v>129</v>
      </c>
      <c r="Z73">
        <v>177</v>
      </c>
      <c r="AA73">
        <v>73</v>
      </c>
      <c r="AB73">
        <v>0.26100000000000001</v>
      </c>
      <c r="AC73">
        <v>0.33700000000000002</v>
      </c>
      <c r="AD73">
        <v>0.40300000000000002</v>
      </c>
    </row>
    <row r="74" spans="1:30" x14ac:dyDescent="0.5">
      <c r="A74" s="35">
        <v>2002</v>
      </c>
      <c r="B74" t="s">
        <v>63</v>
      </c>
      <c r="C74" t="s">
        <v>38</v>
      </c>
      <c r="D74">
        <v>162</v>
      </c>
      <c r="E74">
        <v>749</v>
      </c>
      <c r="F74">
        <v>1441</v>
      </c>
      <c r="G74" s="60">
        <v>2002</v>
      </c>
      <c r="H74" s="60" t="s">
        <v>62</v>
      </c>
      <c r="I74" s="60" t="str">
        <f t="shared" si="5"/>
        <v>2002 Houston Astros</v>
      </c>
      <c r="J74" s="60">
        <v>5503</v>
      </c>
      <c r="K74" s="60">
        <f t="shared" si="3"/>
        <v>951</v>
      </c>
      <c r="L74" s="60">
        <v>291</v>
      </c>
      <c r="M74" s="60">
        <v>32</v>
      </c>
      <c r="N74" s="60">
        <v>167</v>
      </c>
      <c r="O74" s="60">
        <v>589</v>
      </c>
      <c r="P74" s="60">
        <v>59</v>
      </c>
      <c r="Q74" s="60">
        <f t="shared" si="4"/>
        <v>3414</v>
      </c>
      <c r="R74">
        <v>719</v>
      </c>
      <c r="S74">
        <v>57</v>
      </c>
      <c r="T74">
        <v>1120</v>
      </c>
      <c r="U74">
        <v>64</v>
      </c>
      <c r="V74">
        <v>37</v>
      </c>
      <c r="W74">
        <v>0</v>
      </c>
      <c r="X74">
        <v>66</v>
      </c>
      <c r="Y74">
        <v>144</v>
      </c>
      <c r="Z74">
        <v>71</v>
      </c>
      <c r="AA74">
        <v>27</v>
      </c>
      <c r="AB74">
        <v>0.26200000000000001</v>
      </c>
      <c r="AC74">
        <v>0.33800000000000002</v>
      </c>
      <c r="AD74">
        <v>0.41699999999999998</v>
      </c>
    </row>
    <row r="75" spans="1:30" x14ac:dyDescent="0.5">
      <c r="A75" s="35">
        <v>2002</v>
      </c>
      <c r="B75" t="s">
        <v>150</v>
      </c>
      <c r="C75" t="s">
        <v>149</v>
      </c>
      <c r="D75">
        <v>162</v>
      </c>
      <c r="E75">
        <v>737</v>
      </c>
      <c r="F75">
        <v>1415</v>
      </c>
      <c r="G75" s="60">
        <v>2002</v>
      </c>
      <c r="H75" s="60" t="s">
        <v>64</v>
      </c>
      <c r="I75" s="60" t="str">
        <f t="shared" si="5"/>
        <v>2002 Kansas City Royals</v>
      </c>
      <c r="J75" s="60">
        <v>5535</v>
      </c>
      <c r="K75" s="60">
        <f t="shared" si="3"/>
        <v>948</v>
      </c>
      <c r="L75" s="60">
        <v>285</v>
      </c>
      <c r="M75" s="60">
        <v>42</v>
      </c>
      <c r="N75" s="60">
        <v>140</v>
      </c>
      <c r="O75" s="60">
        <v>524</v>
      </c>
      <c r="P75" s="60">
        <v>52</v>
      </c>
      <c r="Q75" s="60">
        <f t="shared" si="4"/>
        <v>3544</v>
      </c>
      <c r="R75">
        <v>695</v>
      </c>
      <c r="S75">
        <v>27</v>
      </c>
      <c r="T75">
        <v>921</v>
      </c>
      <c r="U75">
        <v>44</v>
      </c>
      <c r="V75">
        <v>51</v>
      </c>
      <c r="W75">
        <v>0</v>
      </c>
      <c r="X75">
        <v>73</v>
      </c>
      <c r="Y75">
        <v>106</v>
      </c>
      <c r="Z75">
        <v>140</v>
      </c>
      <c r="AA75">
        <v>65</v>
      </c>
      <c r="AB75">
        <v>0.25600000000000001</v>
      </c>
      <c r="AC75">
        <v>0.32300000000000001</v>
      </c>
      <c r="AD75">
        <v>0.39800000000000002</v>
      </c>
    </row>
    <row r="76" spans="1:30" x14ac:dyDescent="0.5">
      <c r="A76" s="35">
        <v>2002</v>
      </c>
      <c r="B76" t="s">
        <v>145</v>
      </c>
      <c r="C76" t="s">
        <v>38</v>
      </c>
      <c r="D76">
        <v>162</v>
      </c>
      <c r="E76">
        <v>713</v>
      </c>
      <c r="F76">
        <v>1464</v>
      </c>
      <c r="G76" s="60">
        <v>2002</v>
      </c>
      <c r="H76" s="60" t="s">
        <v>66</v>
      </c>
      <c r="I76" s="60" t="str">
        <f t="shared" si="5"/>
        <v>2002 Los Angeles Dodgers</v>
      </c>
      <c r="J76" s="60">
        <v>5554</v>
      </c>
      <c r="K76" s="60">
        <f t="shared" si="3"/>
        <v>994</v>
      </c>
      <c r="L76" s="60">
        <v>286</v>
      </c>
      <c r="M76" s="60">
        <v>29</v>
      </c>
      <c r="N76" s="60">
        <v>155</v>
      </c>
      <c r="O76" s="60">
        <v>428</v>
      </c>
      <c r="P76" s="60">
        <v>53</v>
      </c>
      <c r="Q76" s="60">
        <f t="shared" si="4"/>
        <v>3609</v>
      </c>
      <c r="R76">
        <v>693</v>
      </c>
      <c r="S76">
        <v>50</v>
      </c>
      <c r="T76">
        <v>940</v>
      </c>
      <c r="U76">
        <v>67</v>
      </c>
      <c r="V76">
        <v>44</v>
      </c>
      <c r="W76">
        <v>0</v>
      </c>
      <c r="X76">
        <v>88</v>
      </c>
      <c r="Y76">
        <v>140</v>
      </c>
      <c r="Z76">
        <v>96</v>
      </c>
      <c r="AA76">
        <v>37</v>
      </c>
      <c r="AB76">
        <v>0.26400000000000001</v>
      </c>
      <c r="AC76">
        <v>0.32</v>
      </c>
      <c r="AD76">
        <v>0.40899999999999997</v>
      </c>
    </row>
    <row r="77" spans="1:30" x14ac:dyDescent="0.5">
      <c r="A77" s="35">
        <v>2002</v>
      </c>
      <c r="B77" t="s">
        <v>69</v>
      </c>
      <c r="C77" t="s">
        <v>38</v>
      </c>
      <c r="D77">
        <v>162</v>
      </c>
      <c r="E77">
        <v>627</v>
      </c>
      <c r="F77">
        <v>1369</v>
      </c>
      <c r="G77" s="60">
        <v>2002</v>
      </c>
      <c r="H77" s="60" t="s">
        <v>68</v>
      </c>
      <c r="I77" s="60" t="str">
        <f t="shared" si="5"/>
        <v>2002 Milwaukee Brewers</v>
      </c>
      <c r="J77" s="60">
        <v>5415</v>
      </c>
      <c r="K77" s="60">
        <f t="shared" si="3"/>
        <v>932</v>
      </c>
      <c r="L77" s="60">
        <v>269</v>
      </c>
      <c r="M77" s="60">
        <v>29</v>
      </c>
      <c r="N77" s="60">
        <v>139</v>
      </c>
      <c r="O77" s="60">
        <v>500</v>
      </c>
      <c r="P77" s="60">
        <v>55</v>
      </c>
      <c r="Q77" s="60">
        <f t="shared" si="4"/>
        <v>3491</v>
      </c>
      <c r="R77">
        <v>597</v>
      </c>
      <c r="S77">
        <v>37</v>
      </c>
      <c r="T77">
        <v>1125</v>
      </c>
      <c r="U77">
        <v>79</v>
      </c>
      <c r="V77">
        <v>34</v>
      </c>
      <c r="W77">
        <v>0</v>
      </c>
      <c r="X77">
        <v>58</v>
      </c>
      <c r="Y77">
        <v>144</v>
      </c>
      <c r="Z77">
        <v>94</v>
      </c>
      <c r="AA77">
        <v>50</v>
      </c>
      <c r="AB77">
        <v>0.253</v>
      </c>
      <c r="AC77">
        <v>0.32</v>
      </c>
      <c r="AD77">
        <v>0.39</v>
      </c>
    </row>
    <row r="78" spans="1:30" x14ac:dyDescent="0.5">
      <c r="A78" s="35">
        <v>2002</v>
      </c>
      <c r="B78" t="s">
        <v>71</v>
      </c>
      <c r="C78" t="s">
        <v>149</v>
      </c>
      <c r="D78">
        <v>161</v>
      </c>
      <c r="E78">
        <v>768</v>
      </c>
      <c r="F78">
        <v>1518</v>
      </c>
      <c r="G78" s="60">
        <v>2002</v>
      </c>
      <c r="H78" s="60" t="s">
        <v>70</v>
      </c>
      <c r="I78" s="60" t="str">
        <f t="shared" si="5"/>
        <v>2002 Minnesota Twins</v>
      </c>
      <c r="J78" s="60">
        <v>5582</v>
      </c>
      <c r="K78" s="60">
        <f t="shared" si="3"/>
        <v>967</v>
      </c>
      <c r="L78" s="60">
        <v>348</v>
      </c>
      <c r="M78" s="60">
        <v>36</v>
      </c>
      <c r="N78" s="60">
        <v>167</v>
      </c>
      <c r="O78" s="60">
        <v>472</v>
      </c>
      <c r="P78" s="60">
        <v>56</v>
      </c>
      <c r="Q78" s="60">
        <f t="shared" si="4"/>
        <v>3536</v>
      </c>
      <c r="R78">
        <v>731</v>
      </c>
      <c r="S78">
        <v>30</v>
      </c>
      <c r="T78">
        <v>1089</v>
      </c>
      <c r="U78">
        <v>34</v>
      </c>
      <c r="V78">
        <v>52</v>
      </c>
      <c r="W78">
        <v>0</v>
      </c>
      <c r="X78">
        <v>72</v>
      </c>
      <c r="Y78">
        <v>121</v>
      </c>
      <c r="Z78">
        <v>79</v>
      </c>
      <c r="AA78">
        <v>62</v>
      </c>
      <c r="AB78">
        <v>0.27200000000000002</v>
      </c>
      <c r="AC78">
        <v>0.33200000000000002</v>
      </c>
      <c r="AD78">
        <v>0.437</v>
      </c>
    </row>
    <row r="79" spans="1:30" x14ac:dyDescent="0.5">
      <c r="A79" s="35">
        <v>2002</v>
      </c>
      <c r="B79" t="s">
        <v>73</v>
      </c>
      <c r="C79" t="s">
        <v>38</v>
      </c>
      <c r="D79">
        <v>162</v>
      </c>
      <c r="E79">
        <v>735</v>
      </c>
      <c r="F79">
        <v>1432</v>
      </c>
      <c r="G79" s="60">
        <v>2002</v>
      </c>
      <c r="H79" s="60" t="s">
        <v>72</v>
      </c>
      <c r="I79" s="60" t="str">
        <f t="shared" si="5"/>
        <v>2002 Montreal Expos</v>
      </c>
      <c r="J79" s="60">
        <v>5479</v>
      </c>
      <c r="K79" s="60">
        <f t="shared" si="3"/>
        <v>934</v>
      </c>
      <c r="L79" s="60">
        <v>300</v>
      </c>
      <c r="M79" s="60">
        <v>36</v>
      </c>
      <c r="N79" s="60">
        <v>162</v>
      </c>
      <c r="O79" s="60">
        <v>575</v>
      </c>
      <c r="P79" s="60">
        <v>46</v>
      </c>
      <c r="Q79" s="60">
        <f t="shared" si="4"/>
        <v>3426</v>
      </c>
      <c r="R79">
        <v>695</v>
      </c>
      <c r="S79">
        <v>85</v>
      </c>
      <c r="T79">
        <v>1104</v>
      </c>
      <c r="U79">
        <v>108</v>
      </c>
      <c r="V79">
        <v>42</v>
      </c>
      <c r="W79">
        <v>0</v>
      </c>
      <c r="X79">
        <v>81</v>
      </c>
      <c r="Y79">
        <v>123</v>
      </c>
      <c r="Z79">
        <v>118</v>
      </c>
      <c r="AA79">
        <v>64</v>
      </c>
      <c r="AB79">
        <v>0.26100000000000001</v>
      </c>
      <c r="AC79">
        <v>0.33400000000000002</v>
      </c>
      <c r="AD79">
        <v>0.41799999999999998</v>
      </c>
    </row>
    <row r="80" spans="1:30" x14ac:dyDescent="0.5">
      <c r="A80" s="35">
        <v>2002</v>
      </c>
      <c r="B80" t="s">
        <v>144</v>
      </c>
      <c r="C80" t="s">
        <v>38</v>
      </c>
      <c r="D80">
        <v>161</v>
      </c>
      <c r="E80">
        <v>690</v>
      </c>
      <c r="F80">
        <v>1409</v>
      </c>
      <c r="G80" s="60">
        <v>2002</v>
      </c>
      <c r="H80" s="60" t="s">
        <v>76</v>
      </c>
      <c r="I80" s="60" t="str">
        <f t="shared" si="5"/>
        <v>2002 New York Mets</v>
      </c>
      <c r="J80" s="60">
        <v>5496</v>
      </c>
      <c r="K80" s="60">
        <f t="shared" si="3"/>
        <v>989</v>
      </c>
      <c r="L80" s="60">
        <v>238</v>
      </c>
      <c r="M80" s="60">
        <v>22</v>
      </c>
      <c r="N80" s="60">
        <v>160</v>
      </c>
      <c r="O80" s="60">
        <v>486</v>
      </c>
      <c r="P80" s="60">
        <v>63</v>
      </c>
      <c r="Q80" s="60">
        <f t="shared" si="4"/>
        <v>3538</v>
      </c>
      <c r="R80">
        <v>650</v>
      </c>
      <c r="S80">
        <v>46</v>
      </c>
      <c r="T80">
        <v>1044</v>
      </c>
      <c r="U80">
        <v>75</v>
      </c>
      <c r="V80">
        <v>30</v>
      </c>
      <c r="W80">
        <v>0</v>
      </c>
      <c r="X80">
        <v>83</v>
      </c>
      <c r="Y80">
        <v>142</v>
      </c>
      <c r="Z80">
        <v>87</v>
      </c>
      <c r="AA80">
        <v>42</v>
      </c>
      <c r="AB80">
        <v>0.25600000000000001</v>
      </c>
      <c r="AC80">
        <v>0.32200000000000001</v>
      </c>
      <c r="AD80">
        <v>0.39500000000000002</v>
      </c>
    </row>
    <row r="81" spans="1:30" x14ac:dyDescent="0.5">
      <c r="A81" s="35">
        <v>2002</v>
      </c>
      <c r="B81" t="s">
        <v>144</v>
      </c>
      <c r="C81" t="s">
        <v>149</v>
      </c>
      <c r="D81">
        <v>161</v>
      </c>
      <c r="E81">
        <v>897</v>
      </c>
      <c r="F81">
        <v>1540</v>
      </c>
      <c r="G81" s="60">
        <v>2002</v>
      </c>
      <c r="H81" s="60" t="s">
        <v>74</v>
      </c>
      <c r="I81" s="60" t="str">
        <f t="shared" si="5"/>
        <v>2002 New York Yankees</v>
      </c>
      <c r="J81" s="60">
        <v>5601</v>
      </c>
      <c r="K81" s="60">
        <f t="shared" si="3"/>
        <v>991</v>
      </c>
      <c r="L81" s="60">
        <v>314</v>
      </c>
      <c r="M81" s="60">
        <v>12</v>
      </c>
      <c r="N81" s="60">
        <v>223</v>
      </c>
      <c r="O81" s="60">
        <v>640</v>
      </c>
      <c r="P81" s="60">
        <v>72</v>
      </c>
      <c r="Q81" s="60">
        <f t="shared" si="4"/>
        <v>3349</v>
      </c>
      <c r="R81">
        <v>857</v>
      </c>
      <c r="S81">
        <v>48</v>
      </c>
      <c r="T81">
        <v>1171</v>
      </c>
      <c r="U81">
        <v>23</v>
      </c>
      <c r="V81">
        <v>41</v>
      </c>
      <c r="W81">
        <v>0</v>
      </c>
      <c r="X81">
        <v>66</v>
      </c>
      <c r="Y81">
        <v>150</v>
      </c>
      <c r="Z81">
        <v>100</v>
      </c>
      <c r="AA81">
        <v>38</v>
      </c>
      <c r="AB81">
        <v>0.27500000000000002</v>
      </c>
      <c r="AC81">
        <v>0.35399999999999998</v>
      </c>
      <c r="AD81">
        <v>0.45500000000000002</v>
      </c>
    </row>
    <row r="82" spans="1:30" x14ac:dyDescent="0.5">
      <c r="A82" s="35">
        <v>2002</v>
      </c>
      <c r="B82" t="s">
        <v>79</v>
      </c>
      <c r="C82" t="s">
        <v>149</v>
      </c>
      <c r="D82">
        <v>162</v>
      </c>
      <c r="E82">
        <v>800</v>
      </c>
      <c r="F82">
        <v>1450</v>
      </c>
      <c r="G82" s="60">
        <v>2002</v>
      </c>
      <c r="H82" s="60" t="s">
        <v>78</v>
      </c>
      <c r="I82" s="60" t="str">
        <f t="shared" si="5"/>
        <v>2002 Oakland Athletics</v>
      </c>
      <c r="J82" s="60">
        <v>5558</v>
      </c>
      <c r="K82" s="60">
        <f t="shared" si="3"/>
        <v>938</v>
      </c>
      <c r="L82" s="60">
        <v>279</v>
      </c>
      <c r="M82" s="60">
        <v>28</v>
      </c>
      <c r="N82" s="60">
        <v>205</v>
      </c>
      <c r="O82" s="60">
        <v>609</v>
      </c>
      <c r="P82" s="60">
        <v>68</v>
      </c>
      <c r="Q82" s="60">
        <f t="shared" si="4"/>
        <v>3431</v>
      </c>
      <c r="R82">
        <v>772</v>
      </c>
      <c r="S82">
        <v>37</v>
      </c>
      <c r="T82">
        <v>1008</v>
      </c>
      <c r="U82">
        <v>20</v>
      </c>
      <c r="V82">
        <v>36</v>
      </c>
      <c r="W82">
        <v>0</v>
      </c>
      <c r="X82">
        <v>55</v>
      </c>
      <c r="Y82">
        <v>128</v>
      </c>
      <c r="Z82">
        <v>46</v>
      </c>
      <c r="AA82">
        <v>20</v>
      </c>
      <c r="AB82">
        <v>0.26100000000000001</v>
      </c>
      <c r="AC82">
        <v>0.33900000000000002</v>
      </c>
      <c r="AD82">
        <v>0.432</v>
      </c>
    </row>
    <row r="83" spans="1:30" x14ac:dyDescent="0.5">
      <c r="A83" s="35">
        <v>2002</v>
      </c>
      <c r="B83" t="s">
        <v>81</v>
      </c>
      <c r="C83" t="s">
        <v>38</v>
      </c>
      <c r="D83">
        <v>161</v>
      </c>
      <c r="E83">
        <v>710</v>
      </c>
      <c r="F83">
        <v>1428</v>
      </c>
      <c r="G83" s="60">
        <v>2002</v>
      </c>
      <c r="H83" s="60" t="s">
        <v>80</v>
      </c>
      <c r="I83" s="60" t="str">
        <f t="shared" si="5"/>
        <v>2002 Philadelphia Phillies</v>
      </c>
      <c r="J83" s="60">
        <v>5523</v>
      </c>
      <c r="K83" s="60">
        <f t="shared" si="3"/>
        <v>897</v>
      </c>
      <c r="L83" s="60">
        <v>325</v>
      </c>
      <c r="M83" s="60">
        <v>41</v>
      </c>
      <c r="N83" s="60">
        <v>165</v>
      </c>
      <c r="O83" s="60">
        <v>640</v>
      </c>
      <c r="P83" s="60">
        <v>53</v>
      </c>
      <c r="Q83" s="60">
        <f t="shared" si="4"/>
        <v>3402</v>
      </c>
      <c r="R83">
        <v>676</v>
      </c>
      <c r="S83">
        <v>70</v>
      </c>
      <c r="T83">
        <v>1095</v>
      </c>
      <c r="U83">
        <v>67</v>
      </c>
      <c r="V83">
        <v>39</v>
      </c>
      <c r="W83">
        <v>1</v>
      </c>
      <c r="X83">
        <v>73</v>
      </c>
      <c r="Y83">
        <v>129</v>
      </c>
      <c r="Z83">
        <v>104</v>
      </c>
      <c r="AA83">
        <v>43</v>
      </c>
      <c r="AB83">
        <v>0.25900000000000001</v>
      </c>
      <c r="AC83">
        <v>0.33900000000000002</v>
      </c>
      <c r="AD83">
        <v>0.42199999999999999</v>
      </c>
    </row>
    <row r="84" spans="1:30" x14ac:dyDescent="0.5">
      <c r="A84" s="35">
        <v>2002</v>
      </c>
      <c r="B84" t="s">
        <v>83</v>
      </c>
      <c r="C84" t="s">
        <v>38</v>
      </c>
      <c r="D84">
        <v>161</v>
      </c>
      <c r="E84">
        <v>641</v>
      </c>
      <c r="F84">
        <v>1300</v>
      </c>
      <c r="G84" s="60">
        <v>2002</v>
      </c>
      <c r="H84" s="60" t="s">
        <v>82</v>
      </c>
      <c r="I84" s="60" t="str">
        <f t="shared" si="5"/>
        <v>2002 Pittsburgh Pirates</v>
      </c>
      <c r="J84" s="60">
        <v>5330</v>
      </c>
      <c r="K84" s="60">
        <f t="shared" si="3"/>
        <v>875</v>
      </c>
      <c r="L84" s="60">
        <v>263</v>
      </c>
      <c r="M84" s="60">
        <v>20</v>
      </c>
      <c r="N84" s="60">
        <v>142</v>
      </c>
      <c r="O84" s="60">
        <v>537</v>
      </c>
      <c r="P84" s="60">
        <v>73</v>
      </c>
      <c r="Q84" s="60">
        <f t="shared" si="4"/>
        <v>3420</v>
      </c>
      <c r="R84">
        <v>610</v>
      </c>
      <c r="S84">
        <v>44</v>
      </c>
      <c r="T84">
        <v>1109</v>
      </c>
      <c r="U84">
        <v>68</v>
      </c>
      <c r="V84">
        <v>41</v>
      </c>
      <c r="W84">
        <v>0</v>
      </c>
      <c r="X84">
        <v>63</v>
      </c>
      <c r="Y84">
        <v>97</v>
      </c>
      <c r="Z84">
        <v>86</v>
      </c>
      <c r="AA84">
        <v>49</v>
      </c>
      <c r="AB84">
        <v>0.24399999999999999</v>
      </c>
      <c r="AC84">
        <v>0.31900000000000001</v>
      </c>
      <c r="AD84">
        <v>0.38100000000000001</v>
      </c>
    </row>
    <row r="85" spans="1:30" x14ac:dyDescent="0.5">
      <c r="A85" s="35">
        <v>2002</v>
      </c>
      <c r="B85" t="s">
        <v>147</v>
      </c>
      <c r="C85" t="s">
        <v>38</v>
      </c>
      <c r="D85">
        <v>162</v>
      </c>
      <c r="E85">
        <v>662</v>
      </c>
      <c r="F85">
        <v>1393</v>
      </c>
      <c r="G85" s="60">
        <v>2002</v>
      </c>
      <c r="H85" s="60" t="s">
        <v>84</v>
      </c>
      <c r="I85" s="60" t="str">
        <f t="shared" si="5"/>
        <v>2002 San Diego Padres</v>
      </c>
      <c r="J85" s="60">
        <v>5515</v>
      </c>
      <c r="K85" s="60">
        <f t="shared" si="3"/>
        <v>985</v>
      </c>
      <c r="L85" s="60">
        <v>243</v>
      </c>
      <c r="M85" s="60">
        <v>29</v>
      </c>
      <c r="N85" s="60">
        <v>136</v>
      </c>
      <c r="O85" s="60">
        <v>547</v>
      </c>
      <c r="P85" s="60">
        <v>30</v>
      </c>
      <c r="Q85" s="60">
        <f t="shared" si="4"/>
        <v>3545</v>
      </c>
      <c r="R85">
        <v>627</v>
      </c>
      <c r="S85">
        <v>42</v>
      </c>
      <c r="T85">
        <v>1062</v>
      </c>
      <c r="U85">
        <v>45</v>
      </c>
      <c r="V85">
        <v>41</v>
      </c>
      <c r="W85">
        <v>0</v>
      </c>
      <c r="X85">
        <v>79</v>
      </c>
      <c r="Y85">
        <v>132</v>
      </c>
      <c r="Z85">
        <v>71</v>
      </c>
      <c r="AA85">
        <v>44</v>
      </c>
      <c r="AB85">
        <v>0.253</v>
      </c>
      <c r="AC85">
        <v>0.32100000000000001</v>
      </c>
      <c r="AD85">
        <v>0.38100000000000001</v>
      </c>
    </row>
    <row r="86" spans="1:30" x14ac:dyDescent="0.5">
      <c r="A86" s="35">
        <v>2002</v>
      </c>
      <c r="B86" t="s">
        <v>87</v>
      </c>
      <c r="C86" t="s">
        <v>149</v>
      </c>
      <c r="D86">
        <v>162</v>
      </c>
      <c r="E86">
        <v>814</v>
      </c>
      <c r="F86">
        <v>1531</v>
      </c>
      <c r="G86" s="60">
        <v>2002</v>
      </c>
      <c r="H86" s="60" t="s">
        <v>86</v>
      </c>
      <c r="I86" s="60" t="str">
        <f t="shared" si="5"/>
        <v>2002 Seattle Mariners</v>
      </c>
      <c r="J86" s="60">
        <v>5569</v>
      </c>
      <c r="K86" s="60">
        <f t="shared" si="3"/>
        <v>1063</v>
      </c>
      <c r="L86" s="60">
        <v>285</v>
      </c>
      <c r="M86" s="60">
        <v>31</v>
      </c>
      <c r="N86" s="60">
        <v>152</v>
      </c>
      <c r="O86" s="60">
        <v>629</v>
      </c>
      <c r="P86" s="60">
        <v>51</v>
      </c>
      <c r="Q86" s="60">
        <f t="shared" si="4"/>
        <v>3358</v>
      </c>
      <c r="R86">
        <v>771</v>
      </c>
      <c r="S86">
        <v>62</v>
      </c>
      <c r="T86">
        <v>1003</v>
      </c>
      <c r="U86">
        <v>41</v>
      </c>
      <c r="V86">
        <v>72</v>
      </c>
      <c r="W86">
        <v>0</v>
      </c>
      <c r="X86">
        <v>78</v>
      </c>
      <c r="Y86">
        <v>123</v>
      </c>
      <c r="Z86">
        <v>137</v>
      </c>
      <c r="AA86">
        <v>58</v>
      </c>
      <c r="AB86">
        <v>0.27500000000000002</v>
      </c>
      <c r="AC86">
        <v>0.35</v>
      </c>
      <c r="AD86">
        <v>0.41899999999999998</v>
      </c>
    </row>
    <row r="87" spans="1:30" x14ac:dyDescent="0.5">
      <c r="A87" s="35">
        <v>2002</v>
      </c>
      <c r="B87" t="s">
        <v>21</v>
      </c>
      <c r="C87" t="s">
        <v>38</v>
      </c>
      <c r="D87">
        <v>162</v>
      </c>
      <c r="E87">
        <v>783</v>
      </c>
      <c r="F87">
        <v>1465</v>
      </c>
      <c r="G87" s="60">
        <v>2002</v>
      </c>
      <c r="H87" s="60" t="s">
        <v>88</v>
      </c>
      <c r="I87" s="60" t="str">
        <f t="shared" si="5"/>
        <v>2002 San Francisco Giants</v>
      </c>
      <c r="J87" s="60">
        <v>5497</v>
      </c>
      <c r="K87" s="60">
        <f t="shared" si="3"/>
        <v>932</v>
      </c>
      <c r="L87" s="60">
        <v>300</v>
      </c>
      <c r="M87" s="60">
        <v>35</v>
      </c>
      <c r="N87" s="60">
        <v>198</v>
      </c>
      <c r="O87" s="60">
        <v>616</v>
      </c>
      <c r="P87" s="60">
        <v>65</v>
      </c>
      <c r="Q87" s="60">
        <f t="shared" si="4"/>
        <v>3351</v>
      </c>
      <c r="R87">
        <v>751</v>
      </c>
      <c r="S87">
        <v>103</v>
      </c>
      <c r="T87">
        <v>961</v>
      </c>
      <c r="U87">
        <v>68</v>
      </c>
      <c r="V87">
        <v>52</v>
      </c>
      <c r="W87">
        <v>0</v>
      </c>
      <c r="X87">
        <v>86</v>
      </c>
      <c r="Y87">
        <v>136</v>
      </c>
      <c r="Z87">
        <v>74</v>
      </c>
      <c r="AA87">
        <v>21</v>
      </c>
      <c r="AB87">
        <v>0.26700000000000002</v>
      </c>
      <c r="AC87">
        <v>0.34399999999999997</v>
      </c>
      <c r="AD87">
        <v>0.442</v>
      </c>
    </row>
    <row r="88" spans="1:30" x14ac:dyDescent="0.5">
      <c r="A88" s="35">
        <v>2002</v>
      </c>
      <c r="B88" t="s">
        <v>142</v>
      </c>
      <c r="C88" t="s">
        <v>38</v>
      </c>
      <c r="D88">
        <v>162</v>
      </c>
      <c r="E88">
        <v>787</v>
      </c>
      <c r="F88">
        <v>1475</v>
      </c>
      <c r="G88" s="60">
        <v>2002</v>
      </c>
      <c r="H88" s="60" t="s">
        <v>90</v>
      </c>
      <c r="I88" s="60" t="str">
        <f t="shared" si="5"/>
        <v>2002 St. Louis Cardinals</v>
      </c>
      <c r="J88" s="60">
        <v>5505</v>
      </c>
      <c r="K88" s="60">
        <f t="shared" si="3"/>
        <v>989</v>
      </c>
      <c r="L88" s="60">
        <v>285</v>
      </c>
      <c r="M88" s="60">
        <v>26</v>
      </c>
      <c r="N88" s="60">
        <v>175</v>
      </c>
      <c r="O88" s="60">
        <v>542</v>
      </c>
      <c r="P88" s="60">
        <v>67</v>
      </c>
      <c r="Q88" s="60">
        <f t="shared" si="4"/>
        <v>3421</v>
      </c>
      <c r="R88">
        <v>758</v>
      </c>
      <c r="S88">
        <v>77</v>
      </c>
      <c r="T88">
        <v>927</v>
      </c>
      <c r="U88">
        <v>83</v>
      </c>
      <c r="V88">
        <v>49</v>
      </c>
      <c r="W88">
        <v>0</v>
      </c>
      <c r="X88">
        <v>80</v>
      </c>
      <c r="Y88">
        <v>123</v>
      </c>
      <c r="Z88">
        <v>86</v>
      </c>
      <c r="AA88">
        <v>42</v>
      </c>
      <c r="AB88">
        <v>0.26800000000000002</v>
      </c>
      <c r="AC88">
        <v>0.33800000000000002</v>
      </c>
      <c r="AD88">
        <v>0.42499999999999999</v>
      </c>
    </row>
    <row r="89" spans="1:30" x14ac:dyDescent="0.5">
      <c r="A89" s="35">
        <v>2002</v>
      </c>
      <c r="B89" t="s">
        <v>151</v>
      </c>
      <c r="C89" t="s">
        <v>149</v>
      </c>
      <c r="D89">
        <v>161</v>
      </c>
      <c r="E89">
        <v>673</v>
      </c>
      <c r="F89">
        <v>1418</v>
      </c>
      <c r="G89" s="60">
        <v>2002</v>
      </c>
      <c r="H89" s="60" t="s">
        <v>92</v>
      </c>
      <c r="I89" s="60" t="str">
        <f t="shared" si="5"/>
        <v>2002 Tampa Bay Devil Rays</v>
      </c>
      <c r="J89" s="60">
        <v>5604</v>
      </c>
      <c r="K89" s="60">
        <f t="shared" si="3"/>
        <v>953</v>
      </c>
      <c r="L89" s="60">
        <v>297</v>
      </c>
      <c r="M89" s="60">
        <v>35</v>
      </c>
      <c r="N89" s="60">
        <v>133</v>
      </c>
      <c r="O89" s="60">
        <v>456</v>
      </c>
      <c r="P89" s="60">
        <v>58</v>
      </c>
      <c r="Q89" s="60">
        <f t="shared" si="4"/>
        <v>3672</v>
      </c>
      <c r="R89">
        <v>640</v>
      </c>
      <c r="S89">
        <v>29</v>
      </c>
      <c r="T89">
        <v>1115</v>
      </c>
      <c r="U89">
        <v>44</v>
      </c>
      <c r="V89">
        <v>36</v>
      </c>
      <c r="W89">
        <v>0</v>
      </c>
      <c r="X89">
        <v>76</v>
      </c>
      <c r="Y89">
        <v>116</v>
      </c>
      <c r="Z89">
        <v>102</v>
      </c>
      <c r="AA89">
        <v>45</v>
      </c>
      <c r="AB89">
        <v>0.253</v>
      </c>
      <c r="AC89">
        <v>0.314</v>
      </c>
      <c r="AD89">
        <v>0.39</v>
      </c>
    </row>
    <row r="90" spans="1:30" x14ac:dyDescent="0.5">
      <c r="A90" s="35">
        <v>2002</v>
      </c>
      <c r="B90" t="s">
        <v>95</v>
      </c>
      <c r="C90" t="s">
        <v>149</v>
      </c>
      <c r="D90">
        <v>162</v>
      </c>
      <c r="E90">
        <v>843</v>
      </c>
      <c r="F90">
        <v>1510</v>
      </c>
      <c r="G90" s="60">
        <v>2002</v>
      </c>
      <c r="H90" s="60" t="s">
        <v>94</v>
      </c>
      <c r="I90" s="60" t="str">
        <f t="shared" si="5"/>
        <v>2002 Texas Rangers</v>
      </c>
      <c r="J90" s="60">
        <v>5618</v>
      </c>
      <c r="K90" s="60">
        <f t="shared" si="3"/>
        <v>949</v>
      </c>
      <c r="L90" s="60">
        <v>304</v>
      </c>
      <c r="M90" s="60">
        <v>27</v>
      </c>
      <c r="N90" s="60">
        <v>230</v>
      </c>
      <c r="O90" s="60">
        <v>554</v>
      </c>
      <c r="P90" s="60">
        <v>62</v>
      </c>
      <c r="Q90" s="60">
        <f t="shared" si="4"/>
        <v>3492</v>
      </c>
      <c r="R90">
        <v>806</v>
      </c>
      <c r="S90">
        <v>45</v>
      </c>
      <c r="T90">
        <v>1055</v>
      </c>
      <c r="U90">
        <v>48</v>
      </c>
      <c r="V90">
        <v>50</v>
      </c>
      <c r="W90">
        <v>0</v>
      </c>
      <c r="X90">
        <v>70</v>
      </c>
      <c r="Y90">
        <v>129</v>
      </c>
      <c r="Z90">
        <v>62</v>
      </c>
      <c r="AA90">
        <v>34</v>
      </c>
      <c r="AB90">
        <v>0.26900000000000002</v>
      </c>
      <c r="AC90">
        <v>0.33800000000000002</v>
      </c>
      <c r="AD90">
        <v>0.45500000000000002</v>
      </c>
    </row>
    <row r="91" spans="1:30" x14ac:dyDescent="0.5">
      <c r="A91" s="35">
        <v>2002</v>
      </c>
      <c r="B91" t="s">
        <v>97</v>
      </c>
      <c r="C91" t="s">
        <v>149</v>
      </c>
      <c r="D91">
        <v>162</v>
      </c>
      <c r="E91">
        <v>813</v>
      </c>
      <c r="F91">
        <v>1457</v>
      </c>
      <c r="G91" s="60">
        <v>2002</v>
      </c>
      <c r="H91" s="60" t="s">
        <v>96</v>
      </c>
      <c r="I91" s="60" t="str">
        <f t="shared" si="5"/>
        <v>2002 Toronto Blue Jays</v>
      </c>
      <c r="J91" s="60">
        <v>5581</v>
      </c>
      <c r="K91" s="60">
        <f t="shared" si="3"/>
        <v>927</v>
      </c>
      <c r="L91" s="60">
        <v>305</v>
      </c>
      <c r="M91" s="60">
        <v>38</v>
      </c>
      <c r="N91" s="60">
        <v>187</v>
      </c>
      <c r="O91" s="60">
        <v>522</v>
      </c>
      <c r="P91" s="60">
        <v>53</v>
      </c>
      <c r="Q91" s="60">
        <f t="shared" si="4"/>
        <v>3549</v>
      </c>
      <c r="R91">
        <v>771</v>
      </c>
      <c r="S91">
        <v>30</v>
      </c>
      <c r="T91">
        <v>1142</v>
      </c>
      <c r="U91">
        <v>17</v>
      </c>
      <c r="V91">
        <v>57</v>
      </c>
      <c r="W91">
        <v>0</v>
      </c>
      <c r="X91">
        <v>73</v>
      </c>
      <c r="Y91">
        <v>130</v>
      </c>
      <c r="Z91">
        <v>71</v>
      </c>
      <c r="AA91">
        <v>18</v>
      </c>
      <c r="AB91">
        <v>0.26100000000000001</v>
      </c>
      <c r="AC91">
        <v>0.32700000000000001</v>
      </c>
      <c r="AD91">
        <v>0.43</v>
      </c>
    </row>
    <row r="92" spans="1:30" x14ac:dyDescent="0.5">
      <c r="A92" s="35">
        <v>2003</v>
      </c>
      <c r="B92" t="s">
        <v>37</v>
      </c>
      <c r="C92" t="s">
        <v>149</v>
      </c>
      <c r="D92">
        <v>162</v>
      </c>
      <c r="E92">
        <v>736</v>
      </c>
      <c r="F92">
        <v>1473</v>
      </c>
      <c r="G92" s="60">
        <v>2003</v>
      </c>
      <c r="H92" s="60" t="s">
        <v>36</v>
      </c>
      <c r="I92" s="60" t="str">
        <f t="shared" si="5"/>
        <v>2003 Anaheim Angels</v>
      </c>
      <c r="J92" s="60">
        <v>5487</v>
      </c>
      <c r="K92" s="60">
        <f t="shared" si="3"/>
        <v>1014</v>
      </c>
      <c r="L92" s="60">
        <v>276</v>
      </c>
      <c r="M92" s="60">
        <v>33</v>
      </c>
      <c r="N92" s="60">
        <v>150</v>
      </c>
      <c r="O92" s="60">
        <v>476</v>
      </c>
      <c r="P92" s="60">
        <v>56</v>
      </c>
      <c r="Q92" s="60">
        <f t="shared" si="4"/>
        <v>3482</v>
      </c>
      <c r="R92">
        <v>687</v>
      </c>
      <c r="S92">
        <v>42</v>
      </c>
      <c r="T92">
        <v>838</v>
      </c>
      <c r="U92">
        <v>50</v>
      </c>
      <c r="V92">
        <v>50</v>
      </c>
      <c r="W92">
        <v>0</v>
      </c>
      <c r="X92">
        <v>49</v>
      </c>
      <c r="Y92">
        <v>125</v>
      </c>
      <c r="Z92">
        <v>129</v>
      </c>
      <c r="AA92">
        <v>61</v>
      </c>
      <c r="AB92">
        <v>0.26800000000000002</v>
      </c>
      <c r="AC92">
        <v>0.33</v>
      </c>
      <c r="AD92">
        <v>0.41299999999999998</v>
      </c>
    </row>
    <row r="93" spans="1:30" x14ac:dyDescent="0.5">
      <c r="A93" s="35">
        <v>2003</v>
      </c>
      <c r="B93" t="s">
        <v>40</v>
      </c>
      <c r="C93" t="s">
        <v>38</v>
      </c>
      <c r="D93">
        <v>162</v>
      </c>
      <c r="E93">
        <v>717</v>
      </c>
      <c r="F93">
        <v>1467</v>
      </c>
      <c r="G93" s="60">
        <v>2003</v>
      </c>
      <c r="H93" s="60" t="s">
        <v>39</v>
      </c>
      <c r="I93" s="60" t="str">
        <f t="shared" si="5"/>
        <v>2003 Arizona Diamondbacks</v>
      </c>
      <c r="J93" s="60">
        <v>5570</v>
      </c>
      <c r="K93" s="60">
        <f t="shared" si="3"/>
        <v>965</v>
      </c>
      <c r="L93" s="60">
        <v>303</v>
      </c>
      <c r="M93" s="60">
        <v>47</v>
      </c>
      <c r="N93" s="60">
        <v>152</v>
      </c>
      <c r="O93" s="60">
        <v>531</v>
      </c>
      <c r="P93" s="60">
        <v>45</v>
      </c>
      <c r="Q93" s="60">
        <f t="shared" si="4"/>
        <v>3527</v>
      </c>
      <c r="R93">
        <v>696</v>
      </c>
      <c r="S93">
        <v>63</v>
      </c>
      <c r="T93">
        <v>1006</v>
      </c>
      <c r="U93">
        <v>63</v>
      </c>
      <c r="V93">
        <v>52</v>
      </c>
      <c r="W93">
        <v>0</v>
      </c>
      <c r="X93">
        <v>65</v>
      </c>
      <c r="Y93">
        <v>126</v>
      </c>
      <c r="Z93">
        <v>76</v>
      </c>
      <c r="AA93">
        <v>38</v>
      </c>
      <c r="AB93">
        <v>0.26300000000000001</v>
      </c>
      <c r="AC93">
        <v>0.33</v>
      </c>
      <c r="AD93">
        <v>0.41699999999999998</v>
      </c>
    </row>
    <row r="94" spans="1:30" x14ac:dyDescent="0.5">
      <c r="A94" s="35">
        <v>2003</v>
      </c>
      <c r="B94" t="s">
        <v>42</v>
      </c>
      <c r="C94" t="s">
        <v>38</v>
      </c>
      <c r="D94">
        <v>162</v>
      </c>
      <c r="E94">
        <v>907</v>
      </c>
      <c r="F94">
        <v>1608</v>
      </c>
      <c r="G94" s="60">
        <v>2003</v>
      </c>
      <c r="H94" s="60" t="s">
        <v>41</v>
      </c>
      <c r="I94" s="60" t="str">
        <f t="shared" si="5"/>
        <v>2003 Atlanta Braves</v>
      </c>
      <c r="J94" s="60">
        <v>5670</v>
      </c>
      <c r="K94" s="60">
        <f t="shared" si="3"/>
        <v>1021</v>
      </c>
      <c r="L94" s="60">
        <v>321</v>
      </c>
      <c r="M94" s="60">
        <v>31</v>
      </c>
      <c r="N94" s="60">
        <v>235</v>
      </c>
      <c r="O94" s="60">
        <v>545</v>
      </c>
      <c r="P94" s="60">
        <v>49</v>
      </c>
      <c r="Q94" s="60">
        <f t="shared" si="4"/>
        <v>3468</v>
      </c>
      <c r="R94">
        <v>872</v>
      </c>
      <c r="S94">
        <v>46</v>
      </c>
      <c r="T94">
        <v>933</v>
      </c>
      <c r="U94">
        <v>65</v>
      </c>
      <c r="V94">
        <v>49</v>
      </c>
      <c r="W94">
        <v>0</v>
      </c>
      <c r="X94">
        <v>73</v>
      </c>
      <c r="Y94">
        <v>124</v>
      </c>
      <c r="Z94">
        <v>68</v>
      </c>
      <c r="AA94">
        <v>22</v>
      </c>
      <c r="AB94">
        <v>0.28399999999999997</v>
      </c>
      <c r="AC94">
        <v>0.34899999999999998</v>
      </c>
      <c r="AD94">
        <v>0.47499999999999998</v>
      </c>
    </row>
    <row r="95" spans="1:30" x14ac:dyDescent="0.5">
      <c r="A95" s="35">
        <v>2003</v>
      </c>
      <c r="B95" t="s">
        <v>45</v>
      </c>
      <c r="C95" t="s">
        <v>149</v>
      </c>
      <c r="D95">
        <v>163</v>
      </c>
      <c r="E95">
        <v>743</v>
      </c>
      <c r="F95">
        <v>1516</v>
      </c>
      <c r="G95" s="60">
        <v>2003</v>
      </c>
      <c r="H95" s="60" t="s">
        <v>44</v>
      </c>
      <c r="I95" s="60" t="str">
        <f t="shared" si="5"/>
        <v>2003 Baltimore Orioles</v>
      </c>
      <c r="J95" s="60">
        <v>5665</v>
      </c>
      <c r="K95" s="60">
        <f t="shared" si="3"/>
        <v>1063</v>
      </c>
      <c r="L95" s="60">
        <v>277</v>
      </c>
      <c r="M95" s="60">
        <v>24</v>
      </c>
      <c r="N95" s="60">
        <v>152</v>
      </c>
      <c r="O95" s="60">
        <v>431</v>
      </c>
      <c r="P95" s="60">
        <v>54</v>
      </c>
      <c r="Q95" s="60">
        <f t="shared" si="4"/>
        <v>3664</v>
      </c>
      <c r="R95">
        <v>695</v>
      </c>
      <c r="S95">
        <v>32</v>
      </c>
      <c r="T95">
        <v>902</v>
      </c>
      <c r="U95">
        <v>51</v>
      </c>
      <c r="V95">
        <v>40</v>
      </c>
      <c r="W95">
        <v>0</v>
      </c>
      <c r="X95">
        <v>73</v>
      </c>
      <c r="Y95">
        <v>123</v>
      </c>
      <c r="Z95">
        <v>89</v>
      </c>
      <c r="AA95">
        <v>36</v>
      </c>
      <c r="AB95">
        <v>0.26800000000000002</v>
      </c>
      <c r="AC95">
        <v>0.32300000000000001</v>
      </c>
      <c r="AD95">
        <v>0.40500000000000003</v>
      </c>
    </row>
    <row r="96" spans="1:30" x14ac:dyDescent="0.5">
      <c r="A96" s="35">
        <v>2003</v>
      </c>
      <c r="B96" t="s">
        <v>47</v>
      </c>
      <c r="C96" t="s">
        <v>149</v>
      </c>
      <c r="D96">
        <v>162</v>
      </c>
      <c r="E96">
        <v>961</v>
      </c>
      <c r="F96">
        <v>1667</v>
      </c>
      <c r="G96" s="60">
        <v>2003</v>
      </c>
      <c r="H96" s="60" t="s">
        <v>46</v>
      </c>
      <c r="I96" s="60" t="str">
        <f t="shared" si="5"/>
        <v>2003 Boston Red Sox</v>
      </c>
      <c r="J96" s="60">
        <v>5769</v>
      </c>
      <c r="K96" s="60">
        <f t="shared" si="3"/>
        <v>1018</v>
      </c>
      <c r="L96" s="60">
        <v>371</v>
      </c>
      <c r="M96" s="60">
        <v>40</v>
      </c>
      <c r="N96" s="60">
        <v>238</v>
      </c>
      <c r="O96" s="60">
        <v>620</v>
      </c>
      <c r="P96" s="60">
        <v>53</v>
      </c>
      <c r="Q96" s="60">
        <f t="shared" si="4"/>
        <v>3429</v>
      </c>
      <c r="R96">
        <v>932</v>
      </c>
      <c r="S96">
        <v>61</v>
      </c>
      <c r="T96">
        <v>943</v>
      </c>
      <c r="U96">
        <v>24</v>
      </c>
      <c r="V96">
        <v>64</v>
      </c>
      <c r="W96">
        <v>0</v>
      </c>
      <c r="X96">
        <v>65</v>
      </c>
      <c r="Y96">
        <v>126</v>
      </c>
      <c r="Z96">
        <v>88</v>
      </c>
      <c r="AA96">
        <v>35</v>
      </c>
      <c r="AB96">
        <v>0.28899999999999998</v>
      </c>
      <c r="AC96">
        <v>0.36</v>
      </c>
      <c r="AD96">
        <v>0.49099999999999999</v>
      </c>
    </row>
    <row r="97" spans="1:30" x14ac:dyDescent="0.5">
      <c r="A97" s="35">
        <v>2003</v>
      </c>
      <c r="B97" t="s">
        <v>143</v>
      </c>
      <c r="C97" t="s">
        <v>38</v>
      </c>
      <c r="D97">
        <v>162</v>
      </c>
      <c r="E97">
        <v>724</v>
      </c>
      <c r="F97">
        <v>1431</v>
      </c>
      <c r="G97" s="60">
        <v>2003</v>
      </c>
      <c r="H97" s="60" t="s">
        <v>50</v>
      </c>
      <c r="I97" s="60" t="str">
        <f t="shared" si="5"/>
        <v>2003 Chicago Cubs</v>
      </c>
      <c r="J97" s="60">
        <v>5519</v>
      </c>
      <c r="K97" s="60">
        <f t="shared" si="3"/>
        <v>933</v>
      </c>
      <c r="L97" s="60">
        <v>302</v>
      </c>
      <c r="M97" s="60">
        <v>24</v>
      </c>
      <c r="N97" s="60">
        <v>172</v>
      </c>
      <c r="O97" s="60">
        <v>492</v>
      </c>
      <c r="P97" s="60">
        <v>50</v>
      </c>
      <c r="Q97" s="60">
        <f t="shared" si="4"/>
        <v>3546</v>
      </c>
      <c r="R97">
        <v>691</v>
      </c>
      <c r="S97">
        <v>40</v>
      </c>
      <c r="T97">
        <v>1158</v>
      </c>
      <c r="U97">
        <v>80</v>
      </c>
      <c r="V97">
        <v>46</v>
      </c>
      <c r="W97">
        <v>0</v>
      </c>
      <c r="X97">
        <v>87</v>
      </c>
      <c r="Y97">
        <v>135</v>
      </c>
      <c r="Z97">
        <v>73</v>
      </c>
      <c r="AA97">
        <v>31</v>
      </c>
      <c r="AB97">
        <v>0.25900000000000001</v>
      </c>
      <c r="AC97">
        <v>0.32300000000000001</v>
      </c>
      <c r="AD97">
        <v>0.41599999999999998</v>
      </c>
    </row>
    <row r="98" spans="1:30" x14ac:dyDescent="0.5">
      <c r="A98" s="35">
        <v>2003</v>
      </c>
      <c r="B98" t="s">
        <v>143</v>
      </c>
      <c r="C98" t="s">
        <v>149</v>
      </c>
      <c r="D98">
        <v>162</v>
      </c>
      <c r="E98">
        <v>791</v>
      </c>
      <c r="F98">
        <v>1445</v>
      </c>
      <c r="G98" s="60">
        <v>2003</v>
      </c>
      <c r="H98" s="60" t="s">
        <v>48</v>
      </c>
      <c r="I98" s="60" t="str">
        <f t="shared" si="5"/>
        <v>2003 Chicago White Sox</v>
      </c>
      <c r="J98" s="60">
        <v>5487</v>
      </c>
      <c r="K98" s="60">
        <f t="shared" si="3"/>
        <v>903</v>
      </c>
      <c r="L98" s="60">
        <v>303</v>
      </c>
      <c r="M98" s="60">
        <v>19</v>
      </c>
      <c r="N98" s="60">
        <v>220</v>
      </c>
      <c r="O98" s="60">
        <v>519</v>
      </c>
      <c r="P98" s="60">
        <v>58</v>
      </c>
      <c r="Q98" s="60">
        <f t="shared" si="4"/>
        <v>3465</v>
      </c>
      <c r="R98">
        <v>766</v>
      </c>
      <c r="S98">
        <v>27</v>
      </c>
      <c r="T98">
        <v>916</v>
      </c>
      <c r="U98">
        <v>43</v>
      </c>
      <c r="V98">
        <v>41</v>
      </c>
      <c r="W98">
        <v>0</v>
      </c>
      <c r="X98">
        <v>60</v>
      </c>
      <c r="Y98">
        <v>132</v>
      </c>
      <c r="Z98">
        <v>77</v>
      </c>
      <c r="AA98">
        <v>29</v>
      </c>
      <c r="AB98">
        <v>0.26300000000000001</v>
      </c>
      <c r="AC98">
        <v>0.33100000000000002</v>
      </c>
      <c r="AD98">
        <v>0.44600000000000001</v>
      </c>
    </row>
    <row r="99" spans="1:30" x14ac:dyDescent="0.5">
      <c r="A99" s="35">
        <v>2003</v>
      </c>
      <c r="B99" t="s">
        <v>53</v>
      </c>
      <c r="C99" t="s">
        <v>38</v>
      </c>
      <c r="D99">
        <v>162</v>
      </c>
      <c r="E99">
        <v>694</v>
      </c>
      <c r="F99">
        <v>1349</v>
      </c>
      <c r="G99" s="60">
        <v>2003</v>
      </c>
      <c r="H99" s="60" t="s">
        <v>52</v>
      </c>
      <c r="I99" s="60" t="str">
        <f t="shared" si="5"/>
        <v>2003 Cincinnati Reds</v>
      </c>
      <c r="J99" s="60">
        <v>5509</v>
      </c>
      <c r="K99" s="60">
        <f t="shared" si="3"/>
        <v>907</v>
      </c>
      <c r="L99" s="60">
        <v>239</v>
      </c>
      <c r="M99" s="60">
        <v>21</v>
      </c>
      <c r="N99" s="60">
        <v>182</v>
      </c>
      <c r="O99" s="60">
        <v>524</v>
      </c>
      <c r="P99" s="60">
        <v>79</v>
      </c>
      <c r="Q99" s="60">
        <f t="shared" si="4"/>
        <v>3557</v>
      </c>
      <c r="R99">
        <v>669</v>
      </c>
      <c r="S99">
        <v>34</v>
      </c>
      <c r="T99">
        <v>1326</v>
      </c>
      <c r="U99">
        <v>66</v>
      </c>
      <c r="V99">
        <v>32</v>
      </c>
      <c r="W99">
        <v>1</v>
      </c>
      <c r="X99">
        <v>68</v>
      </c>
      <c r="Y99">
        <v>102</v>
      </c>
      <c r="Z99">
        <v>80</v>
      </c>
      <c r="AA99">
        <v>34</v>
      </c>
      <c r="AB99">
        <v>0.245</v>
      </c>
      <c r="AC99">
        <v>0.318</v>
      </c>
      <c r="AD99">
        <v>0.39500000000000002</v>
      </c>
    </row>
    <row r="100" spans="1:30" x14ac:dyDescent="0.5">
      <c r="A100" s="35">
        <v>2003</v>
      </c>
      <c r="B100" t="s">
        <v>55</v>
      </c>
      <c r="C100" t="s">
        <v>149</v>
      </c>
      <c r="D100">
        <v>162</v>
      </c>
      <c r="E100">
        <v>699</v>
      </c>
      <c r="F100">
        <v>1413</v>
      </c>
      <c r="G100" s="60">
        <v>2003</v>
      </c>
      <c r="H100" s="60" t="s">
        <v>54</v>
      </c>
      <c r="I100" s="60" t="str">
        <f t="shared" si="5"/>
        <v>2003 Cleveland Indians</v>
      </c>
      <c r="J100" s="60">
        <v>5572</v>
      </c>
      <c r="K100" s="60">
        <f t="shared" si="3"/>
        <v>933</v>
      </c>
      <c r="L100" s="60">
        <v>296</v>
      </c>
      <c r="M100" s="60">
        <v>26</v>
      </c>
      <c r="N100" s="60">
        <v>158</v>
      </c>
      <c r="O100" s="60">
        <v>466</v>
      </c>
      <c r="P100" s="60">
        <v>62</v>
      </c>
      <c r="Q100" s="60">
        <f t="shared" si="4"/>
        <v>3631</v>
      </c>
      <c r="R100">
        <v>660</v>
      </c>
      <c r="S100">
        <v>25</v>
      </c>
      <c r="T100">
        <v>1062</v>
      </c>
      <c r="U100">
        <v>46</v>
      </c>
      <c r="V100">
        <v>41</v>
      </c>
      <c r="W100">
        <v>1</v>
      </c>
      <c r="X100">
        <v>79</v>
      </c>
      <c r="Y100">
        <v>128</v>
      </c>
      <c r="Z100">
        <v>86</v>
      </c>
      <c r="AA100">
        <v>61</v>
      </c>
      <c r="AB100">
        <v>0.254</v>
      </c>
      <c r="AC100">
        <v>0.316</v>
      </c>
      <c r="AD100">
        <v>0.40100000000000002</v>
      </c>
    </row>
    <row r="101" spans="1:30" x14ac:dyDescent="0.5">
      <c r="A101" s="35">
        <v>2003</v>
      </c>
      <c r="B101" t="s">
        <v>57</v>
      </c>
      <c r="C101" t="s">
        <v>38</v>
      </c>
      <c r="D101">
        <v>162</v>
      </c>
      <c r="E101">
        <v>853</v>
      </c>
      <c r="F101">
        <v>1472</v>
      </c>
      <c r="G101" s="60">
        <v>2003</v>
      </c>
      <c r="H101" s="60" t="s">
        <v>56</v>
      </c>
      <c r="I101" s="60" t="str">
        <f t="shared" si="5"/>
        <v>2003 Colorado Rockies</v>
      </c>
      <c r="J101" s="60">
        <v>5518</v>
      </c>
      <c r="K101" s="60">
        <f t="shared" si="3"/>
        <v>913</v>
      </c>
      <c r="L101" s="60">
        <v>330</v>
      </c>
      <c r="M101" s="60">
        <v>31</v>
      </c>
      <c r="N101" s="60">
        <v>198</v>
      </c>
      <c r="O101" s="60">
        <v>619</v>
      </c>
      <c r="P101" s="60">
        <v>52</v>
      </c>
      <c r="Q101" s="60">
        <f t="shared" si="4"/>
        <v>3375</v>
      </c>
      <c r="R101">
        <v>814</v>
      </c>
      <c r="S101">
        <v>46</v>
      </c>
      <c r="T101">
        <v>1134</v>
      </c>
      <c r="U101">
        <v>55</v>
      </c>
      <c r="V101">
        <v>38</v>
      </c>
      <c r="W101">
        <v>1</v>
      </c>
      <c r="X101">
        <v>89</v>
      </c>
      <c r="Y101">
        <v>140</v>
      </c>
      <c r="Z101">
        <v>63</v>
      </c>
      <c r="AA101">
        <v>37</v>
      </c>
      <c r="AB101">
        <v>0.26700000000000002</v>
      </c>
      <c r="AC101">
        <v>0.34399999999999997</v>
      </c>
      <c r="AD101">
        <v>0.44500000000000001</v>
      </c>
    </row>
    <row r="102" spans="1:30" x14ac:dyDescent="0.5">
      <c r="A102" s="35">
        <v>2003</v>
      </c>
      <c r="B102" t="s">
        <v>59</v>
      </c>
      <c r="C102" t="s">
        <v>149</v>
      </c>
      <c r="D102">
        <v>162</v>
      </c>
      <c r="E102">
        <v>591</v>
      </c>
      <c r="F102">
        <v>1312</v>
      </c>
      <c r="G102" s="60">
        <v>2003</v>
      </c>
      <c r="H102" s="60" t="s">
        <v>58</v>
      </c>
      <c r="I102" s="60" t="str">
        <f t="shared" si="5"/>
        <v>2003 Detroit Tigers</v>
      </c>
      <c r="J102" s="60">
        <v>5466</v>
      </c>
      <c r="K102" s="60">
        <f t="shared" si="3"/>
        <v>919</v>
      </c>
      <c r="L102" s="60">
        <v>201</v>
      </c>
      <c r="M102" s="60">
        <v>39</v>
      </c>
      <c r="N102" s="60">
        <v>153</v>
      </c>
      <c r="O102" s="60">
        <v>443</v>
      </c>
      <c r="P102" s="60">
        <v>47</v>
      </c>
      <c r="Q102" s="60">
        <f t="shared" si="4"/>
        <v>3664</v>
      </c>
      <c r="R102">
        <v>553</v>
      </c>
      <c r="S102">
        <v>24</v>
      </c>
      <c r="T102">
        <v>1099</v>
      </c>
      <c r="U102">
        <v>65</v>
      </c>
      <c r="V102">
        <v>49</v>
      </c>
      <c r="W102">
        <v>1</v>
      </c>
      <c r="X102">
        <v>62</v>
      </c>
      <c r="Y102">
        <v>114</v>
      </c>
      <c r="Z102">
        <v>98</v>
      </c>
      <c r="AA102">
        <v>63</v>
      </c>
      <c r="AB102">
        <v>0.24</v>
      </c>
      <c r="AC102">
        <v>0.3</v>
      </c>
      <c r="AD102">
        <v>0.375</v>
      </c>
    </row>
    <row r="103" spans="1:30" x14ac:dyDescent="0.5">
      <c r="A103" s="35">
        <v>2003</v>
      </c>
      <c r="B103" t="s">
        <v>146</v>
      </c>
      <c r="C103" t="s">
        <v>38</v>
      </c>
      <c r="D103">
        <v>162</v>
      </c>
      <c r="E103">
        <v>751</v>
      </c>
      <c r="F103">
        <v>1459</v>
      </c>
      <c r="G103" s="60">
        <v>2003</v>
      </c>
      <c r="H103" s="60" t="s">
        <v>60</v>
      </c>
      <c r="I103" s="60" t="str">
        <f t="shared" si="5"/>
        <v>2003 Florida Marlins</v>
      </c>
      <c r="J103" s="60">
        <v>5490</v>
      </c>
      <c r="K103" s="60">
        <f t="shared" si="3"/>
        <v>966</v>
      </c>
      <c r="L103" s="60">
        <v>292</v>
      </c>
      <c r="M103" s="60">
        <v>44</v>
      </c>
      <c r="N103" s="60">
        <v>157</v>
      </c>
      <c r="O103" s="60">
        <v>515</v>
      </c>
      <c r="P103" s="60">
        <v>57</v>
      </c>
      <c r="Q103" s="60">
        <f t="shared" si="4"/>
        <v>3459</v>
      </c>
      <c r="R103">
        <v>709</v>
      </c>
      <c r="S103">
        <v>44</v>
      </c>
      <c r="T103">
        <v>978</v>
      </c>
      <c r="U103">
        <v>82</v>
      </c>
      <c r="V103">
        <v>41</v>
      </c>
      <c r="W103">
        <v>1</v>
      </c>
      <c r="X103">
        <v>71</v>
      </c>
      <c r="Y103">
        <v>114</v>
      </c>
      <c r="Z103">
        <v>150</v>
      </c>
      <c r="AA103">
        <v>74</v>
      </c>
      <c r="AB103">
        <v>0.26600000000000001</v>
      </c>
      <c r="AC103">
        <v>0.33300000000000002</v>
      </c>
      <c r="AD103">
        <v>0.42099999999999999</v>
      </c>
    </row>
    <row r="104" spans="1:30" x14ac:dyDescent="0.5">
      <c r="A104" s="35">
        <v>2003</v>
      </c>
      <c r="B104" t="s">
        <v>63</v>
      </c>
      <c r="C104" t="s">
        <v>38</v>
      </c>
      <c r="D104">
        <v>162</v>
      </c>
      <c r="E104">
        <v>805</v>
      </c>
      <c r="F104">
        <v>1466</v>
      </c>
      <c r="G104" s="60">
        <v>2003</v>
      </c>
      <c r="H104" s="60" t="s">
        <v>62</v>
      </c>
      <c r="I104" s="60" t="str">
        <f t="shared" si="5"/>
        <v>2003 Houston Astros</v>
      </c>
      <c r="J104" s="60">
        <v>5583</v>
      </c>
      <c r="K104" s="60">
        <f t="shared" si="3"/>
        <v>937</v>
      </c>
      <c r="L104" s="60">
        <v>308</v>
      </c>
      <c r="M104" s="60">
        <v>30</v>
      </c>
      <c r="N104" s="60">
        <v>191</v>
      </c>
      <c r="O104" s="60">
        <v>557</v>
      </c>
      <c r="P104" s="60">
        <v>81</v>
      </c>
      <c r="Q104" s="60">
        <f t="shared" si="4"/>
        <v>3479</v>
      </c>
      <c r="R104">
        <v>763</v>
      </c>
      <c r="S104">
        <v>44</v>
      </c>
      <c r="T104">
        <v>1021</v>
      </c>
      <c r="U104">
        <v>61</v>
      </c>
      <c r="V104">
        <v>38</v>
      </c>
      <c r="W104">
        <v>0</v>
      </c>
      <c r="X104">
        <v>83</v>
      </c>
      <c r="Y104">
        <v>125</v>
      </c>
      <c r="Z104">
        <v>66</v>
      </c>
      <c r="AA104">
        <v>30</v>
      </c>
      <c r="AB104">
        <v>0.26300000000000001</v>
      </c>
      <c r="AC104">
        <v>0.33600000000000002</v>
      </c>
      <c r="AD104">
        <v>0.43099999999999999</v>
      </c>
    </row>
    <row r="105" spans="1:30" x14ac:dyDescent="0.5">
      <c r="A105" s="35">
        <v>2003</v>
      </c>
      <c r="B105" t="s">
        <v>150</v>
      </c>
      <c r="C105" t="s">
        <v>149</v>
      </c>
      <c r="D105">
        <v>162</v>
      </c>
      <c r="E105">
        <v>836</v>
      </c>
      <c r="F105">
        <v>1526</v>
      </c>
      <c r="G105" s="60">
        <v>2003</v>
      </c>
      <c r="H105" s="60" t="s">
        <v>64</v>
      </c>
      <c r="I105" s="60" t="str">
        <f t="shared" si="5"/>
        <v>2003 Kansas City Royals</v>
      </c>
      <c r="J105" s="60">
        <v>5568</v>
      </c>
      <c r="K105" s="60">
        <f t="shared" si="3"/>
        <v>1037</v>
      </c>
      <c r="L105" s="60">
        <v>288</v>
      </c>
      <c r="M105" s="60">
        <v>39</v>
      </c>
      <c r="N105" s="60">
        <v>162</v>
      </c>
      <c r="O105" s="60">
        <v>476</v>
      </c>
      <c r="P105" s="60">
        <v>75</v>
      </c>
      <c r="Q105" s="60">
        <f t="shared" si="4"/>
        <v>3491</v>
      </c>
      <c r="R105">
        <v>781</v>
      </c>
      <c r="S105">
        <v>32</v>
      </c>
      <c r="T105">
        <v>926</v>
      </c>
      <c r="U105">
        <v>63</v>
      </c>
      <c r="V105">
        <v>57</v>
      </c>
      <c r="W105">
        <v>0</v>
      </c>
      <c r="X105">
        <v>86</v>
      </c>
      <c r="Y105">
        <v>128</v>
      </c>
      <c r="Z105">
        <v>120</v>
      </c>
      <c r="AA105">
        <v>42</v>
      </c>
      <c r="AB105">
        <v>0.27400000000000002</v>
      </c>
      <c r="AC105">
        <v>0.33600000000000002</v>
      </c>
      <c r="AD105">
        <v>0.42699999999999999</v>
      </c>
    </row>
    <row r="106" spans="1:30" x14ac:dyDescent="0.5">
      <c r="A106" s="35">
        <v>2003</v>
      </c>
      <c r="B106" t="s">
        <v>145</v>
      </c>
      <c r="C106" t="s">
        <v>38</v>
      </c>
      <c r="D106">
        <v>162</v>
      </c>
      <c r="E106">
        <v>574</v>
      </c>
      <c r="F106">
        <v>1328</v>
      </c>
      <c r="G106" s="60">
        <v>2003</v>
      </c>
      <c r="H106" s="60" t="s">
        <v>66</v>
      </c>
      <c r="I106" s="60" t="str">
        <f t="shared" si="5"/>
        <v>2003 Los Angeles Dodgers</v>
      </c>
      <c r="J106" s="60">
        <v>5458</v>
      </c>
      <c r="K106" s="60">
        <f t="shared" si="3"/>
        <v>919</v>
      </c>
      <c r="L106" s="60">
        <v>260</v>
      </c>
      <c r="M106" s="60">
        <v>25</v>
      </c>
      <c r="N106" s="60">
        <v>124</v>
      </c>
      <c r="O106" s="60">
        <v>407</v>
      </c>
      <c r="P106" s="60">
        <v>72</v>
      </c>
      <c r="Q106" s="60">
        <f t="shared" si="4"/>
        <v>3651</v>
      </c>
      <c r="R106">
        <v>544</v>
      </c>
      <c r="S106">
        <v>43</v>
      </c>
      <c r="T106">
        <v>985</v>
      </c>
      <c r="U106">
        <v>71</v>
      </c>
      <c r="V106">
        <v>28</v>
      </c>
      <c r="W106">
        <v>0</v>
      </c>
      <c r="X106">
        <v>77</v>
      </c>
      <c r="Y106">
        <v>121</v>
      </c>
      <c r="Z106">
        <v>80</v>
      </c>
      <c r="AA106">
        <v>36</v>
      </c>
      <c r="AB106">
        <v>0.24299999999999999</v>
      </c>
      <c r="AC106">
        <v>0.30299999999999999</v>
      </c>
      <c r="AD106">
        <v>0.36799999999999999</v>
      </c>
    </row>
    <row r="107" spans="1:30" x14ac:dyDescent="0.5">
      <c r="A107" s="35">
        <v>2003</v>
      </c>
      <c r="B107" t="s">
        <v>69</v>
      </c>
      <c r="C107" t="s">
        <v>38</v>
      </c>
      <c r="D107">
        <v>162</v>
      </c>
      <c r="E107">
        <v>714</v>
      </c>
      <c r="F107">
        <v>1423</v>
      </c>
      <c r="G107" s="60">
        <v>2003</v>
      </c>
      <c r="H107" s="60" t="s">
        <v>68</v>
      </c>
      <c r="I107" s="60" t="str">
        <f t="shared" si="5"/>
        <v>2003 Milwaukee Brewers</v>
      </c>
      <c r="J107" s="60">
        <v>5548</v>
      </c>
      <c r="K107" s="60">
        <f t="shared" si="3"/>
        <v>937</v>
      </c>
      <c r="L107" s="60">
        <v>266</v>
      </c>
      <c r="M107" s="60">
        <v>24</v>
      </c>
      <c r="N107" s="60">
        <v>196</v>
      </c>
      <c r="O107" s="60">
        <v>547</v>
      </c>
      <c r="P107" s="60">
        <v>71</v>
      </c>
      <c r="Q107" s="60">
        <f t="shared" si="4"/>
        <v>3507</v>
      </c>
      <c r="R107">
        <v>685</v>
      </c>
      <c r="S107">
        <v>41</v>
      </c>
      <c r="T107">
        <v>1221</v>
      </c>
      <c r="U107">
        <v>62</v>
      </c>
      <c r="V107">
        <v>40</v>
      </c>
      <c r="W107">
        <v>2</v>
      </c>
      <c r="X107">
        <v>76</v>
      </c>
      <c r="Y107">
        <v>158</v>
      </c>
      <c r="Z107">
        <v>99</v>
      </c>
      <c r="AA107">
        <v>39</v>
      </c>
      <c r="AB107">
        <v>0.25600000000000001</v>
      </c>
      <c r="AC107">
        <v>0.32900000000000001</v>
      </c>
      <c r="AD107">
        <v>0.41899999999999998</v>
      </c>
    </row>
    <row r="108" spans="1:30" x14ac:dyDescent="0.5">
      <c r="A108" s="35">
        <v>2003</v>
      </c>
      <c r="B108" t="s">
        <v>71</v>
      </c>
      <c r="C108" t="s">
        <v>149</v>
      </c>
      <c r="D108">
        <v>162</v>
      </c>
      <c r="E108">
        <v>801</v>
      </c>
      <c r="F108">
        <v>1567</v>
      </c>
      <c r="G108" s="60">
        <v>2003</v>
      </c>
      <c r="H108" s="60" t="s">
        <v>70</v>
      </c>
      <c r="I108" s="60" t="str">
        <f t="shared" si="5"/>
        <v>2003 Minnesota Twins</v>
      </c>
      <c r="J108" s="60">
        <v>5655</v>
      </c>
      <c r="K108" s="60">
        <f t="shared" si="3"/>
        <v>1049</v>
      </c>
      <c r="L108" s="60">
        <v>318</v>
      </c>
      <c r="M108" s="60">
        <v>45</v>
      </c>
      <c r="N108" s="60">
        <v>155</v>
      </c>
      <c r="O108" s="60">
        <v>512</v>
      </c>
      <c r="P108" s="60">
        <v>63</v>
      </c>
      <c r="Q108" s="60">
        <f t="shared" si="4"/>
        <v>3513</v>
      </c>
      <c r="R108">
        <v>755</v>
      </c>
      <c r="S108">
        <v>36</v>
      </c>
      <c r="T108">
        <v>1027</v>
      </c>
      <c r="U108">
        <v>42</v>
      </c>
      <c r="V108">
        <v>52</v>
      </c>
      <c r="W108">
        <v>0</v>
      </c>
      <c r="X108">
        <v>74</v>
      </c>
      <c r="Y108">
        <v>139</v>
      </c>
      <c r="Z108">
        <v>94</v>
      </c>
      <c r="AA108">
        <v>44</v>
      </c>
      <c r="AB108">
        <v>0.27700000000000002</v>
      </c>
      <c r="AC108">
        <v>0.34100000000000003</v>
      </c>
      <c r="AD108">
        <v>0.43099999999999999</v>
      </c>
    </row>
    <row r="109" spans="1:30" x14ac:dyDescent="0.5">
      <c r="A109" s="35">
        <v>2003</v>
      </c>
      <c r="B109" t="s">
        <v>73</v>
      </c>
      <c r="C109" t="s">
        <v>38</v>
      </c>
      <c r="D109">
        <v>162</v>
      </c>
      <c r="E109">
        <v>711</v>
      </c>
      <c r="F109">
        <v>1404</v>
      </c>
      <c r="G109" s="60">
        <v>2003</v>
      </c>
      <c r="H109" s="60" t="s">
        <v>72</v>
      </c>
      <c r="I109" s="60" t="str">
        <f t="shared" si="5"/>
        <v>2003 Montreal Expos</v>
      </c>
      <c r="J109" s="60">
        <v>5437</v>
      </c>
      <c r="K109" s="60">
        <f t="shared" si="3"/>
        <v>941</v>
      </c>
      <c r="L109" s="60">
        <v>294</v>
      </c>
      <c r="M109" s="60">
        <v>25</v>
      </c>
      <c r="N109" s="60">
        <v>144</v>
      </c>
      <c r="O109" s="60">
        <v>522</v>
      </c>
      <c r="P109" s="60">
        <v>45</v>
      </c>
      <c r="Q109" s="60">
        <f t="shared" si="4"/>
        <v>3466</v>
      </c>
      <c r="R109">
        <v>682</v>
      </c>
      <c r="S109">
        <v>58</v>
      </c>
      <c r="T109">
        <v>990</v>
      </c>
      <c r="U109">
        <v>72</v>
      </c>
      <c r="V109">
        <v>40</v>
      </c>
      <c r="W109">
        <v>0</v>
      </c>
      <c r="X109">
        <v>68</v>
      </c>
      <c r="Y109">
        <v>143</v>
      </c>
      <c r="Z109">
        <v>100</v>
      </c>
      <c r="AA109">
        <v>39</v>
      </c>
      <c r="AB109">
        <v>0.25800000000000001</v>
      </c>
      <c r="AC109">
        <v>0.32600000000000001</v>
      </c>
      <c r="AD109">
        <v>0.40100000000000002</v>
      </c>
    </row>
    <row r="110" spans="1:30" x14ac:dyDescent="0.5">
      <c r="A110" s="35">
        <v>2003</v>
      </c>
      <c r="B110" t="s">
        <v>144</v>
      </c>
      <c r="C110" t="s">
        <v>38</v>
      </c>
      <c r="D110">
        <v>161</v>
      </c>
      <c r="E110">
        <v>642</v>
      </c>
      <c r="F110">
        <v>1317</v>
      </c>
      <c r="G110" s="60">
        <v>2003</v>
      </c>
      <c r="H110" s="60" t="s">
        <v>76</v>
      </c>
      <c r="I110" s="60" t="str">
        <f t="shared" si="5"/>
        <v>2003 New York Mets</v>
      </c>
      <c r="J110" s="60">
        <v>5341</v>
      </c>
      <c r="K110" s="60">
        <f t="shared" si="3"/>
        <v>907</v>
      </c>
      <c r="L110" s="60">
        <v>262</v>
      </c>
      <c r="M110" s="60">
        <v>24</v>
      </c>
      <c r="N110" s="60">
        <v>124</v>
      </c>
      <c r="O110" s="60">
        <v>489</v>
      </c>
      <c r="P110" s="60">
        <v>54</v>
      </c>
      <c r="Q110" s="60">
        <f t="shared" si="4"/>
        <v>3481</v>
      </c>
      <c r="R110">
        <v>607</v>
      </c>
      <c r="S110">
        <v>42</v>
      </c>
      <c r="T110">
        <v>1035</v>
      </c>
      <c r="U110">
        <v>78</v>
      </c>
      <c r="V110">
        <v>45</v>
      </c>
      <c r="W110">
        <v>0</v>
      </c>
      <c r="X110">
        <v>85</v>
      </c>
      <c r="Y110">
        <v>136</v>
      </c>
      <c r="Z110">
        <v>70</v>
      </c>
      <c r="AA110">
        <v>31</v>
      </c>
      <c r="AB110">
        <v>0.247</v>
      </c>
      <c r="AC110">
        <v>0.314</v>
      </c>
      <c r="AD110">
        <v>0.374</v>
      </c>
    </row>
    <row r="111" spans="1:30" x14ac:dyDescent="0.5">
      <c r="A111" s="35">
        <v>2003</v>
      </c>
      <c r="B111" t="s">
        <v>144</v>
      </c>
      <c r="C111" t="s">
        <v>149</v>
      </c>
      <c r="D111">
        <v>163</v>
      </c>
      <c r="E111">
        <v>877</v>
      </c>
      <c r="F111">
        <v>1518</v>
      </c>
      <c r="G111" s="60">
        <v>2003</v>
      </c>
      <c r="H111" s="60" t="s">
        <v>74</v>
      </c>
      <c r="I111" s="60" t="str">
        <f t="shared" si="5"/>
        <v>2003 New York Yankees</v>
      </c>
      <c r="J111" s="60">
        <v>5605</v>
      </c>
      <c r="K111" s="60">
        <f t="shared" si="3"/>
        <v>970</v>
      </c>
      <c r="L111" s="60">
        <v>304</v>
      </c>
      <c r="M111" s="60">
        <v>14</v>
      </c>
      <c r="N111" s="60">
        <v>230</v>
      </c>
      <c r="O111" s="60">
        <v>684</v>
      </c>
      <c r="P111" s="60">
        <v>81</v>
      </c>
      <c r="Q111" s="60">
        <f t="shared" si="4"/>
        <v>3322</v>
      </c>
      <c r="R111">
        <v>845</v>
      </c>
      <c r="S111">
        <v>54</v>
      </c>
      <c r="T111">
        <v>1042</v>
      </c>
      <c r="U111">
        <v>25</v>
      </c>
      <c r="V111">
        <v>35</v>
      </c>
      <c r="W111">
        <v>1</v>
      </c>
      <c r="X111">
        <v>74</v>
      </c>
      <c r="Y111">
        <v>154</v>
      </c>
      <c r="Z111">
        <v>98</v>
      </c>
      <c r="AA111">
        <v>33</v>
      </c>
      <c r="AB111">
        <v>0.27100000000000002</v>
      </c>
      <c r="AC111">
        <v>0.35599999999999998</v>
      </c>
      <c r="AD111">
        <v>0.45300000000000001</v>
      </c>
    </row>
    <row r="112" spans="1:30" x14ac:dyDescent="0.5">
      <c r="A112" s="35">
        <v>2003</v>
      </c>
      <c r="B112" t="s">
        <v>79</v>
      </c>
      <c r="C112" t="s">
        <v>149</v>
      </c>
      <c r="D112">
        <v>162</v>
      </c>
      <c r="E112">
        <v>768</v>
      </c>
      <c r="F112">
        <v>1398</v>
      </c>
      <c r="G112" s="60">
        <v>2003</v>
      </c>
      <c r="H112" s="60" t="s">
        <v>78</v>
      </c>
      <c r="I112" s="60" t="str">
        <f t="shared" si="5"/>
        <v>2003 Oakland Athletics</v>
      </c>
      <c r="J112" s="60">
        <v>5497</v>
      </c>
      <c r="K112" s="60">
        <f t="shared" si="3"/>
        <v>881</v>
      </c>
      <c r="L112" s="60">
        <v>317</v>
      </c>
      <c r="M112" s="60">
        <v>24</v>
      </c>
      <c r="N112" s="60">
        <v>176</v>
      </c>
      <c r="O112" s="60">
        <v>556</v>
      </c>
      <c r="P112" s="60">
        <v>59</v>
      </c>
      <c r="Q112" s="60">
        <f t="shared" si="4"/>
        <v>3484</v>
      </c>
      <c r="R112">
        <v>742</v>
      </c>
      <c r="S112">
        <v>52</v>
      </c>
      <c r="T112">
        <v>898</v>
      </c>
      <c r="U112">
        <v>22</v>
      </c>
      <c r="V112">
        <v>53</v>
      </c>
      <c r="W112">
        <v>2</v>
      </c>
      <c r="X112">
        <v>66</v>
      </c>
      <c r="Y112">
        <v>118</v>
      </c>
      <c r="Z112">
        <v>48</v>
      </c>
      <c r="AA112">
        <v>14</v>
      </c>
      <c r="AB112">
        <v>0.254</v>
      </c>
      <c r="AC112">
        <v>0.32700000000000001</v>
      </c>
      <c r="AD112">
        <v>0.41699999999999998</v>
      </c>
    </row>
    <row r="113" spans="1:30" x14ac:dyDescent="0.5">
      <c r="A113" s="35">
        <v>2003</v>
      </c>
      <c r="B113" t="s">
        <v>81</v>
      </c>
      <c r="C113" t="s">
        <v>38</v>
      </c>
      <c r="D113">
        <v>162</v>
      </c>
      <c r="E113">
        <v>791</v>
      </c>
      <c r="F113">
        <v>1448</v>
      </c>
      <c r="G113" s="60">
        <v>2003</v>
      </c>
      <c r="H113" s="60" t="s">
        <v>80</v>
      </c>
      <c r="I113" s="60" t="str">
        <f t="shared" si="5"/>
        <v>2003 Philadelphia Phillies</v>
      </c>
      <c r="J113" s="60">
        <v>5543</v>
      </c>
      <c r="K113" s="60">
        <f t="shared" si="3"/>
        <v>930</v>
      </c>
      <c r="L113" s="60">
        <v>325</v>
      </c>
      <c r="M113" s="60">
        <v>27</v>
      </c>
      <c r="N113" s="60">
        <v>166</v>
      </c>
      <c r="O113" s="60">
        <v>651</v>
      </c>
      <c r="P113" s="60">
        <v>55</v>
      </c>
      <c r="Q113" s="60">
        <f t="shared" si="4"/>
        <v>3389</v>
      </c>
      <c r="R113">
        <v>757</v>
      </c>
      <c r="S113">
        <v>56</v>
      </c>
      <c r="T113">
        <v>1155</v>
      </c>
      <c r="U113">
        <v>46</v>
      </c>
      <c r="V113">
        <v>38</v>
      </c>
      <c r="W113">
        <v>0</v>
      </c>
      <c r="X113">
        <v>57</v>
      </c>
      <c r="Y113">
        <v>120</v>
      </c>
      <c r="Z113">
        <v>72</v>
      </c>
      <c r="AA113">
        <v>29</v>
      </c>
      <c r="AB113">
        <v>0.26100000000000001</v>
      </c>
      <c r="AC113">
        <v>0.34300000000000003</v>
      </c>
      <c r="AD113">
        <v>0.41899999999999998</v>
      </c>
    </row>
    <row r="114" spans="1:30" x14ac:dyDescent="0.5">
      <c r="A114" s="35">
        <v>2003</v>
      </c>
      <c r="B114" t="s">
        <v>83</v>
      </c>
      <c r="C114" t="s">
        <v>38</v>
      </c>
      <c r="D114">
        <v>162</v>
      </c>
      <c r="E114">
        <v>753</v>
      </c>
      <c r="F114">
        <v>1492</v>
      </c>
      <c r="G114" s="60">
        <v>2003</v>
      </c>
      <c r="H114" s="60" t="s">
        <v>82</v>
      </c>
      <c r="I114" s="60" t="str">
        <f t="shared" si="5"/>
        <v>2003 Pittsburgh Pirates</v>
      </c>
      <c r="J114" s="60">
        <v>5581</v>
      </c>
      <c r="K114" s="60">
        <f t="shared" si="3"/>
        <v>1009</v>
      </c>
      <c r="L114" s="60">
        <v>275</v>
      </c>
      <c r="M114" s="60">
        <v>45</v>
      </c>
      <c r="N114" s="60">
        <v>163</v>
      </c>
      <c r="O114" s="60">
        <v>529</v>
      </c>
      <c r="P114" s="60">
        <v>87</v>
      </c>
      <c r="Q114" s="60">
        <f t="shared" si="4"/>
        <v>3473</v>
      </c>
      <c r="R114">
        <v>711</v>
      </c>
      <c r="S114">
        <v>42</v>
      </c>
      <c r="T114">
        <v>1049</v>
      </c>
      <c r="U114">
        <v>79</v>
      </c>
      <c r="V114">
        <v>38</v>
      </c>
      <c r="W114">
        <v>1</v>
      </c>
      <c r="X114">
        <v>74</v>
      </c>
      <c r="Y114">
        <v>112</v>
      </c>
      <c r="Z114">
        <v>86</v>
      </c>
      <c r="AA114">
        <v>37</v>
      </c>
      <c r="AB114">
        <v>0.26700000000000002</v>
      </c>
      <c r="AC114">
        <v>0.33800000000000002</v>
      </c>
      <c r="AD114">
        <v>0.42</v>
      </c>
    </row>
    <row r="115" spans="1:30" x14ac:dyDescent="0.5">
      <c r="A115" s="35">
        <v>2003</v>
      </c>
      <c r="B115" t="s">
        <v>147</v>
      </c>
      <c r="C115" t="s">
        <v>38</v>
      </c>
      <c r="D115">
        <v>162</v>
      </c>
      <c r="E115">
        <v>678</v>
      </c>
      <c r="F115">
        <v>1442</v>
      </c>
      <c r="G115" s="60">
        <v>2003</v>
      </c>
      <c r="H115" s="60" t="s">
        <v>84</v>
      </c>
      <c r="I115" s="60" t="str">
        <f t="shared" si="5"/>
        <v>2003 San Diego Padres</v>
      </c>
      <c r="J115" s="60">
        <v>5531</v>
      </c>
      <c r="K115" s="60">
        <f t="shared" si="3"/>
        <v>1025</v>
      </c>
      <c r="L115" s="60">
        <v>257</v>
      </c>
      <c r="M115" s="60">
        <v>32</v>
      </c>
      <c r="N115" s="60">
        <v>128</v>
      </c>
      <c r="O115" s="60">
        <v>565</v>
      </c>
      <c r="P115" s="60">
        <v>57</v>
      </c>
      <c r="Q115" s="60">
        <f t="shared" si="4"/>
        <v>3467</v>
      </c>
      <c r="R115">
        <v>641</v>
      </c>
      <c r="S115">
        <v>34</v>
      </c>
      <c r="T115">
        <v>1073</v>
      </c>
      <c r="U115">
        <v>50</v>
      </c>
      <c r="V115">
        <v>42</v>
      </c>
      <c r="W115">
        <v>1</v>
      </c>
      <c r="X115">
        <v>58</v>
      </c>
      <c r="Y115">
        <v>142</v>
      </c>
      <c r="Z115">
        <v>76</v>
      </c>
      <c r="AA115">
        <v>39</v>
      </c>
      <c r="AB115">
        <v>0.26100000000000001</v>
      </c>
      <c r="AC115">
        <v>0.33300000000000002</v>
      </c>
      <c r="AD115">
        <v>0.38800000000000001</v>
      </c>
    </row>
    <row r="116" spans="1:30" x14ac:dyDescent="0.5">
      <c r="A116" s="35">
        <v>2003</v>
      </c>
      <c r="B116" t="s">
        <v>87</v>
      </c>
      <c r="C116" t="s">
        <v>149</v>
      </c>
      <c r="D116">
        <v>162</v>
      </c>
      <c r="E116">
        <v>795</v>
      </c>
      <c r="F116">
        <v>1509</v>
      </c>
      <c r="G116" s="60">
        <v>2003</v>
      </c>
      <c r="H116" s="60" t="s">
        <v>86</v>
      </c>
      <c r="I116" s="60" t="str">
        <f t="shared" si="5"/>
        <v>2003 Seattle Mariners</v>
      </c>
      <c r="J116" s="60">
        <v>5561</v>
      </c>
      <c r="K116" s="60">
        <f t="shared" si="3"/>
        <v>1047</v>
      </c>
      <c r="L116" s="60">
        <v>290</v>
      </c>
      <c r="M116" s="60">
        <v>33</v>
      </c>
      <c r="N116" s="60">
        <v>139</v>
      </c>
      <c r="O116" s="60">
        <v>586</v>
      </c>
      <c r="P116" s="60">
        <v>53</v>
      </c>
      <c r="Q116" s="60">
        <f t="shared" si="4"/>
        <v>3413</v>
      </c>
      <c r="R116">
        <v>759</v>
      </c>
      <c r="S116">
        <v>34</v>
      </c>
      <c r="T116">
        <v>989</v>
      </c>
      <c r="U116">
        <v>35</v>
      </c>
      <c r="V116">
        <v>46</v>
      </c>
      <c r="W116">
        <v>0</v>
      </c>
      <c r="X116">
        <v>57</v>
      </c>
      <c r="Y116">
        <v>130</v>
      </c>
      <c r="Z116">
        <v>108</v>
      </c>
      <c r="AA116">
        <v>37</v>
      </c>
      <c r="AB116">
        <v>0.27100000000000002</v>
      </c>
      <c r="AC116">
        <v>0.34399999999999997</v>
      </c>
      <c r="AD116">
        <v>0.41</v>
      </c>
    </row>
    <row r="117" spans="1:30" x14ac:dyDescent="0.5">
      <c r="A117" s="35">
        <v>2003</v>
      </c>
      <c r="B117" t="s">
        <v>21</v>
      </c>
      <c r="C117" t="s">
        <v>38</v>
      </c>
      <c r="D117">
        <v>161</v>
      </c>
      <c r="E117">
        <v>755</v>
      </c>
      <c r="F117">
        <v>1440</v>
      </c>
      <c r="G117" s="60">
        <v>2003</v>
      </c>
      <c r="H117" s="60" t="s">
        <v>88</v>
      </c>
      <c r="I117" s="60" t="str">
        <f t="shared" si="5"/>
        <v>2003 San Francisco Giants</v>
      </c>
      <c r="J117" s="60">
        <v>5456</v>
      </c>
      <c r="K117" s="60">
        <f t="shared" si="3"/>
        <v>950</v>
      </c>
      <c r="L117" s="60">
        <v>281</v>
      </c>
      <c r="M117" s="60">
        <v>29</v>
      </c>
      <c r="N117" s="60">
        <v>180</v>
      </c>
      <c r="O117" s="60">
        <v>593</v>
      </c>
      <c r="P117" s="60">
        <v>40</v>
      </c>
      <c r="Q117" s="60">
        <f t="shared" si="4"/>
        <v>3383</v>
      </c>
      <c r="R117">
        <v>713</v>
      </c>
      <c r="S117">
        <v>79</v>
      </c>
      <c r="T117">
        <v>980</v>
      </c>
      <c r="U117">
        <v>76</v>
      </c>
      <c r="V117">
        <v>39</v>
      </c>
      <c r="W117">
        <v>0</v>
      </c>
      <c r="X117">
        <v>76</v>
      </c>
      <c r="Y117">
        <v>130</v>
      </c>
      <c r="Z117">
        <v>53</v>
      </c>
      <c r="AA117">
        <v>37</v>
      </c>
      <c r="AB117">
        <v>0.26400000000000001</v>
      </c>
      <c r="AC117">
        <v>0.33800000000000002</v>
      </c>
      <c r="AD117">
        <v>0.42499999999999999</v>
      </c>
    </row>
    <row r="118" spans="1:30" x14ac:dyDescent="0.5">
      <c r="A118" s="35">
        <v>2003</v>
      </c>
      <c r="B118" t="s">
        <v>142</v>
      </c>
      <c r="C118" t="s">
        <v>38</v>
      </c>
      <c r="D118">
        <v>162</v>
      </c>
      <c r="E118">
        <v>876</v>
      </c>
      <c r="F118">
        <v>1580</v>
      </c>
      <c r="G118" s="60">
        <v>2003</v>
      </c>
      <c r="H118" s="60" t="s">
        <v>90</v>
      </c>
      <c r="I118" s="60" t="str">
        <f t="shared" si="5"/>
        <v>2003 St. Louis Cardinals</v>
      </c>
      <c r="J118" s="60">
        <v>5672</v>
      </c>
      <c r="K118" s="60">
        <f t="shared" si="3"/>
        <v>1010</v>
      </c>
      <c r="L118" s="60">
        <v>342</v>
      </c>
      <c r="M118" s="60">
        <v>32</v>
      </c>
      <c r="N118" s="60">
        <v>196</v>
      </c>
      <c r="O118" s="60">
        <v>580</v>
      </c>
      <c r="P118" s="60">
        <v>73</v>
      </c>
      <c r="Q118" s="60">
        <f t="shared" si="4"/>
        <v>3439</v>
      </c>
      <c r="R118">
        <v>827</v>
      </c>
      <c r="S118">
        <v>68</v>
      </c>
      <c r="T118">
        <v>952</v>
      </c>
      <c r="U118">
        <v>87</v>
      </c>
      <c r="V118">
        <v>54</v>
      </c>
      <c r="W118">
        <v>0</v>
      </c>
      <c r="X118">
        <v>73</v>
      </c>
      <c r="Y118">
        <v>136</v>
      </c>
      <c r="Z118">
        <v>82</v>
      </c>
      <c r="AA118">
        <v>32</v>
      </c>
      <c r="AB118">
        <v>0.27900000000000003</v>
      </c>
      <c r="AC118">
        <v>0.35</v>
      </c>
      <c r="AD118">
        <v>0.45400000000000001</v>
      </c>
    </row>
    <row r="119" spans="1:30" x14ac:dyDescent="0.5">
      <c r="A119" s="35">
        <v>2003</v>
      </c>
      <c r="B119" t="s">
        <v>151</v>
      </c>
      <c r="C119" t="s">
        <v>149</v>
      </c>
      <c r="D119">
        <v>162</v>
      </c>
      <c r="E119">
        <v>715</v>
      </c>
      <c r="F119">
        <v>1501</v>
      </c>
      <c r="G119" s="60">
        <v>2003</v>
      </c>
      <c r="H119" s="60" t="s">
        <v>92</v>
      </c>
      <c r="I119" s="60" t="str">
        <f t="shared" si="5"/>
        <v>2003 Tampa Bay Devil Rays</v>
      </c>
      <c r="J119" s="60">
        <v>5654</v>
      </c>
      <c r="K119" s="60">
        <f t="shared" si="3"/>
        <v>1028</v>
      </c>
      <c r="L119" s="60">
        <v>298</v>
      </c>
      <c r="M119" s="60">
        <v>38</v>
      </c>
      <c r="N119" s="60">
        <v>137</v>
      </c>
      <c r="O119" s="60">
        <v>420</v>
      </c>
      <c r="P119" s="60">
        <v>56</v>
      </c>
      <c r="Q119" s="60">
        <f t="shared" si="4"/>
        <v>3677</v>
      </c>
      <c r="R119">
        <v>678</v>
      </c>
      <c r="S119">
        <v>46</v>
      </c>
      <c r="T119">
        <v>1030</v>
      </c>
      <c r="U119">
        <v>32</v>
      </c>
      <c r="V119">
        <v>50</v>
      </c>
      <c r="W119">
        <v>0</v>
      </c>
      <c r="X119">
        <v>72</v>
      </c>
      <c r="Y119">
        <v>108</v>
      </c>
      <c r="Z119">
        <v>142</v>
      </c>
      <c r="AA119">
        <v>42</v>
      </c>
      <c r="AB119">
        <v>0.26500000000000001</v>
      </c>
      <c r="AC119">
        <v>0.32</v>
      </c>
      <c r="AD119">
        <v>0.40400000000000003</v>
      </c>
    </row>
    <row r="120" spans="1:30" x14ac:dyDescent="0.5">
      <c r="A120" s="35">
        <v>2003</v>
      </c>
      <c r="B120" t="s">
        <v>95</v>
      </c>
      <c r="C120" t="s">
        <v>149</v>
      </c>
      <c r="D120">
        <v>162</v>
      </c>
      <c r="E120">
        <v>826</v>
      </c>
      <c r="F120">
        <v>1506</v>
      </c>
      <c r="G120" s="60">
        <v>2003</v>
      </c>
      <c r="H120" s="60" t="s">
        <v>94</v>
      </c>
      <c r="I120" s="60" t="str">
        <f t="shared" si="5"/>
        <v>2003 Texas Rangers</v>
      </c>
      <c r="J120" s="60">
        <v>5664</v>
      </c>
      <c r="K120" s="60">
        <f t="shared" si="3"/>
        <v>957</v>
      </c>
      <c r="L120" s="60">
        <v>274</v>
      </c>
      <c r="M120" s="60">
        <v>36</v>
      </c>
      <c r="N120" s="60">
        <v>239</v>
      </c>
      <c r="O120" s="60">
        <v>488</v>
      </c>
      <c r="P120" s="60">
        <v>75</v>
      </c>
      <c r="Q120" s="60">
        <f t="shared" si="4"/>
        <v>3595</v>
      </c>
      <c r="R120">
        <v>799</v>
      </c>
      <c r="S120">
        <v>31</v>
      </c>
      <c r="T120">
        <v>1052</v>
      </c>
      <c r="U120">
        <v>24</v>
      </c>
      <c r="V120">
        <v>42</v>
      </c>
      <c r="W120">
        <v>0</v>
      </c>
      <c r="X120">
        <v>78</v>
      </c>
      <c r="Y120">
        <v>115</v>
      </c>
      <c r="Z120">
        <v>65</v>
      </c>
      <c r="AA120">
        <v>25</v>
      </c>
      <c r="AB120">
        <v>0.26600000000000001</v>
      </c>
      <c r="AC120">
        <v>0.33</v>
      </c>
      <c r="AD120">
        <v>0.45400000000000001</v>
      </c>
    </row>
    <row r="121" spans="1:30" x14ac:dyDescent="0.5">
      <c r="A121" s="35">
        <v>2003</v>
      </c>
      <c r="B121" t="s">
        <v>97</v>
      </c>
      <c r="C121" t="s">
        <v>149</v>
      </c>
      <c r="D121">
        <v>162</v>
      </c>
      <c r="E121">
        <v>894</v>
      </c>
      <c r="F121">
        <v>1580</v>
      </c>
      <c r="G121" s="60">
        <v>2003</v>
      </c>
      <c r="H121" s="60" t="s">
        <v>96</v>
      </c>
      <c r="I121" s="60" t="str">
        <f t="shared" si="5"/>
        <v>2003 Toronto Blue Jays</v>
      </c>
      <c r="J121" s="60">
        <v>5661</v>
      </c>
      <c r="K121" s="60">
        <f t="shared" si="3"/>
        <v>1000</v>
      </c>
      <c r="L121" s="60">
        <v>357</v>
      </c>
      <c r="M121" s="60">
        <v>33</v>
      </c>
      <c r="N121" s="60">
        <v>190</v>
      </c>
      <c r="O121" s="60">
        <v>546</v>
      </c>
      <c r="P121" s="60">
        <v>90</v>
      </c>
      <c r="Q121" s="60">
        <f t="shared" si="4"/>
        <v>3445</v>
      </c>
      <c r="R121">
        <v>853</v>
      </c>
      <c r="S121">
        <v>40</v>
      </c>
      <c r="T121">
        <v>1081</v>
      </c>
      <c r="U121">
        <v>11</v>
      </c>
      <c r="V121">
        <v>56</v>
      </c>
      <c r="W121">
        <v>0</v>
      </c>
      <c r="X121">
        <v>65</v>
      </c>
      <c r="Y121">
        <v>146</v>
      </c>
      <c r="Z121">
        <v>37</v>
      </c>
      <c r="AA121">
        <v>25</v>
      </c>
      <c r="AB121">
        <v>0.27900000000000003</v>
      </c>
      <c r="AC121">
        <v>0.34899999999999998</v>
      </c>
      <c r="AD121">
        <v>0.45500000000000002</v>
      </c>
    </row>
    <row r="122" spans="1:30" x14ac:dyDescent="0.5">
      <c r="A122" s="35">
        <v>2004</v>
      </c>
      <c r="B122" t="s">
        <v>37</v>
      </c>
      <c r="C122" t="s">
        <v>149</v>
      </c>
      <c r="D122">
        <v>162</v>
      </c>
      <c r="E122">
        <v>836</v>
      </c>
      <c r="F122">
        <v>1603</v>
      </c>
      <c r="G122" s="60">
        <v>2004</v>
      </c>
      <c r="H122" s="60" t="s">
        <v>36</v>
      </c>
      <c r="I122" s="60" t="str">
        <f t="shared" si="5"/>
        <v>2004 Anaheim Angels</v>
      </c>
      <c r="J122" s="60">
        <v>5675</v>
      </c>
      <c r="K122" s="60">
        <f t="shared" si="3"/>
        <v>1132</v>
      </c>
      <c r="L122" s="60">
        <v>272</v>
      </c>
      <c r="M122" s="60">
        <v>37</v>
      </c>
      <c r="N122" s="60">
        <v>162</v>
      </c>
      <c r="O122" s="60">
        <v>450</v>
      </c>
      <c r="P122" s="60">
        <v>73</v>
      </c>
      <c r="Q122" s="60">
        <f t="shared" si="4"/>
        <v>3549</v>
      </c>
      <c r="R122">
        <v>783</v>
      </c>
      <c r="S122">
        <v>43</v>
      </c>
      <c r="T122">
        <v>942</v>
      </c>
      <c r="U122">
        <v>56</v>
      </c>
      <c r="V122">
        <v>41</v>
      </c>
      <c r="W122">
        <v>1</v>
      </c>
      <c r="X122">
        <v>81</v>
      </c>
      <c r="Y122">
        <v>123</v>
      </c>
      <c r="Z122">
        <v>143</v>
      </c>
      <c r="AA122">
        <v>46</v>
      </c>
      <c r="AB122">
        <v>0.28199999999999997</v>
      </c>
      <c r="AC122">
        <v>0.34100000000000003</v>
      </c>
      <c r="AD122">
        <v>0.42899999999999999</v>
      </c>
    </row>
    <row r="123" spans="1:30" x14ac:dyDescent="0.5">
      <c r="A123" s="35">
        <v>2004</v>
      </c>
      <c r="B123" t="s">
        <v>40</v>
      </c>
      <c r="C123" t="s">
        <v>38</v>
      </c>
      <c r="D123">
        <v>162</v>
      </c>
      <c r="E123">
        <v>615</v>
      </c>
      <c r="F123">
        <v>1401</v>
      </c>
      <c r="G123" s="60">
        <v>2004</v>
      </c>
      <c r="H123" s="60" t="s">
        <v>39</v>
      </c>
      <c r="I123" s="60" t="str">
        <f t="shared" si="5"/>
        <v>2004 Arizona Diamondbacks</v>
      </c>
      <c r="J123" s="60">
        <v>5544</v>
      </c>
      <c r="K123" s="60">
        <f t="shared" si="3"/>
        <v>933</v>
      </c>
      <c r="L123" s="60">
        <v>295</v>
      </c>
      <c r="M123" s="60">
        <v>38</v>
      </c>
      <c r="N123" s="60">
        <v>135</v>
      </c>
      <c r="O123" s="60">
        <v>441</v>
      </c>
      <c r="P123" s="60">
        <v>35</v>
      </c>
      <c r="Q123" s="60">
        <f t="shared" si="4"/>
        <v>3667</v>
      </c>
      <c r="R123">
        <v>582</v>
      </c>
      <c r="S123">
        <v>38</v>
      </c>
      <c r="T123">
        <v>1022</v>
      </c>
      <c r="U123">
        <v>56</v>
      </c>
      <c r="V123">
        <v>37</v>
      </c>
      <c r="W123">
        <v>1</v>
      </c>
      <c r="X123">
        <v>43</v>
      </c>
      <c r="Y123">
        <v>137</v>
      </c>
      <c r="Z123">
        <v>53</v>
      </c>
      <c r="AA123">
        <v>32</v>
      </c>
      <c r="AB123">
        <v>0.253</v>
      </c>
      <c r="AC123">
        <v>0.31</v>
      </c>
      <c r="AD123">
        <v>0.39300000000000002</v>
      </c>
    </row>
    <row r="124" spans="1:30" x14ac:dyDescent="0.5">
      <c r="A124" s="35">
        <v>2004</v>
      </c>
      <c r="B124" t="s">
        <v>42</v>
      </c>
      <c r="C124" t="s">
        <v>38</v>
      </c>
      <c r="D124">
        <v>162</v>
      </c>
      <c r="E124">
        <v>803</v>
      </c>
      <c r="F124">
        <v>1503</v>
      </c>
      <c r="G124" s="60">
        <v>2004</v>
      </c>
      <c r="H124" s="60" t="s">
        <v>41</v>
      </c>
      <c r="I124" s="60" t="str">
        <f t="shared" si="5"/>
        <v>2004 Atlanta Braves</v>
      </c>
      <c r="J124" s="60">
        <v>5570</v>
      </c>
      <c r="K124" s="60">
        <f t="shared" si="3"/>
        <v>984</v>
      </c>
      <c r="L124" s="60">
        <v>304</v>
      </c>
      <c r="M124" s="60">
        <v>37</v>
      </c>
      <c r="N124" s="60">
        <v>178</v>
      </c>
      <c r="O124" s="60">
        <v>587</v>
      </c>
      <c r="P124" s="60">
        <v>59</v>
      </c>
      <c r="Q124" s="60">
        <f t="shared" si="4"/>
        <v>3421</v>
      </c>
      <c r="R124">
        <v>767</v>
      </c>
      <c r="S124">
        <v>51</v>
      </c>
      <c r="T124">
        <v>1158</v>
      </c>
      <c r="U124">
        <v>75</v>
      </c>
      <c r="V124">
        <v>48</v>
      </c>
      <c r="W124">
        <v>0</v>
      </c>
      <c r="X124">
        <v>66</v>
      </c>
      <c r="Y124">
        <v>123</v>
      </c>
      <c r="Z124">
        <v>86</v>
      </c>
      <c r="AA124">
        <v>32</v>
      </c>
      <c r="AB124">
        <v>0.27</v>
      </c>
      <c r="AC124">
        <v>0.34300000000000003</v>
      </c>
      <c r="AD124">
        <v>0.434</v>
      </c>
    </row>
    <row r="125" spans="1:30" x14ac:dyDescent="0.5">
      <c r="A125" s="35">
        <v>2004</v>
      </c>
      <c r="B125" t="s">
        <v>45</v>
      </c>
      <c r="C125" t="s">
        <v>149</v>
      </c>
      <c r="D125">
        <v>162</v>
      </c>
      <c r="E125">
        <v>842</v>
      </c>
      <c r="F125">
        <v>1614</v>
      </c>
      <c r="G125" s="60">
        <v>2004</v>
      </c>
      <c r="H125" s="60" t="s">
        <v>44</v>
      </c>
      <c r="I125" s="60" t="str">
        <f t="shared" si="5"/>
        <v>2004 Baltimore Orioles</v>
      </c>
      <c r="J125" s="60">
        <v>5736</v>
      </c>
      <c r="K125" s="60">
        <f t="shared" si="3"/>
        <v>1108</v>
      </c>
      <c r="L125" s="60">
        <v>319</v>
      </c>
      <c r="M125" s="60">
        <v>18</v>
      </c>
      <c r="N125" s="60">
        <v>169</v>
      </c>
      <c r="O125" s="60">
        <v>528</v>
      </c>
      <c r="P125" s="60">
        <v>57</v>
      </c>
      <c r="Q125" s="60">
        <f t="shared" si="4"/>
        <v>3537</v>
      </c>
      <c r="R125">
        <v>803</v>
      </c>
      <c r="S125">
        <v>34</v>
      </c>
      <c r="T125">
        <v>949</v>
      </c>
      <c r="U125">
        <v>46</v>
      </c>
      <c r="V125">
        <v>62</v>
      </c>
      <c r="W125">
        <v>2</v>
      </c>
      <c r="X125">
        <v>88</v>
      </c>
      <c r="Y125">
        <v>126</v>
      </c>
      <c r="Z125">
        <v>101</v>
      </c>
      <c r="AA125">
        <v>41</v>
      </c>
      <c r="AB125">
        <v>0.28100000000000003</v>
      </c>
      <c r="AC125">
        <v>0.34499999999999997</v>
      </c>
      <c r="AD125">
        <v>0.432</v>
      </c>
    </row>
    <row r="126" spans="1:30" x14ac:dyDescent="0.5">
      <c r="A126" s="35">
        <v>2004</v>
      </c>
      <c r="B126" t="s">
        <v>47</v>
      </c>
      <c r="C126" t="s">
        <v>149</v>
      </c>
      <c r="D126">
        <v>162</v>
      </c>
      <c r="E126">
        <v>949</v>
      </c>
      <c r="F126">
        <v>1613</v>
      </c>
      <c r="G126" s="60">
        <v>2004</v>
      </c>
      <c r="H126" s="60" t="s">
        <v>46</v>
      </c>
      <c r="I126" s="60" t="str">
        <f t="shared" si="5"/>
        <v>2004 Boston Red Sox</v>
      </c>
      <c r="J126" s="60">
        <v>5720</v>
      </c>
      <c r="K126" s="60">
        <f t="shared" si="3"/>
        <v>993</v>
      </c>
      <c r="L126" s="60">
        <v>373</v>
      </c>
      <c r="M126" s="60">
        <v>25</v>
      </c>
      <c r="N126" s="60">
        <v>222</v>
      </c>
      <c r="O126" s="60">
        <v>659</v>
      </c>
      <c r="P126" s="60">
        <v>69</v>
      </c>
      <c r="Q126" s="60">
        <f t="shared" si="4"/>
        <v>3379</v>
      </c>
      <c r="R126">
        <v>912</v>
      </c>
      <c r="S126">
        <v>39</v>
      </c>
      <c r="T126">
        <v>1189</v>
      </c>
      <c r="U126">
        <v>12</v>
      </c>
      <c r="V126">
        <v>55</v>
      </c>
      <c r="W126">
        <v>0</v>
      </c>
      <c r="X126">
        <v>68</v>
      </c>
      <c r="Y126">
        <v>123</v>
      </c>
      <c r="Z126">
        <v>68</v>
      </c>
      <c r="AA126">
        <v>30</v>
      </c>
      <c r="AB126">
        <v>0.28199999999999997</v>
      </c>
      <c r="AC126">
        <v>0.36</v>
      </c>
      <c r="AD126">
        <v>0.47199999999999998</v>
      </c>
    </row>
    <row r="127" spans="1:30" x14ac:dyDescent="0.5">
      <c r="A127" s="35">
        <v>2004</v>
      </c>
      <c r="B127" t="s">
        <v>143</v>
      </c>
      <c r="C127" t="s">
        <v>38</v>
      </c>
      <c r="D127">
        <v>162</v>
      </c>
      <c r="E127">
        <v>789</v>
      </c>
      <c r="F127">
        <v>1508</v>
      </c>
      <c r="G127" s="60">
        <v>2004</v>
      </c>
      <c r="H127" s="60" t="s">
        <v>50</v>
      </c>
      <c r="I127" s="60" t="str">
        <f t="shared" si="5"/>
        <v>2004 Chicago Cubs</v>
      </c>
      <c r="J127" s="60">
        <v>5628</v>
      </c>
      <c r="K127" s="60">
        <f t="shared" si="3"/>
        <v>936</v>
      </c>
      <c r="L127" s="60">
        <v>308</v>
      </c>
      <c r="M127" s="60">
        <v>29</v>
      </c>
      <c r="N127" s="60">
        <v>235</v>
      </c>
      <c r="O127" s="60">
        <v>489</v>
      </c>
      <c r="P127" s="60">
        <v>38</v>
      </c>
      <c r="Q127" s="60">
        <f t="shared" si="4"/>
        <v>3593</v>
      </c>
      <c r="R127">
        <v>755</v>
      </c>
      <c r="S127">
        <v>46</v>
      </c>
      <c r="T127">
        <v>1080</v>
      </c>
      <c r="U127">
        <v>78</v>
      </c>
      <c r="V127">
        <v>48</v>
      </c>
      <c r="W127">
        <v>0</v>
      </c>
      <c r="X127">
        <v>81</v>
      </c>
      <c r="Y127">
        <v>120</v>
      </c>
      <c r="Z127">
        <v>66</v>
      </c>
      <c r="AA127">
        <v>28</v>
      </c>
      <c r="AB127">
        <v>0.26800000000000002</v>
      </c>
      <c r="AC127">
        <v>0.32800000000000001</v>
      </c>
      <c r="AD127">
        <v>0.45800000000000002</v>
      </c>
    </row>
    <row r="128" spans="1:30" x14ac:dyDescent="0.5">
      <c r="A128" s="35">
        <v>2004</v>
      </c>
      <c r="B128" t="s">
        <v>143</v>
      </c>
      <c r="C128" t="s">
        <v>149</v>
      </c>
      <c r="D128">
        <v>162</v>
      </c>
      <c r="E128">
        <v>865</v>
      </c>
      <c r="F128">
        <v>1481</v>
      </c>
      <c r="G128" s="60">
        <v>2004</v>
      </c>
      <c r="H128" s="60" t="s">
        <v>48</v>
      </c>
      <c r="I128" s="60" t="str">
        <f t="shared" si="5"/>
        <v>2004 Chicago White Sox</v>
      </c>
      <c r="J128" s="60">
        <v>5534</v>
      </c>
      <c r="K128" s="60">
        <f t="shared" si="3"/>
        <v>936</v>
      </c>
      <c r="L128" s="60">
        <v>284</v>
      </c>
      <c r="M128" s="60">
        <v>19</v>
      </c>
      <c r="N128" s="60">
        <v>242</v>
      </c>
      <c r="O128" s="60">
        <v>499</v>
      </c>
      <c r="P128" s="60">
        <v>63</v>
      </c>
      <c r="Q128" s="60">
        <f t="shared" si="4"/>
        <v>3491</v>
      </c>
      <c r="R128">
        <v>823</v>
      </c>
      <c r="S128">
        <v>25</v>
      </c>
      <c r="T128">
        <v>1030</v>
      </c>
      <c r="U128">
        <v>58</v>
      </c>
      <c r="V128">
        <v>42</v>
      </c>
      <c r="W128">
        <v>1</v>
      </c>
      <c r="X128">
        <v>81</v>
      </c>
      <c r="Y128">
        <v>119</v>
      </c>
      <c r="Z128">
        <v>78</v>
      </c>
      <c r="AA128">
        <v>51</v>
      </c>
      <c r="AB128">
        <v>0.26800000000000002</v>
      </c>
      <c r="AC128">
        <v>0.33300000000000002</v>
      </c>
      <c r="AD128">
        <v>0.45700000000000002</v>
      </c>
    </row>
    <row r="129" spans="1:30" x14ac:dyDescent="0.5">
      <c r="A129" s="35">
        <v>2004</v>
      </c>
      <c r="B129" t="s">
        <v>53</v>
      </c>
      <c r="C129" t="s">
        <v>38</v>
      </c>
      <c r="D129">
        <v>162</v>
      </c>
      <c r="E129">
        <v>750</v>
      </c>
      <c r="F129">
        <v>1380</v>
      </c>
      <c r="G129" s="60">
        <v>2004</v>
      </c>
      <c r="H129" s="60" t="s">
        <v>52</v>
      </c>
      <c r="I129" s="60" t="str">
        <f t="shared" si="5"/>
        <v>2004 Cincinnati Reds</v>
      </c>
      <c r="J129" s="60">
        <v>5518</v>
      </c>
      <c r="K129" s="60">
        <f t="shared" si="3"/>
        <v>871</v>
      </c>
      <c r="L129" s="60">
        <v>287</v>
      </c>
      <c r="M129" s="60">
        <v>28</v>
      </c>
      <c r="N129" s="60">
        <v>194</v>
      </c>
      <c r="O129" s="60">
        <v>599</v>
      </c>
      <c r="P129" s="60">
        <v>81</v>
      </c>
      <c r="Q129" s="60">
        <f t="shared" si="4"/>
        <v>3458</v>
      </c>
      <c r="R129">
        <v>713</v>
      </c>
      <c r="S129">
        <v>38</v>
      </c>
      <c r="T129">
        <v>1335</v>
      </c>
      <c r="U129">
        <v>55</v>
      </c>
      <c r="V129">
        <v>25</v>
      </c>
      <c r="W129">
        <v>0</v>
      </c>
      <c r="X129">
        <v>60</v>
      </c>
      <c r="Y129">
        <v>125</v>
      </c>
      <c r="Z129">
        <v>77</v>
      </c>
      <c r="AA129">
        <v>25</v>
      </c>
      <c r="AB129">
        <v>0.25</v>
      </c>
      <c r="AC129">
        <v>0.33100000000000002</v>
      </c>
      <c r="AD129">
        <v>0.41799999999999998</v>
      </c>
    </row>
    <row r="130" spans="1:30" x14ac:dyDescent="0.5">
      <c r="A130" s="35">
        <v>2004</v>
      </c>
      <c r="B130" t="s">
        <v>55</v>
      </c>
      <c r="C130" t="s">
        <v>149</v>
      </c>
      <c r="D130">
        <v>162</v>
      </c>
      <c r="E130">
        <v>858</v>
      </c>
      <c r="F130">
        <v>1565</v>
      </c>
      <c r="G130" s="60">
        <v>2004</v>
      </c>
      <c r="H130" s="60" t="s">
        <v>54</v>
      </c>
      <c r="I130" s="60" t="str">
        <f t="shared" si="5"/>
        <v>2004 Cleveland Indians</v>
      </c>
      <c r="J130" s="60">
        <v>5676</v>
      </c>
      <c r="K130" s="60">
        <f t="shared" ref="K130:K193" si="6">F130-(L130+M130+N130)</f>
        <v>1007</v>
      </c>
      <c r="L130" s="60">
        <v>345</v>
      </c>
      <c r="M130" s="60">
        <v>29</v>
      </c>
      <c r="N130" s="60">
        <v>184</v>
      </c>
      <c r="O130" s="60">
        <v>606</v>
      </c>
      <c r="P130" s="60">
        <v>78</v>
      </c>
      <c r="Q130" s="60">
        <f t="shared" ref="Q130:Q193" si="7">J130-(F130+O130+P130)</f>
        <v>3427</v>
      </c>
      <c r="R130">
        <v>820</v>
      </c>
      <c r="S130">
        <v>41</v>
      </c>
      <c r="T130">
        <v>1009</v>
      </c>
      <c r="U130">
        <v>47</v>
      </c>
      <c r="V130">
        <v>42</v>
      </c>
      <c r="W130">
        <v>3</v>
      </c>
      <c r="X130">
        <v>72</v>
      </c>
      <c r="Y130">
        <v>143</v>
      </c>
      <c r="Z130">
        <v>94</v>
      </c>
      <c r="AA130">
        <v>55</v>
      </c>
      <c r="AB130">
        <v>0.27600000000000002</v>
      </c>
      <c r="AC130">
        <v>0.35099999999999998</v>
      </c>
      <c r="AD130">
        <v>0.44400000000000001</v>
      </c>
    </row>
    <row r="131" spans="1:30" x14ac:dyDescent="0.5">
      <c r="A131" s="35">
        <v>2004</v>
      </c>
      <c r="B131" t="s">
        <v>57</v>
      </c>
      <c r="C131" t="s">
        <v>38</v>
      </c>
      <c r="D131">
        <v>162</v>
      </c>
      <c r="E131">
        <v>833</v>
      </c>
      <c r="F131">
        <v>1531</v>
      </c>
      <c r="G131" s="60">
        <v>2004</v>
      </c>
      <c r="H131" s="60" t="s">
        <v>56</v>
      </c>
      <c r="I131" s="60" t="str">
        <f t="shared" ref="I131:I194" si="8">G131&amp;" "&amp;H131</f>
        <v>2004 Colorado Rockies</v>
      </c>
      <c r="J131" s="60">
        <v>5577</v>
      </c>
      <c r="K131" s="60">
        <f t="shared" si="6"/>
        <v>964</v>
      </c>
      <c r="L131" s="60">
        <v>331</v>
      </c>
      <c r="M131" s="60">
        <v>34</v>
      </c>
      <c r="N131" s="60">
        <v>202</v>
      </c>
      <c r="O131" s="60">
        <v>568</v>
      </c>
      <c r="P131" s="60">
        <v>54</v>
      </c>
      <c r="Q131" s="60">
        <f t="shared" si="7"/>
        <v>3424</v>
      </c>
      <c r="R131">
        <v>795</v>
      </c>
      <c r="S131">
        <v>51</v>
      </c>
      <c r="T131">
        <v>1181</v>
      </c>
      <c r="U131">
        <v>97</v>
      </c>
      <c r="V131">
        <v>37</v>
      </c>
      <c r="W131">
        <v>0</v>
      </c>
      <c r="X131">
        <v>66</v>
      </c>
      <c r="Y131">
        <v>132</v>
      </c>
      <c r="Z131">
        <v>44</v>
      </c>
      <c r="AA131">
        <v>33</v>
      </c>
      <c r="AB131">
        <v>0.27500000000000002</v>
      </c>
      <c r="AC131">
        <v>0.34499999999999997</v>
      </c>
      <c r="AD131">
        <v>0.45500000000000002</v>
      </c>
    </row>
    <row r="132" spans="1:30" x14ac:dyDescent="0.5">
      <c r="A132" s="35">
        <v>2004</v>
      </c>
      <c r="B132" t="s">
        <v>59</v>
      </c>
      <c r="C132" t="s">
        <v>149</v>
      </c>
      <c r="D132">
        <v>162</v>
      </c>
      <c r="E132">
        <v>827</v>
      </c>
      <c r="F132">
        <v>1531</v>
      </c>
      <c r="G132" s="60">
        <v>2004</v>
      </c>
      <c r="H132" s="60" t="s">
        <v>58</v>
      </c>
      <c r="I132" s="60" t="str">
        <f t="shared" si="8"/>
        <v>2004 Detroit Tigers</v>
      </c>
      <c r="J132" s="60">
        <v>5623</v>
      </c>
      <c r="K132" s="60">
        <f t="shared" si="6"/>
        <v>992</v>
      </c>
      <c r="L132" s="60">
        <v>284</v>
      </c>
      <c r="M132" s="60">
        <v>54</v>
      </c>
      <c r="N132" s="60">
        <v>201</v>
      </c>
      <c r="O132" s="60">
        <v>518</v>
      </c>
      <c r="P132" s="60">
        <v>50</v>
      </c>
      <c r="Q132" s="60">
        <f t="shared" si="7"/>
        <v>3524</v>
      </c>
      <c r="R132">
        <v>800</v>
      </c>
      <c r="S132">
        <v>32</v>
      </c>
      <c r="T132">
        <v>1144</v>
      </c>
      <c r="U132">
        <v>50</v>
      </c>
      <c r="V132">
        <v>43</v>
      </c>
      <c r="W132">
        <v>1</v>
      </c>
      <c r="X132">
        <v>58</v>
      </c>
      <c r="Y132">
        <v>110</v>
      </c>
      <c r="Z132">
        <v>86</v>
      </c>
      <c r="AA132">
        <v>50</v>
      </c>
      <c r="AB132">
        <v>0.27200000000000002</v>
      </c>
      <c r="AC132">
        <v>0.33700000000000002</v>
      </c>
      <c r="AD132">
        <v>0.44900000000000001</v>
      </c>
    </row>
    <row r="133" spans="1:30" x14ac:dyDescent="0.5">
      <c r="A133" s="35">
        <v>2004</v>
      </c>
      <c r="B133" t="s">
        <v>146</v>
      </c>
      <c r="C133" t="s">
        <v>38</v>
      </c>
      <c r="D133">
        <v>162</v>
      </c>
      <c r="E133">
        <v>718</v>
      </c>
      <c r="F133">
        <v>1447</v>
      </c>
      <c r="G133" s="60">
        <v>2004</v>
      </c>
      <c r="H133" s="60" t="s">
        <v>60</v>
      </c>
      <c r="I133" s="60" t="str">
        <f t="shared" si="8"/>
        <v>2004 Florida Marlins</v>
      </c>
      <c r="J133" s="60">
        <v>5486</v>
      </c>
      <c r="K133" s="60">
        <f t="shared" si="6"/>
        <v>992</v>
      </c>
      <c r="L133" s="60">
        <v>275</v>
      </c>
      <c r="M133" s="60">
        <v>32</v>
      </c>
      <c r="N133" s="60">
        <v>148</v>
      </c>
      <c r="O133" s="60">
        <v>499</v>
      </c>
      <c r="P133" s="60">
        <v>58</v>
      </c>
      <c r="Q133" s="60">
        <f t="shared" si="7"/>
        <v>3482</v>
      </c>
      <c r="R133">
        <v>677</v>
      </c>
      <c r="S133">
        <v>37</v>
      </c>
      <c r="T133">
        <v>968</v>
      </c>
      <c r="U133">
        <v>77</v>
      </c>
      <c r="V133">
        <v>40</v>
      </c>
      <c r="W133">
        <v>0</v>
      </c>
      <c r="X133">
        <v>76</v>
      </c>
      <c r="Y133">
        <v>142</v>
      </c>
      <c r="Z133">
        <v>96</v>
      </c>
      <c r="AA133">
        <v>43</v>
      </c>
      <c r="AB133">
        <v>0.26400000000000001</v>
      </c>
      <c r="AC133">
        <v>0.32900000000000001</v>
      </c>
      <c r="AD133">
        <v>0.40600000000000003</v>
      </c>
    </row>
    <row r="134" spans="1:30" x14ac:dyDescent="0.5">
      <c r="A134" s="35">
        <v>2004</v>
      </c>
      <c r="B134" t="s">
        <v>63</v>
      </c>
      <c r="C134" t="s">
        <v>38</v>
      </c>
      <c r="D134">
        <v>162</v>
      </c>
      <c r="E134">
        <v>803</v>
      </c>
      <c r="F134">
        <v>1458</v>
      </c>
      <c r="G134" s="60">
        <v>2004</v>
      </c>
      <c r="H134" s="60" t="s">
        <v>62</v>
      </c>
      <c r="I134" s="60" t="str">
        <f t="shared" si="8"/>
        <v>2004 Houston Astros</v>
      </c>
      <c r="J134" s="60">
        <v>5468</v>
      </c>
      <c r="K134" s="60">
        <f t="shared" si="6"/>
        <v>941</v>
      </c>
      <c r="L134" s="60">
        <v>294</v>
      </c>
      <c r="M134" s="60">
        <v>36</v>
      </c>
      <c r="N134" s="60">
        <v>187</v>
      </c>
      <c r="O134" s="60">
        <v>590</v>
      </c>
      <c r="P134" s="60">
        <v>61</v>
      </c>
      <c r="Q134" s="60">
        <f t="shared" si="7"/>
        <v>3359</v>
      </c>
      <c r="R134">
        <v>756</v>
      </c>
      <c r="S134">
        <v>54</v>
      </c>
      <c r="T134">
        <v>999</v>
      </c>
      <c r="U134">
        <v>98</v>
      </c>
      <c r="V134">
        <v>52</v>
      </c>
      <c r="W134">
        <v>0</v>
      </c>
      <c r="X134">
        <v>76</v>
      </c>
      <c r="Y134">
        <v>128</v>
      </c>
      <c r="Z134">
        <v>89</v>
      </c>
      <c r="AA134">
        <v>30</v>
      </c>
      <c r="AB134">
        <v>0.26700000000000002</v>
      </c>
      <c r="AC134">
        <v>0.34200000000000003</v>
      </c>
      <c r="AD134">
        <v>0.436</v>
      </c>
    </row>
    <row r="135" spans="1:30" x14ac:dyDescent="0.5">
      <c r="A135" s="35">
        <v>2004</v>
      </c>
      <c r="B135" t="s">
        <v>150</v>
      </c>
      <c r="C135" t="s">
        <v>149</v>
      </c>
      <c r="D135">
        <v>162</v>
      </c>
      <c r="E135">
        <v>720</v>
      </c>
      <c r="F135">
        <v>1432</v>
      </c>
      <c r="G135" s="60">
        <v>2004</v>
      </c>
      <c r="H135" s="60" t="s">
        <v>64</v>
      </c>
      <c r="I135" s="60" t="str">
        <f t="shared" si="8"/>
        <v>2004 Kansas City Royals</v>
      </c>
      <c r="J135" s="60">
        <v>5538</v>
      </c>
      <c r="K135" s="60">
        <f t="shared" si="6"/>
        <v>992</v>
      </c>
      <c r="L135" s="60">
        <v>261</v>
      </c>
      <c r="M135" s="60">
        <v>29</v>
      </c>
      <c r="N135" s="60">
        <v>150</v>
      </c>
      <c r="O135" s="60">
        <v>461</v>
      </c>
      <c r="P135" s="60">
        <v>76</v>
      </c>
      <c r="Q135" s="60">
        <f t="shared" si="7"/>
        <v>3569</v>
      </c>
      <c r="R135">
        <v>675</v>
      </c>
      <c r="S135">
        <v>28</v>
      </c>
      <c r="T135">
        <v>1057</v>
      </c>
      <c r="U135">
        <v>40</v>
      </c>
      <c r="V135">
        <v>38</v>
      </c>
      <c r="W135">
        <v>0</v>
      </c>
      <c r="X135">
        <v>76</v>
      </c>
      <c r="Y135">
        <v>130</v>
      </c>
      <c r="Z135">
        <v>67</v>
      </c>
      <c r="AA135">
        <v>48</v>
      </c>
      <c r="AB135">
        <v>0.25900000000000001</v>
      </c>
      <c r="AC135">
        <v>0.32200000000000001</v>
      </c>
      <c r="AD135">
        <v>0.39700000000000002</v>
      </c>
    </row>
    <row r="136" spans="1:30" x14ac:dyDescent="0.5">
      <c r="A136" s="35">
        <v>2004</v>
      </c>
      <c r="B136" t="s">
        <v>145</v>
      </c>
      <c r="C136" t="s">
        <v>38</v>
      </c>
      <c r="D136">
        <v>162</v>
      </c>
      <c r="E136">
        <v>761</v>
      </c>
      <c r="F136">
        <v>1450</v>
      </c>
      <c r="G136" s="60">
        <v>2004</v>
      </c>
      <c r="H136" s="60" t="s">
        <v>66</v>
      </c>
      <c r="I136" s="60" t="str">
        <f t="shared" si="8"/>
        <v>2004 Los Angeles Dodgers</v>
      </c>
      <c r="J136" s="60">
        <v>5542</v>
      </c>
      <c r="K136" s="60">
        <f t="shared" si="6"/>
        <v>991</v>
      </c>
      <c r="L136" s="60">
        <v>226</v>
      </c>
      <c r="M136" s="60">
        <v>30</v>
      </c>
      <c r="N136" s="60">
        <v>203</v>
      </c>
      <c r="O136" s="60">
        <v>536</v>
      </c>
      <c r="P136" s="60">
        <v>62</v>
      </c>
      <c r="Q136" s="60">
        <f t="shared" si="7"/>
        <v>3494</v>
      </c>
      <c r="R136">
        <v>731</v>
      </c>
      <c r="S136">
        <v>45</v>
      </c>
      <c r="T136">
        <v>1092</v>
      </c>
      <c r="U136">
        <v>69</v>
      </c>
      <c r="V136">
        <v>35</v>
      </c>
      <c r="W136">
        <v>0</v>
      </c>
      <c r="X136">
        <v>76</v>
      </c>
      <c r="Y136">
        <v>121</v>
      </c>
      <c r="Z136">
        <v>102</v>
      </c>
      <c r="AA136">
        <v>41</v>
      </c>
      <c r="AB136">
        <v>0.26200000000000001</v>
      </c>
      <c r="AC136">
        <v>0.33200000000000002</v>
      </c>
      <c r="AD136">
        <v>0.42299999999999999</v>
      </c>
    </row>
    <row r="137" spans="1:30" x14ac:dyDescent="0.5">
      <c r="A137" s="35">
        <v>2004</v>
      </c>
      <c r="B137" t="s">
        <v>69</v>
      </c>
      <c r="C137" t="s">
        <v>38</v>
      </c>
      <c r="D137">
        <v>161</v>
      </c>
      <c r="E137">
        <v>634</v>
      </c>
      <c r="F137">
        <v>1358</v>
      </c>
      <c r="G137" s="60">
        <v>2004</v>
      </c>
      <c r="H137" s="60" t="s">
        <v>68</v>
      </c>
      <c r="I137" s="60" t="str">
        <f t="shared" si="8"/>
        <v>2004 Milwaukee Brewers</v>
      </c>
      <c r="J137" s="60">
        <v>5483</v>
      </c>
      <c r="K137" s="60">
        <f t="shared" si="6"/>
        <v>896</v>
      </c>
      <c r="L137" s="60">
        <v>295</v>
      </c>
      <c r="M137" s="60">
        <v>32</v>
      </c>
      <c r="N137" s="60">
        <v>135</v>
      </c>
      <c r="O137" s="60">
        <v>540</v>
      </c>
      <c r="P137" s="60">
        <v>68</v>
      </c>
      <c r="Q137" s="60">
        <f t="shared" si="7"/>
        <v>3517</v>
      </c>
      <c r="R137">
        <v>601</v>
      </c>
      <c r="S137">
        <v>49</v>
      </c>
      <c r="T137">
        <v>1312</v>
      </c>
      <c r="U137">
        <v>56</v>
      </c>
      <c r="V137">
        <v>40</v>
      </c>
      <c r="W137">
        <v>8</v>
      </c>
      <c r="X137">
        <v>83</v>
      </c>
      <c r="Y137">
        <v>120</v>
      </c>
      <c r="Z137">
        <v>138</v>
      </c>
      <c r="AA137">
        <v>40</v>
      </c>
      <c r="AB137">
        <v>0.248</v>
      </c>
      <c r="AC137">
        <v>0.32100000000000001</v>
      </c>
      <c r="AD137">
        <v>0.38700000000000001</v>
      </c>
    </row>
    <row r="138" spans="1:30" x14ac:dyDescent="0.5">
      <c r="A138" s="35">
        <v>2004</v>
      </c>
      <c r="B138" t="s">
        <v>71</v>
      </c>
      <c r="C138" t="s">
        <v>149</v>
      </c>
      <c r="D138">
        <v>162</v>
      </c>
      <c r="E138">
        <v>780</v>
      </c>
      <c r="F138">
        <v>1494</v>
      </c>
      <c r="G138" s="60">
        <v>2004</v>
      </c>
      <c r="H138" s="60" t="s">
        <v>70</v>
      </c>
      <c r="I138" s="60" t="str">
        <f t="shared" si="8"/>
        <v>2004 Minnesota Twins</v>
      </c>
      <c r="J138" s="60">
        <v>5623</v>
      </c>
      <c r="K138" s="60">
        <f t="shared" si="6"/>
        <v>969</v>
      </c>
      <c r="L138" s="60">
        <v>310</v>
      </c>
      <c r="M138" s="60">
        <v>24</v>
      </c>
      <c r="N138" s="60">
        <v>191</v>
      </c>
      <c r="O138" s="60">
        <v>513</v>
      </c>
      <c r="P138" s="60">
        <v>64</v>
      </c>
      <c r="Q138" s="60">
        <f t="shared" si="7"/>
        <v>3552</v>
      </c>
      <c r="R138">
        <v>735</v>
      </c>
      <c r="S138">
        <v>42</v>
      </c>
      <c r="T138">
        <v>982</v>
      </c>
      <c r="U138">
        <v>46</v>
      </c>
      <c r="V138">
        <v>40</v>
      </c>
      <c r="W138">
        <v>0</v>
      </c>
      <c r="X138">
        <v>53</v>
      </c>
      <c r="Y138">
        <v>130</v>
      </c>
      <c r="Z138">
        <v>116</v>
      </c>
      <c r="AA138">
        <v>46</v>
      </c>
      <c r="AB138">
        <v>0.26600000000000001</v>
      </c>
      <c r="AC138">
        <v>0.33200000000000002</v>
      </c>
      <c r="AD138">
        <v>0.43099999999999999</v>
      </c>
    </row>
    <row r="139" spans="1:30" x14ac:dyDescent="0.5">
      <c r="A139" s="35">
        <v>2004</v>
      </c>
      <c r="B139" t="s">
        <v>73</v>
      </c>
      <c r="C139" t="s">
        <v>38</v>
      </c>
      <c r="D139">
        <v>162</v>
      </c>
      <c r="E139">
        <v>635</v>
      </c>
      <c r="F139">
        <v>1361</v>
      </c>
      <c r="G139" s="60">
        <v>2004</v>
      </c>
      <c r="H139" s="60" t="s">
        <v>72</v>
      </c>
      <c r="I139" s="60" t="str">
        <f t="shared" si="8"/>
        <v>2004 Montreal Expos</v>
      </c>
      <c r="J139" s="60">
        <v>5474</v>
      </c>
      <c r="K139" s="60">
        <f t="shared" si="6"/>
        <v>907</v>
      </c>
      <c r="L139" s="60">
        <v>276</v>
      </c>
      <c r="M139" s="60">
        <v>27</v>
      </c>
      <c r="N139" s="60">
        <v>151</v>
      </c>
      <c r="O139" s="60">
        <v>496</v>
      </c>
      <c r="P139" s="60">
        <v>35</v>
      </c>
      <c r="Q139" s="60">
        <f t="shared" si="7"/>
        <v>3582</v>
      </c>
      <c r="R139">
        <v>605</v>
      </c>
      <c r="S139">
        <v>51</v>
      </c>
      <c r="T139">
        <v>925</v>
      </c>
      <c r="U139">
        <v>100</v>
      </c>
      <c r="V139">
        <v>33</v>
      </c>
      <c r="W139">
        <v>0</v>
      </c>
      <c r="X139">
        <v>65</v>
      </c>
      <c r="Y139">
        <v>115</v>
      </c>
      <c r="Z139">
        <v>109</v>
      </c>
      <c r="AA139">
        <v>38</v>
      </c>
      <c r="AB139">
        <v>0.249</v>
      </c>
      <c r="AC139">
        <v>0.313</v>
      </c>
      <c r="AD139">
        <v>0.39200000000000002</v>
      </c>
    </row>
    <row r="140" spans="1:30" x14ac:dyDescent="0.5">
      <c r="A140" s="35">
        <v>2004</v>
      </c>
      <c r="B140" t="s">
        <v>144</v>
      </c>
      <c r="C140" t="s">
        <v>38</v>
      </c>
      <c r="D140">
        <v>162</v>
      </c>
      <c r="E140">
        <v>684</v>
      </c>
      <c r="F140">
        <v>1376</v>
      </c>
      <c r="G140" s="60">
        <v>2004</v>
      </c>
      <c r="H140" s="60" t="s">
        <v>76</v>
      </c>
      <c r="I140" s="60" t="str">
        <f t="shared" si="8"/>
        <v>2004 New York Mets</v>
      </c>
      <c r="J140" s="60">
        <v>5532</v>
      </c>
      <c r="K140" s="60">
        <f t="shared" si="6"/>
        <v>882</v>
      </c>
      <c r="L140" s="60">
        <v>289</v>
      </c>
      <c r="M140" s="60">
        <v>20</v>
      </c>
      <c r="N140" s="60">
        <v>185</v>
      </c>
      <c r="O140" s="60">
        <v>512</v>
      </c>
      <c r="P140" s="60">
        <v>61</v>
      </c>
      <c r="Q140" s="60">
        <f t="shared" si="7"/>
        <v>3583</v>
      </c>
      <c r="R140">
        <v>658</v>
      </c>
      <c r="S140">
        <v>54</v>
      </c>
      <c r="T140">
        <v>1159</v>
      </c>
      <c r="U140">
        <v>69</v>
      </c>
      <c r="V140">
        <v>34</v>
      </c>
      <c r="W140">
        <v>1</v>
      </c>
      <c r="X140">
        <v>64</v>
      </c>
      <c r="Y140">
        <v>129</v>
      </c>
      <c r="Z140">
        <v>107</v>
      </c>
      <c r="AA140">
        <v>23</v>
      </c>
      <c r="AB140">
        <v>0.249</v>
      </c>
      <c r="AC140">
        <v>0.317</v>
      </c>
      <c r="AD140">
        <v>0.40899999999999997</v>
      </c>
    </row>
    <row r="141" spans="1:30" x14ac:dyDescent="0.5">
      <c r="A141" s="35">
        <v>2004</v>
      </c>
      <c r="B141" t="s">
        <v>144</v>
      </c>
      <c r="C141" t="s">
        <v>149</v>
      </c>
      <c r="D141">
        <v>162</v>
      </c>
      <c r="E141">
        <v>897</v>
      </c>
      <c r="F141">
        <v>1483</v>
      </c>
      <c r="G141" s="60">
        <v>2004</v>
      </c>
      <c r="H141" s="60" t="s">
        <v>74</v>
      </c>
      <c r="I141" s="60" t="str">
        <f t="shared" si="8"/>
        <v>2004 New York Yankees</v>
      </c>
      <c r="J141" s="60">
        <v>5527</v>
      </c>
      <c r="K141" s="60">
        <f t="shared" si="6"/>
        <v>940</v>
      </c>
      <c r="L141" s="60">
        <v>281</v>
      </c>
      <c r="M141" s="60">
        <v>20</v>
      </c>
      <c r="N141" s="60">
        <v>242</v>
      </c>
      <c r="O141" s="60">
        <v>670</v>
      </c>
      <c r="P141" s="60">
        <v>80</v>
      </c>
      <c r="Q141" s="60">
        <f t="shared" si="7"/>
        <v>3294</v>
      </c>
      <c r="R141">
        <v>863</v>
      </c>
      <c r="S141">
        <v>40</v>
      </c>
      <c r="T141">
        <v>982</v>
      </c>
      <c r="U141">
        <v>37</v>
      </c>
      <c r="V141">
        <v>50</v>
      </c>
      <c r="W141">
        <v>0</v>
      </c>
      <c r="X141">
        <v>86</v>
      </c>
      <c r="Y141">
        <v>157</v>
      </c>
      <c r="Z141">
        <v>84</v>
      </c>
      <c r="AA141">
        <v>33</v>
      </c>
      <c r="AB141">
        <v>0.26800000000000002</v>
      </c>
      <c r="AC141">
        <v>0.35299999999999998</v>
      </c>
      <c r="AD141">
        <v>0.45800000000000002</v>
      </c>
    </row>
    <row r="142" spans="1:30" x14ac:dyDescent="0.5">
      <c r="A142" s="35">
        <v>2004</v>
      </c>
      <c r="B142" t="s">
        <v>79</v>
      </c>
      <c r="C142" t="s">
        <v>149</v>
      </c>
      <c r="D142">
        <v>162</v>
      </c>
      <c r="E142">
        <v>793</v>
      </c>
      <c r="F142">
        <v>1545</v>
      </c>
      <c r="G142" s="60">
        <v>2004</v>
      </c>
      <c r="H142" s="60" t="s">
        <v>78</v>
      </c>
      <c r="I142" s="60" t="str">
        <f t="shared" si="8"/>
        <v>2004 Oakland Athletics</v>
      </c>
      <c r="J142" s="60">
        <v>5728</v>
      </c>
      <c r="K142" s="60">
        <f t="shared" si="6"/>
        <v>1005</v>
      </c>
      <c r="L142" s="60">
        <v>336</v>
      </c>
      <c r="M142" s="60">
        <v>15</v>
      </c>
      <c r="N142" s="60">
        <v>189</v>
      </c>
      <c r="O142" s="60">
        <v>608</v>
      </c>
      <c r="P142" s="60">
        <v>55</v>
      </c>
      <c r="Q142" s="60">
        <f t="shared" si="7"/>
        <v>3520</v>
      </c>
      <c r="R142">
        <v>752</v>
      </c>
      <c r="S142">
        <v>40</v>
      </c>
      <c r="T142">
        <v>1061</v>
      </c>
      <c r="U142">
        <v>25</v>
      </c>
      <c r="V142">
        <v>43</v>
      </c>
      <c r="W142">
        <v>0</v>
      </c>
      <c r="X142">
        <v>67</v>
      </c>
      <c r="Y142">
        <v>142</v>
      </c>
      <c r="Z142">
        <v>47</v>
      </c>
      <c r="AA142">
        <v>22</v>
      </c>
      <c r="AB142">
        <v>0.27</v>
      </c>
      <c r="AC142">
        <v>0.34300000000000003</v>
      </c>
      <c r="AD142">
        <v>0.433</v>
      </c>
    </row>
    <row r="143" spans="1:30" x14ac:dyDescent="0.5">
      <c r="A143" s="35">
        <v>2004</v>
      </c>
      <c r="B143" t="s">
        <v>81</v>
      </c>
      <c r="C143" t="s">
        <v>38</v>
      </c>
      <c r="D143">
        <v>162</v>
      </c>
      <c r="E143">
        <v>840</v>
      </c>
      <c r="F143">
        <v>1505</v>
      </c>
      <c r="G143" s="60">
        <v>2004</v>
      </c>
      <c r="H143" s="60" t="s">
        <v>80</v>
      </c>
      <c r="I143" s="60" t="str">
        <f t="shared" si="8"/>
        <v>2004 Philadelphia Phillies</v>
      </c>
      <c r="J143" s="60">
        <v>5643</v>
      </c>
      <c r="K143" s="60">
        <f t="shared" si="6"/>
        <v>964</v>
      </c>
      <c r="L143" s="60">
        <v>303</v>
      </c>
      <c r="M143" s="60">
        <v>23</v>
      </c>
      <c r="N143" s="60">
        <v>215</v>
      </c>
      <c r="O143" s="60">
        <v>645</v>
      </c>
      <c r="P143" s="60">
        <v>58</v>
      </c>
      <c r="Q143" s="60">
        <f t="shared" si="7"/>
        <v>3435</v>
      </c>
      <c r="R143">
        <v>802</v>
      </c>
      <c r="S143">
        <v>60</v>
      </c>
      <c r="T143">
        <v>1133</v>
      </c>
      <c r="U143">
        <v>64</v>
      </c>
      <c r="V143">
        <v>46</v>
      </c>
      <c r="W143">
        <v>0</v>
      </c>
      <c r="X143">
        <v>68</v>
      </c>
      <c r="Y143">
        <v>123</v>
      </c>
      <c r="Z143">
        <v>100</v>
      </c>
      <c r="AA143">
        <v>27</v>
      </c>
      <c r="AB143">
        <v>0.26700000000000002</v>
      </c>
      <c r="AC143">
        <v>0.34499999999999997</v>
      </c>
      <c r="AD143">
        <v>0.443</v>
      </c>
    </row>
    <row r="144" spans="1:30" x14ac:dyDescent="0.5">
      <c r="A144" s="35">
        <v>2004</v>
      </c>
      <c r="B144" t="s">
        <v>83</v>
      </c>
      <c r="C144" t="s">
        <v>38</v>
      </c>
      <c r="D144">
        <v>161</v>
      </c>
      <c r="E144">
        <v>680</v>
      </c>
      <c r="F144">
        <v>1428</v>
      </c>
      <c r="G144" s="60">
        <v>2004</v>
      </c>
      <c r="H144" s="60" t="s">
        <v>82</v>
      </c>
      <c r="I144" s="60" t="str">
        <f t="shared" si="8"/>
        <v>2004 Pittsburgh Pirates</v>
      </c>
      <c r="J144" s="60">
        <v>5483</v>
      </c>
      <c r="K144" s="60">
        <f t="shared" si="6"/>
        <v>980</v>
      </c>
      <c r="L144" s="60">
        <v>267</v>
      </c>
      <c r="M144" s="60">
        <v>39</v>
      </c>
      <c r="N144" s="60">
        <v>142</v>
      </c>
      <c r="O144" s="60">
        <v>415</v>
      </c>
      <c r="P144" s="60">
        <v>95</v>
      </c>
      <c r="Q144" s="60">
        <f t="shared" si="7"/>
        <v>3545</v>
      </c>
      <c r="R144">
        <v>648</v>
      </c>
      <c r="S144">
        <v>33</v>
      </c>
      <c r="T144">
        <v>1066</v>
      </c>
      <c r="U144">
        <v>79</v>
      </c>
      <c r="V144">
        <v>42</v>
      </c>
      <c r="W144">
        <v>1</v>
      </c>
      <c r="X144">
        <v>67</v>
      </c>
      <c r="Y144">
        <v>117</v>
      </c>
      <c r="Z144">
        <v>63</v>
      </c>
      <c r="AA144">
        <v>40</v>
      </c>
      <c r="AB144">
        <v>0.26</v>
      </c>
      <c r="AC144">
        <v>0.32100000000000001</v>
      </c>
      <c r="AD144">
        <v>0.40100000000000002</v>
      </c>
    </row>
    <row r="145" spans="1:30" x14ac:dyDescent="0.5">
      <c r="A145" s="35">
        <v>2004</v>
      </c>
      <c r="B145" t="s">
        <v>147</v>
      </c>
      <c r="C145" t="s">
        <v>38</v>
      </c>
      <c r="D145">
        <v>162</v>
      </c>
      <c r="E145">
        <v>768</v>
      </c>
      <c r="F145">
        <v>1521</v>
      </c>
      <c r="G145" s="60">
        <v>2004</v>
      </c>
      <c r="H145" s="60" t="s">
        <v>84</v>
      </c>
      <c r="I145" s="60" t="str">
        <f t="shared" si="8"/>
        <v>2004 San Diego Padres</v>
      </c>
      <c r="J145" s="60">
        <v>5573</v>
      </c>
      <c r="K145" s="60">
        <f t="shared" si="6"/>
        <v>1046</v>
      </c>
      <c r="L145" s="60">
        <v>304</v>
      </c>
      <c r="M145" s="60">
        <v>32</v>
      </c>
      <c r="N145" s="60">
        <v>139</v>
      </c>
      <c r="O145" s="60">
        <v>566</v>
      </c>
      <c r="P145" s="60">
        <v>56</v>
      </c>
      <c r="Q145" s="60">
        <f t="shared" si="7"/>
        <v>3430</v>
      </c>
      <c r="R145">
        <v>722</v>
      </c>
      <c r="S145">
        <v>45</v>
      </c>
      <c r="T145">
        <v>910</v>
      </c>
      <c r="U145">
        <v>52</v>
      </c>
      <c r="V145">
        <v>66</v>
      </c>
      <c r="W145">
        <v>0</v>
      </c>
      <c r="X145">
        <v>70</v>
      </c>
      <c r="Y145">
        <v>128</v>
      </c>
      <c r="Z145">
        <v>52</v>
      </c>
      <c r="AA145">
        <v>25</v>
      </c>
      <c r="AB145">
        <v>0.27300000000000002</v>
      </c>
      <c r="AC145">
        <v>0.34200000000000003</v>
      </c>
      <c r="AD145">
        <v>0.41399999999999998</v>
      </c>
    </row>
    <row r="146" spans="1:30" x14ac:dyDescent="0.5">
      <c r="A146" s="35">
        <v>2004</v>
      </c>
      <c r="B146" t="s">
        <v>87</v>
      </c>
      <c r="C146" t="s">
        <v>149</v>
      </c>
      <c r="D146">
        <v>162</v>
      </c>
      <c r="E146">
        <v>698</v>
      </c>
      <c r="F146">
        <v>1544</v>
      </c>
      <c r="G146" s="60">
        <v>2004</v>
      </c>
      <c r="H146" s="60" t="s">
        <v>86</v>
      </c>
      <c r="I146" s="60" t="str">
        <f t="shared" si="8"/>
        <v>2004 Seattle Mariners</v>
      </c>
      <c r="J146" s="60">
        <v>5722</v>
      </c>
      <c r="K146" s="60">
        <f t="shared" si="6"/>
        <v>1112</v>
      </c>
      <c r="L146" s="60">
        <v>276</v>
      </c>
      <c r="M146" s="60">
        <v>20</v>
      </c>
      <c r="N146" s="60">
        <v>136</v>
      </c>
      <c r="O146" s="60">
        <v>492</v>
      </c>
      <c r="P146" s="60">
        <v>54</v>
      </c>
      <c r="Q146" s="60">
        <f t="shared" si="7"/>
        <v>3632</v>
      </c>
      <c r="R146">
        <v>658</v>
      </c>
      <c r="S146">
        <v>49</v>
      </c>
      <c r="T146">
        <v>1058</v>
      </c>
      <c r="U146">
        <v>46</v>
      </c>
      <c r="V146">
        <v>48</v>
      </c>
      <c r="W146">
        <v>0</v>
      </c>
      <c r="X146">
        <v>71</v>
      </c>
      <c r="Y146">
        <v>131</v>
      </c>
      <c r="Z146">
        <v>110</v>
      </c>
      <c r="AA146">
        <v>42</v>
      </c>
      <c r="AB146">
        <v>0.27</v>
      </c>
      <c r="AC146">
        <v>0.33100000000000002</v>
      </c>
      <c r="AD146">
        <v>0.39600000000000002</v>
      </c>
    </row>
    <row r="147" spans="1:30" x14ac:dyDescent="0.5">
      <c r="A147" s="35">
        <v>2004</v>
      </c>
      <c r="B147" t="s">
        <v>21</v>
      </c>
      <c r="C147" t="s">
        <v>38</v>
      </c>
      <c r="D147">
        <v>162</v>
      </c>
      <c r="E147">
        <v>850</v>
      </c>
      <c r="F147">
        <v>1500</v>
      </c>
      <c r="G147" s="60">
        <v>2004</v>
      </c>
      <c r="H147" s="60" t="s">
        <v>88</v>
      </c>
      <c r="I147" s="60" t="str">
        <f t="shared" si="8"/>
        <v>2004 San Francisco Giants</v>
      </c>
      <c r="J147" s="60">
        <v>5546</v>
      </c>
      <c r="K147" s="60">
        <f t="shared" si="6"/>
        <v>970</v>
      </c>
      <c r="L147" s="60">
        <v>314</v>
      </c>
      <c r="M147" s="60">
        <v>33</v>
      </c>
      <c r="N147" s="60">
        <v>183</v>
      </c>
      <c r="O147" s="60">
        <v>705</v>
      </c>
      <c r="P147" s="60">
        <v>72</v>
      </c>
      <c r="Q147" s="60">
        <f t="shared" si="7"/>
        <v>3269</v>
      </c>
      <c r="R147">
        <v>805</v>
      </c>
      <c r="S147">
        <v>153</v>
      </c>
      <c r="T147">
        <v>874</v>
      </c>
      <c r="U147">
        <v>92</v>
      </c>
      <c r="V147">
        <v>51</v>
      </c>
      <c r="W147">
        <v>0</v>
      </c>
      <c r="X147">
        <v>74</v>
      </c>
      <c r="Y147">
        <v>142</v>
      </c>
      <c r="Z147">
        <v>43</v>
      </c>
      <c r="AA147">
        <v>23</v>
      </c>
      <c r="AB147">
        <v>0.27</v>
      </c>
      <c r="AC147">
        <v>0.35699999999999998</v>
      </c>
      <c r="AD147">
        <v>0.438</v>
      </c>
    </row>
    <row r="148" spans="1:30" x14ac:dyDescent="0.5">
      <c r="A148" s="35">
        <v>2004</v>
      </c>
      <c r="B148" t="s">
        <v>142</v>
      </c>
      <c r="C148" t="s">
        <v>38</v>
      </c>
      <c r="D148">
        <v>162</v>
      </c>
      <c r="E148">
        <v>855</v>
      </c>
      <c r="F148">
        <v>1544</v>
      </c>
      <c r="G148" s="60">
        <v>2004</v>
      </c>
      <c r="H148" s="60" t="s">
        <v>90</v>
      </c>
      <c r="I148" s="60" t="str">
        <f t="shared" si="8"/>
        <v>2004 St. Louis Cardinals</v>
      </c>
      <c r="J148" s="60">
        <v>5555</v>
      </c>
      <c r="K148" s="60">
        <f t="shared" si="6"/>
        <v>987</v>
      </c>
      <c r="L148" s="60">
        <v>319</v>
      </c>
      <c r="M148" s="60">
        <v>24</v>
      </c>
      <c r="N148" s="60">
        <v>214</v>
      </c>
      <c r="O148" s="60">
        <v>548</v>
      </c>
      <c r="P148" s="60">
        <v>51</v>
      </c>
      <c r="Q148" s="60">
        <f t="shared" si="7"/>
        <v>3412</v>
      </c>
      <c r="R148">
        <v>817</v>
      </c>
      <c r="S148">
        <v>64</v>
      </c>
      <c r="T148">
        <v>1085</v>
      </c>
      <c r="U148">
        <v>73</v>
      </c>
      <c r="V148">
        <v>70</v>
      </c>
      <c r="W148">
        <v>0</v>
      </c>
      <c r="X148">
        <v>81</v>
      </c>
      <c r="Y148">
        <v>121</v>
      </c>
      <c r="Z148">
        <v>111</v>
      </c>
      <c r="AA148">
        <v>47</v>
      </c>
      <c r="AB148">
        <v>0.27800000000000002</v>
      </c>
      <c r="AC148">
        <v>0.34399999999999997</v>
      </c>
      <c r="AD148">
        <v>0.46</v>
      </c>
    </row>
    <row r="149" spans="1:30" x14ac:dyDescent="0.5">
      <c r="A149" s="35">
        <v>2004</v>
      </c>
      <c r="B149" t="s">
        <v>151</v>
      </c>
      <c r="C149" t="s">
        <v>149</v>
      </c>
      <c r="D149">
        <v>161</v>
      </c>
      <c r="E149">
        <v>714</v>
      </c>
      <c r="F149">
        <v>1416</v>
      </c>
      <c r="G149" s="60">
        <v>2004</v>
      </c>
      <c r="H149" s="60" t="s">
        <v>92</v>
      </c>
      <c r="I149" s="60" t="str">
        <f t="shared" si="8"/>
        <v>2004 Tampa Bay Devil Rays</v>
      </c>
      <c r="J149" s="60">
        <v>5483</v>
      </c>
      <c r="K149" s="60">
        <f t="shared" si="6"/>
        <v>947</v>
      </c>
      <c r="L149" s="60">
        <v>278</v>
      </c>
      <c r="M149" s="60">
        <v>46</v>
      </c>
      <c r="N149" s="60">
        <v>145</v>
      </c>
      <c r="O149" s="60">
        <v>469</v>
      </c>
      <c r="P149" s="60">
        <v>55</v>
      </c>
      <c r="Q149" s="60">
        <f t="shared" si="7"/>
        <v>3543</v>
      </c>
      <c r="R149">
        <v>685</v>
      </c>
      <c r="S149">
        <v>33</v>
      </c>
      <c r="T149">
        <v>944</v>
      </c>
      <c r="U149">
        <v>35</v>
      </c>
      <c r="V149">
        <v>56</v>
      </c>
      <c r="W149">
        <v>0</v>
      </c>
      <c r="X149">
        <v>62</v>
      </c>
      <c r="Y149">
        <v>97</v>
      </c>
      <c r="Z149">
        <v>132</v>
      </c>
      <c r="AA149">
        <v>42</v>
      </c>
      <c r="AB149">
        <v>0.25800000000000001</v>
      </c>
      <c r="AC149">
        <v>0.32</v>
      </c>
      <c r="AD149">
        <v>0.40500000000000003</v>
      </c>
    </row>
    <row r="150" spans="1:30" x14ac:dyDescent="0.5">
      <c r="A150" s="35">
        <v>2004</v>
      </c>
      <c r="B150" t="s">
        <v>95</v>
      </c>
      <c r="C150" t="s">
        <v>149</v>
      </c>
      <c r="D150">
        <v>162</v>
      </c>
      <c r="E150">
        <v>860</v>
      </c>
      <c r="F150">
        <v>1492</v>
      </c>
      <c r="G150" s="60">
        <v>2004</v>
      </c>
      <c r="H150" s="60" t="s">
        <v>94</v>
      </c>
      <c r="I150" s="60" t="str">
        <f t="shared" si="8"/>
        <v>2004 Texas Rangers</v>
      </c>
      <c r="J150" s="60">
        <v>5615</v>
      </c>
      <c r="K150" s="60">
        <f t="shared" si="6"/>
        <v>908</v>
      </c>
      <c r="L150" s="60">
        <v>323</v>
      </c>
      <c r="M150" s="60">
        <v>34</v>
      </c>
      <c r="N150" s="60">
        <v>227</v>
      </c>
      <c r="O150" s="60">
        <v>500</v>
      </c>
      <c r="P150" s="60">
        <v>61</v>
      </c>
      <c r="Q150" s="60">
        <f t="shared" si="7"/>
        <v>3562</v>
      </c>
      <c r="R150">
        <v>825</v>
      </c>
      <c r="S150">
        <v>41</v>
      </c>
      <c r="T150">
        <v>1099</v>
      </c>
      <c r="U150">
        <v>23</v>
      </c>
      <c r="V150">
        <v>57</v>
      </c>
      <c r="W150">
        <v>0</v>
      </c>
      <c r="X150">
        <v>71</v>
      </c>
      <c r="Y150">
        <v>91</v>
      </c>
      <c r="Z150">
        <v>69</v>
      </c>
      <c r="AA150">
        <v>36</v>
      </c>
      <c r="AB150">
        <v>0.26600000000000001</v>
      </c>
      <c r="AC150">
        <v>0.32900000000000001</v>
      </c>
      <c r="AD150">
        <v>0.45700000000000002</v>
      </c>
    </row>
    <row r="151" spans="1:30" x14ac:dyDescent="0.5">
      <c r="A151" s="35">
        <v>2004</v>
      </c>
      <c r="B151" t="s">
        <v>97</v>
      </c>
      <c r="C151" t="s">
        <v>149</v>
      </c>
      <c r="D151">
        <v>161</v>
      </c>
      <c r="E151">
        <v>719</v>
      </c>
      <c r="F151">
        <v>1438</v>
      </c>
      <c r="G151" s="60">
        <v>2004</v>
      </c>
      <c r="H151" s="60" t="s">
        <v>96</v>
      </c>
      <c r="I151" s="60" t="str">
        <f t="shared" si="8"/>
        <v>2004 Toronto Blue Jays</v>
      </c>
      <c r="J151" s="60">
        <v>5531</v>
      </c>
      <c r="K151" s="60">
        <f t="shared" si="6"/>
        <v>969</v>
      </c>
      <c r="L151" s="60">
        <v>290</v>
      </c>
      <c r="M151" s="60">
        <v>34</v>
      </c>
      <c r="N151" s="60">
        <v>145</v>
      </c>
      <c r="O151" s="60">
        <v>513</v>
      </c>
      <c r="P151" s="60">
        <v>71</v>
      </c>
      <c r="Q151" s="60">
        <f t="shared" si="7"/>
        <v>3509</v>
      </c>
      <c r="R151">
        <v>680</v>
      </c>
      <c r="S151">
        <v>25</v>
      </c>
      <c r="T151">
        <v>1083</v>
      </c>
      <c r="U151">
        <v>20</v>
      </c>
      <c r="V151">
        <v>42</v>
      </c>
      <c r="W151">
        <v>1</v>
      </c>
      <c r="X151">
        <v>77</v>
      </c>
      <c r="Y151">
        <v>139</v>
      </c>
      <c r="Z151">
        <v>58</v>
      </c>
      <c r="AA151">
        <v>31</v>
      </c>
      <c r="AB151">
        <v>0.26</v>
      </c>
      <c r="AC151">
        <v>0.32800000000000001</v>
      </c>
      <c r="AD151">
        <v>0.40300000000000002</v>
      </c>
    </row>
    <row r="152" spans="1:30" x14ac:dyDescent="0.5">
      <c r="A152" s="35">
        <v>2005</v>
      </c>
      <c r="B152" t="s">
        <v>37</v>
      </c>
      <c r="C152" t="s">
        <v>149</v>
      </c>
      <c r="D152">
        <v>162</v>
      </c>
      <c r="E152">
        <v>761</v>
      </c>
      <c r="F152">
        <v>1520</v>
      </c>
      <c r="G152" s="60">
        <v>2005</v>
      </c>
      <c r="H152" s="60" t="s">
        <v>36</v>
      </c>
      <c r="I152" s="60" t="str">
        <f t="shared" si="8"/>
        <v>2005 Anaheim Angels</v>
      </c>
      <c r="J152" s="60">
        <v>5624</v>
      </c>
      <c r="K152" s="60">
        <f t="shared" si="6"/>
        <v>1065</v>
      </c>
      <c r="L152" s="60">
        <v>278</v>
      </c>
      <c r="M152" s="60">
        <v>30</v>
      </c>
      <c r="N152" s="60">
        <v>147</v>
      </c>
      <c r="O152" s="60">
        <v>447</v>
      </c>
      <c r="P152" s="60">
        <v>29</v>
      </c>
      <c r="Q152" s="60">
        <f t="shared" si="7"/>
        <v>3628</v>
      </c>
      <c r="R152">
        <v>726</v>
      </c>
      <c r="S152">
        <v>51</v>
      </c>
      <c r="T152">
        <v>848</v>
      </c>
      <c r="U152">
        <v>43</v>
      </c>
      <c r="V152">
        <v>39</v>
      </c>
      <c r="W152">
        <v>4</v>
      </c>
      <c r="X152">
        <v>76</v>
      </c>
      <c r="Y152">
        <v>125</v>
      </c>
      <c r="Z152">
        <v>161</v>
      </c>
      <c r="AA152">
        <v>57</v>
      </c>
      <c r="AB152">
        <v>0.27</v>
      </c>
      <c r="AC152">
        <v>0.32500000000000001</v>
      </c>
      <c r="AD152">
        <v>0.40899999999999997</v>
      </c>
    </row>
    <row r="153" spans="1:30" x14ac:dyDescent="0.5">
      <c r="A153" s="35">
        <v>2005</v>
      </c>
      <c r="B153" t="s">
        <v>40</v>
      </c>
      <c r="C153" t="s">
        <v>38</v>
      </c>
      <c r="D153">
        <v>162</v>
      </c>
      <c r="E153">
        <v>696</v>
      </c>
      <c r="F153">
        <v>1419</v>
      </c>
      <c r="G153" s="60">
        <v>2005</v>
      </c>
      <c r="H153" s="60" t="s">
        <v>39</v>
      </c>
      <c r="I153" s="60" t="str">
        <f t="shared" si="8"/>
        <v>2005 Arizona Diamondbacks</v>
      </c>
      <c r="J153" s="60">
        <v>5550</v>
      </c>
      <c r="K153" s="60">
        <f t="shared" si="6"/>
        <v>910</v>
      </c>
      <c r="L153" s="60">
        <v>291</v>
      </c>
      <c r="M153" s="60">
        <v>27</v>
      </c>
      <c r="N153" s="60">
        <v>191</v>
      </c>
      <c r="O153" s="60">
        <v>606</v>
      </c>
      <c r="P153" s="60">
        <v>55</v>
      </c>
      <c r="Q153" s="60">
        <f t="shared" si="7"/>
        <v>3470</v>
      </c>
      <c r="R153">
        <v>670</v>
      </c>
      <c r="S153">
        <v>51</v>
      </c>
      <c r="T153">
        <v>1094</v>
      </c>
      <c r="U153">
        <v>71</v>
      </c>
      <c r="V153">
        <v>45</v>
      </c>
      <c r="W153">
        <v>0</v>
      </c>
      <c r="X153">
        <v>58</v>
      </c>
      <c r="Y153">
        <v>132</v>
      </c>
      <c r="Z153">
        <v>67</v>
      </c>
      <c r="AA153">
        <v>26</v>
      </c>
      <c r="AB153">
        <v>0.25600000000000001</v>
      </c>
      <c r="AC153">
        <v>0.33200000000000002</v>
      </c>
      <c r="AD153">
        <v>0.42099999999999999</v>
      </c>
    </row>
    <row r="154" spans="1:30" x14ac:dyDescent="0.5">
      <c r="A154" s="35">
        <v>2005</v>
      </c>
      <c r="B154" t="s">
        <v>42</v>
      </c>
      <c r="C154" t="s">
        <v>38</v>
      </c>
      <c r="D154">
        <v>162</v>
      </c>
      <c r="E154">
        <v>769</v>
      </c>
      <c r="F154">
        <v>1453</v>
      </c>
      <c r="G154" s="60">
        <v>2005</v>
      </c>
      <c r="H154" s="60" t="s">
        <v>41</v>
      </c>
      <c r="I154" s="60" t="str">
        <f t="shared" si="8"/>
        <v>2005 Atlanta Braves</v>
      </c>
      <c r="J154" s="60">
        <v>5486</v>
      </c>
      <c r="K154" s="60">
        <f t="shared" si="6"/>
        <v>924</v>
      </c>
      <c r="L154" s="60">
        <v>308</v>
      </c>
      <c r="M154" s="60">
        <v>37</v>
      </c>
      <c r="N154" s="60">
        <v>184</v>
      </c>
      <c r="O154" s="60">
        <v>534</v>
      </c>
      <c r="P154" s="60">
        <v>45</v>
      </c>
      <c r="Q154" s="60">
        <f t="shared" si="7"/>
        <v>3454</v>
      </c>
      <c r="R154">
        <v>733</v>
      </c>
      <c r="S154">
        <v>56</v>
      </c>
      <c r="T154">
        <v>1084</v>
      </c>
      <c r="U154">
        <v>75</v>
      </c>
      <c r="V154">
        <v>46</v>
      </c>
      <c r="W154">
        <v>0</v>
      </c>
      <c r="X154">
        <v>71</v>
      </c>
      <c r="Y154">
        <v>146</v>
      </c>
      <c r="Z154">
        <v>92</v>
      </c>
      <c r="AA154">
        <v>32</v>
      </c>
      <c r="AB154">
        <v>0.26500000000000001</v>
      </c>
      <c r="AC154">
        <v>0.33300000000000002</v>
      </c>
      <c r="AD154">
        <v>0.435</v>
      </c>
    </row>
    <row r="155" spans="1:30" x14ac:dyDescent="0.5">
      <c r="A155" s="35">
        <v>2005</v>
      </c>
      <c r="B155" t="s">
        <v>45</v>
      </c>
      <c r="C155" t="s">
        <v>149</v>
      </c>
      <c r="D155">
        <v>162</v>
      </c>
      <c r="E155">
        <v>729</v>
      </c>
      <c r="F155">
        <v>1492</v>
      </c>
      <c r="G155" s="60">
        <v>2005</v>
      </c>
      <c r="H155" s="60" t="s">
        <v>44</v>
      </c>
      <c r="I155" s="60" t="str">
        <f t="shared" si="8"/>
        <v>2005 Baltimore Orioles</v>
      </c>
      <c r="J155" s="60">
        <v>5551</v>
      </c>
      <c r="K155" s="60">
        <f t="shared" si="6"/>
        <v>980</v>
      </c>
      <c r="L155" s="60">
        <v>296</v>
      </c>
      <c r="M155" s="60">
        <v>27</v>
      </c>
      <c r="N155" s="60">
        <v>189</v>
      </c>
      <c r="O155" s="60">
        <v>447</v>
      </c>
      <c r="P155" s="60">
        <v>54</v>
      </c>
      <c r="Q155" s="60">
        <f t="shared" si="7"/>
        <v>3558</v>
      </c>
      <c r="R155">
        <v>700</v>
      </c>
      <c r="S155">
        <v>31</v>
      </c>
      <c r="T155">
        <v>902</v>
      </c>
      <c r="U155">
        <v>40</v>
      </c>
      <c r="V155">
        <v>42</v>
      </c>
      <c r="W155">
        <v>0</v>
      </c>
      <c r="X155">
        <v>68</v>
      </c>
      <c r="Y155">
        <v>145</v>
      </c>
      <c r="Z155">
        <v>83</v>
      </c>
      <c r="AA155">
        <v>37</v>
      </c>
      <c r="AB155">
        <v>0.26900000000000002</v>
      </c>
      <c r="AC155">
        <v>0.32700000000000001</v>
      </c>
      <c r="AD155">
        <v>0.434</v>
      </c>
    </row>
    <row r="156" spans="1:30" x14ac:dyDescent="0.5">
      <c r="A156" s="35">
        <v>2005</v>
      </c>
      <c r="B156" t="s">
        <v>47</v>
      </c>
      <c r="C156" t="s">
        <v>149</v>
      </c>
      <c r="D156">
        <v>162</v>
      </c>
      <c r="E156">
        <v>910</v>
      </c>
      <c r="F156">
        <v>1579</v>
      </c>
      <c r="G156" s="60">
        <v>2005</v>
      </c>
      <c r="H156" s="60" t="s">
        <v>46</v>
      </c>
      <c r="I156" s="60" t="str">
        <f t="shared" si="8"/>
        <v>2005 Boston Red Sox</v>
      </c>
      <c r="J156" s="60">
        <v>5626</v>
      </c>
      <c r="K156" s="60">
        <f t="shared" si="6"/>
        <v>1020</v>
      </c>
      <c r="L156" s="60">
        <v>339</v>
      </c>
      <c r="M156" s="60">
        <v>21</v>
      </c>
      <c r="N156" s="60">
        <v>199</v>
      </c>
      <c r="O156" s="60">
        <v>653</v>
      </c>
      <c r="P156" s="60">
        <v>47</v>
      </c>
      <c r="Q156" s="60">
        <f t="shared" si="7"/>
        <v>3347</v>
      </c>
      <c r="R156">
        <v>863</v>
      </c>
      <c r="S156">
        <v>34</v>
      </c>
      <c r="T156">
        <v>1044</v>
      </c>
      <c r="U156">
        <v>14</v>
      </c>
      <c r="V156">
        <v>63</v>
      </c>
      <c r="W156">
        <v>0</v>
      </c>
      <c r="X156">
        <v>73</v>
      </c>
      <c r="Y156">
        <v>135</v>
      </c>
      <c r="Z156">
        <v>45</v>
      </c>
      <c r="AA156">
        <v>12</v>
      </c>
      <c r="AB156">
        <v>0.28100000000000003</v>
      </c>
      <c r="AC156">
        <v>0.35699999999999998</v>
      </c>
      <c r="AD156">
        <v>0.45400000000000001</v>
      </c>
    </row>
    <row r="157" spans="1:30" x14ac:dyDescent="0.5">
      <c r="A157" s="35">
        <v>2005</v>
      </c>
      <c r="B157" t="s">
        <v>143</v>
      </c>
      <c r="C157" t="s">
        <v>38</v>
      </c>
      <c r="D157">
        <v>162</v>
      </c>
      <c r="E157">
        <v>703</v>
      </c>
      <c r="F157">
        <v>1506</v>
      </c>
      <c r="G157" s="60">
        <v>2005</v>
      </c>
      <c r="H157" s="60" t="s">
        <v>50</v>
      </c>
      <c r="I157" s="60" t="str">
        <f t="shared" si="8"/>
        <v>2005 Chicago Cubs</v>
      </c>
      <c r="J157" s="60">
        <v>5584</v>
      </c>
      <c r="K157" s="60">
        <f t="shared" si="6"/>
        <v>966</v>
      </c>
      <c r="L157" s="60">
        <v>323</v>
      </c>
      <c r="M157" s="60">
        <v>23</v>
      </c>
      <c r="N157" s="60">
        <v>194</v>
      </c>
      <c r="O157" s="60">
        <v>419</v>
      </c>
      <c r="P157" s="60">
        <v>50</v>
      </c>
      <c r="Q157" s="60">
        <f t="shared" si="7"/>
        <v>3609</v>
      </c>
      <c r="R157">
        <v>674</v>
      </c>
      <c r="S157">
        <v>49</v>
      </c>
      <c r="T157">
        <v>920</v>
      </c>
      <c r="U157">
        <v>69</v>
      </c>
      <c r="V157">
        <v>37</v>
      </c>
      <c r="W157">
        <v>2</v>
      </c>
      <c r="X157">
        <v>72</v>
      </c>
      <c r="Y157">
        <v>131</v>
      </c>
      <c r="Z157">
        <v>65</v>
      </c>
      <c r="AA157">
        <v>39</v>
      </c>
      <c r="AB157">
        <v>0.27</v>
      </c>
      <c r="AC157">
        <v>0.32400000000000001</v>
      </c>
      <c r="AD157">
        <v>0.44</v>
      </c>
    </row>
    <row r="158" spans="1:30" x14ac:dyDescent="0.5">
      <c r="A158" s="35">
        <v>2005</v>
      </c>
      <c r="B158" t="s">
        <v>143</v>
      </c>
      <c r="C158" t="s">
        <v>149</v>
      </c>
      <c r="D158">
        <v>162</v>
      </c>
      <c r="E158">
        <v>741</v>
      </c>
      <c r="F158">
        <v>1450</v>
      </c>
      <c r="G158" s="60">
        <v>2005</v>
      </c>
      <c r="H158" s="60" t="s">
        <v>48</v>
      </c>
      <c r="I158" s="60" t="str">
        <f t="shared" si="8"/>
        <v>2005 Chicago White Sox</v>
      </c>
      <c r="J158" s="60">
        <v>5529</v>
      </c>
      <c r="K158" s="60">
        <f t="shared" si="6"/>
        <v>974</v>
      </c>
      <c r="L158" s="60">
        <v>253</v>
      </c>
      <c r="M158" s="60">
        <v>23</v>
      </c>
      <c r="N158" s="60">
        <v>200</v>
      </c>
      <c r="O158" s="60">
        <v>435</v>
      </c>
      <c r="P158" s="60">
        <v>79</v>
      </c>
      <c r="Q158" s="60">
        <f t="shared" si="7"/>
        <v>3565</v>
      </c>
      <c r="R158">
        <v>713</v>
      </c>
      <c r="S158">
        <v>27</v>
      </c>
      <c r="T158">
        <v>1002</v>
      </c>
      <c r="U158">
        <v>53</v>
      </c>
      <c r="V158">
        <v>49</v>
      </c>
      <c r="W158">
        <v>1</v>
      </c>
      <c r="X158">
        <v>58</v>
      </c>
      <c r="Y158">
        <v>122</v>
      </c>
      <c r="Z158">
        <v>137</v>
      </c>
      <c r="AA158">
        <v>67</v>
      </c>
      <c r="AB158">
        <v>0.26200000000000001</v>
      </c>
      <c r="AC158">
        <v>0.32200000000000001</v>
      </c>
      <c r="AD158">
        <v>0.42499999999999999</v>
      </c>
    </row>
    <row r="159" spans="1:30" x14ac:dyDescent="0.5">
      <c r="A159" s="35">
        <v>2005</v>
      </c>
      <c r="B159" t="s">
        <v>53</v>
      </c>
      <c r="C159" t="s">
        <v>38</v>
      </c>
      <c r="D159">
        <v>163</v>
      </c>
      <c r="E159">
        <v>820</v>
      </c>
      <c r="F159">
        <v>1453</v>
      </c>
      <c r="G159" s="60">
        <v>2005</v>
      </c>
      <c r="H159" s="60" t="s">
        <v>52</v>
      </c>
      <c r="I159" s="60" t="str">
        <f t="shared" si="8"/>
        <v>2005 Cincinnati Reds</v>
      </c>
      <c r="J159" s="60">
        <v>5565</v>
      </c>
      <c r="K159" s="60">
        <f t="shared" si="6"/>
        <v>881</v>
      </c>
      <c r="L159" s="60">
        <v>335</v>
      </c>
      <c r="M159" s="60">
        <v>15</v>
      </c>
      <c r="N159" s="60">
        <v>222</v>
      </c>
      <c r="O159" s="60">
        <v>611</v>
      </c>
      <c r="P159" s="60">
        <v>62</v>
      </c>
      <c r="Q159" s="60">
        <f t="shared" si="7"/>
        <v>3439</v>
      </c>
      <c r="R159">
        <v>784</v>
      </c>
      <c r="S159">
        <v>42</v>
      </c>
      <c r="T159">
        <v>1303</v>
      </c>
      <c r="U159">
        <v>43</v>
      </c>
      <c r="V159">
        <v>39</v>
      </c>
      <c r="W159">
        <v>1</v>
      </c>
      <c r="X159">
        <v>59</v>
      </c>
      <c r="Y159">
        <v>116</v>
      </c>
      <c r="Z159">
        <v>72</v>
      </c>
      <c r="AA159">
        <v>23</v>
      </c>
      <c r="AB159">
        <v>0.26100000000000001</v>
      </c>
      <c r="AC159">
        <v>0.33900000000000002</v>
      </c>
      <c r="AD159">
        <v>0.44600000000000001</v>
      </c>
    </row>
    <row r="160" spans="1:30" x14ac:dyDescent="0.5">
      <c r="A160" s="35">
        <v>2005</v>
      </c>
      <c r="B160" t="s">
        <v>55</v>
      </c>
      <c r="C160" t="s">
        <v>149</v>
      </c>
      <c r="D160">
        <v>162</v>
      </c>
      <c r="E160">
        <v>790</v>
      </c>
      <c r="F160">
        <v>1522</v>
      </c>
      <c r="G160" s="60">
        <v>2005</v>
      </c>
      <c r="H160" s="60" t="s">
        <v>54</v>
      </c>
      <c r="I160" s="60" t="str">
        <f t="shared" si="8"/>
        <v>2005 Cleveland Indians</v>
      </c>
      <c r="J160" s="60">
        <v>5609</v>
      </c>
      <c r="K160" s="60">
        <f t="shared" si="6"/>
        <v>948</v>
      </c>
      <c r="L160" s="60">
        <v>337</v>
      </c>
      <c r="M160" s="60">
        <v>30</v>
      </c>
      <c r="N160" s="60">
        <v>207</v>
      </c>
      <c r="O160" s="60">
        <v>503</v>
      </c>
      <c r="P160" s="60">
        <v>54</v>
      </c>
      <c r="Q160" s="60">
        <f t="shared" si="7"/>
        <v>3530</v>
      </c>
      <c r="R160">
        <v>760</v>
      </c>
      <c r="S160">
        <v>33</v>
      </c>
      <c r="T160">
        <v>1093</v>
      </c>
      <c r="U160">
        <v>39</v>
      </c>
      <c r="V160">
        <v>50</v>
      </c>
      <c r="W160">
        <v>0</v>
      </c>
      <c r="X160">
        <v>71</v>
      </c>
      <c r="Y160">
        <v>128</v>
      </c>
      <c r="Z160">
        <v>62</v>
      </c>
      <c r="AA160">
        <v>36</v>
      </c>
      <c r="AB160">
        <v>0.27100000000000002</v>
      </c>
      <c r="AC160">
        <v>0.33400000000000002</v>
      </c>
      <c r="AD160">
        <v>0.45300000000000001</v>
      </c>
    </row>
    <row r="161" spans="1:30" x14ac:dyDescent="0.5">
      <c r="A161" s="35">
        <v>2005</v>
      </c>
      <c r="B161" t="s">
        <v>57</v>
      </c>
      <c r="C161" t="s">
        <v>38</v>
      </c>
      <c r="D161">
        <v>162</v>
      </c>
      <c r="E161">
        <v>740</v>
      </c>
      <c r="F161">
        <v>1477</v>
      </c>
      <c r="G161" s="60">
        <v>2005</v>
      </c>
      <c r="H161" s="60" t="s">
        <v>56</v>
      </c>
      <c r="I161" s="60" t="str">
        <f t="shared" si="8"/>
        <v>2005 Colorado Rockies</v>
      </c>
      <c r="J161" s="60">
        <v>5542</v>
      </c>
      <c r="K161" s="60">
        <f t="shared" si="6"/>
        <v>1013</v>
      </c>
      <c r="L161" s="60">
        <v>280</v>
      </c>
      <c r="M161" s="60">
        <v>34</v>
      </c>
      <c r="N161" s="60">
        <v>150</v>
      </c>
      <c r="O161" s="60">
        <v>509</v>
      </c>
      <c r="P161" s="60">
        <v>64</v>
      </c>
      <c r="Q161" s="60">
        <f t="shared" si="7"/>
        <v>3492</v>
      </c>
      <c r="R161">
        <v>704</v>
      </c>
      <c r="S161">
        <v>36</v>
      </c>
      <c r="T161">
        <v>1103</v>
      </c>
      <c r="U161">
        <v>88</v>
      </c>
      <c r="V161">
        <v>34</v>
      </c>
      <c r="W161">
        <v>1</v>
      </c>
      <c r="X161">
        <v>88</v>
      </c>
      <c r="Y161">
        <v>125</v>
      </c>
      <c r="Z161">
        <v>65</v>
      </c>
      <c r="AA161">
        <v>32</v>
      </c>
      <c r="AB161">
        <v>0.26700000000000002</v>
      </c>
      <c r="AC161">
        <v>0.33300000000000002</v>
      </c>
      <c r="AD161">
        <v>0.41099999999999998</v>
      </c>
    </row>
    <row r="162" spans="1:30" x14ac:dyDescent="0.5">
      <c r="A162" s="35">
        <v>2005</v>
      </c>
      <c r="B162" t="s">
        <v>59</v>
      </c>
      <c r="C162" t="s">
        <v>149</v>
      </c>
      <c r="D162">
        <v>162</v>
      </c>
      <c r="E162">
        <v>723</v>
      </c>
      <c r="F162">
        <v>1521</v>
      </c>
      <c r="G162" s="60">
        <v>2005</v>
      </c>
      <c r="H162" s="60" t="s">
        <v>58</v>
      </c>
      <c r="I162" s="60" t="str">
        <f t="shared" si="8"/>
        <v>2005 Detroit Tigers</v>
      </c>
      <c r="J162" s="60">
        <v>5602</v>
      </c>
      <c r="K162" s="60">
        <f t="shared" si="6"/>
        <v>1025</v>
      </c>
      <c r="L162" s="60">
        <v>283</v>
      </c>
      <c r="M162" s="60">
        <v>45</v>
      </c>
      <c r="N162" s="60">
        <v>168</v>
      </c>
      <c r="O162" s="60">
        <v>384</v>
      </c>
      <c r="P162" s="60">
        <v>53</v>
      </c>
      <c r="Q162" s="60">
        <f t="shared" si="7"/>
        <v>3644</v>
      </c>
      <c r="R162">
        <v>678</v>
      </c>
      <c r="S162">
        <v>24</v>
      </c>
      <c r="T162">
        <v>1038</v>
      </c>
      <c r="U162">
        <v>44</v>
      </c>
      <c r="V162">
        <v>52</v>
      </c>
      <c r="W162">
        <v>1</v>
      </c>
      <c r="X162">
        <v>60</v>
      </c>
      <c r="Y162">
        <v>137</v>
      </c>
      <c r="Z162">
        <v>66</v>
      </c>
      <c r="AA162">
        <v>28</v>
      </c>
      <c r="AB162">
        <v>0.27200000000000002</v>
      </c>
      <c r="AC162">
        <v>0.32100000000000001</v>
      </c>
      <c r="AD162">
        <v>0.42799999999999999</v>
      </c>
    </row>
    <row r="163" spans="1:30" x14ac:dyDescent="0.5">
      <c r="A163" s="35">
        <v>2005</v>
      </c>
      <c r="B163" t="s">
        <v>146</v>
      </c>
      <c r="C163" t="s">
        <v>38</v>
      </c>
      <c r="D163">
        <v>162</v>
      </c>
      <c r="E163">
        <v>717</v>
      </c>
      <c r="F163">
        <v>1499</v>
      </c>
      <c r="G163" s="60">
        <v>2005</v>
      </c>
      <c r="H163" s="60" t="s">
        <v>60</v>
      </c>
      <c r="I163" s="60" t="str">
        <f t="shared" si="8"/>
        <v>2005 Florida Marlins</v>
      </c>
      <c r="J163" s="60">
        <v>5502</v>
      </c>
      <c r="K163" s="60">
        <f t="shared" si="6"/>
        <v>1033</v>
      </c>
      <c r="L163" s="60">
        <v>306</v>
      </c>
      <c r="M163" s="60">
        <v>32</v>
      </c>
      <c r="N163" s="60">
        <v>128</v>
      </c>
      <c r="O163" s="60">
        <v>512</v>
      </c>
      <c r="P163" s="60">
        <v>67</v>
      </c>
      <c r="Q163" s="60">
        <f t="shared" si="7"/>
        <v>3424</v>
      </c>
      <c r="R163">
        <v>678</v>
      </c>
      <c r="S163">
        <v>61</v>
      </c>
      <c r="T163">
        <v>918</v>
      </c>
      <c r="U163">
        <v>82</v>
      </c>
      <c r="V163">
        <v>50</v>
      </c>
      <c r="W163">
        <v>1</v>
      </c>
      <c r="X163">
        <v>61</v>
      </c>
      <c r="Y163">
        <v>144</v>
      </c>
      <c r="Z163">
        <v>96</v>
      </c>
      <c r="AA163">
        <v>38</v>
      </c>
      <c r="AB163">
        <v>0.27200000000000002</v>
      </c>
      <c r="AC163">
        <v>0.33900000000000002</v>
      </c>
      <c r="AD163">
        <v>0.40899999999999997</v>
      </c>
    </row>
    <row r="164" spans="1:30" x14ac:dyDescent="0.5">
      <c r="A164" s="35">
        <v>2005</v>
      </c>
      <c r="B164" t="s">
        <v>63</v>
      </c>
      <c r="C164" t="s">
        <v>38</v>
      </c>
      <c r="D164">
        <v>163</v>
      </c>
      <c r="E164">
        <v>693</v>
      </c>
      <c r="F164">
        <v>1400</v>
      </c>
      <c r="G164" s="60">
        <v>2005</v>
      </c>
      <c r="H164" s="60" t="s">
        <v>62</v>
      </c>
      <c r="I164" s="60" t="str">
        <f t="shared" si="8"/>
        <v>2005 Houston Astros</v>
      </c>
      <c r="J164" s="60">
        <v>5462</v>
      </c>
      <c r="K164" s="60">
        <f t="shared" si="6"/>
        <v>926</v>
      </c>
      <c r="L164" s="60">
        <v>281</v>
      </c>
      <c r="M164" s="60">
        <v>32</v>
      </c>
      <c r="N164" s="60">
        <v>161</v>
      </c>
      <c r="O164" s="60">
        <v>481</v>
      </c>
      <c r="P164" s="60">
        <v>72</v>
      </c>
      <c r="Q164" s="60">
        <f t="shared" si="7"/>
        <v>3509</v>
      </c>
      <c r="R164">
        <v>654</v>
      </c>
      <c r="S164">
        <v>43</v>
      </c>
      <c r="T164">
        <v>1037</v>
      </c>
      <c r="U164">
        <v>82</v>
      </c>
      <c r="V164">
        <v>42</v>
      </c>
      <c r="W164">
        <v>0</v>
      </c>
      <c r="X164">
        <v>84</v>
      </c>
      <c r="Y164">
        <v>116</v>
      </c>
      <c r="Z164">
        <v>115</v>
      </c>
      <c r="AA164">
        <v>44</v>
      </c>
      <c r="AB164">
        <v>0.25600000000000001</v>
      </c>
      <c r="AC164">
        <v>0.32200000000000001</v>
      </c>
      <c r="AD164">
        <v>0.40799999999999997</v>
      </c>
    </row>
    <row r="165" spans="1:30" x14ac:dyDescent="0.5">
      <c r="A165" s="35">
        <v>2005</v>
      </c>
      <c r="B165" t="s">
        <v>150</v>
      </c>
      <c r="C165" t="s">
        <v>149</v>
      </c>
      <c r="D165">
        <v>162</v>
      </c>
      <c r="E165">
        <v>701</v>
      </c>
      <c r="F165">
        <v>1445</v>
      </c>
      <c r="G165" s="60">
        <v>2005</v>
      </c>
      <c r="H165" s="60" t="s">
        <v>64</v>
      </c>
      <c r="I165" s="60" t="str">
        <f t="shared" si="8"/>
        <v>2005 Kansas City Royals</v>
      </c>
      <c r="J165" s="60">
        <v>5503</v>
      </c>
      <c r="K165" s="60">
        <f t="shared" si="6"/>
        <v>996</v>
      </c>
      <c r="L165" s="60">
        <v>289</v>
      </c>
      <c r="M165" s="60">
        <v>34</v>
      </c>
      <c r="N165" s="60">
        <v>126</v>
      </c>
      <c r="O165" s="60">
        <v>424</v>
      </c>
      <c r="P165" s="60">
        <v>63</v>
      </c>
      <c r="Q165" s="60">
        <f t="shared" si="7"/>
        <v>3571</v>
      </c>
      <c r="R165">
        <v>653</v>
      </c>
      <c r="S165">
        <v>23</v>
      </c>
      <c r="T165">
        <v>1008</v>
      </c>
      <c r="U165">
        <v>46</v>
      </c>
      <c r="V165">
        <v>50</v>
      </c>
      <c r="W165">
        <v>0</v>
      </c>
      <c r="X165">
        <v>61</v>
      </c>
      <c r="Y165">
        <v>139</v>
      </c>
      <c r="Z165">
        <v>53</v>
      </c>
      <c r="AA165">
        <v>33</v>
      </c>
      <c r="AB165">
        <v>0.26300000000000001</v>
      </c>
      <c r="AC165">
        <v>0.32</v>
      </c>
      <c r="AD165">
        <v>0.39600000000000002</v>
      </c>
    </row>
    <row r="166" spans="1:30" x14ac:dyDescent="0.5">
      <c r="A166" s="35">
        <v>2005</v>
      </c>
      <c r="B166" t="s">
        <v>145</v>
      </c>
      <c r="C166" t="s">
        <v>38</v>
      </c>
      <c r="D166">
        <v>162</v>
      </c>
      <c r="E166">
        <v>685</v>
      </c>
      <c r="F166">
        <v>1374</v>
      </c>
      <c r="G166" s="60">
        <v>2005</v>
      </c>
      <c r="H166" s="60" t="s">
        <v>66</v>
      </c>
      <c r="I166" s="60" t="str">
        <f t="shared" si="8"/>
        <v>2005 Los Angeles Dodgers</v>
      </c>
      <c r="J166" s="60">
        <v>5433</v>
      </c>
      <c r="K166" s="60">
        <f t="shared" si="6"/>
        <v>920</v>
      </c>
      <c r="L166" s="60">
        <v>284</v>
      </c>
      <c r="M166" s="60">
        <v>21</v>
      </c>
      <c r="N166" s="60">
        <v>149</v>
      </c>
      <c r="O166" s="60">
        <v>541</v>
      </c>
      <c r="P166" s="60">
        <v>67</v>
      </c>
      <c r="Q166" s="60">
        <f t="shared" si="7"/>
        <v>3451</v>
      </c>
      <c r="R166">
        <v>653</v>
      </c>
      <c r="S166">
        <v>30</v>
      </c>
      <c r="T166">
        <v>1094</v>
      </c>
      <c r="U166">
        <v>57</v>
      </c>
      <c r="V166">
        <v>33</v>
      </c>
      <c r="W166">
        <v>3</v>
      </c>
      <c r="X166">
        <v>62</v>
      </c>
      <c r="Y166">
        <v>139</v>
      </c>
      <c r="Z166">
        <v>58</v>
      </c>
      <c r="AA166">
        <v>35</v>
      </c>
      <c r="AB166">
        <v>0.253</v>
      </c>
      <c r="AC166">
        <v>0.32600000000000001</v>
      </c>
      <c r="AD166">
        <v>0.39500000000000002</v>
      </c>
    </row>
    <row r="167" spans="1:30" x14ac:dyDescent="0.5">
      <c r="A167" s="35">
        <v>2005</v>
      </c>
      <c r="B167" t="s">
        <v>69</v>
      </c>
      <c r="C167" t="s">
        <v>38</v>
      </c>
      <c r="D167">
        <v>162</v>
      </c>
      <c r="E167">
        <v>726</v>
      </c>
      <c r="F167">
        <v>1413</v>
      </c>
      <c r="G167" s="60">
        <v>2005</v>
      </c>
      <c r="H167" s="60" t="s">
        <v>68</v>
      </c>
      <c r="I167" s="60" t="str">
        <f t="shared" si="8"/>
        <v>2005 Milwaukee Brewers</v>
      </c>
      <c r="J167" s="60">
        <v>5448</v>
      </c>
      <c r="K167" s="60">
        <f t="shared" si="6"/>
        <v>892</v>
      </c>
      <c r="L167" s="60">
        <v>327</v>
      </c>
      <c r="M167" s="60">
        <v>19</v>
      </c>
      <c r="N167" s="60">
        <v>175</v>
      </c>
      <c r="O167" s="60">
        <v>531</v>
      </c>
      <c r="P167" s="60">
        <v>73</v>
      </c>
      <c r="Q167" s="60">
        <f t="shared" si="7"/>
        <v>3431</v>
      </c>
      <c r="R167">
        <v>689</v>
      </c>
      <c r="S167">
        <v>55</v>
      </c>
      <c r="T167">
        <v>1162</v>
      </c>
      <c r="U167">
        <v>66</v>
      </c>
      <c r="V167">
        <v>38</v>
      </c>
      <c r="W167">
        <v>0</v>
      </c>
      <c r="X167">
        <v>64</v>
      </c>
      <c r="Y167">
        <v>137</v>
      </c>
      <c r="Z167">
        <v>79</v>
      </c>
      <c r="AA167">
        <v>34</v>
      </c>
      <c r="AB167">
        <v>0.25900000000000001</v>
      </c>
      <c r="AC167">
        <v>0.33100000000000002</v>
      </c>
      <c r="AD167">
        <v>0.42299999999999999</v>
      </c>
    </row>
    <row r="168" spans="1:30" x14ac:dyDescent="0.5">
      <c r="A168" s="35">
        <v>2005</v>
      </c>
      <c r="B168" t="s">
        <v>71</v>
      </c>
      <c r="C168" t="s">
        <v>149</v>
      </c>
      <c r="D168">
        <v>162</v>
      </c>
      <c r="E168">
        <v>688</v>
      </c>
      <c r="F168">
        <v>1441</v>
      </c>
      <c r="G168" s="60">
        <v>2005</v>
      </c>
      <c r="H168" s="60" t="s">
        <v>70</v>
      </c>
      <c r="I168" s="60" t="str">
        <f t="shared" si="8"/>
        <v>2005 Minnesota Twins</v>
      </c>
      <c r="J168" s="60">
        <v>5564</v>
      </c>
      <c r="K168" s="60">
        <f t="shared" si="6"/>
        <v>1006</v>
      </c>
      <c r="L168" s="60">
        <v>269</v>
      </c>
      <c r="M168" s="60">
        <v>32</v>
      </c>
      <c r="N168" s="60">
        <v>134</v>
      </c>
      <c r="O168" s="60">
        <v>485</v>
      </c>
      <c r="P168" s="60">
        <v>59</v>
      </c>
      <c r="Q168" s="60">
        <f t="shared" si="7"/>
        <v>3579</v>
      </c>
      <c r="R168">
        <v>644</v>
      </c>
      <c r="S168">
        <v>49</v>
      </c>
      <c r="T168">
        <v>978</v>
      </c>
      <c r="U168">
        <v>42</v>
      </c>
      <c r="V168">
        <v>42</v>
      </c>
      <c r="W168">
        <v>0</v>
      </c>
      <c r="X168">
        <v>68</v>
      </c>
      <c r="Y168">
        <v>155</v>
      </c>
      <c r="Z168">
        <v>102</v>
      </c>
      <c r="AA168">
        <v>44</v>
      </c>
      <c r="AB168">
        <v>0.25900000000000001</v>
      </c>
      <c r="AC168">
        <v>0.32300000000000001</v>
      </c>
      <c r="AD168">
        <v>0.39100000000000001</v>
      </c>
    </row>
    <row r="169" spans="1:30" x14ac:dyDescent="0.5">
      <c r="A169" s="35">
        <v>2005</v>
      </c>
      <c r="B169" t="s">
        <v>144</v>
      </c>
      <c r="C169" t="s">
        <v>38</v>
      </c>
      <c r="D169">
        <v>162</v>
      </c>
      <c r="E169">
        <v>722</v>
      </c>
      <c r="F169">
        <v>1421</v>
      </c>
      <c r="G169" s="60">
        <v>2005</v>
      </c>
      <c r="H169" s="60" t="s">
        <v>76</v>
      </c>
      <c r="I169" s="60" t="str">
        <f t="shared" si="8"/>
        <v>2005 New York Mets</v>
      </c>
      <c r="J169" s="60">
        <v>5505</v>
      </c>
      <c r="K169" s="60">
        <f t="shared" si="6"/>
        <v>935</v>
      </c>
      <c r="L169" s="60">
        <v>279</v>
      </c>
      <c r="M169" s="60">
        <v>32</v>
      </c>
      <c r="N169" s="60">
        <v>175</v>
      </c>
      <c r="O169" s="60">
        <v>486</v>
      </c>
      <c r="P169" s="60">
        <v>48</v>
      </c>
      <c r="Q169" s="60">
        <f t="shared" si="7"/>
        <v>3550</v>
      </c>
      <c r="R169">
        <v>683</v>
      </c>
      <c r="S169">
        <v>49</v>
      </c>
      <c r="T169">
        <v>1075</v>
      </c>
      <c r="U169">
        <v>69</v>
      </c>
      <c r="V169">
        <v>38</v>
      </c>
      <c r="W169">
        <v>0</v>
      </c>
      <c r="X169">
        <v>77</v>
      </c>
      <c r="Y169">
        <v>103</v>
      </c>
      <c r="Z169">
        <v>153</v>
      </c>
      <c r="AA169">
        <v>40</v>
      </c>
      <c r="AB169">
        <v>0.25800000000000001</v>
      </c>
      <c r="AC169">
        <v>0.32200000000000001</v>
      </c>
      <c r="AD169">
        <v>0.41599999999999998</v>
      </c>
    </row>
    <row r="170" spans="1:30" x14ac:dyDescent="0.5">
      <c r="A170" s="35">
        <v>2005</v>
      </c>
      <c r="B170" t="s">
        <v>144</v>
      </c>
      <c r="C170" t="s">
        <v>149</v>
      </c>
      <c r="D170">
        <v>162</v>
      </c>
      <c r="E170">
        <v>886</v>
      </c>
      <c r="F170">
        <v>1552</v>
      </c>
      <c r="G170" s="60">
        <v>2005</v>
      </c>
      <c r="H170" s="60" t="s">
        <v>74</v>
      </c>
      <c r="I170" s="60" t="str">
        <f t="shared" si="8"/>
        <v>2005 New York Yankees</v>
      </c>
      <c r="J170" s="60">
        <v>5624</v>
      </c>
      <c r="K170" s="60">
        <f t="shared" si="6"/>
        <v>1048</v>
      </c>
      <c r="L170" s="60">
        <v>259</v>
      </c>
      <c r="M170" s="60">
        <v>16</v>
      </c>
      <c r="N170" s="60">
        <v>229</v>
      </c>
      <c r="O170" s="60">
        <v>637</v>
      </c>
      <c r="P170" s="60">
        <v>73</v>
      </c>
      <c r="Q170" s="60">
        <f t="shared" si="7"/>
        <v>3362</v>
      </c>
      <c r="R170">
        <v>847</v>
      </c>
      <c r="S170">
        <v>41</v>
      </c>
      <c r="T170">
        <v>989</v>
      </c>
      <c r="U170">
        <v>28</v>
      </c>
      <c r="V170">
        <v>43</v>
      </c>
      <c r="W170">
        <v>1</v>
      </c>
      <c r="X170">
        <v>89</v>
      </c>
      <c r="Y170">
        <v>125</v>
      </c>
      <c r="Z170">
        <v>84</v>
      </c>
      <c r="AA170">
        <v>27</v>
      </c>
      <c r="AB170">
        <v>0.27600000000000002</v>
      </c>
      <c r="AC170">
        <v>0.35499999999999998</v>
      </c>
      <c r="AD170">
        <v>0.45</v>
      </c>
    </row>
    <row r="171" spans="1:30" x14ac:dyDescent="0.5">
      <c r="A171" s="35">
        <v>2005</v>
      </c>
      <c r="B171" t="s">
        <v>79</v>
      </c>
      <c r="C171" t="s">
        <v>149</v>
      </c>
      <c r="D171">
        <v>162</v>
      </c>
      <c r="E171">
        <v>772</v>
      </c>
      <c r="F171">
        <v>1476</v>
      </c>
      <c r="G171" s="60">
        <v>2005</v>
      </c>
      <c r="H171" s="60" t="s">
        <v>78</v>
      </c>
      <c r="I171" s="60" t="str">
        <f t="shared" si="8"/>
        <v>2005 Oakland Athletics</v>
      </c>
      <c r="J171" s="60">
        <v>5627</v>
      </c>
      <c r="K171" s="60">
        <f t="shared" si="6"/>
        <v>991</v>
      </c>
      <c r="L171" s="60">
        <v>310</v>
      </c>
      <c r="M171" s="60">
        <v>20</v>
      </c>
      <c r="N171" s="60">
        <v>155</v>
      </c>
      <c r="O171" s="60">
        <v>537</v>
      </c>
      <c r="P171" s="60">
        <v>52</v>
      </c>
      <c r="Q171" s="60">
        <f t="shared" si="7"/>
        <v>3562</v>
      </c>
      <c r="R171">
        <v>739</v>
      </c>
      <c r="S171">
        <v>22</v>
      </c>
      <c r="T171">
        <v>819</v>
      </c>
      <c r="U171">
        <v>19</v>
      </c>
      <c r="V171">
        <v>40</v>
      </c>
      <c r="W171">
        <v>0</v>
      </c>
      <c r="X171">
        <v>75</v>
      </c>
      <c r="Y171">
        <v>148</v>
      </c>
      <c r="Z171">
        <v>31</v>
      </c>
      <c r="AA171">
        <v>22</v>
      </c>
      <c r="AB171">
        <v>0.26200000000000001</v>
      </c>
      <c r="AC171">
        <v>0.33</v>
      </c>
      <c r="AD171">
        <v>0.40699999999999997</v>
      </c>
    </row>
    <row r="172" spans="1:30" x14ac:dyDescent="0.5">
      <c r="A172" s="35">
        <v>2005</v>
      </c>
      <c r="B172" t="s">
        <v>81</v>
      </c>
      <c r="C172" t="s">
        <v>38</v>
      </c>
      <c r="D172">
        <v>162</v>
      </c>
      <c r="E172">
        <v>807</v>
      </c>
      <c r="F172">
        <v>1494</v>
      </c>
      <c r="G172" s="60">
        <v>2005</v>
      </c>
      <c r="H172" s="60" t="s">
        <v>80</v>
      </c>
      <c r="I172" s="60" t="str">
        <f t="shared" si="8"/>
        <v>2005 Philadelphia Phillies</v>
      </c>
      <c r="J172" s="60">
        <v>5542</v>
      </c>
      <c r="K172" s="60">
        <f t="shared" si="6"/>
        <v>1010</v>
      </c>
      <c r="L172" s="60">
        <v>282</v>
      </c>
      <c r="M172" s="60">
        <v>35</v>
      </c>
      <c r="N172" s="60">
        <v>167</v>
      </c>
      <c r="O172" s="60">
        <v>639</v>
      </c>
      <c r="P172" s="60">
        <v>56</v>
      </c>
      <c r="Q172" s="60">
        <f t="shared" si="7"/>
        <v>3353</v>
      </c>
      <c r="R172">
        <v>760</v>
      </c>
      <c r="S172">
        <v>76</v>
      </c>
      <c r="T172">
        <v>1083</v>
      </c>
      <c r="U172">
        <v>62</v>
      </c>
      <c r="V172">
        <v>46</v>
      </c>
      <c r="W172">
        <v>0</v>
      </c>
      <c r="X172">
        <v>61</v>
      </c>
      <c r="Y172">
        <v>107</v>
      </c>
      <c r="Z172">
        <v>116</v>
      </c>
      <c r="AA172">
        <v>27</v>
      </c>
      <c r="AB172">
        <v>0.27</v>
      </c>
      <c r="AC172">
        <v>0.34799999999999998</v>
      </c>
      <c r="AD172">
        <v>0.42299999999999999</v>
      </c>
    </row>
    <row r="173" spans="1:30" x14ac:dyDescent="0.5">
      <c r="A173" s="35">
        <v>2005</v>
      </c>
      <c r="B173" t="s">
        <v>83</v>
      </c>
      <c r="C173" t="s">
        <v>38</v>
      </c>
      <c r="D173">
        <v>162</v>
      </c>
      <c r="E173">
        <v>680</v>
      </c>
      <c r="F173">
        <v>1445</v>
      </c>
      <c r="G173" s="60">
        <v>2005</v>
      </c>
      <c r="H173" s="60" t="s">
        <v>82</v>
      </c>
      <c r="I173" s="60" t="str">
        <f t="shared" si="8"/>
        <v>2005 Pittsburgh Pirates</v>
      </c>
      <c r="J173" s="60">
        <v>5573</v>
      </c>
      <c r="K173" s="60">
        <f t="shared" si="6"/>
        <v>976</v>
      </c>
      <c r="L173" s="60">
        <v>292</v>
      </c>
      <c r="M173" s="60">
        <v>38</v>
      </c>
      <c r="N173" s="60">
        <v>139</v>
      </c>
      <c r="O173" s="60">
        <v>471</v>
      </c>
      <c r="P173" s="60">
        <v>72</v>
      </c>
      <c r="Q173" s="60">
        <f t="shared" si="7"/>
        <v>3585</v>
      </c>
      <c r="R173">
        <v>656</v>
      </c>
      <c r="S173">
        <v>38</v>
      </c>
      <c r="T173">
        <v>1092</v>
      </c>
      <c r="U173">
        <v>56</v>
      </c>
      <c r="V173">
        <v>49</v>
      </c>
      <c r="W173">
        <v>0</v>
      </c>
      <c r="X173">
        <v>90</v>
      </c>
      <c r="Y173">
        <v>130</v>
      </c>
      <c r="Z173">
        <v>73</v>
      </c>
      <c r="AA173">
        <v>30</v>
      </c>
      <c r="AB173">
        <v>0.25900000000000001</v>
      </c>
      <c r="AC173">
        <v>0.32200000000000001</v>
      </c>
      <c r="AD173">
        <v>0.4</v>
      </c>
    </row>
    <row r="174" spans="1:30" x14ac:dyDescent="0.5">
      <c r="A174" s="35">
        <v>2005</v>
      </c>
      <c r="B174" t="s">
        <v>147</v>
      </c>
      <c r="C174" t="s">
        <v>38</v>
      </c>
      <c r="D174">
        <v>162</v>
      </c>
      <c r="E174">
        <v>684</v>
      </c>
      <c r="F174">
        <v>1416</v>
      </c>
      <c r="G174" s="60">
        <v>2005</v>
      </c>
      <c r="H174" s="60" t="s">
        <v>84</v>
      </c>
      <c r="I174" s="60" t="str">
        <f t="shared" si="8"/>
        <v>2005 San Diego Padres</v>
      </c>
      <c r="J174" s="60">
        <v>5502</v>
      </c>
      <c r="K174" s="60">
        <f t="shared" si="6"/>
        <v>978</v>
      </c>
      <c r="L174" s="60">
        <v>269</v>
      </c>
      <c r="M174" s="60">
        <v>39</v>
      </c>
      <c r="N174" s="60">
        <v>130</v>
      </c>
      <c r="O174" s="60">
        <v>600</v>
      </c>
      <c r="P174" s="60">
        <v>49</v>
      </c>
      <c r="Q174" s="60">
        <f t="shared" si="7"/>
        <v>3437</v>
      </c>
      <c r="R174">
        <v>655</v>
      </c>
      <c r="S174">
        <v>41</v>
      </c>
      <c r="T174">
        <v>977</v>
      </c>
      <c r="U174">
        <v>72</v>
      </c>
      <c r="V174">
        <v>48</v>
      </c>
      <c r="W174">
        <v>0</v>
      </c>
      <c r="X174">
        <v>62</v>
      </c>
      <c r="Y174">
        <v>122</v>
      </c>
      <c r="Z174">
        <v>99</v>
      </c>
      <c r="AA174">
        <v>44</v>
      </c>
      <c r="AB174">
        <v>0.25700000000000001</v>
      </c>
      <c r="AC174">
        <v>0.33300000000000002</v>
      </c>
      <c r="AD174">
        <v>0.39100000000000001</v>
      </c>
    </row>
    <row r="175" spans="1:30" x14ac:dyDescent="0.5">
      <c r="A175" s="35">
        <v>2005</v>
      </c>
      <c r="B175" t="s">
        <v>87</v>
      </c>
      <c r="C175" t="s">
        <v>149</v>
      </c>
      <c r="D175">
        <v>162</v>
      </c>
      <c r="E175">
        <v>699</v>
      </c>
      <c r="F175">
        <v>1408</v>
      </c>
      <c r="G175" s="60">
        <v>2005</v>
      </c>
      <c r="H175" s="60" t="s">
        <v>86</v>
      </c>
      <c r="I175" s="60" t="str">
        <f t="shared" si="8"/>
        <v>2005 Seattle Mariners</v>
      </c>
      <c r="J175" s="60">
        <v>5507</v>
      </c>
      <c r="K175" s="60">
        <f t="shared" si="6"/>
        <v>955</v>
      </c>
      <c r="L175" s="60">
        <v>289</v>
      </c>
      <c r="M175" s="60">
        <v>34</v>
      </c>
      <c r="N175" s="60">
        <v>130</v>
      </c>
      <c r="O175" s="60">
        <v>466</v>
      </c>
      <c r="P175" s="60">
        <v>48</v>
      </c>
      <c r="Q175" s="60">
        <f t="shared" si="7"/>
        <v>3585</v>
      </c>
      <c r="R175">
        <v>657</v>
      </c>
      <c r="S175">
        <v>50</v>
      </c>
      <c r="T175">
        <v>986</v>
      </c>
      <c r="U175">
        <v>37</v>
      </c>
      <c r="V175">
        <v>37</v>
      </c>
      <c r="W175">
        <v>0</v>
      </c>
      <c r="X175">
        <v>68</v>
      </c>
      <c r="Y175">
        <v>115</v>
      </c>
      <c r="Z175">
        <v>102</v>
      </c>
      <c r="AA175">
        <v>47</v>
      </c>
      <c r="AB175">
        <v>0.25600000000000001</v>
      </c>
      <c r="AC175">
        <v>0.317</v>
      </c>
      <c r="AD175">
        <v>0.39100000000000001</v>
      </c>
    </row>
    <row r="176" spans="1:30" x14ac:dyDescent="0.5">
      <c r="A176" s="35">
        <v>2005</v>
      </c>
      <c r="B176" t="s">
        <v>21</v>
      </c>
      <c r="C176" t="s">
        <v>38</v>
      </c>
      <c r="D176">
        <v>162</v>
      </c>
      <c r="E176">
        <v>649</v>
      </c>
      <c r="F176">
        <v>1427</v>
      </c>
      <c r="G176" s="60">
        <v>2005</v>
      </c>
      <c r="H176" s="60" t="s">
        <v>88</v>
      </c>
      <c r="I176" s="60" t="str">
        <f t="shared" si="8"/>
        <v>2005 San Francisco Giants</v>
      </c>
      <c r="J176" s="60">
        <v>5462</v>
      </c>
      <c r="K176" s="60">
        <f t="shared" si="6"/>
        <v>974</v>
      </c>
      <c r="L176" s="60">
        <v>299</v>
      </c>
      <c r="M176" s="60">
        <v>26</v>
      </c>
      <c r="N176" s="60">
        <v>128</v>
      </c>
      <c r="O176" s="60">
        <v>431</v>
      </c>
      <c r="P176" s="60">
        <v>49</v>
      </c>
      <c r="Q176" s="60">
        <f t="shared" si="7"/>
        <v>3555</v>
      </c>
      <c r="R176">
        <v>617</v>
      </c>
      <c r="S176">
        <v>26</v>
      </c>
      <c r="T176">
        <v>901</v>
      </c>
      <c r="U176">
        <v>91</v>
      </c>
      <c r="V176">
        <v>44</v>
      </c>
      <c r="W176">
        <v>0</v>
      </c>
      <c r="X176">
        <v>62</v>
      </c>
      <c r="Y176">
        <v>147</v>
      </c>
      <c r="Z176">
        <v>71</v>
      </c>
      <c r="AA176">
        <v>35</v>
      </c>
      <c r="AB176">
        <v>0.26100000000000001</v>
      </c>
      <c r="AC176">
        <v>0.31900000000000001</v>
      </c>
      <c r="AD176">
        <v>0.39600000000000002</v>
      </c>
    </row>
    <row r="177" spans="1:30" x14ac:dyDescent="0.5">
      <c r="A177" s="35">
        <v>2005</v>
      </c>
      <c r="B177" t="s">
        <v>142</v>
      </c>
      <c r="C177" t="s">
        <v>38</v>
      </c>
      <c r="D177">
        <v>162</v>
      </c>
      <c r="E177">
        <v>805</v>
      </c>
      <c r="F177">
        <v>1494</v>
      </c>
      <c r="G177" s="60">
        <v>2005</v>
      </c>
      <c r="H177" s="60" t="s">
        <v>90</v>
      </c>
      <c r="I177" s="60" t="str">
        <f t="shared" si="8"/>
        <v>2005 St. Louis Cardinals</v>
      </c>
      <c r="J177" s="60">
        <v>5538</v>
      </c>
      <c r="K177" s="60">
        <f t="shared" si="6"/>
        <v>1011</v>
      </c>
      <c r="L177" s="60">
        <v>287</v>
      </c>
      <c r="M177" s="60">
        <v>26</v>
      </c>
      <c r="N177" s="60">
        <v>170</v>
      </c>
      <c r="O177" s="60">
        <v>534</v>
      </c>
      <c r="P177" s="60">
        <v>62</v>
      </c>
      <c r="Q177" s="60">
        <f t="shared" si="7"/>
        <v>3448</v>
      </c>
      <c r="R177">
        <v>757</v>
      </c>
      <c r="S177">
        <v>60</v>
      </c>
      <c r="T177">
        <v>947</v>
      </c>
      <c r="U177">
        <v>77</v>
      </c>
      <c r="V177">
        <v>35</v>
      </c>
      <c r="W177">
        <v>0</v>
      </c>
      <c r="X177">
        <v>82</v>
      </c>
      <c r="Y177">
        <v>127</v>
      </c>
      <c r="Z177">
        <v>83</v>
      </c>
      <c r="AA177">
        <v>36</v>
      </c>
      <c r="AB177">
        <v>0.27</v>
      </c>
      <c r="AC177">
        <v>0.33900000000000002</v>
      </c>
      <c r="AD177">
        <v>0.42299999999999999</v>
      </c>
    </row>
    <row r="178" spans="1:30" x14ac:dyDescent="0.5">
      <c r="A178" s="35">
        <v>2005</v>
      </c>
      <c r="B178" t="s">
        <v>151</v>
      </c>
      <c r="C178" t="s">
        <v>149</v>
      </c>
      <c r="D178">
        <v>162</v>
      </c>
      <c r="E178">
        <v>750</v>
      </c>
      <c r="F178">
        <v>1519</v>
      </c>
      <c r="G178" s="60">
        <v>2005</v>
      </c>
      <c r="H178" s="60" t="s">
        <v>92</v>
      </c>
      <c r="I178" s="60" t="str">
        <f t="shared" si="8"/>
        <v>2005 Tampa Bay Devil Rays</v>
      </c>
      <c r="J178" s="60">
        <v>5552</v>
      </c>
      <c r="K178" s="60">
        <f t="shared" si="6"/>
        <v>1033</v>
      </c>
      <c r="L178" s="60">
        <v>289</v>
      </c>
      <c r="M178" s="60">
        <v>40</v>
      </c>
      <c r="N178" s="60">
        <v>157</v>
      </c>
      <c r="O178" s="60">
        <v>412</v>
      </c>
      <c r="P178" s="60">
        <v>69</v>
      </c>
      <c r="Q178" s="60">
        <f t="shared" si="7"/>
        <v>3552</v>
      </c>
      <c r="R178">
        <v>717</v>
      </c>
      <c r="S178">
        <v>25</v>
      </c>
      <c r="T178">
        <v>990</v>
      </c>
      <c r="U178">
        <v>34</v>
      </c>
      <c r="V178">
        <v>51</v>
      </c>
      <c r="W178">
        <v>2</v>
      </c>
      <c r="X178">
        <v>54</v>
      </c>
      <c r="Y178">
        <v>133</v>
      </c>
      <c r="Z178">
        <v>151</v>
      </c>
      <c r="AA178">
        <v>49</v>
      </c>
      <c r="AB178">
        <v>0.27400000000000002</v>
      </c>
      <c r="AC178">
        <v>0.32900000000000001</v>
      </c>
      <c r="AD178">
        <v>0.42499999999999999</v>
      </c>
    </row>
    <row r="179" spans="1:30" x14ac:dyDescent="0.5">
      <c r="A179" s="35">
        <v>2005</v>
      </c>
      <c r="B179" t="s">
        <v>95</v>
      </c>
      <c r="C179" t="s">
        <v>149</v>
      </c>
      <c r="D179">
        <v>162</v>
      </c>
      <c r="E179">
        <v>865</v>
      </c>
      <c r="F179">
        <v>1528</v>
      </c>
      <c r="G179" s="60">
        <v>2005</v>
      </c>
      <c r="H179" s="60" t="s">
        <v>94</v>
      </c>
      <c r="I179" s="60" t="str">
        <f t="shared" si="8"/>
        <v>2005 Texas Rangers</v>
      </c>
      <c r="J179" s="60">
        <v>5716</v>
      </c>
      <c r="K179" s="60">
        <f t="shared" si="6"/>
        <v>928</v>
      </c>
      <c r="L179" s="60">
        <v>311</v>
      </c>
      <c r="M179" s="60">
        <v>29</v>
      </c>
      <c r="N179" s="60">
        <v>260</v>
      </c>
      <c r="O179" s="60">
        <v>495</v>
      </c>
      <c r="P179" s="60">
        <v>48</v>
      </c>
      <c r="Q179" s="60">
        <f t="shared" si="7"/>
        <v>3645</v>
      </c>
      <c r="R179">
        <v>834</v>
      </c>
      <c r="S179">
        <v>20</v>
      </c>
      <c r="T179">
        <v>1112</v>
      </c>
      <c r="U179">
        <v>9</v>
      </c>
      <c r="V179">
        <v>32</v>
      </c>
      <c r="W179">
        <v>1</v>
      </c>
      <c r="X179">
        <v>75</v>
      </c>
      <c r="Y179">
        <v>123</v>
      </c>
      <c r="Z179">
        <v>67</v>
      </c>
      <c r="AA179">
        <v>15</v>
      </c>
      <c r="AB179">
        <v>0.26700000000000002</v>
      </c>
      <c r="AC179">
        <v>0.32900000000000001</v>
      </c>
      <c r="AD179">
        <v>0.46800000000000003</v>
      </c>
    </row>
    <row r="180" spans="1:30" x14ac:dyDescent="0.5">
      <c r="A180" s="35">
        <v>2005</v>
      </c>
      <c r="B180" t="s">
        <v>97</v>
      </c>
      <c r="C180" t="s">
        <v>149</v>
      </c>
      <c r="D180">
        <v>162</v>
      </c>
      <c r="E180">
        <v>775</v>
      </c>
      <c r="F180">
        <v>1480</v>
      </c>
      <c r="G180" s="60">
        <v>2005</v>
      </c>
      <c r="H180" s="60" t="s">
        <v>96</v>
      </c>
      <c r="I180" s="60" t="str">
        <f t="shared" si="8"/>
        <v>2005 Toronto Blue Jays</v>
      </c>
      <c r="J180" s="60">
        <v>5581</v>
      </c>
      <c r="K180" s="60">
        <f t="shared" si="6"/>
        <v>998</v>
      </c>
      <c r="L180" s="60">
        <v>307</v>
      </c>
      <c r="M180" s="60">
        <v>39</v>
      </c>
      <c r="N180" s="60">
        <v>136</v>
      </c>
      <c r="O180" s="60">
        <v>486</v>
      </c>
      <c r="P180" s="60">
        <v>89</v>
      </c>
      <c r="Q180" s="60">
        <f t="shared" si="7"/>
        <v>3526</v>
      </c>
      <c r="R180">
        <v>735</v>
      </c>
      <c r="S180">
        <v>18</v>
      </c>
      <c r="T180">
        <v>955</v>
      </c>
      <c r="U180">
        <v>21</v>
      </c>
      <c r="V180">
        <v>56</v>
      </c>
      <c r="W180">
        <v>0</v>
      </c>
      <c r="X180">
        <v>59</v>
      </c>
      <c r="Y180">
        <v>126</v>
      </c>
      <c r="Z180">
        <v>72</v>
      </c>
      <c r="AA180">
        <v>35</v>
      </c>
      <c r="AB180">
        <v>0.26500000000000001</v>
      </c>
      <c r="AC180">
        <v>0.33100000000000002</v>
      </c>
      <c r="AD180">
        <v>0.40699999999999997</v>
      </c>
    </row>
    <row r="181" spans="1:30" x14ac:dyDescent="0.5">
      <c r="A181" s="35">
        <v>2005</v>
      </c>
      <c r="B181" t="s">
        <v>101</v>
      </c>
      <c r="C181" t="s">
        <v>38</v>
      </c>
      <c r="D181">
        <v>162</v>
      </c>
      <c r="E181">
        <v>639</v>
      </c>
      <c r="F181">
        <v>1367</v>
      </c>
      <c r="G181" s="60">
        <v>2005</v>
      </c>
      <c r="H181" s="60" t="s">
        <v>100</v>
      </c>
      <c r="I181" s="60" t="str">
        <f t="shared" si="8"/>
        <v>2005 Washington Nationals</v>
      </c>
      <c r="J181" s="60">
        <v>5426</v>
      </c>
      <c r="K181" s="60">
        <f t="shared" si="6"/>
        <v>907</v>
      </c>
      <c r="L181" s="60">
        <v>311</v>
      </c>
      <c r="M181" s="60">
        <v>32</v>
      </c>
      <c r="N181" s="60">
        <v>117</v>
      </c>
      <c r="O181" s="60">
        <v>491</v>
      </c>
      <c r="P181" s="60">
        <v>89</v>
      </c>
      <c r="Q181" s="60">
        <f t="shared" si="7"/>
        <v>3479</v>
      </c>
      <c r="R181">
        <v>615</v>
      </c>
      <c r="S181">
        <v>55</v>
      </c>
      <c r="T181">
        <v>1090</v>
      </c>
      <c r="U181">
        <v>91</v>
      </c>
      <c r="V181">
        <v>45</v>
      </c>
      <c r="W181">
        <v>0</v>
      </c>
      <c r="X181">
        <v>54</v>
      </c>
      <c r="Y181">
        <v>130</v>
      </c>
      <c r="Z181">
        <v>45</v>
      </c>
      <c r="AA181">
        <v>45</v>
      </c>
      <c r="AB181">
        <v>0.252</v>
      </c>
      <c r="AC181">
        <v>0.32200000000000001</v>
      </c>
      <c r="AD181">
        <v>0.38600000000000001</v>
      </c>
    </row>
    <row r="182" spans="1:30" x14ac:dyDescent="0.5">
      <c r="A182" s="35">
        <v>2006</v>
      </c>
      <c r="B182" t="s">
        <v>37</v>
      </c>
      <c r="C182" t="s">
        <v>149</v>
      </c>
      <c r="D182">
        <v>162</v>
      </c>
      <c r="E182">
        <v>766</v>
      </c>
      <c r="F182">
        <v>1539</v>
      </c>
      <c r="G182" s="60">
        <v>2006</v>
      </c>
      <c r="H182" s="60" t="s">
        <v>36</v>
      </c>
      <c r="I182" s="60" t="str">
        <f t="shared" si="8"/>
        <v>2006 Anaheim Angels</v>
      </c>
      <c r="J182" s="60">
        <v>5609</v>
      </c>
      <c r="K182" s="60">
        <f t="shared" si="6"/>
        <v>1042</v>
      </c>
      <c r="L182" s="60">
        <v>309</v>
      </c>
      <c r="M182" s="60">
        <v>29</v>
      </c>
      <c r="N182" s="60">
        <v>159</v>
      </c>
      <c r="O182" s="60">
        <v>486</v>
      </c>
      <c r="P182" s="60">
        <v>42</v>
      </c>
      <c r="Q182" s="60">
        <f t="shared" si="7"/>
        <v>3542</v>
      </c>
      <c r="R182">
        <v>737</v>
      </c>
      <c r="S182">
        <v>49</v>
      </c>
      <c r="T182">
        <v>914</v>
      </c>
      <c r="U182">
        <v>31</v>
      </c>
      <c r="V182">
        <v>53</v>
      </c>
      <c r="W182">
        <v>0</v>
      </c>
      <c r="X182">
        <v>60</v>
      </c>
      <c r="Y182">
        <v>126</v>
      </c>
      <c r="Z182">
        <v>148</v>
      </c>
      <c r="AA182">
        <v>57</v>
      </c>
      <c r="AB182">
        <v>0.27400000000000002</v>
      </c>
      <c r="AC182">
        <v>0.33400000000000002</v>
      </c>
      <c r="AD182">
        <v>0.42499999999999999</v>
      </c>
    </row>
    <row r="183" spans="1:30" x14ac:dyDescent="0.5">
      <c r="A183" s="35">
        <v>2006</v>
      </c>
      <c r="B183" t="s">
        <v>40</v>
      </c>
      <c r="C183" t="s">
        <v>38</v>
      </c>
      <c r="D183">
        <v>162</v>
      </c>
      <c r="E183">
        <v>773</v>
      </c>
      <c r="F183">
        <v>1506</v>
      </c>
      <c r="G183" s="60">
        <v>2006</v>
      </c>
      <c r="H183" s="60" t="s">
        <v>39</v>
      </c>
      <c r="I183" s="60" t="str">
        <f t="shared" si="8"/>
        <v>2006 Arizona Diamondbacks</v>
      </c>
      <c r="J183" s="60">
        <v>5645</v>
      </c>
      <c r="K183" s="60">
        <f t="shared" si="6"/>
        <v>977</v>
      </c>
      <c r="L183" s="60">
        <v>331</v>
      </c>
      <c r="M183" s="60">
        <v>38</v>
      </c>
      <c r="N183" s="60">
        <v>160</v>
      </c>
      <c r="O183" s="60">
        <v>504</v>
      </c>
      <c r="P183" s="60">
        <v>67</v>
      </c>
      <c r="Q183" s="60">
        <f t="shared" si="7"/>
        <v>3568</v>
      </c>
      <c r="R183">
        <v>743</v>
      </c>
      <c r="S183">
        <v>47</v>
      </c>
      <c r="T183">
        <v>965</v>
      </c>
      <c r="U183">
        <v>61</v>
      </c>
      <c r="V183">
        <v>53</v>
      </c>
      <c r="W183">
        <v>0</v>
      </c>
      <c r="X183">
        <v>79</v>
      </c>
      <c r="Y183">
        <v>136</v>
      </c>
      <c r="Z183">
        <v>76</v>
      </c>
      <c r="AA183">
        <v>30</v>
      </c>
      <c r="AB183">
        <v>0.26700000000000002</v>
      </c>
      <c r="AC183">
        <v>0.33100000000000002</v>
      </c>
      <c r="AD183">
        <v>0.42399999999999999</v>
      </c>
    </row>
    <row r="184" spans="1:30" x14ac:dyDescent="0.5">
      <c r="A184" s="35">
        <v>2006</v>
      </c>
      <c r="B184" t="s">
        <v>42</v>
      </c>
      <c r="C184" t="s">
        <v>38</v>
      </c>
      <c r="D184">
        <v>162</v>
      </c>
      <c r="E184">
        <v>849</v>
      </c>
      <c r="F184">
        <v>1510</v>
      </c>
      <c r="G184" s="60">
        <v>2006</v>
      </c>
      <c r="H184" s="60" t="s">
        <v>41</v>
      </c>
      <c r="I184" s="60" t="str">
        <f t="shared" si="8"/>
        <v>2006 Atlanta Braves</v>
      </c>
      <c r="J184" s="60">
        <v>5583</v>
      </c>
      <c r="K184" s="60">
        <f t="shared" si="6"/>
        <v>950</v>
      </c>
      <c r="L184" s="60">
        <v>312</v>
      </c>
      <c r="M184" s="60">
        <v>26</v>
      </c>
      <c r="N184" s="60">
        <v>222</v>
      </c>
      <c r="O184" s="60">
        <v>526</v>
      </c>
      <c r="P184" s="60">
        <v>52</v>
      </c>
      <c r="Q184" s="60">
        <f t="shared" si="7"/>
        <v>3495</v>
      </c>
      <c r="R184">
        <v>818</v>
      </c>
      <c r="S184">
        <v>48</v>
      </c>
      <c r="T184">
        <v>1169</v>
      </c>
      <c r="U184">
        <v>78</v>
      </c>
      <c r="V184">
        <v>44</v>
      </c>
      <c r="W184">
        <v>1</v>
      </c>
      <c r="X184">
        <v>81</v>
      </c>
      <c r="Y184">
        <v>131</v>
      </c>
      <c r="Z184">
        <v>52</v>
      </c>
      <c r="AA184">
        <v>35</v>
      </c>
      <c r="AB184">
        <v>0.27</v>
      </c>
      <c r="AC184">
        <v>0.33700000000000002</v>
      </c>
      <c r="AD184">
        <v>0.45500000000000002</v>
      </c>
    </row>
    <row r="185" spans="1:30" x14ac:dyDescent="0.5">
      <c r="A185" s="35">
        <v>2006</v>
      </c>
      <c r="B185" t="s">
        <v>45</v>
      </c>
      <c r="C185" t="s">
        <v>149</v>
      </c>
      <c r="D185">
        <v>162</v>
      </c>
      <c r="E185">
        <v>768</v>
      </c>
      <c r="F185">
        <v>1556</v>
      </c>
      <c r="G185" s="60">
        <v>2006</v>
      </c>
      <c r="H185" s="60" t="s">
        <v>44</v>
      </c>
      <c r="I185" s="60" t="str">
        <f t="shared" si="8"/>
        <v>2006 Baltimore Orioles</v>
      </c>
      <c r="J185" s="60">
        <v>5610</v>
      </c>
      <c r="K185" s="60">
        <f t="shared" si="6"/>
        <v>1084</v>
      </c>
      <c r="L185" s="60">
        <v>288</v>
      </c>
      <c r="M185" s="60">
        <v>20</v>
      </c>
      <c r="N185" s="60">
        <v>164</v>
      </c>
      <c r="O185" s="60">
        <v>474</v>
      </c>
      <c r="P185" s="60">
        <v>73</v>
      </c>
      <c r="Q185" s="60">
        <f t="shared" si="7"/>
        <v>3507</v>
      </c>
      <c r="R185">
        <v>727</v>
      </c>
      <c r="S185">
        <v>35</v>
      </c>
      <c r="T185">
        <v>878</v>
      </c>
      <c r="U185">
        <v>40</v>
      </c>
      <c r="V185">
        <v>41</v>
      </c>
      <c r="W185">
        <v>2</v>
      </c>
      <c r="X185">
        <v>67</v>
      </c>
      <c r="Y185">
        <v>145</v>
      </c>
      <c r="Z185">
        <v>121</v>
      </c>
      <c r="AA185">
        <v>32</v>
      </c>
      <c r="AB185">
        <v>0.27700000000000002</v>
      </c>
      <c r="AC185">
        <v>0.33900000000000002</v>
      </c>
      <c r="AD185">
        <v>0.42399999999999999</v>
      </c>
    </row>
    <row r="186" spans="1:30" x14ac:dyDescent="0.5">
      <c r="A186" s="35">
        <v>2006</v>
      </c>
      <c r="B186" t="s">
        <v>47</v>
      </c>
      <c r="C186" t="s">
        <v>149</v>
      </c>
      <c r="D186">
        <v>162</v>
      </c>
      <c r="E186">
        <v>820</v>
      </c>
      <c r="F186">
        <v>1510</v>
      </c>
      <c r="G186" s="60">
        <v>2006</v>
      </c>
      <c r="H186" s="60" t="s">
        <v>46</v>
      </c>
      <c r="I186" s="60" t="str">
        <f t="shared" si="8"/>
        <v>2006 Boston Red Sox</v>
      </c>
      <c r="J186" s="60">
        <v>5619</v>
      </c>
      <c r="K186" s="60">
        <f t="shared" si="6"/>
        <v>975</v>
      </c>
      <c r="L186" s="60">
        <v>327</v>
      </c>
      <c r="M186" s="60">
        <v>16</v>
      </c>
      <c r="N186" s="60">
        <v>192</v>
      </c>
      <c r="O186" s="60">
        <v>672</v>
      </c>
      <c r="P186" s="60">
        <v>66</v>
      </c>
      <c r="Q186" s="60">
        <f t="shared" si="7"/>
        <v>3371</v>
      </c>
      <c r="R186">
        <v>777</v>
      </c>
      <c r="S186">
        <v>56</v>
      </c>
      <c r="T186">
        <v>1056</v>
      </c>
      <c r="U186">
        <v>22</v>
      </c>
      <c r="V186">
        <v>56</v>
      </c>
      <c r="W186">
        <v>0</v>
      </c>
      <c r="X186">
        <v>71</v>
      </c>
      <c r="Y186">
        <v>136</v>
      </c>
      <c r="Z186">
        <v>51</v>
      </c>
      <c r="AA186">
        <v>23</v>
      </c>
      <c r="AB186">
        <v>0.26900000000000002</v>
      </c>
      <c r="AC186">
        <v>0.35099999999999998</v>
      </c>
      <c r="AD186">
        <v>0.435</v>
      </c>
    </row>
    <row r="187" spans="1:30" x14ac:dyDescent="0.5">
      <c r="A187" s="35">
        <v>2006</v>
      </c>
      <c r="B187" t="s">
        <v>143</v>
      </c>
      <c r="C187" t="s">
        <v>38</v>
      </c>
      <c r="D187">
        <v>162</v>
      </c>
      <c r="E187">
        <v>716</v>
      </c>
      <c r="F187">
        <v>1496</v>
      </c>
      <c r="G187" s="60">
        <v>2006</v>
      </c>
      <c r="H187" s="60" t="s">
        <v>50</v>
      </c>
      <c r="I187" s="60" t="str">
        <f t="shared" si="8"/>
        <v>2006 Chicago Cubs</v>
      </c>
      <c r="J187" s="60">
        <v>5587</v>
      </c>
      <c r="K187" s="60">
        <f t="shared" si="6"/>
        <v>1013</v>
      </c>
      <c r="L187" s="60">
        <v>271</v>
      </c>
      <c r="M187" s="60">
        <v>46</v>
      </c>
      <c r="N187" s="60">
        <v>166</v>
      </c>
      <c r="O187" s="60">
        <v>395</v>
      </c>
      <c r="P187" s="60">
        <v>43</v>
      </c>
      <c r="Q187" s="60">
        <f t="shared" si="7"/>
        <v>3653</v>
      </c>
      <c r="R187">
        <v>677</v>
      </c>
      <c r="S187">
        <v>24</v>
      </c>
      <c r="T187">
        <v>928</v>
      </c>
      <c r="U187">
        <v>84</v>
      </c>
      <c r="V187">
        <v>37</v>
      </c>
      <c r="W187">
        <v>1</v>
      </c>
      <c r="X187">
        <v>89</v>
      </c>
      <c r="Y187">
        <v>135</v>
      </c>
      <c r="Z187">
        <v>121</v>
      </c>
      <c r="AA187">
        <v>49</v>
      </c>
      <c r="AB187">
        <v>0.26800000000000002</v>
      </c>
      <c r="AC187">
        <v>0.31900000000000001</v>
      </c>
      <c r="AD187">
        <v>0.42199999999999999</v>
      </c>
    </row>
    <row r="188" spans="1:30" x14ac:dyDescent="0.5">
      <c r="A188" s="35">
        <v>2006</v>
      </c>
      <c r="B188" t="s">
        <v>143</v>
      </c>
      <c r="C188" t="s">
        <v>149</v>
      </c>
      <c r="D188">
        <v>162</v>
      </c>
      <c r="E188">
        <v>868</v>
      </c>
      <c r="F188">
        <v>1586</v>
      </c>
      <c r="G188" s="60">
        <v>2006</v>
      </c>
      <c r="H188" s="60" t="s">
        <v>48</v>
      </c>
      <c r="I188" s="60" t="str">
        <f t="shared" si="8"/>
        <v>2006 Chicago White Sox</v>
      </c>
      <c r="J188" s="60">
        <v>5657</v>
      </c>
      <c r="K188" s="60">
        <f t="shared" si="6"/>
        <v>1039</v>
      </c>
      <c r="L188" s="60">
        <v>291</v>
      </c>
      <c r="M188" s="60">
        <v>20</v>
      </c>
      <c r="N188" s="60">
        <v>236</v>
      </c>
      <c r="O188" s="60">
        <v>502</v>
      </c>
      <c r="P188" s="60">
        <v>58</v>
      </c>
      <c r="Q188" s="60">
        <f t="shared" si="7"/>
        <v>3511</v>
      </c>
      <c r="R188">
        <v>839</v>
      </c>
      <c r="S188">
        <v>33</v>
      </c>
      <c r="T188">
        <v>1056</v>
      </c>
      <c r="U188">
        <v>44</v>
      </c>
      <c r="V188">
        <v>57</v>
      </c>
      <c r="W188">
        <v>0</v>
      </c>
      <c r="X188">
        <v>69</v>
      </c>
      <c r="Y188">
        <v>118</v>
      </c>
      <c r="Z188">
        <v>93</v>
      </c>
      <c r="AA188">
        <v>48</v>
      </c>
      <c r="AB188">
        <v>0.28000000000000003</v>
      </c>
      <c r="AC188">
        <v>0.34200000000000003</v>
      </c>
      <c r="AD188">
        <v>0.46400000000000002</v>
      </c>
    </row>
    <row r="189" spans="1:30" x14ac:dyDescent="0.5">
      <c r="A189" s="35">
        <v>2006</v>
      </c>
      <c r="B189" t="s">
        <v>53</v>
      </c>
      <c r="C189" t="s">
        <v>38</v>
      </c>
      <c r="D189">
        <v>162</v>
      </c>
      <c r="E189">
        <v>749</v>
      </c>
      <c r="F189">
        <v>1419</v>
      </c>
      <c r="G189" s="60">
        <v>2006</v>
      </c>
      <c r="H189" s="60" t="s">
        <v>52</v>
      </c>
      <c r="I189" s="60" t="str">
        <f t="shared" si="8"/>
        <v>2006 Cincinnati Reds</v>
      </c>
      <c r="J189" s="60">
        <v>5515</v>
      </c>
      <c r="K189" s="60">
        <f t="shared" si="6"/>
        <v>899</v>
      </c>
      <c r="L189" s="60">
        <v>291</v>
      </c>
      <c r="M189" s="60">
        <v>12</v>
      </c>
      <c r="N189" s="60">
        <v>217</v>
      </c>
      <c r="O189" s="60">
        <v>614</v>
      </c>
      <c r="P189" s="60">
        <v>59</v>
      </c>
      <c r="Q189" s="60">
        <f t="shared" si="7"/>
        <v>3423</v>
      </c>
      <c r="R189">
        <v>718</v>
      </c>
      <c r="S189">
        <v>52</v>
      </c>
      <c r="T189">
        <v>1192</v>
      </c>
      <c r="U189">
        <v>66</v>
      </c>
      <c r="V189">
        <v>38</v>
      </c>
      <c r="W189">
        <v>4</v>
      </c>
      <c r="X189">
        <v>52</v>
      </c>
      <c r="Y189">
        <v>122</v>
      </c>
      <c r="Z189">
        <v>124</v>
      </c>
      <c r="AA189">
        <v>33</v>
      </c>
      <c r="AB189">
        <v>0.25700000000000001</v>
      </c>
      <c r="AC189">
        <v>0.33600000000000002</v>
      </c>
      <c r="AD189">
        <v>0.432</v>
      </c>
    </row>
    <row r="190" spans="1:30" x14ac:dyDescent="0.5">
      <c r="A190" s="35">
        <v>2006</v>
      </c>
      <c r="B190" t="s">
        <v>55</v>
      </c>
      <c r="C190" t="s">
        <v>149</v>
      </c>
      <c r="D190">
        <v>162</v>
      </c>
      <c r="E190">
        <v>870</v>
      </c>
      <c r="F190">
        <v>1576</v>
      </c>
      <c r="G190" s="60">
        <v>2006</v>
      </c>
      <c r="H190" s="60" t="s">
        <v>54</v>
      </c>
      <c r="I190" s="60" t="str">
        <f t="shared" si="8"/>
        <v>2006 Cleveland Indians</v>
      </c>
      <c r="J190" s="60">
        <v>5619</v>
      </c>
      <c r="K190" s="60">
        <f t="shared" si="6"/>
        <v>1002</v>
      </c>
      <c r="L190" s="60">
        <v>351</v>
      </c>
      <c r="M190" s="60">
        <v>27</v>
      </c>
      <c r="N190" s="60">
        <v>196</v>
      </c>
      <c r="O190" s="60">
        <v>556</v>
      </c>
      <c r="P190" s="60">
        <v>54</v>
      </c>
      <c r="Q190" s="60">
        <f t="shared" si="7"/>
        <v>3433</v>
      </c>
      <c r="R190">
        <v>839</v>
      </c>
      <c r="S190">
        <v>42</v>
      </c>
      <c r="T190">
        <v>1204</v>
      </c>
      <c r="U190">
        <v>30</v>
      </c>
      <c r="V190">
        <v>43</v>
      </c>
      <c r="W190">
        <v>1</v>
      </c>
      <c r="X190">
        <v>56</v>
      </c>
      <c r="Y190">
        <v>127</v>
      </c>
      <c r="Z190">
        <v>55</v>
      </c>
      <c r="AA190">
        <v>23</v>
      </c>
      <c r="AB190">
        <v>0.28000000000000003</v>
      </c>
      <c r="AC190">
        <v>0.34899999999999998</v>
      </c>
      <c r="AD190">
        <v>0.45700000000000002</v>
      </c>
    </row>
    <row r="191" spans="1:30" x14ac:dyDescent="0.5">
      <c r="A191" s="35">
        <v>2006</v>
      </c>
      <c r="B191" t="s">
        <v>57</v>
      </c>
      <c r="C191" t="s">
        <v>38</v>
      </c>
      <c r="D191">
        <v>162</v>
      </c>
      <c r="E191">
        <v>813</v>
      </c>
      <c r="F191">
        <v>1504</v>
      </c>
      <c r="G191" s="60">
        <v>2006</v>
      </c>
      <c r="H191" s="60" t="s">
        <v>56</v>
      </c>
      <c r="I191" s="60" t="str">
        <f t="shared" si="8"/>
        <v>2006 Colorado Rockies</v>
      </c>
      <c r="J191" s="60">
        <v>5562</v>
      </c>
      <c r="K191" s="60">
        <f t="shared" si="6"/>
        <v>968</v>
      </c>
      <c r="L191" s="60">
        <v>325</v>
      </c>
      <c r="M191" s="60">
        <v>54</v>
      </c>
      <c r="N191" s="60">
        <v>157</v>
      </c>
      <c r="O191" s="60">
        <v>561</v>
      </c>
      <c r="P191" s="60">
        <v>60</v>
      </c>
      <c r="Q191" s="60">
        <f t="shared" si="7"/>
        <v>3437</v>
      </c>
      <c r="R191">
        <v>761</v>
      </c>
      <c r="S191">
        <v>64</v>
      </c>
      <c r="T191">
        <v>1108</v>
      </c>
      <c r="U191">
        <v>119</v>
      </c>
      <c r="V191">
        <v>45</v>
      </c>
      <c r="W191">
        <v>1</v>
      </c>
      <c r="X191">
        <v>87</v>
      </c>
      <c r="Y191">
        <v>119</v>
      </c>
      <c r="Z191">
        <v>85</v>
      </c>
      <c r="AA191">
        <v>50</v>
      </c>
      <c r="AB191">
        <v>0.27</v>
      </c>
      <c r="AC191">
        <v>0.34100000000000003</v>
      </c>
      <c r="AD191">
        <v>0.433</v>
      </c>
    </row>
    <row r="192" spans="1:30" x14ac:dyDescent="0.5">
      <c r="A192" s="35">
        <v>2006</v>
      </c>
      <c r="B192" t="s">
        <v>59</v>
      </c>
      <c r="C192" t="s">
        <v>149</v>
      </c>
      <c r="D192">
        <v>162</v>
      </c>
      <c r="E192">
        <v>822</v>
      </c>
      <c r="F192">
        <v>1548</v>
      </c>
      <c r="G192" s="60">
        <v>2006</v>
      </c>
      <c r="H192" s="60" t="s">
        <v>58</v>
      </c>
      <c r="I192" s="60" t="str">
        <f t="shared" si="8"/>
        <v>2006 Detroit Tigers</v>
      </c>
      <c r="J192" s="60">
        <v>5642</v>
      </c>
      <c r="K192" s="60">
        <f t="shared" si="6"/>
        <v>1011</v>
      </c>
      <c r="L192" s="60">
        <v>294</v>
      </c>
      <c r="M192" s="60">
        <v>40</v>
      </c>
      <c r="N192" s="60">
        <v>203</v>
      </c>
      <c r="O192" s="60">
        <v>430</v>
      </c>
      <c r="P192" s="60">
        <v>45</v>
      </c>
      <c r="Q192" s="60">
        <f t="shared" si="7"/>
        <v>3619</v>
      </c>
      <c r="R192">
        <v>785</v>
      </c>
      <c r="S192">
        <v>27</v>
      </c>
      <c r="T192">
        <v>1133</v>
      </c>
      <c r="U192">
        <v>45</v>
      </c>
      <c r="V192">
        <v>36</v>
      </c>
      <c r="W192">
        <v>0</v>
      </c>
      <c r="X192">
        <v>81</v>
      </c>
      <c r="Y192">
        <v>120</v>
      </c>
      <c r="Z192">
        <v>60</v>
      </c>
      <c r="AA192">
        <v>40</v>
      </c>
      <c r="AB192">
        <v>0.27400000000000002</v>
      </c>
      <c r="AC192">
        <v>0.32900000000000001</v>
      </c>
      <c r="AD192">
        <v>0.44900000000000001</v>
      </c>
    </row>
    <row r="193" spans="1:30" x14ac:dyDescent="0.5">
      <c r="A193" s="35">
        <v>2006</v>
      </c>
      <c r="B193" t="s">
        <v>146</v>
      </c>
      <c r="C193" t="s">
        <v>38</v>
      </c>
      <c r="D193">
        <v>162</v>
      </c>
      <c r="E193">
        <v>758</v>
      </c>
      <c r="F193">
        <v>1454</v>
      </c>
      <c r="G193" s="60">
        <v>2006</v>
      </c>
      <c r="H193" s="60" t="s">
        <v>60</v>
      </c>
      <c r="I193" s="60" t="str">
        <f t="shared" si="8"/>
        <v>2006 Florida Marlins</v>
      </c>
      <c r="J193" s="60">
        <v>5502</v>
      </c>
      <c r="K193" s="60">
        <f t="shared" si="6"/>
        <v>921</v>
      </c>
      <c r="L193" s="60">
        <v>309</v>
      </c>
      <c r="M193" s="60">
        <v>42</v>
      </c>
      <c r="N193" s="60">
        <v>182</v>
      </c>
      <c r="O193" s="60">
        <v>497</v>
      </c>
      <c r="P193" s="60">
        <v>74</v>
      </c>
      <c r="Q193" s="60">
        <f t="shared" si="7"/>
        <v>3477</v>
      </c>
      <c r="R193">
        <v>713</v>
      </c>
      <c r="S193">
        <v>55</v>
      </c>
      <c r="T193">
        <v>1249</v>
      </c>
      <c r="U193">
        <v>76</v>
      </c>
      <c r="V193">
        <v>42</v>
      </c>
      <c r="W193">
        <v>0</v>
      </c>
      <c r="X193">
        <v>74</v>
      </c>
      <c r="Y193">
        <v>109</v>
      </c>
      <c r="Z193">
        <v>110</v>
      </c>
      <c r="AA193">
        <v>58</v>
      </c>
      <c r="AB193">
        <v>0.26400000000000001</v>
      </c>
      <c r="AC193">
        <v>0.33100000000000002</v>
      </c>
      <c r="AD193">
        <v>0.435</v>
      </c>
    </row>
    <row r="194" spans="1:30" x14ac:dyDescent="0.5">
      <c r="A194" s="35">
        <v>2006</v>
      </c>
      <c r="B194" t="s">
        <v>63</v>
      </c>
      <c r="C194" t="s">
        <v>38</v>
      </c>
      <c r="D194">
        <v>162</v>
      </c>
      <c r="E194">
        <v>735</v>
      </c>
      <c r="F194">
        <v>1407</v>
      </c>
      <c r="G194" s="60">
        <v>2006</v>
      </c>
      <c r="H194" s="60" t="s">
        <v>62</v>
      </c>
      <c r="I194" s="60" t="str">
        <f t="shared" si="8"/>
        <v>2006 Houston Astros</v>
      </c>
      <c r="J194" s="60">
        <v>5521</v>
      </c>
      <c r="K194" s="60">
        <f t="shared" ref="K194:K257" si="9">F194-(L194+M194+N194)</f>
        <v>931</v>
      </c>
      <c r="L194" s="60">
        <v>275</v>
      </c>
      <c r="M194" s="60">
        <v>27</v>
      </c>
      <c r="N194" s="60">
        <v>174</v>
      </c>
      <c r="O194" s="60">
        <v>585</v>
      </c>
      <c r="P194" s="60">
        <v>73</v>
      </c>
      <c r="Q194" s="60">
        <f t="shared" ref="Q194:Q257" si="10">J194-(F194+O194+P194)</f>
        <v>3456</v>
      </c>
      <c r="R194">
        <v>708</v>
      </c>
      <c r="S194">
        <v>54</v>
      </c>
      <c r="T194">
        <v>1076</v>
      </c>
      <c r="U194">
        <v>100</v>
      </c>
      <c r="V194">
        <v>46</v>
      </c>
      <c r="W194">
        <v>1</v>
      </c>
      <c r="X194">
        <v>58</v>
      </c>
      <c r="Y194">
        <v>122</v>
      </c>
      <c r="Z194">
        <v>79</v>
      </c>
      <c r="AA194">
        <v>36</v>
      </c>
      <c r="AB194">
        <v>0.255</v>
      </c>
      <c r="AC194">
        <v>0.33200000000000002</v>
      </c>
      <c r="AD194">
        <v>0.40899999999999997</v>
      </c>
    </row>
    <row r="195" spans="1:30" x14ac:dyDescent="0.5">
      <c r="A195" s="35">
        <v>2006</v>
      </c>
      <c r="B195" t="s">
        <v>150</v>
      </c>
      <c r="C195" t="s">
        <v>149</v>
      </c>
      <c r="D195">
        <v>162</v>
      </c>
      <c r="E195">
        <v>757</v>
      </c>
      <c r="F195">
        <v>1515</v>
      </c>
      <c r="G195" s="60">
        <v>2006</v>
      </c>
      <c r="H195" s="60" t="s">
        <v>64</v>
      </c>
      <c r="I195" s="60" t="str">
        <f t="shared" ref="I195:I258" si="11">G195&amp;" "&amp;H195</f>
        <v>2006 Kansas City Royals</v>
      </c>
      <c r="J195" s="60">
        <v>5589</v>
      </c>
      <c r="K195" s="60">
        <f t="shared" si="9"/>
        <v>1019</v>
      </c>
      <c r="L195" s="60">
        <v>335</v>
      </c>
      <c r="M195" s="60">
        <v>37</v>
      </c>
      <c r="N195" s="60">
        <v>124</v>
      </c>
      <c r="O195" s="60">
        <v>474</v>
      </c>
      <c r="P195" s="60">
        <v>64</v>
      </c>
      <c r="Q195" s="60">
        <f t="shared" si="10"/>
        <v>3536</v>
      </c>
      <c r="R195">
        <v>718</v>
      </c>
      <c r="S195">
        <v>32</v>
      </c>
      <c r="T195">
        <v>1040</v>
      </c>
      <c r="U195">
        <v>52</v>
      </c>
      <c r="V195">
        <v>48</v>
      </c>
      <c r="W195">
        <v>2</v>
      </c>
      <c r="X195">
        <v>67</v>
      </c>
      <c r="Y195">
        <v>130</v>
      </c>
      <c r="Z195">
        <v>65</v>
      </c>
      <c r="AA195">
        <v>34</v>
      </c>
      <c r="AB195">
        <v>0.27100000000000002</v>
      </c>
      <c r="AC195">
        <v>0.33200000000000002</v>
      </c>
      <c r="AD195">
        <v>0.41099999999999998</v>
      </c>
    </row>
    <row r="196" spans="1:30" x14ac:dyDescent="0.5">
      <c r="A196" s="35">
        <v>2006</v>
      </c>
      <c r="B196" t="s">
        <v>145</v>
      </c>
      <c r="C196" t="s">
        <v>38</v>
      </c>
      <c r="D196">
        <v>162</v>
      </c>
      <c r="E196">
        <v>820</v>
      </c>
      <c r="F196">
        <v>1552</v>
      </c>
      <c r="G196" s="60">
        <v>2006</v>
      </c>
      <c r="H196" s="60" t="s">
        <v>66</v>
      </c>
      <c r="I196" s="60" t="str">
        <f t="shared" si="11"/>
        <v>2006 Los Angeles Dodgers</v>
      </c>
      <c r="J196" s="60">
        <v>5628</v>
      </c>
      <c r="K196" s="60">
        <f t="shared" si="9"/>
        <v>1034</v>
      </c>
      <c r="L196" s="60">
        <v>307</v>
      </c>
      <c r="M196" s="60">
        <v>58</v>
      </c>
      <c r="N196" s="60">
        <v>153</v>
      </c>
      <c r="O196" s="60">
        <v>601</v>
      </c>
      <c r="P196" s="60">
        <v>51</v>
      </c>
      <c r="Q196" s="60">
        <f t="shared" si="10"/>
        <v>3424</v>
      </c>
      <c r="R196">
        <v>787</v>
      </c>
      <c r="S196">
        <v>61</v>
      </c>
      <c r="T196">
        <v>959</v>
      </c>
      <c r="U196">
        <v>66</v>
      </c>
      <c r="V196">
        <v>48</v>
      </c>
      <c r="W196">
        <v>0</v>
      </c>
      <c r="X196">
        <v>77</v>
      </c>
      <c r="Y196">
        <v>140</v>
      </c>
      <c r="Z196">
        <v>128</v>
      </c>
      <c r="AA196">
        <v>49</v>
      </c>
      <c r="AB196">
        <v>0.27600000000000002</v>
      </c>
      <c r="AC196">
        <v>0.34799999999999998</v>
      </c>
      <c r="AD196">
        <v>0.432</v>
      </c>
    </row>
    <row r="197" spans="1:30" x14ac:dyDescent="0.5">
      <c r="A197" s="35">
        <v>2006</v>
      </c>
      <c r="B197" t="s">
        <v>69</v>
      </c>
      <c r="C197" t="s">
        <v>38</v>
      </c>
      <c r="D197">
        <v>162</v>
      </c>
      <c r="E197">
        <v>730</v>
      </c>
      <c r="F197">
        <v>1400</v>
      </c>
      <c r="G197" s="60">
        <v>2006</v>
      </c>
      <c r="H197" s="60" t="s">
        <v>68</v>
      </c>
      <c r="I197" s="60" t="str">
        <f t="shared" si="11"/>
        <v>2006 Milwaukee Brewers</v>
      </c>
      <c r="J197" s="60">
        <v>5433</v>
      </c>
      <c r="K197" s="60">
        <f t="shared" si="9"/>
        <v>899</v>
      </c>
      <c r="L197" s="60">
        <v>301</v>
      </c>
      <c r="M197" s="60">
        <v>20</v>
      </c>
      <c r="N197" s="60">
        <v>180</v>
      </c>
      <c r="O197" s="60">
        <v>502</v>
      </c>
      <c r="P197" s="60">
        <v>82</v>
      </c>
      <c r="Q197" s="60">
        <f t="shared" si="10"/>
        <v>3449</v>
      </c>
      <c r="R197">
        <v>695</v>
      </c>
      <c r="S197">
        <v>48</v>
      </c>
      <c r="T197">
        <v>1233</v>
      </c>
      <c r="U197">
        <v>58</v>
      </c>
      <c r="V197">
        <v>53</v>
      </c>
      <c r="W197">
        <v>2</v>
      </c>
      <c r="X197">
        <v>78</v>
      </c>
      <c r="Y197">
        <v>133</v>
      </c>
      <c r="Z197">
        <v>71</v>
      </c>
      <c r="AA197">
        <v>37</v>
      </c>
      <c r="AB197">
        <v>0.25800000000000001</v>
      </c>
      <c r="AC197">
        <v>0.32700000000000001</v>
      </c>
      <c r="AD197">
        <v>0.42</v>
      </c>
    </row>
    <row r="198" spans="1:30" x14ac:dyDescent="0.5">
      <c r="A198" s="35">
        <v>2006</v>
      </c>
      <c r="B198" t="s">
        <v>71</v>
      </c>
      <c r="C198" t="s">
        <v>149</v>
      </c>
      <c r="D198">
        <v>162</v>
      </c>
      <c r="E198">
        <v>801</v>
      </c>
      <c r="F198">
        <v>1608</v>
      </c>
      <c r="G198" s="60">
        <v>2006</v>
      </c>
      <c r="H198" s="60" t="s">
        <v>70</v>
      </c>
      <c r="I198" s="60" t="str">
        <f t="shared" si="11"/>
        <v>2006 Minnesota Twins</v>
      </c>
      <c r="J198" s="60">
        <v>5602</v>
      </c>
      <c r="K198" s="60">
        <f t="shared" si="9"/>
        <v>1156</v>
      </c>
      <c r="L198" s="60">
        <v>275</v>
      </c>
      <c r="M198" s="60">
        <v>34</v>
      </c>
      <c r="N198" s="60">
        <v>143</v>
      </c>
      <c r="O198" s="60">
        <v>490</v>
      </c>
      <c r="P198" s="60">
        <v>50</v>
      </c>
      <c r="Q198" s="60">
        <f t="shared" si="10"/>
        <v>3454</v>
      </c>
      <c r="R198">
        <v>754</v>
      </c>
      <c r="S198">
        <v>46</v>
      </c>
      <c r="T198">
        <v>872</v>
      </c>
      <c r="U198">
        <v>31</v>
      </c>
      <c r="V198">
        <v>55</v>
      </c>
      <c r="W198">
        <v>0</v>
      </c>
      <c r="X198">
        <v>63</v>
      </c>
      <c r="Y198">
        <v>163</v>
      </c>
      <c r="Z198">
        <v>101</v>
      </c>
      <c r="AA198">
        <v>42</v>
      </c>
      <c r="AB198">
        <v>0.28699999999999998</v>
      </c>
      <c r="AC198">
        <v>0.34699999999999998</v>
      </c>
      <c r="AD198">
        <v>0.42499999999999999</v>
      </c>
    </row>
    <row r="199" spans="1:30" x14ac:dyDescent="0.5">
      <c r="A199" s="35">
        <v>2006</v>
      </c>
      <c r="B199" t="s">
        <v>144</v>
      </c>
      <c r="C199" t="s">
        <v>38</v>
      </c>
      <c r="D199">
        <v>162</v>
      </c>
      <c r="E199">
        <v>834</v>
      </c>
      <c r="F199">
        <v>1469</v>
      </c>
      <c r="G199" s="60">
        <v>2006</v>
      </c>
      <c r="H199" s="60" t="s">
        <v>76</v>
      </c>
      <c r="I199" s="60" t="str">
        <f t="shared" si="11"/>
        <v>2006 New York Mets</v>
      </c>
      <c r="J199" s="60">
        <v>5558</v>
      </c>
      <c r="K199" s="60">
        <f t="shared" si="9"/>
        <v>905</v>
      </c>
      <c r="L199" s="60">
        <v>323</v>
      </c>
      <c r="M199" s="60">
        <v>41</v>
      </c>
      <c r="N199" s="60">
        <v>200</v>
      </c>
      <c r="O199" s="60">
        <v>547</v>
      </c>
      <c r="P199" s="60">
        <v>62</v>
      </c>
      <c r="Q199" s="60">
        <f t="shared" si="10"/>
        <v>3480</v>
      </c>
      <c r="R199">
        <v>800</v>
      </c>
      <c r="S199">
        <v>63</v>
      </c>
      <c r="T199">
        <v>1071</v>
      </c>
      <c r="U199">
        <v>77</v>
      </c>
      <c r="V199">
        <v>47</v>
      </c>
      <c r="W199">
        <v>0</v>
      </c>
      <c r="X199">
        <v>66</v>
      </c>
      <c r="Y199">
        <v>114</v>
      </c>
      <c r="Z199">
        <v>146</v>
      </c>
      <c r="AA199">
        <v>35</v>
      </c>
      <c r="AB199">
        <v>0.26400000000000001</v>
      </c>
      <c r="AC199">
        <v>0.33400000000000002</v>
      </c>
      <c r="AD199">
        <v>0.44500000000000001</v>
      </c>
    </row>
    <row r="200" spans="1:30" x14ac:dyDescent="0.5">
      <c r="A200" s="35">
        <v>2006</v>
      </c>
      <c r="B200" t="s">
        <v>144</v>
      </c>
      <c r="C200" t="s">
        <v>149</v>
      </c>
      <c r="D200">
        <v>162</v>
      </c>
      <c r="E200">
        <v>930</v>
      </c>
      <c r="F200">
        <v>1608</v>
      </c>
      <c r="G200" s="60">
        <v>2006</v>
      </c>
      <c r="H200" s="60" t="s">
        <v>74</v>
      </c>
      <c r="I200" s="60" t="str">
        <f t="shared" si="11"/>
        <v>2006 New York Yankees</v>
      </c>
      <c r="J200" s="60">
        <v>5651</v>
      </c>
      <c r="K200" s="60">
        <f t="shared" si="9"/>
        <v>1050</v>
      </c>
      <c r="L200" s="60">
        <v>327</v>
      </c>
      <c r="M200" s="60">
        <v>21</v>
      </c>
      <c r="N200" s="60">
        <v>210</v>
      </c>
      <c r="O200" s="60">
        <v>649</v>
      </c>
      <c r="P200" s="60">
        <v>72</v>
      </c>
      <c r="Q200" s="60">
        <f t="shared" si="10"/>
        <v>3322</v>
      </c>
      <c r="R200">
        <v>902</v>
      </c>
      <c r="S200">
        <v>43</v>
      </c>
      <c r="T200">
        <v>1053</v>
      </c>
      <c r="U200">
        <v>34</v>
      </c>
      <c r="V200">
        <v>49</v>
      </c>
      <c r="W200">
        <v>0</v>
      </c>
      <c r="X200">
        <v>70</v>
      </c>
      <c r="Y200">
        <v>139</v>
      </c>
      <c r="Z200">
        <v>139</v>
      </c>
      <c r="AA200">
        <v>35</v>
      </c>
      <c r="AB200">
        <v>0.28499999999999998</v>
      </c>
      <c r="AC200">
        <v>0.36299999999999999</v>
      </c>
      <c r="AD200">
        <v>0.46100000000000002</v>
      </c>
    </row>
    <row r="201" spans="1:30" x14ac:dyDescent="0.5">
      <c r="A201" s="35">
        <v>2006</v>
      </c>
      <c r="B201" t="s">
        <v>79</v>
      </c>
      <c r="C201" t="s">
        <v>149</v>
      </c>
      <c r="D201">
        <v>162</v>
      </c>
      <c r="E201">
        <v>771</v>
      </c>
      <c r="F201">
        <v>1429</v>
      </c>
      <c r="G201" s="60">
        <v>2006</v>
      </c>
      <c r="H201" s="60" t="s">
        <v>78</v>
      </c>
      <c r="I201" s="60" t="str">
        <f t="shared" si="11"/>
        <v>2006 Oakland Athletics</v>
      </c>
      <c r="J201" s="60">
        <v>5500</v>
      </c>
      <c r="K201" s="60">
        <f t="shared" si="9"/>
        <v>966</v>
      </c>
      <c r="L201" s="60">
        <v>266</v>
      </c>
      <c r="M201" s="60">
        <v>22</v>
      </c>
      <c r="N201" s="60">
        <v>175</v>
      </c>
      <c r="O201" s="60">
        <v>650</v>
      </c>
      <c r="P201" s="60">
        <v>50</v>
      </c>
      <c r="Q201" s="60">
        <f t="shared" si="10"/>
        <v>3371</v>
      </c>
      <c r="R201">
        <v>735</v>
      </c>
      <c r="S201">
        <v>28</v>
      </c>
      <c r="T201">
        <v>976</v>
      </c>
      <c r="U201">
        <v>25</v>
      </c>
      <c r="V201">
        <v>56</v>
      </c>
      <c r="W201">
        <v>0</v>
      </c>
      <c r="X201">
        <v>62</v>
      </c>
      <c r="Y201">
        <v>170</v>
      </c>
      <c r="Z201">
        <v>61</v>
      </c>
      <c r="AA201">
        <v>20</v>
      </c>
      <c r="AB201">
        <v>0.26</v>
      </c>
      <c r="AC201">
        <v>0.34</v>
      </c>
      <c r="AD201">
        <v>0.41199999999999998</v>
      </c>
    </row>
    <row r="202" spans="1:30" x14ac:dyDescent="0.5">
      <c r="A202" s="35">
        <v>2006</v>
      </c>
      <c r="B202" t="s">
        <v>81</v>
      </c>
      <c r="C202" t="s">
        <v>38</v>
      </c>
      <c r="D202">
        <v>162</v>
      </c>
      <c r="E202">
        <v>865</v>
      </c>
      <c r="F202">
        <v>1518</v>
      </c>
      <c r="G202" s="60">
        <v>2006</v>
      </c>
      <c r="H202" s="60" t="s">
        <v>80</v>
      </c>
      <c r="I202" s="60" t="str">
        <f t="shared" si="11"/>
        <v>2006 Philadelphia Phillies</v>
      </c>
      <c r="J202" s="60">
        <v>5687</v>
      </c>
      <c r="K202" s="60">
        <f t="shared" si="9"/>
        <v>967</v>
      </c>
      <c r="L202" s="60">
        <v>294</v>
      </c>
      <c r="M202" s="60">
        <v>41</v>
      </c>
      <c r="N202" s="60">
        <v>216</v>
      </c>
      <c r="O202" s="60">
        <v>626</v>
      </c>
      <c r="P202" s="60">
        <v>95</v>
      </c>
      <c r="Q202" s="60">
        <f t="shared" si="10"/>
        <v>3448</v>
      </c>
      <c r="R202">
        <v>823</v>
      </c>
      <c r="S202">
        <v>67</v>
      </c>
      <c r="T202">
        <v>1203</v>
      </c>
      <c r="U202">
        <v>57</v>
      </c>
      <c r="V202">
        <v>44</v>
      </c>
      <c r="W202">
        <v>0</v>
      </c>
      <c r="X202">
        <v>80</v>
      </c>
      <c r="Y202">
        <v>115</v>
      </c>
      <c r="Z202">
        <v>92</v>
      </c>
      <c r="AA202">
        <v>25</v>
      </c>
      <c r="AB202">
        <v>0.26700000000000002</v>
      </c>
      <c r="AC202">
        <v>0.34699999999999998</v>
      </c>
      <c r="AD202">
        <v>0.44700000000000001</v>
      </c>
    </row>
    <row r="203" spans="1:30" x14ac:dyDescent="0.5">
      <c r="A203" s="35">
        <v>2006</v>
      </c>
      <c r="B203" t="s">
        <v>83</v>
      </c>
      <c r="C203" t="s">
        <v>38</v>
      </c>
      <c r="D203">
        <v>162</v>
      </c>
      <c r="E203">
        <v>691</v>
      </c>
      <c r="F203">
        <v>1462</v>
      </c>
      <c r="G203" s="60">
        <v>2006</v>
      </c>
      <c r="H203" s="60" t="s">
        <v>82</v>
      </c>
      <c r="I203" s="60" t="str">
        <f t="shared" si="11"/>
        <v>2006 Pittsburgh Pirates</v>
      </c>
      <c r="J203" s="60">
        <v>5558</v>
      </c>
      <c r="K203" s="60">
        <f t="shared" si="9"/>
        <v>1018</v>
      </c>
      <c r="L203" s="60">
        <v>286</v>
      </c>
      <c r="M203" s="60">
        <v>17</v>
      </c>
      <c r="N203" s="60">
        <v>141</v>
      </c>
      <c r="O203" s="60">
        <v>459</v>
      </c>
      <c r="P203" s="60">
        <v>89</v>
      </c>
      <c r="Q203" s="60">
        <f t="shared" si="10"/>
        <v>3548</v>
      </c>
      <c r="R203">
        <v>656</v>
      </c>
      <c r="S203">
        <v>49</v>
      </c>
      <c r="T203">
        <v>1200</v>
      </c>
      <c r="U203">
        <v>62</v>
      </c>
      <c r="V203">
        <v>49</v>
      </c>
      <c r="W203">
        <v>1</v>
      </c>
      <c r="X203">
        <v>71</v>
      </c>
      <c r="Y203">
        <v>153</v>
      </c>
      <c r="Z203">
        <v>68</v>
      </c>
      <c r="AA203">
        <v>23</v>
      </c>
      <c r="AB203">
        <v>0.26300000000000001</v>
      </c>
      <c r="AC203">
        <v>0.32700000000000001</v>
      </c>
      <c r="AD203">
        <v>0.39700000000000002</v>
      </c>
    </row>
    <row r="204" spans="1:30" x14ac:dyDescent="0.5">
      <c r="A204" s="35">
        <v>2006</v>
      </c>
      <c r="B204" t="s">
        <v>147</v>
      </c>
      <c r="C204" t="s">
        <v>38</v>
      </c>
      <c r="D204">
        <v>162</v>
      </c>
      <c r="E204">
        <v>731</v>
      </c>
      <c r="F204">
        <v>1465</v>
      </c>
      <c r="G204" s="60">
        <v>2006</v>
      </c>
      <c r="H204" s="60" t="s">
        <v>84</v>
      </c>
      <c r="I204" s="60" t="str">
        <f t="shared" si="11"/>
        <v>2006 San Diego Padres</v>
      </c>
      <c r="J204" s="60">
        <v>5576</v>
      </c>
      <c r="K204" s="60">
        <f t="shared" si="9"/>
        <v>968</v>
      </c>
      <c r="L204" s="60">
        <v>298</v>
      </c>
      <c r="M204" s="60">
        <v>38</v>
      </c>
      <c r="N204" s="60">
        <v>161</v>
      </c>
      <c r="O204" s="60">
        <v>564</v>
      </c>
      <c r="P204" s="60">
        <v>40</v>
      </c>
      <c r="Q204" s="60">
        <f t="shared" si="10"/>
        <v>3507</v>
      </c>
      <c r="R204">
        <v>698</v>
      </c>
      <c r="S204">
        <v>37</v>
      </c>
      <c r="T204">
        <v>1104</v>
      </c>
      <c r="U204">
        <v>59</v>
      </c>
      <c r="V204">
        <v>47</v>
      </c>
      <c r="W204">
        <v>1</v>
      </c>
      <c r="X204">
        <v>61</v>
      </c>
      <c r="Y204">
        <v>127</v>
      </c>
      <c r="Z204">
        <v>123</v>
      </c>
      <c r="AA204">
        <v>31</v>
      </c>
      <c r="AB204">
        <v>0.26300000000000001</v>
      </c>
      <c r="AC204">
        <v>0.33200000000000002</v>
      </c>
      <c r="AD204">
        <v>0.41599999999999998</v>
      </c>
    </row>
    <row r="205" spans="1:30" x14ac:dyDescent="0.5">
      <c r="A205" s="35">
        <v>2006</v>
      </c>
      <c r="B205" t="s">
        <v>87</v>
      </c>
      <c r="C205" t="s">
        <v>149</v>
      </c>
      <c r="D205">
        <v>162</v>
      </c>
      <c r="E205">
        <v>756</v>
      </c>
      <c r="F205">
        <v>1540</v>
      </c>
      <c r="G205" s="60">
        <v>2006</v>
      </c>
      <c r="H205" s="60" t="s">
        <v>86</v>
      </c>
      <c r="I205" s="60" t="str">
        <f t="shared" si="11"/>
        <v>2006 Seattle Mariners</v>
      </c>
      <c r="J205" s="60">
        <v>5670</v>
      </c>
      <c r="K205" s="60">
        <f t="shared" si="9"/>
        <v>1060</v>
      </c>
      <c r="L205" s="60">
        <v>266</v>
      </c>
      <c r="M205" s="60">
        <v>42</v>
      </c>
      <c r="N205" s="60">
        <v>172</v>
      </c>
      <c r="O205" s="60">
        <v>404</v>
      </c>
      <c r="P205" s="60">
        <v>63</v>
      </c>
      <c r="Q205" s="60">
        <f t="shared" si="10"/>
        <v>3663</v>
      </c>
      <c r="R205">
        <v>703</v>
      </c>
      <c r="S205">
        <v>49</v>
      </c>
      <c r="T205">
        <v>974</v>
      </c>
      <c r="U205">
        <v>38</v>
      </c>
      <c r="V205">
        <v>38</v>
      </c>
      <c r="W205">
        <v>0</v>
      </c>
      <c r="X205">
        <v>85</v>
      </c>
      <c r="Y205">
        <v>117</v>
      </c>
      <c r="Z205">
        <v>106</v>
      </c>
      <c r="AA205">
        <v>37</v>
      </c>
      <c r="AB205">
        <v>0.27200000000000002</v>
      </c>
      <c r="AC205">
        <v>0.32500000000000001</v>
      </c>
      <c r="AD205">
        <v>0.42399999999999999</v>
      </c>
    </row>
    <row r="206" spans="1:30" x14ac:dyDescent="0.5">
      <c r="A206" s="35">
        <v>2006</v>
      </c>
      <c r="B206" t="s">
        <v>21</v>
      </c>
      <c r="C206" t="s">
        <v>38</v>
      </c>
      <c r="D206">
        <v>161</v>
      </c>
      <c r="E206">
        <v>746</v>
      </c>
      <c r="F206">
        <v>1418</v>
      </c>
      <c r="G206" s="60">
        <v>2006</v>
      </c>
      <c r="H206" s="60" t="s">
        <v>88</v>
      </c>
      <c r="I206" s="60" t="str">
        <f t="shared" si="11"/>
        <v>2006 San Francisco Giants</v>
      </c>
      <c r="J206" s="60">
        <v>5472</v>
      </c>
      <c r="K206" s="60">
        <f t="shared" si="9"/>
        <v>906</v>
      </c>
      <c r="L206" s="60">
        <v>297</v>
      </c>
      <c r="M206" s="60">
        <v>52</v>
      </c>
      <c r="N206" s="60">
        <v>163</v>
      </c>
      <c r="O206" s="60">
        <v>494</v>
      </c>
      <c r="P206" s="60">
        <v>53</v>
      </c>
      <c r="Q206" s="60">
        <f t="shared" si="10"/>
        <v>3507</v>
      </c>
      <c r="R206">
        <v>711</v>
      </c>
      <c r="S206">
        <v>76</v>
      </c>
      <c r="T206">
        <v>891</v>
      </c>
      <c r="U206">
        <v>80</v>
      </c>
      <c r="V206">
        <v>37</v>
      </c>
      <c r="W206">
        <v>0</v>
      </c>
      <c r="X206">
        <v>74</v>
      </c>
      <c r="Y206">
        <v>136</v>
      </c>
      <c r="Z206">
        <v>58</v>
      </c>
      <c r="AA206">
        <v>25</v>
      </c>
      <c r="AB206">
        <v>0.25900000000000001</v>
      </c>
      <c r="AC206">
        <v>0.32400000000000001</v>
      </c>
      <c r="AD206">
        <v>0.42199999999999999</v>
      </c>
    </row>
    <row r="207" spans="1:30" x14ac:dyDescent="0.5">
      <c r="A207" s="35">
        <v>2006</v>
      </c>
      <c r="B207" t="s">
        <v>142</v>
      </c>
      <c r="C207" t="s">
        <v>38</v>
      </c>
      <c r="D207">
        <v>161</v>
      </c>
      <c r="E207">
        <v>781</v>
      </c>
      <c r="F207">
        <v>1484</v>
      </c>
      <c r="G207" s="60">
        <v>2006</v>
      </c>
      <c r="H207" s="60" t="s">
        <v>90</v>
      </c>
      <c r="I207" s="60" t="str">
        <f t="shared" si="11"/>
        <v>2006 St. Louis Cardinals</v>
      </c>
      <c r="J207" s="60">
        <v>5522</v>
      </c>
      <c r="K207" s="60">
        <f t="shared" si="9"/>
        <v>981</v>
      </c>
      <c r="L207" s="60">
        <v>292</v>
      </c>
      <c r="M207" s="60">
        <v>27</v>
      </c>
      <c r="N207" s="60">
        <v>184</v>
      </c>
      <c r="O207" s="60">
        <v>531</v>
      </c>
      <c r="P207" s="60">
        <v>61</v>
      </c>
      <c r="Q207" s="60">
        <f t="shared" si="10"/>
        <v>3446</v>
      </c>
      <c r="R207">
        <v>745</v>
      </c>
      <c r="S207">
        <v>70</v>
      </c>
      <c r="T207">
        <v>922</v>
      </c>
      <c r="U207">
        <v>71</v>
      </c>
      <c r="V207">
        <v>40</v>
      </c>
      <c r="W207">
        <v>0</v>
      </c>
      <c r="X207">
        <v>66</v>
      </c>
      <c r="Y207">
        <v>129</v>
      </c>
      <c r="Z207">
        <v>59</v>
      </c>
      <c r="AA207">
        <v>32</v>
      </c>
      <c r="AB207">
        <v>0.26900000000000002</v>
      </c>
      <c r="AC207">
        <v>0.33700000000000002</v>
      </c>
      <c r="AD207">
        <v>0.43099999999999999</v>
      </c>
    </row>
    <row r="208" spans="1:30" x14ac:dyDescent="0.5">
      <c r="A208" s="35">
        <v>2006</v>
      </c>
      <c r="B208" t="s">
        <v>151</v>
      </c>
      <c r="C208" t="s">
        <v>149</v>
      </c>
      <c r="D208">
        <v>162</v>
      </c>
      <c r="E208">
        <v>689</v>
      </c>
      <c r="F208">
        <v>1395</v>
      </c>
      <c r="G208" s="60">
        <v>2006</v>
      </c>
      <c r="H208" s="60" t="s">
        <v>92</v>
      </c>
      <c r="I208" s="60" t="str">
        <f t="shared" si="11"/>
        <v>2006 Tampa Bay Devil Rays</v>
      </c>
      <c r="J208" s="60">
        <v>5474</v>
      </c>
      <c r="K208" s="60">
        <f t="shared" si="9"/>
        <v>905</v>
      </c>
      <c r="L208" s="60">
        <v>267</v>
      </c>
      <c r="M208" s="60">
        <v>33</v>
      </c>
      <c r="N208" s="60">
        <v>190</v>
      </c>
      <c r="O208" s="60">
        <v>441</v>
      </c>
      <c r="P208" s="60">
        <v>47</v>
      </c>
      <c r="Q208" s="60">
        <f t="shared" si="10"/>
        <v>3591</v>
      </c>
      <c r="R208">
        <v>650</v>
      </c>
      <c r="S208">
        <v>23</v>
      </c>
      <c r="T208">
        <v>1106</v>
      </c>
      <c r="U208">
        <v>35</v>
      </c>
      <c r="V208">
        <v>43</v>
      </c>
      <c r="W208">
        <v>1</v>
      </c>
      <c r="X208">
        <v>55</v>
      </c>
      <c r="Y208">
        <v>101</v>
      </c>
      <c r="Z208">
        <v>134</v>
      </c>
      <c r="AA208">
        <v>52</v>
      </c>
      <c r="AB208">
        <v>0.255</v>
      </c>
      <c r="AC208">
        <v>0.314</v>
      </c>
      <c r="AD208">
        <v>0.42</v>
      </c>
    </row>
    <row r="209" spans="1:30" x14ac:dyDescent="0.5">
      <c r="A209" s="35">
        <v>2006</v>
      </c>
      <c r="B209" t="s">
        <v>95</v>
      </c>
      <c r="C209" t="s">
        <v>149</v>
      </c>
      <c r="D209">
        <v>162</v>
      </c>
      <c r="E209">
        <v>835</v>
      </c>
      <c r="F209">
        <v>1571</v>
      </c>
      <c r="G209" s="60">
        <v>2006</v>
      </c>
      <c r="H209" s="60" t="s">
        <v>94</v>
      </c>
      <c r="I209" s="60" t="str">
        <f t="shared" si="11"/>
        <v>2006 Texas Rangers</v>
      </c>
      <c r="J209" s="60">
        <v>5659</v>
      </c>
      <c r="K209" s="60">
        <f t="shared" si="9"/>
        <v>1008</v>
      </c>
      <c r="L209" s="60">
        <v>357</v>
      </c>
      <c r="M209" s="60">
        <v>23</v>
      </c>
      <c r="N209" s="60">
        <v>183</v>
      </c>
      <c r="O209" s="60">
        <v>505</v>
      </c>
      <c r="P209" s="60">
        <v>40</v>
      </c>
      <c r="Q209" s="60">
        <f t="shared" si="10"/>
        <v>3543</v>
      </c>
      <c r="R209">
        <v>799</v>
      </c>
      <c r="S209">
        <v>35</v>
      </c>
      <c r="T209">
        <v>1061</v>
      </c>
      <c r="U209">
        <v>18</v>
      </c>
      <c r="V209">
        <v>50</v>
      </c>
      <c r="W209">
        <v>1</v>
      </c>
      <c r="X209">
        <v>77</v>
      </c>
      <c r="Y209">
        <v>148</v>
      </c>
      <c r="Z209">
        <v>53</v>
      </c>
      <c r="AA209">
        <v>24</v>
      </c>
      <c r="AB209">
        <v>0.27800000000000002</v>
      </c>
      <c r="AC209">
        <v>0.33800000000000002</v>
      </c>
      <c r="AD209">
        <v>0.44600000000000001</v>
      </c>
    </row>
    <row r="210" spans="1:30" x14ac:dyDescent="0.5">
      <c r="A210" s="35">
        <v>2006</v>
      </c>
      <c r="B210" t="s">
        <v>97</v>
      </c>
      <c r="C210" t="s">
        <v>149</v>
      </c>
      <c r="D210">
        <v>162</v>
      </c>
      <c r="E210">
        <v>809</v>
      </c>
      <c r="F210">
        <v>1591</v>
      </c>
      <c r="G210" s="60">
        <v>2006</v>
      </c>
      <c r="H210" s="60" t="s">
        <v>96</v>
      </c>
      <c r="I210" s="60" t="str">
        <f t="shared" si="11"/>
        <v>2006 Toronto Blue Jays</v>
      </c>
      <c r="J210" s="60">
        <v>5596</v>
      </c>
      <c r="K210" s="60">
        <f t="shared" si="9"/>
        <v>1017</v>
      </c>
      <c r="L210" s="60">
        <v>348</v>
      </c>
      <c r="M210" s="60">
        <v>27</v>
      </c>
      <c r="N210" s="60">
        <v>199</v>
      </c>
      <c r="O210" s="60">
        <v>514</v>
      </c>
      <c r="P210" s="60">
        <v>63</v>
      </c>
      <c r="Q210" s="60">
        <f t="shared" si="10"/>
        <v>3428</v>
      </c>
      <c r="R210">
        <v>778</v>
      </c>
      <c r="S210">
        <v>31</v>
      </c>
      <c r="T210">
        <v>906</v>
      </c>
      <c r="U210">
        <v>16</v>
      </c>
      <c r="V210">
        <v>52</v>
      </c>
      <c r="W210">
        <v>0</v>
      </c>
      <c r="X210">
        <v>51</v>
      </c>
      <c r="Y210">
        <v>166</v>
      </c>
      <c r="Z210">
        <v>65</v>
      </c>
      <c r="AA210">
        <v>33</v>
      </c>
      <c r="AB210">
        <v>0.28399999999999997</v>
      </c>
      <c r="AC210">
        <v>0.34799999999999998</v>
      </c>
      <c r="AD210">
        <v>0.46300000000000002</v>
      </c>
    </row>
    <row r="211" spans="1:30" x14ac:dyDescent="0.5">
      <c r="A211" s="35">
        <v>2006</v>
      </c>
      <c r="B211" t="s">
        <v>101</v>
      </c>
      <c r="C211" t="s">
        <v>38</v>
      </c>
      <c r="D211">
        <v>162</v>
      </c>
      <c r="E211">
        <v>746</v>
      </c>
      <c r="F211">
        <v>1437</v>
      </c>
      <c r="G211" s="60">
        <v>2006</v>
      </c>
      <c r="H211" s="60" t="s">
        <v>100</v>
      </c>
      <c r="I211" s="60" t="str">
        <f t="shared" si="11"/>
        <v>2006 Washington Nationals</v>
      </c>
      <c r="J211" s="60">
        <v>5495</v>
      </c>
      <c r="K211" s="60">
        <f t="shared" si="9"/>
        <v>929</v>
      </c>
      <c r="L211" s="60">
        <v>322</v>
      </c>
      <c r="M211" s="60">
        <v>22</v>
      </c>
      <c r="N211" s="60">
        <v>164</v>
      </c>
      <c r="O211" s="60">
        <v>594</v>
      </c>
      <c r="P211" s="60">
        <v>69</v>
      </c>
      <c r="Q211" s="60">
        <f t="shared" si="10"/>
        <v>3395</v>
      </c>
      <c r="R211">
        <v>695</v>
      </c>
      <c r="S211">
        <v>66</v>
      </c>
      <c r="T211">
        <v>1156</v>
      </c>
      <c r="U211">
        <v>76</v>
      </c>
      <c r="V211">
        <v>49</v>
      </c>
      <c r="W211">
        <v>0</v>
      </c>
      <c r="X211">
        <v>59</v>
      </c>
      <c r="Y211">
        <v>118</v>
      </c>
      <c r="Z211">
        <v>123</v>
      </c>
      <c r="AA211">
        <v>62</v>
      </c>
      <c r="AB211">
        <v>0.26200000000000001</v>
      </c>
      <c r="AC211">
        <v>0.33800000000000002</v>
      </c>
      <c r="AD211">
        <v>0.41799999999999998</v>
      </c>
    </row>
    <row r="212" spans="1:30" x14ac:dyDescent="0.5">
      <c r="A212" s="35">
        <v>2007</v>
      </c>
      <c r="B212" t="s">
        <v>37</v>
      </c>
      <c r="C212" t="s">
        <v>149</v>
      </c>
      <c r="D212">
        <v>162</v>
      </c>
      <c r="E212">
        <v>822</v>
      </c>
      <c r="F212">
        <v>1578</v>
      </c>
      <c r="G212" s="60">
        <v>2007</v>
      </c>
      <c r="H212" s="60" t="s">
        <v>36</v>
      </c>
      <c r="I212" s="60" t="str">
        <f t="shared" si="11"/>
        <v>2007 Anaheim Angels</v>
      </c>
      <c r="J212" s="60">
        <v>5554</v>
      </c>
      <c r="K212" s="60">
        <f t="shared" si="9"/>
        <v>1108</v>
      </c>
      <c r="L212" s="60">
        <v>324</v>
      </c>
      <c r="M212" s="60">
        <v>23</v>
      </c>
      <c r="N212" s="60">
        <v>123</v>
      </c>
      <c r="O212" s="60">
        <v>507</v>
      </c>
      <c r="P212" s="60">
        <v>40</v>
      </c>
      <c r="Q212" s="60">
        <f t="shared" si="10"/>
        <v>3429</v>
      </c>
      <c r="R212">
        <v>776</v>
      </c>
      <c r="S212">
        <v>55</v>
      </c>
      <c r="T212">
        <v>883</v>
      </c>
      <c r="U212">
        <v>32</v>
      </c>
      <c r="V212">
        <v>65</v>
      </c>
      <c r="W212">
        <v>0</v>
      </c>
      <c r="X212">
        <v>68</v>
      </c>
      <c r="Y212">
        <v>146</v>
      </c>
      <c r="Z212">
        <v>139</v>
      </c>
      <c r="AA212">
        <v>55</v>
      </c>
      <c r="AB212">
        <v>0.28399999999999997</v>
      </c>
      <c r="AC212">
        <v>0.34499999999999997</v>
      </c>
      <c r="AD212">
        <v>0.41699999999999998</v>
      </c>
    </row>
    <row r="213" spans="1:30" x14ac:dyDescent="0.5">
      <c r="A213" s="35">
        <v>2007</v>
      </c>
      <c r="B213" t="s">
        <v>40</v>
      </c>
      <c r="C213" t="s">
        <v>38</v>
      </c>
      <c r="D213">
        <v>162</v>
      </c>
      <c r="E213">
        <v>712</v>
      </c>
      <c r="F213">
        <v>1350</v>
      </c>
      <c r="G213" s="60">
        <v>2007</v>
      </c>
      <c r="H213" s="60" t="s">
        <v>39</v>
      </c>
      <c r="I213" s="60" t="str">
        <f t="shared" si="11"/>
        <v>2007 Arizona Diamondbacks</v>
      </c>
      <c r="J213" s="60">
        <v>5398</v>
      </c>
      <c r="K213" s="60">
        <f t="shared" si="9"/>
        <v>853</v>
      </c>
      <c r="L213" s="60">
        <v>286</v>
      </c>
      <c r="M213" s="60">
        <v>40</v>
      </c>
      <c r="N213" s="60">
        <v>171</v>
      </c>
      <c r="O213" s="60">
        <v>532</v>
      </c>
      <c r="P213" s="60">
        <v>57</v>
      </c>
      <c r="Q213" s="60">
        <f t="shared" si="10"/>
        <v>3459</v>
      </c>
      <c r="R213">
        <v>687</v>
      </c>
      <c r="S213">
        <v>38</v>
      </c>
      <c r="T213">
        <v>1111</v>
      </c>
      <c r="U213">
        <v>55</v>
      </c>
      <c r="V213">
        <v>58</v>
      </c>
      <c r="W213">
        <v>1</v>
      </c>
      <c r="X213">
        <v>61</v>
      </c>
      <c r="Y213">
        <v>121</v>
      </c>
      <c r="Z213">
        <v>109</v>
      </c>
      <c r="AA213">
        <v>24</v>
      </c>
      <c r="AB213">
        <v>0.25</v>
      </c>
      <c r="AC213">
        <v>0.32100000000000001</v>
      </c>
      <c r="AD213">
        <v>0.41299999999999998</v>
      </c>
    </row>
    <row r="214" spans="1:30" x14ac:dyDescent="0.5">
      <c r="A214" s="35">
        <v>2007</v>
      </c>
      <c r="B214" t="s">
        <v>42</v>
      </c>
      <c r="C214" t="s">
        <v>38</v>
      </c>
      <c r="D214">
        <v>162</v>
      </c>
      <c r="E214">
        <v>810</v>
      </c>
      <c r="F214">
        <v>1562</v>
      </c>
      <c r="G214" s="60">
        <v>2007</v>
      </c>
      <c r="H214" s="60" t="s">
        <v>41</v>
      </c>
      <c r="I214" s="60" t="str">
        <f t="shared" si="11"/>
        <v>2007 Atlanta Braves</v>
      </c>
      <c r="J214" s="60">
        <v>5689</v>
      </c>
      <c r="K214" s="60">
        <f t="shared" si="9"/>
        <v>1031</v>
      </c>
      <c r="L214" s="60">
        <v>328</v>
      </c>
      <c r="M214" s="60">
        <v>27</v>
      </c>
      <c r="N214" s="60">
        <v>176</v>
      </c>
      <c r="O214" s="60">
        <v>534</v>
      </c>
      <c r="P214" s="60">
        <v>49</v>
      </c>
      <c r="Q214" s="60">
        <f t="shared" si="10"/>
        <v>3544</v>
      </c>
      <c r="R214">
        <v>781</v>
      </c>
      <c r="S214">
        <v>43</v>
      </c>
      <c r="T214">
        <v>1149</v>
      </c>
      <c r="U214">
        <v>55</v>
      </c>
      <c r="V214">
        <v>47</v>
      </c>
      <c r="W214">
        <v>0</v>
      </c>
      <c r="X214">
        <v>74</v>
      </c>
      <c r="Y214">
        <v>137</v>
      </c>
      <c r="Z214">
        <v>64</v>
      </c>
      <c r="AA214">
        <v>30</v>
      </c>
      <c r="AB214">
        <v>0.27500000000000002</v>
      </c>
      <c r="AC214">
        <v>0.33900000000000002</v>
      </c>
      <c r="AD214">
        <v>0.435</v>
      </c>
    </row>
    <row r="215" spans="1:30" x14ac:dyDescent="0.5">
      <c r="A215" s="35">
        <v>2007</v>
      </c>
      <c r="B215" t="s">
        <v>45</v>
      </c>
      <c r="C215" t="s">
        <v>149</v>
      </c>
      <c r="D215">
        <v>162</v>
      </c>
      <c r="E215">
        <v>756</v>
      </c>
      <c r="F215">
        <v>1529</v>
      </c>
      <c r="G215" s="60">
        <v>2007</v>
      </c>
      <c r="H215" s="60" t="s">
        <v>44</v>
      </c>
      <c r="I215" s="60" t="str">
        <f t="shared" si="11"/>
        <v>2007 Baltimore Orioles</v>
      </c>
      <c r="J215" s="60">
        <v>5631</v>
      </c>
      <c r="K215" s="60">
        <f t="shared" si="9"/>
        <v>1051</v>
      </c>
      <c r="L215" s="60">
        <v>306</v>
      </c>
      <c r="M215" s="60">
        <v>30</v>
      </c>
      <c r="N215" s="60">
        <v>142</v>
      </c>
      <c r="O215" s="60">
        <v>500</v>
      </c>
      <c r="P215" s="60">
        <v>47</v>
      </c>
      <c r="Q215" s="60">
        <f t="shared" si="10"/>
        <v>3555</v>
      </c>
      <c r="R215">
        <v>718</v>
      </c>
      <c r="S215">
        <v>31</v>
      </c>
      <c r="T215">
        <v>939</v>
      </c>
      <c r="U215">
        <v>38</v>
      </c>
      <c r="V215">
        <v>47</v>
      </c>
      <c r="W215">
        <v>1</v>
      </c>
      <c r="X215">
        <v>62</v>
      </c>
      <c r="Y215">
        <v>139</v>
      </c>
      <c r="Z215">
        <v>144</v>
      </c>
      <c r="AA215">
        <v>42</v>
      </c>
      <c r="AB215">
        <v>0.27200000000000002</v>
      </c>
      <c r="AC215">
        <v>0.33300000000000002</v>
      </c>
      <c r="AD215">
        <v>0.41199999999999998</v>
      </c>
    </row>
    <row r="216" spans="1:30" x14ac:dyDescent="0.5">
      <c r="A216" s="35">
        <v>2007</v>
      </c>
      <c r="B216" t="s">
        <v>47</v>
      </c>
      <c r="C216" t="s">
        <v>149</v>
      </c>
      <c r="D216">
        <v>162</v>
      </c>
      <c r="E216">
        <v>867</v>
      </c>
      <c r="F216">
        <v>1561</v>
      </c>
      <c r="G216" s="60">
        <v>2007</v>
      </c>
      <c r="H216" s="60" t="s">
        <v>46</v>
      </c>
      <c r="I216" s="60" t="str">
        <f t="shared" si="11"/>
        <v>2007 Boston Red Sox</v>
      </c>
      <c r="J216" s="60">
        <v>5589</v>
      </c>
      <c r="K216" s="60">
        <f t="shared" si="9"/>
        <v>1008</v>
      </c>
      <c r="L216" s="60">
        <v>352</v>
      </c>
      <c r="M216" s="60">
        <v>35</v>
      </c>
      <c r="N216" s="60">
        <v>166</v>
      </c>
      <c r="O216" s="60">
        <v>689</v>
      </c>
      <c r="P216" s="60">
        <v>64</v>
      </c>
      <c r="Q216" s="60">
        <f t="shared" si="10"/>
        <v>3275</v>
      </c>
      <c r="R216">
        <v>829</v>
      </c>
      <c r="S216">
        <v>54</v>
      </c>
      <c r="T216">
        <v>1042</v>
      </c>
      <c r="U216">
        <v>30</v>
      </c>
      <c r="V216">
        <v>54</v>
      </c>
      <c r="W216">
        <v>0</v>
      </c>
      <c r="X216">
        <v>61</v>
      </c>
      <c r="Y216">
        <v>146</v>
      </c>
      <c r="Z216">
        <v>96</v>
      </c>
      <c r="AA216">
        <v>24</v>
      </c>
      <c r="AB216">
        <v>0.27900000000000003</v>
      </c>
      <c r="AC216">
        <v>0.36199999999999999</v>
      </c>
      <c r="AD216">
        <v>0.44400000000000001</v>
      </c>
    </row>
    <row r="217" spans="1:30" x14ac:dyDescent="0.5">
      <c r="A217" s="35">
        <v>2007</v>
      </c>
      <c r="B217" t="s">
        <v>143</v>
      </c>
      <c r="C217" t="s">
        <v>38</v>
      </c>
      <c r="D217">
        <v>162</v>
      </c>
      <c r="E217">
        <v>752</v>
      </c>
      <c r="F217">
        <v>1530</v>
      </c>
      <c r="G217" s="60">
        <v>2007</v>
      </c>
      <c r="H217" s="60" t="s">
        <v>50</v>
      </c>
      <c r="I217" s="60" t="str">
        <f t="shared" si="11"/>
        <v>2007 Chicago Cubs</v>
      </c>
      <c r="J217" s="60">
        <v>5643</v>
      </c>
      <c r="K217" s="60">
        <f t="shared" si="9"/>
        <v>1011</v>
      </c>
      <c r="L217" s="60">
        <v>340</v>
      </c>
      <c r="M217" s="60">
        <v>28</v>
      </c>
      <c r="N217" s="60">
        <v>151</v>
      </c>
      <c r="O217" s="60">
        <v>500</v>
      </c>
      <c r="P217" s="60">
        <v>40</v>
      </c>
      <c r="Q217" s="60">
        <f t="shared" si="10"/>
        <v>3573</v>
      </c>
      <c r="R217">
        <v>711</v>
      </c>
      <c r="S217">
        <v>48</v>
      </c>
      <c r="T217">
        <v>1054</v>
      </c>
      <c r="U217">
        <v>48</v>
      </c>
      <c r="V217">
        <v>37</v>
      </c>
      <c r="W217">
        <v>0</v>
      </c>
      <c r="X217">
        <v>86</v>
      </c>
      <c r="Y217">
        <v>127</v>
      </c>
      <c r="Z217">
        <v>86</v>
      </c>
      <c r="AA217">
        <v>33</v>
      </c>
      <c r="AB217">
        <v>0.27100000000000002</v>
      </c>
      <c r="AC217">
        <v>0.33300000000000002</v>
      </c>
      <c r="AD217">
        <v>0.42199999999999999</v>
      </c>
    </row>
    <row r="218" spans="1:30" x14ac:dyDescent="0.5">
      <c r="A218" s="35">
        <v>2007</v>
      </c>
      <c r="B218" t="s">
        <v>143</v>
      </c>
      <c r="C218" t="s">
        <v>149</v>
      </c>
      <c r="D218">
        <v>162</v>
      </c>
      <c r="E218">
        <v>693</v>
      </c>
      <c r="F218">
        <v>1341</v>
      </c>
      <c r="G218" s="60">
        <v>2007</v>
      </c>
      <c r="H218" s="60" t="s">
        <v>48</v>
      </c>
      <c r="I218" s="60" t="str">
        <f t="shared" si="11"/>
        <v>2007 Chicago White Sox</v>
      </c>
      <c r="J218" s="60">
        <v>5441</v>
      </c>
      <c r="K218" s="60">
        <f t="shared" si="9"/>
        <v>882</v>
      </c>
      <c r="L218" s="60">
        <v>249</v>
      </c>
      <c r="M218" s="60">
        <v>20</v>
      </c>
      <c r="N218" s="60">
        <v>190</v>
      </c>
      <c r="O218" s="60">
        <v>532</v>
      </c>
      <c r="P218" s="60">
        <v>52</v>
      </c>
      <c r="Q218" s="60">
        <f t="shared" si="10"/>
        <v>3516</v>
      </c>
      <c r="R218">
        <v>667</v>
      </c>
      <c r="S218">
        <v>33</v>
      </c>
      <c r="T218">
        <v>1149</v>
      </c>
      <c r="U218">
        <v>41</v>
      </c>
      <c r="V218">
        <v>35</v>
      </c>
      <c r="W218">
        <v>2</v>
      </c>
      <c r="X218">
        <v>64</v>
      </c>
      <c r="Y218">
        <v>138</v>
      </c>
      <c r="Z218">
        <v>78</v>
      </c>
      <c r="AA218">
        <v>45</v>
      </c>
      <c r="AB218">
        <v>0.246</v>
      </c>
      <c r="AC218">
        <v>0.318</v>
      </c>
      <c r="AD218">
        <v>0.40400000000000003</v>
      </c>
    </row>
    <row r="219" spans="1:30" x14ac:dyDescent="0.5">
      <c r="A219" s="35">
        <v>2007</v>
      </c>
      <c r="B219" t="s">
        <v>53</v>
      </c>
      <c r="C219" t="s">
        <v>38</v>
      </c>
      <c r="D219">
        <v>162</v>
      </c>
      <c r="E219">
        <v>783</v>
      </c>
      <c r="F219">
        <v>1496</v>
      </c>
      <c r="G219" s="60">
        <v>2007</v>
      </c>
      <c r="H219" s="60" t="s">
        <v>52</v>
      </c>
      <c r="I219" s="60" t="str">
        <f t="shared" si="11"/>
        <v>2007 Cincinnati Reds</v>
      </c>
      <c r="J219" s="60">
        <v>5607</v>
      </c>
      <c r="K219" s="60">
        <f t="shared" si="9"/>
        <v>976</v>
      </c>
      <c r="L219" s="60">
        <v>293</v>
      </c>
      <c r="M219" s="60">
        <v>23</v>
      </c>
      <c r="N219" s="60">
        <v>204</v>
      </c>
      <c r="O219" s="60">
        <v>536</v>
      </c>
      <c r="P219" s="60">
        <v>66</v>
      </c>
      <c r="Q219" s="60">
        <f t="shared" si="10"/>
        <v>3509</v>
      </c>
      <c r="R219">
        <v>747</v>
      </c>
      <c r="S219">
        <v>51</v>
      </c>
      <c r="T219">
        <v>1113</v>
      </c>
      <c r="U219">
        <v>73</v>
      </c>
      <c r="V219">
        <v>46</v>
      </c>
      <c r="W219">
        <v>4</v>
      </c>
      <c r="X219">
        <v>72</v>
      </c>
      <c r="Y219">
        <v>140</v>
      </c>
      <c r="Z219">
        <v>97</v>
      </c>
      <c r="AA219">
        <v>31</v>
      </c>
      <c r="AB219">
        <v>0.26700000000000002</v>
      </c>
      <c r="AC219">
        <v>0.33500000000000002</v>
      </c>
      <c r="AD219">
        <v>0.436</v>
      </c>
    </row>
    <row r="220" spans="1:30" x14ac:dyDescent="0.5">
      <c r="A220" s="35">
        <v>2007</v>
      </c>
      <c r="B220" t="s">
        <v>55</v>
      </c>
      <c r="C220" t="s">
        <v>149</v>
      </c>
      <c r="D220">
        <v>162</v>
      </c>
      <c r="E220">
        <v>811</v>
      </c>
      <c r="F220">
        <v>1504</v>
      </c>
      <c r="G220" s="60">
        <v>2007</v>
      </c>
      <c r="H220" s="60" t="s">
        <v>54</v>
      </c>
      <c r="I220" s="60" t="str">
        <f t="shared" si="11"/>
        <v>2007 Cleveland Indians</v>
      </c>
      <c r="J220" s="60">
        <v>5604</v>
      </c>
      <c r="K220" s="60">
        <f t="shared" si="9"/>
        <v>994</v>
      </c>
      <c r="L220" s="60">
        <v>305</v>
      </c>
      <c r="M220" s="60">
        <v>27</v>
      </c>
      <c r="N220" s="60">
        <v>178</v>
      </c>
      <c r="O220" s="60">
        <v>590</v>
      </c>
      <c r="P220" s="60">
        <v>80</v>
      </c>
      <c r="Q220" s="60">
        <f t="shared" si="10"/>
        <v>3430</v>
      </c>
      <c r="R220">
        <v>784</v>
      </c>
      <c r="S220">
        <v>56</v>
      </c>
      <c r="T220">
        <v>1202</v>
      </c>
      <c r="U220">
        <v>32</v>
      </c>
      <c r="V220">
        <v>59</v>
      </c>
      <c r="W220">
        <v>2</v>
      </c>
      <c r="X220">
        <v>64</v>
      </c>
      <c r="Y220">
        <v>114</v>
      </c>
      <c r="Z220">
        <v>72</v>
      </c>
      <c r="AA220">
        <v>41</v>
      </c>
      <c r="AB220">
        <v>0.26800000000000002</v>
      </c>
      <c r="AC220">
        <v>0.34300000000000003</v>
      </c>
      <c r="AD220">
        <v>0.42799999999999999</v>
      </c>
    </row>
    <row r="221" spans="1:30" x14ac:dyDescent="0.5">
      <c r="A221" s="35">
        <v>2007</v>
      </c>
      <c r="B221" t="s">
        <v>57</v>
      </c>
      <c r="C221" t="s">
        <v>38</v>
      </c>
      <c r="D221">
        <v>163</v>
      </c>
      <c r="E221">
        <v>860</v>
      </c>
      <c r="F221">
        <v>1591</v>
      </c>
      <c r="G221" s="60">
        <v>2007</v>
      </c>
      <c r="H221" s="60" t="s">
        <v>56</v>
      </c>
      <c r="I221" s="60" t="str">
        <f t="shared" si="11"/>
        <v>2007 Colorado Rockies</v>
      </c>
      <c r="J221" s="60">
        <v>5691</v>
      </c>
      <c r="K221" s="60">
        <f t="shared" si="9"/>
        <v>1071</v>
      </c>
      <c r="L221" s="60">
        <v>313</v>
      </c>
      <c r="M221" s="60">
        <v>36</v>
      </c>
      <c r="N221" s="60">
        <v>171</v>
      </c>
      <c r="O221" s="60">
        <v>622</v>
      </c>
      <c r="P221" s="60">
        <v>58</v>
      </c>
      <c r="Q221" s="60">
        <f t="shared" si="10"/>
        <v>3420</v>
      </c>
      <c r="R221">
        <v>823</v>
      </c>
      <c r="S221">
        <v>51</v>
      </c>
      <c r="T221">
        <v>1152</v>
      </c>
      <c r="U221">
        <v>83</v>
      </c>
      <c r="V221">
        <v>44</v>
      </c>
      <c r="W221">
        <v>0</v>
      </c>
      <c r="X221">
        <v>64</v>
      </c>
      <c r="Y221">
        <v>140</v>
      </c>
      <c r="Z221">
        <v>100</v>
      </c>
      <c r="AA221">
        <v>31</v>
      </c>
      <c r="AB221">
        <v>0.28000000000000003</v>
      </c>
      <c r="AC221">
        <v>0.35399999999999998</v>
      </c>
      <c r="AD221">
        <v>0.437</v>
      </c>
    </row>
    <row r="222" spans="1:30" x14ac:dyDescent="0.5">
      <c r="A222" s="35">
        <v>2007</v>
      </c>
      <c r="B222" t="s">
        <v>59</v>
      </c>
      <c r="C222" t="s">
        <v>149</v>
      </c>
      <c r="D222">
        <v>162</v>
      </c>
      <c r="E222">
        <v>887</v>
      </c>
      <c r="F222">
        <v>1652</v>
      </c>
      <c r="G222" s="60">
        <v>2007</v>
      </c>
      <c r="H222" s="60" t="s">
        <v>58</v>
      </c>
      <c r="I222" s="60" t="str">
        <f t="shared" si="11"/>
        <v>2007 Detroit Tigers</v>
      </c>
      <c r="J222" s="60">
        <v>5757</v>
      </c>
      <c r="K222" s="60">
        <f t="shared" si="9"/>
        <v>1073</v>
      </c>
      <c r="L222" s="60">
        <v>352</v>
      </c>
      <c r="M222" s="60">
        <v>50</v>
      </c>
      <c r="N222" s="60">
        <v>177</v>
      </c>
      <c r="O222" s="60">
        <v>474</v>
      </c>
      <c r="P222" s="60">
        <v>56</v>
      </c>
      <c r="Q222" s="60">
        <f t="shared" si="10"/>
        <v>3575</v>
      </c>
      <c r="R222">
        <v>857</v>
      </c>
      <c r="S222">
        <v>45</v>
      </c>
      <c r="T222">
        <v>1054</v>
      </c>
      <c r="U222">
        <v>31</v>
      </c>
      <c r="V222">
        <v>45</v>
      </c>
      <c r="W222">
        <v>1</v>
      </c>
      <c r="X222">
        <v>56</v>
      </c>
      <c r="Y222">
        <v>128</v>
      </c>
      <c r="Z222">
        <v>103</v>
      </c>
      <c r="AA222">
        <v>30</v>
      </c>
      <c r="AB222">
        <v>0.28699999999999998</v>
      </c>
      <c r="AC222">
        <v>0.34499999999999997</v>
      </c>
      <c r="AD222">
        <v>0.45800000000000002</v>
      </c>
    </row>
    <row r="223" spans="1:30" x14ac:dyDescent="0.5">
      <c r="A223" s="35">
        <v>2007</v>
      </c>
      <c r="B223" t="s">
        <v>146</v>
      </c>
      <c r="C223" t="s">
        <v>38</v>
      </c>
      <c r="D223">
        <v>162</v>
      </c>
      <c r="E223">
        <v>790</v>
      </c>
      <c r="F223">
        <v>1504</v>
      </c>
      <c r="G223" s="60">
        <v>2007</v>
      </c>
      <c r="H223" s="60" t="s">
        <v>60</v>
      </c>
      <c r="I223" s="60" t="str">
        <f t="shared" si="11"/>
        <v>2007 Florida Marlins</v>
      </c>
      <c r="J223" s="60">
        <v>5627</v>
      </c>
      <c r="K223" s="60">
        <f t="shared" si="9"/>
        <v>925</v>
      </c>
      <c r="L223" s="60">
        <v>340</v>
      </c>
      <c r="M223" s="60">
        <v>38</v>
      </c>
      <c r="N223" s="60">
        <v>201</v>
      </c>
      <c r="O223" s="60">
        <v>521</v>
      </c>
      <c r="P223" s="60">
        <v>82</v>
      </c>
      <c r="Q223" s="60">
        <f t="shared" si="10"/>
        <v>3520</v>
      </c>
      <c r="R223">
        <v>749</v>
      </c>
      <c r="S223">
        <v>46</v>
      </c>
      <c r="T223">
        <v>1332</v>
      </c>
      <c r="U223">
        <v>72</v>
      </c>
      <c r="V223">
        <v>42</v>
      </c>
      <c r="W223">
        <v>0</v>
      </c>
      <c r="X223">
        <v>67</v>
      </c>
      <c r="Y223">
        <v>107</v>
      </c>
      <c r="Z223">
        <v>105</v>
      </c>
      <c r="AA223">
        <v>34</v>
      </c>
      <c r="AB223">
        <v>0.26700000000000002</v>
      </c>
      <c r="AC223">
        <v>0.33600000000000002</v>
      </c>
      <c r="AD223">
        <v>0.44800000000000001</v>
      </c>
    </row>
    <row r="224" spans="1:30" x14ac:dyDescent="0.5">
      <c r="A224" s="35">
        <v>2007</v>
      </c>
      <c r="B224" t="s">
        <v>63</v>
      </c>
      <c r="C224" t="s">
        <v>38</v>
      </c>
      <c r="D224">
        <v>162</v>
      </c>
      <c r="E224">
        <v>723</v>
      </c>
      <c r="F224">
        <v>1457</v>
      </c>
      <c r="G224" s="60">
        <v>2007</v>
      </c>
      <c r="H224" s="60" t="s">
        <v>62</v>
      </c>
      <c r="I224" s="60" t="str">
        <f t="shared" si="11"/>
        <v>2007 Houston Astros</v>
      </c>
      <c r="J224" s="60">
        <v>5605</v>
      </c>
      <c r="K224" s="60">
        <f t="shared" si="9"/>
        <v>967</v>
      </c>
      <c r="L224" s="60">
        <v>293</v>
      </c>
      <c r="M224" s="60">
        <v>30</v>
      </c>
      <c r="N224" s="60">
        <v>167</v>
      </c>
      <c r="O224" s="60">
        <v>547</v>
      </c>
      <c r="P224" s="60">
        <v>55</v>
      </c>
      <c r="Q224" s="60">
        <f t="shared" si="10"/>
        <v>3546</v>
      </c>
      <c r="R224">
        <v>700</v>
      </c>
      <c r="S224">
        <v>40</v>
      </c>
      <c r="T224">
        <v>1043</v>
      </c>
      <c r="U224">
        <v>77</v>
      </c>
      <c r="V224">
        <v>40</v>
      </c>
      <c r="W224">
        <v>0</v>
      </c>
      <c r="X224">
        <v>68</v>
      </c>
      <c r="Y224">
        <v>142</v>
      </c>
      <c r="Z224">
        <v>65</v>
      </c>
      <c r="AA224">
        <v>33</v>
      </c>
      <c r="AB224">
        <v>0.26</v>
      </c>
      <c r="AC224">
        <v>0.33</v>
      </c>
      <c r="AD224">
        <v>0.41199999999999998</v>
      </c>
    </row>
    <row r="225" spans="1:30" x14ac:dyDescent="0.5">
      <c r="A225" s="35">
        <v>2007</v>
      </c>
      <c r="B225" t="s">
        <v>150</v>
      </c>
      <c r="C225" t="s">
        <v>149</v>
      </c>
      <c r="D225">
        <v>162</v>
      </c>
      <c r="E225">
        <v>706</v>
      </c>
      <c r="F225">
        <v>1447</v>
      </c>
      <c r="G225" s="60">
        <v>2007</v>
      </c>
      <c r="H225" s="60" t="s">
        <v>64</v>
      </c>
      <c r="I225" s="60" t="str">
        <f t="shared" si="11"/>
        <v>2007 Kansas City Royals</v>
      </c>
      <c r="J225" s="60">
        <v>5534</v>
      </c>
      <c r="K225" s="60">
        <f t="shared" si="9"/>
        <v>999</v>
      </c>
      <c r="L225" s="60">
        <v>300</v>
      </c>
      <c r="M225" s="60">
        <v>46</v>
      </c>
      <c r="N225" s="60">
        <v>102</v>
      </c>
      <c r="O225" s="60">
        <v>428</v>
      </c>
      <c r="P225" s="60">
        <v>89</v>
      </c>
      <c r="Q225" s="60">
        <f t="shared" si="10"/>
        <v>3570</v>
      </c>
      <c r="R225">
        <v>660</v>
      </c>
      <c r="S225">
        <v>34</v>
      </c>
      <c r="T225">
        <v>1069</v>
      </c>
      <c r="U225">
        <v>41</v>
      </c>
      <c r="V225">
        <v>47</v>
      </c>
      <c r="W225">
        <v>1</v>
      </c>
      <c r="X225">
        <v>76</v>
      </c>
      <c r="Y225">
        <v>151</v>
      </c>
      <c r="Z225">
        <v>78</v>
      </c>
      <c r="AA225">
        <v>44</v>
      </c>
      <c r="AB225">
        <v>0.26100000000000001</v>
      </c>
      <c r="AC225">
        <v>0.32200000000000001</v>
      </c>
      <c r="AD225">
        <v>0.38800000000000001</v>
      </c>
    </row>
    <row r="226" spans="1:30" x14ac:dyDescent="0.5">
      <c r="A226" s="35">
        <v>2007</v>
      </c>
      <c r="B226" t="s">
        <v>145</v>
      </c>
      <c r="C226" t="s">
        <v>38</v>
      </c>
      <c r="D226">
        <v>162</v>
      </c>
      <c r="E226">
        <v>735</v>
      </c>
      <c r="F226">
        <v>1544</v>
      </c>
      <c r="G226" s="60">
        <v>2007</v>
      </c>
      <c r="H226" s="60" t="s">
        <v>66</v>
      </c>
      <c r="I226" s="60" t="str">
        <f t="shared" si="11"/>
        <v>2007 Los Angeles Dodgers</v>
      </c>
      <c r="J226" s="60">
        <v>5614</v>
      </c>
      <c r="K226" s="60">
        <f t="shared" si="9"/>
        <v>1104</v>
      </c>
      <c r="L226" s="60">
        <v>276</v>
      </c>
      <c r="M226" s="60">
        <v>35</v>
      </c>
      <c r="N226" s="60">
        <v>129</v>
      </c>
      <c r="O226" s="60">
        <v>511</v>
      </c>
      <c r="P226" s="60">
        <v>41</v>
      </c>
      <c r="Q226" s="60">
        <f t="shared" si="10"/>
        <v>3518</v>
      </c>
      <c r="R226">
        <v>706</v>
      </c>
      <c r="S226">
        <v>41</v>
      </c>
      <c r="T226">
        <v>864</v>
      </c>
      <c r="U226">
        <v>58</v>
      </c>
      <c r="V226">
        <v>55</v>
      </c>
      <c r="W226">
        <v>3</v>
      </c>
      <c r="X226">
        <v>59</v>
      </c>
      <c r="Y226">
        <v>116</v>
      </c>
      <c r="Z226">
        <v>137</v>
      </c>
      <c r="AA226">
        <v>50</v>
      </c>
      <c r="AB226">
        <v>0.27500000000000002</v>
      </c>
      <c r="AC226">
        <v>0.33700000000000002</v>
      </c>
      <c r="AD226">
        <v>0.40600000000000003</v>
      </c>
    </row>
    <row r="227" spans="1:30" x14ac:dyDescent="0.5">
      <c r="A227" s="35">
        <v>2007</v>
      </c>
      <c r="B227" t="s">
        <v>69</v>
      </c>
      <c r="C227" t="s">
        <v>38</v>
      </c>
      <c r="D227">
        <v>162</v>
      </c>
      <c r="E227">
        <v>801</v>
      </c>
      <c r="F227">
        <v>1455</v>
      </c>
      <c r="G227" s="60">
        <v>2007</v>
      </c>
      <c r="H227" s="60" t="s">
        <v>68</v>
      </c>
      <c r="I227" s="60" t="str">
        <f t="shared" si="11"/>
        <v>2007 Milwaukee Brewers</v>
      </c>
      <c r="J227" s="60">
        <v>5554</v>
      </c>
      <c r="K227" s="60">
        <f t="shared" si="9"/>
        <v>877</v>
      </c>
      <c r="L227" s="60">
        <v>310</v>
      </c>
      <c r="M227" s="60">
        <v>37</v>
      </c>
      <c r="N227" s="60">
        <v>231</v>
      </c>
      <c r="O227" s="60">
        <v>501</v>
      </c>
      <c r="P227" s="60">
        <v>76</v>
      </c>
      <c r="Q227" s="60">
        <f t="shared" si="10"/>
        <v>3522</v>
      </c>
      <c r="R227">
        <v>774</v>
      </c>
      <c r="S227">
        <v>60</v>
      </c>
      <c r="T227">
        <v>1137</v>
      </c>
      <c r="U227">
        <v>60</v>
      </c>
      <c r="V227">
        <v>47</v>
      </c>
      <c r="W227">
        <v>0</v>
      </c>
      <c r="X227">
        <v>68</v>
      </c>
      <c r="Y227">
        <v>112</v>
      </c>
      <c r="Z227">
        <v>96</v>
      </c>
      <c r="AA227">
        <v>32</v>
      </c>
      <c r="AB227">
        <v>0.26200000000000001</v>
      </c>
      <c r="AC227">
        <v>0.32900000000000001</v>
      </c>
      <c r="AD227">
        <v>0.45600000000000002</v>
      </c>
    </row>
    <row r="228" spans="1:30" x14ac:dyDescent="0.5">
      <c r="A228" s="35">
        <v>2007</v>
      </c>
      <c r="B228" t="s">
        <v>71</v>
      </c>
      <c r="C228" t="s">
        <v>149</v>
      </c>
      <c r="D228">
        <v>162</v>
      </c>
      <c r="E228">
        <v>718</v>
      </c>
      <c r="F228">
        <v>1460</v>
      </c>
      <c r="G228" s="60">
        <v>2007</v>
      </c>
      <c r="H228" s="60" t="s">
        <v>70</v>
      </c>
      <c r="I228" s="60" t="str">
        <f t="shared" si="11"/>
        <v>2007 Minnesota Twins</v>
      </c>
      <c r="J228" s="60">
        <v>5522</v>
      </c>
      <c r="K228" s="60">
        <f t="shared" si="9"/>
        <v>1033</v>
      </c>
      <c r="L228" s="60">
        <v>273</v>
      </c>
      <c r="M228" s="60">
        <v>36</v>
      </c>
      <c r="N228" s="60">
        <v>118</v>
      </c>
      <c r="O228" s="60">
        <v>512</v>
      </c>
      <c r="P228" s="60">
        <v>48</v>
      </c>
      <c r="Q228" s="60">
        <f t="shared" si="10"/>
        <v>3502</v>
      </c>
      <c r="R228">
        <v>671</v>
      </c>
      <c r="S228">
        <v>41</v>
      </c>
      <c r="T228">
        <v>839</v>
      </c>
      <c r="U228">
        <v>34</v>
      </c>
      <c r="V228">
        <v>45</v>
      </c>
      <c r="W228">
        <v>0</v>
      </c>
      <c r="X228">
        <v>68</v>
      </c>
      <c r="Y228">
        <v>149</v>
      </c>
      <c r="Z228">
        <v>112</v>
      </c>
      <c r="AA228">
        <v>30</v>
      </c>
      <c r="AB228">
        <v>0.26400000000000001</v>
      </c>
      <c r="AC228">
        <v>0.33</v>
      </c>
      <c r="AD228">
        <v>0.39100000000000001</v>
      </c>
    </row>
    <row r="229" spans="1:30" x14ac:dyDescent="0.5">
      <c r="A229" s="35">
        <v>2007</v>
      </c>
      <c r="B229" t="s">
        <v>144</v>
      </c>
      <c r="C229" t="s">
        <v>38</v>
      </c>
      <c r="D229">
        <v>162</v>
      </c>
      <c r="E229">
        <v>804</v>
      </c>
      <c r="F229">
        <v>1543</v>
      </c>
      <c r="G229" s="60">
        <v>2007</v>
      </c>
      <c r="H229" s="60" t="s">
        <v>76</v>
      </c>
      <c r="I229" s="60" t="str">
        <f t="shared" si="11"/>
        <v>2007 New York Mets</v>
      </c>
      <c r="J229" s="60">
        <v>5605</v>
      </c>
      <c r="K229" s="60">
        <f t="shared" si="9"/>
        <v>1045</v>
      </c>
      <c r="L229" s="60">
        <v>294</v>
      </c>
      <c r="M229" s="60">
        <v>27</v>
      </c>
      <c r="N229" s="60">
        <v>177</v>
      </c>
      <c r="O229" s="60">
        <v>549</v>
      </c>
      <c r="P229" s="60">
        <v>54</v>
      </c>
      <c r="Q229" s="60">
        <f t="shared" si="10"/>
        <v>3459</v>
      </c>
      <c r="R229">
        <v>761</v>
      </c>
      <c r="S229">
        <v>64</v>
      </c>
      <c r="T229">
        <v>981</v>
      </c>
      <c r="U229">
        <v>77</v>
      </c>
      <c r="V229">
        <v>58</v>
      </c>
      <c r="W229">
        <v>1</v>
      </c>
      <c r="X229">
        <v>69</v>
      </c>
      <c r="Y229">
        <v>114</v>
      </c>
      <c r="Z229">
        <v>200</v>
      </c>
      <c r="AA229">
        <v>46</v>
      </c>
      <c r="AB229">
        <v>0.27500000000000002</v>
      </c>
      <c r="AC229">
        <v>0.34200000000000003</v>
      </c>
      <c r="AD229">
        <v>0.432</v>
      </c>
    </row>
    <row r="230" spans="1:30" x14ac:dyDescent="0.5">
      <c r="A230" s="35">
        <v>2007</v>
      </c>
      <c r="B230" t="s">
        <v>144</v>
      </c>
      <c r="C230" t="s">
        <v>149</v>
      </c>
      <c r="D230">
        <v>162</v>
      </c>
      <c r="E230">
        <v>968</v>
      </c>
      <c r="F230">
        <v>1656</v>
      </c>
      <c r="G230" s="60">
        <v>2007</v>
      </c>
      <c r="H230" s="60" t="s">
        <v>74</v>
      </c>
      <c r="I230" s="60" t="str">
        <f t="shared" si="11"/>
        <v>2007 New York Yankees</v>
      </c>
      <c r="J230" s="60">
        <v>5717</v>
      </c>
      <c r="K230" s="60">
        <f t="shared" si="9"/>
        <v>1097</v>
      </c>
      <c r="L230" s="60">
        <v>326</v>
      </c>
      <c r="M230" s="60">
        <v>32</v>
      </c>
      <c r="N230" s="60">
        <v>201</v>
      </c>
      <c r="O230" s="60">
        <v>637</v>
      </c>
      <c r="P230" s="60">
        <v>78</v>
      </c>
      <c r="Q230" s="60">
        <f t="shared" si="10"/>
        <v>3346</v>
      </c>
      <c r="R230">
        <v>929</v>
      </c>
      <c r="S230">
        <v>32</v>
      </c>
      <c r="T230">
        <v>991</v>
      </c>
      <c r="U230">
        <v>41</v>
      </c>
      <c r="V230">
        <v>54</v>
      </c>
      <c r="W230">
        <v>1</v>
      </c>
      <c r="X230">
        <v>75</v>
      </c>
      <c r="Y230">
        <v>138</v>
      </c>
      <c r="Z230">
        <v>123</v>
      </c>
      <c r="AA230">
        <v>40</v>
      </c>
      <c r="AB230">
        <v>0.28999999999999998</v>
      </c>
      <c r="AC230">
        <v>0.36599999999999999</v>
      </c>
      <c r="AD230">
        <v>0.46300000000000002</v>
      </c>
    </row>
    <row r="231" spans="1:30" x14ac:dyDescent="0.5">
      <c r="A231" s="35">
        <v>2007</v>
      </c>
      <c r="B231" t="s">
        <v>79</v>
      </c>
      <c r="C231" t="s">
        <v>149</v>
      </c>
      <c r="D231">
        <v>162</v>
      </c>
      <c r="E231">
        <v>741</v>
      </c>
      <c r="F231">
        <v>1430</v>
      </c>
      <c r="G231" s="60">
        <v>2007</v>
      </c>
      <c r="H231" s="60" t="s">
        <v>78</v>
      </c>
      <c r="I231" s="60" t="str">
        <f t="shared" si="11"/>
        <v>2007 Oakland Athletics</v>
      </c>
      <c r="J231" s="60">
        <v>5577</v>
      </c>
      <c r="K231" s="60">
        <f t="shared" si="9"/>
        <v>948</v>
      </c>
      <c r="L231" s="60">
        <v>295</v>
      </c>
      <c r="M231" s="60">
        <v>16</v>
      </c>
      <c r="N231" s="60">
        <v>171</v>
      </c>
      <c r="O231" s="60">
        <v>664</v>
      </c>
      <c r="P231" s="60">
        <v>49</v>
      </c>
      <c r="Q231" s="60">
        <f t="shared" si="10"/>
        <v>3434</v>
      </c>
      <c r="R231">
        <v>711</v>
      </c>
      <c r="S231">
        <v>29</v>
      </c>
      <c r="T231">
        <v>1119</v>
      </c>
      <c r="U231">
        <v>18</v>
      </c>
      <c r="V231">
        <v>56</v>
      </c>
      <c r="W231">
        <v>1</v>
      </c>
      <c r="X231">
        <v>58</v>
      </c>
      <c r="Y231">
        <v>142</v>
      </c>
      <c r="Z231">
        <v>52</v>
      </c>
      <c r="AA231">
        <v>20</v>
      </c>
      <c r="AB231">
        <v>0.25600000000000001</v>
      </c>
      <c r="AC231">
        <v>0.33800000000000002</v>
      </c>
      <c r="AD231">
        <v>0.40699999999999997</v>
      </c>
    </row>
    <row r="232" spans="1:30" x14ac:dyDescent="0.5">
      <c r="A232" s="35">
        <v>2007</v>
      </c>
      <c r="B232" t="s">
        <v>81</v>
      </c>
      <c r="C232" t="s">
        <v>38</v>
      </c>
      <c r="D232">
        <v>162</v>
      </c>
      <c r="E232">
        <v>892</v>
      </c>
      <c r="F232">
        <v>1558</v>
      </c>
      <c r="G232" s="60">
        <v>2007</v>
      </c>
      <c r="H232" s="60" t="s">
        <v>80</v>
      </c>
      <c r="I232" s="60" t="str">
        <f t="shared" si="11"/>
        <v>2007 Philadelphia Phillies</v>
      </c>
      <c r="J232" s="60">
        <v>5688</v>
      </c>
      <c r="K232" s="60">
        <f t="shared" si="9"/>
        <v>978</v>
      </c>
      <c r="L232" s="60">
        <v>326</v>
      </c>
      <c r="M232" s="60">
        <v>41</v>
      </c>
      <c r="N232" s="60">
        <v>213</v>
      </c>
      <c r="O232" s="60">
        <v>641</v>
      </c>
      <c r="P232" s="60">
        <v>90</v>
      </c>
      <c r="Q232" s="60">
        <f t="shared" si="10"/>
        <v>3399</v>
      </c>
      <c r="R232">
        <v>850</v>
      </c>
      <c r="S232">
        <v>74</v>
      </c>
      <c r="T232">
        <v>1205</v>
      </c>
      <c r="U232">
        <v>65</v>
      </c>
      <c r="V232">
        <v>52</v>
      </c>
      <c r="W232">
        <v>1</v>
      </c>
      <c r="X232">
        <v>86</v>
      </c>
      <c r="Y232">
        <v>125</v>
      </c>
      <c r="Z232">
        <v>138</v>
      </c>
      <c r="AA232">
        <v>19</v>
      </c>
      <c r="AB232">
        <v>0.27400000000000002</v>
      </c>
      <c r="AC232">
        <v>0.35399999999999998</v>
      </c>
      <c r="AD232">
        <v>0.45800000000000002</v>
      </c>
    </row>
    <row r="233" spans="1:30" x14ac:dyDescent="0.5">
      <c r="A233" s="35">
        <v>2007</v>
      </c>
      <c r="B233" t="s">
        <v>83</v>
      </c>
      <c r="C233" t="s">
        <v>38</v>
      </c>
      <c r="D233">
        <v>162</v>
      </c>
      <c r="E233">
        <v>724</v>
      </c>
      <c r="F233">
        <v>1463</v>
      </c>
      <c r="G233" s="60">
        <v>2007</v>
      </c>
      <c r="H233" s="60" t="s">
        <v>82</v>
      </c>
      <c r="I233" s="60" t="str">
        <f t="shared" si="11"/>
        <v>2007 Pittsburgh Pirates</v>
      </c>
      <c r="J233" s="60">
        <v>5569</v>
      </c>
      <c r="K233" s="60">
        <f t="shared" si="9"/>
        <v>962</v>
      </c>
      <c r="L233" s="60">
        <v>322</v>
      </c>
      <c r="M233" s="60">
        <v>31</v>
      </c>
      <c r="N233" s="60">
        <v>148</v>
      </c>
      <c r="O233" s="60">
        <v>463</v>
      </c>
      <c r="P233" s="60">
        <v>71</v>
      </c>
      <c r="Q233" s="60">
        <f t="shared" si="10"/>
        <v>3572</v>
      </c>
      <c r="R233">
        <v>694</v>
      </c>
      <c r="S233">
        <v>31</v>
      </c>
      <c r="T233">
        <v>1135</v>
      </c>
      <c r="U233">
        <v>60</v>
      </c>
      <c r="V233">
        <v>51</v>
      </c>
      <c r="W233">
        <v>0</v>
      </c>
      <c r="X233">
        <v>57</v>
      </c>
      <c r="Y233">
        <v>130</v>
      </c>
      <c r="Z233">
        <v>68</v>
      </c>
      <c r="AA233">
        <v>30</v>
      </c>
      <c r="AB233">
        <v>0.26300000000000001</v>
      </c>
      <c r="AC233">
        <v>0.32500000000000001</v>
      </c>
      <c r="AD233">
        <v>0.41099999999999998</v>
      </c>
    </row>
    <row r="234" spans="1:30" x14ac:dyDescent="0.5">
      <c r="A234" s="35">
        <v>2007</v>
      </c>
      <c r="B234" t="s">
        <v>147</v>
      </c>
      <c r="C234" t="s">
        <v>38</v>
      </c>
      <c r="D234">
        <v>163</v>
      </c>
      <c r="E234">
        <v>741</v>
      </c>
      <c r="F234">
        <v>1408</v>
      </c>
      <c r="G234" s="60">
        <v>2007</v>
      </c>
      <c r="H234" s="60" t="s">
        <v>84</v>
      </c>
      <c r="I234" s="60" t="str">
        <f t="shared" si="11"/>
        <v>2007 San Diego Padres</v>
      </c>
      <c r="J234" s="60">
        <v>5612</v>
      </c>
      <c r="K234" s="60">
        <f t="shared" si="9"/>
        <v>884</v>
      </c>
      <c r="L234" s="60">
        <v>322</v>
      </c>
      <c r="M234" s="60">
        <v>31</v>
      </c>
      <c r="N234" s="60">
        <v>171</v>
      </c>
      <c r="O234" s="60">
        <v>557</v>
      </c>
      <c r="P234" s="60">
        <v>49</v>
      </c>
      <c r="Q234" s="60">
        <f t="shared" si="10"/>
        <v>3598</v>
      </c>
      <c r="R234">
        <v>704</v>
      </c>
      <c r="S234">
        <v>45</v>
      </c>
      <c r="T234">
        <v>1229</v>
      </c>
      <c r="U234">
        <v>64</v>
      </c>
      <c r="V234">
        <v>44</v>
      </c>
      <c r="W234">
        <v>0</v>
      </c>
      <c r="X234">
        <v>52</v>
      </c>
      <c r="Y234">
        <v>113</v>
      </c>
      <c r="Z234">
        <v>55</v>
      </c>
      <c r="AA234">
        <v>24</v>
      </c>
      <c r="AB234">
        <v>0.251</v>
      </c>
      <c r="AC234">
        <v>0.32200000000000001</v>
      </c>
      <c r="AD234">
        <v>0.41099999999999998</v>
      </c>
    </row>
    <row r="235" spans="1:30" x14ac:dyDescent="0.5">
      <c r="A235" s="35">
        <v>2007</v>
      </c>
      <c r="B235" t="s">
        <v>87</v>
      </c>
      <c r="C235" t="s">
        <v>149</v>
      </c>
      <c r="D235">
        <v>162</v>
      </c>
      <c r="E235">
        <v>794</v>
      </c>
      <c r="F235">
        <v>1629</v>
      </c>
      <c r="G235" s="60">
        <v>2007</v>
      </c>
      <c r="H235" s="60" t="s">
        <v>86</v>
      </c>
      <c r="I235" s="60" t="str">
        <f t="shared" si="11"/>
        <v>2007 Seattle Mariners</v>
      </c>
      <c r="J235" s="60">
        <v>5684</v>
      </c>
      <c r="K235" s="60">
        <f t="shared" si="9"/>
        <v>1170</v>
      </c>
      <c r="L235" s="60">
        <v>284</v>
      </c>
      <c r="M235" s="60">
        <v>22</v>
      </c>
      <c r="N235" s="60">
        <v>153</v>
      </c>
      <c r="O235" s="60">
        <v>389</v>
      </c>
      <c r="P235" s="60">
        <v>62</v>
      </c>
      <c r="Q235" s="60">
        <f t="shared" si="10"/>
        <v>3604</v>
      </c>
      <c r="R235">
        <v>754</v>
      </c>
      <c r="S235">
        <v>32</v>
      </c>
      <c r="T235">
        <v>861</v>
      </c>
      <c r="U235">
        <v>33</v>
      </c>
      <c r="V235">
        <v>40</v>
      </c>
      <c r="W235">
        <v>1</v>
      </c>
      <c r="X235">
        <v>81</v>
      </c>
      <c r="Y235">
        <v>154</v>
      </c>
      <c r="Z235">
        <v>81</v>
      </c>
      <c r="AA235">
        <v>30</v>
      </c>
      <c r="AB235">
        <v>0.28699999999999998</v>
      </c>
      <c r="AC235">
        <v>0.33700000000000002</v>
      </c>
      <c r="AD235">
        <v>0.42499999999999999</v>
      </c>
    </row>
    <row r="236" spans="1:30" x14ac:dyDescent="0.5">
      <c r="A236" s="35">
        <v>2007</v>
      </c>
      <c r="B236" t="s">
        <v>21</v>
      </c>
      <c r="C236" t="s">
        <v>38</v>
      </c>
      <c r="D236">
        <v>162</v>
      </c>
      <c r="E236">
        <v>683</v>
      </c>
      <c r="F236">
        <v>1407</v>
      </c>
      <c r="G236" s="60">
        <v>2007</v>
      </c>
      <c r="H236" s="60" t="s">
        <v>88</v>
      </c>
      <c r="I236" s="60" t="str">
        <f t="shared" si="11"/>
        <v>2007 San Francisco Giants</v>
      </c>
      <c r="J236" s="60">
        <v>5538</v>
      </c>
      <c r="K236" s="60">
        <f t="shared" si="9"/>
        <v>972</v>
      </c>
      <c r="L236" s="60">
        <v>267</v>
      </c>
      <c r="M236" s="60">
        <v>37</v>
      </c>
      <c r="N236" s="60">
        <v>131</v>
      </c>
      <c r="O236" s="60">
        <v>532</v>
      </c>
      <c r="P236" s="60">
        <v>39</v>
      </c>
      <c r="Q236" s="60">
        <f t="shared" si="10"/>
        <v>3560</v>
      </c>
      <c r="R236">
        <v>641</v>
      </c>
      <c r="S236">
        <v>74</v>
      </c>
      <c r="T236">
        <v>907</v>
      </c>
      <c r="U236">
        <v>67</v>
      </c>
      <c r="V236">
        <v>36</v>
      </c>
      <c r="W236">
        <v>1</v>
      </c>
      <c r="X236">
        <v>62</v>
      </c>
      <c r="Y236">
        <v>142</v>
      </c>
      <c r="Z236">
        <v>119</v>
      </c>
      <c r="AA236">
        <v>33</v>
      </c>
      <c r="AB236">
        <v>0.254</v>
      </c>
      <c r="AC236">
        <v>0.32200000000000001</v>
      </c>
      <c r="AD236">
        <v>0.38700000000000001</v>
      </c>
    </row>
    <row r="237" spans="1:30" x14ac:dyDescent="0.5">
      <c r="A237" s="35">
        <v>2007</v>
      </c>
      <c r="B237" t="s">
        <v>142</v>
      </c>
      <c r="C237" t="s">
        <v>38</v>
      </c>
      <c r="D237">
        <v>162</v>
      </c>
      <c r="E237">
        <v>725</v>
      </c>
      <c r="F237">
        <v>1513</v>
      </c>
      <c r="G237" s="60">
        <v>2007</v>
      </c>
      <c r="H237" s="60" t="s">
        <v>90</v>
      </c>
      <c r="I237" s="60" t="str">
        <f t="shared" si="11"/>
        <v>2007 St. Louis Cardinals</v>
      </c>
      <c r="J237" s="60">
        <v>5529</v>
      </c>
      <c r="K237" s="60">
        <f t="shared" si="9"/>
        <v>1080</v>
      </c>
      <c r="L237" s="60">
        <v>279</v>
      </c>
      <c r="M237" s="60">
        <v>13</v>
      </c>
      <c r="N237" s="60">
        <v>141</v>
      </c>
      <c r="O237" s="60">
        <v>506</v>
      </c>
      <c r="P237" s="60">
        <v>54</v>
      </c>
      <c r="Q237" s="60">
        <f t="shared" si="10"/>
        <v>3456</v>
      </c>
      <c r="R237">
        <v>690</v>
      </c>
      <c r="S237">
        <v>47</v>
      </c>
      <c r="T237">
        <v>909</v>
      </c>
      <c r="U237">
        <v>68</v>
      </c>
      <c r="V237">
        <v>54</v>
      </c>
      <c r="W237">
        <v>0</v>
      </c>
      <c r="X237">
        <v>70</v>
      </c>
      <c r="Y237">
        <v>154</v>
      </c>
      <c r="Z237">
        <v>56</v>
      </c>
      <c r="AA237">
        <v>33</v>
      </c>
      <c r="AB237">
        <v>0.27400000000000002</v>
      </c>
      <c r="AC237">
        <v>0.33700000000000002</v>
      </c>
      <c r="AD237">
        <v>0.40500000000000003</v>
      </c>
    </row>
    <row r="238" spans="1:30" x14ac:dyDescent="0.5">
      <c r="A238" s="35">
        <v>2007</v>
      </c>
      <c r="B238" t="s">
        <v>151</v>
      </c>
      <c r="C238" t="s">
        <v>149</v>
      </c>
      <c r="D238">
        <v>162</v>
      </c>
      <c r="E238">
        <v>782</v>
      </c>
      <c r="F238">
        <v>1500</v>
      </c>
      <c r="G238" s="60">
        <v>2007</v>
      </c>
      <c r="H238" s="60" t="s">
        <v>92</v>
      </c>
      <c r="I238" s="60" t="str">
        <f t="shared" si="11"/>
        <v>2007 Tampa Bay Devil Rays</v>
      </c>
      <c r="J238" s="60">
        <v>5593</v>
      </c>
      <c r="K238" s="60">
        <f t="shared" si="9"/>
        <v>986</v>
      </c>
      <c r="L238" s="60">
        <v>291</v>
      </c>
      <c r="M238" s="60">
        <v>36</v>
      </c>
      <c r="N238" s="60">
        <v>187</v>
      </c>
      <c r="O238" s="60">
        <v>545</v>
      </c>
      <c r="P238" s="60">
        <v>53</v>
      </c>
      <c r="Q238" s="60">
        <f t="shared" si="10"/>
        <v>3495</v>
      </c>
      <c r="R238">
        <v>750</v>
      </c>
      <c r="S238">
        <v>31</v>
      </c>
      <c r="T238">
        <v>1324</v>
      </c>
      <c r="U238">
        <v>34</v>
      </c>
      <c r="V238">
        <v>52</v>
      </c>
      <c r="W238">
        <v>3</v>
      </c>
      <c r="X238">
        <v>63</v>
      </c>
      <c r="Y238">
        <v>119</v>
      </c>
      <c r="Z238">
        <v>131</v>
      </c>
      <c r="AA238">
        <v>48</v>
      </c>
      <c r="AB238">
        <v>0.26800000000000002</v>
      </c>
      <c r="AC238">
        <v>0.33600000000000002</v>
      </c>
      <c r="AD238">
        <v>0.433</v>
      </c>
    </row>
    <row r="239" spans="1:30" x14ac:dyDescent="0.5">
      <c r="A239" s="35">
        <v>2007</v>
      </c>
      <c r="B239" t="s">
        <v>95</v>
      </c>
      <c r="C239" t="s">
        <v>149</v>
      </c>
      <c r="D239">
        <v>162</v>
      </c>
      <c r="E239">
        <v>816</v>
      </c>
      <c r="F239">
        <v>1460</v>
      </c>
      <c r="G239" s="60">
        <v>2007</v>
      </c>
      <c r="H239" s="60" t="s">
        <v>94</v>
      </c>
      <c r="I239" s="60" t="str">
        <f t="shared" si="11"/>
        <v>2007 Texas Rangers</v>
      </c>
      <c r="J239" s="60">
        <v>5555</v>
      </c>
      <c r="K239" s="60">
        <f t="shared" si="9"/>
        <v>947</v>
      </c>
      <c r="L239" s="60">
        <v>298</v>
      </c>
      <c r="M239" s="60">
        <v>36</v>
      </c>
      <c r="N239" s="60">
        <v>179</v>
      </c>
      <c r="O239" s="60">
        <v>503</v>
      </c>
      <c r="P239" s="60">
        <v>56</v>
      </c>
      <c r="Q239" s="60">
        <f t="shared" si="10"/>
        <v>3536</v>
      </c>
      <c r="R239">
        <v>768</v>
      </c>
      <c r="S239">
        <v>27</v>
      </c>
      <c r="T239">
        <v>1224</v>
      </c>
      <c r="U239">
        <v>57</v>
      </c>
      <c r="V239">
        <v>42</v>
      </c>
      <c r="W239">
        <v>1</v>
      </c>
      <c r="X239">
        <v>78</v>
      </c>
      <c r="Y239">
        <v>129</v>
      </c>
      <c r="Z239">
        <v>88</v>
      </c>
      <c r="AA239">
        <v>25</v>
      </c>
      <c r="AB239">
        <v>0.26300000000000001</v>
      </c>
      <c r="AC239">
        <v>0.32800000000000001</v>
      </c>
      <c r="AD239">
        <v>0.42599999999999999</v>
      </c>
    </row>
    <row r="240" spans="1:30" x14ac:dyDescent="0.5">
      <c r="A240" s="35">
        <v>2007</v>
      </c>
      <c r="B240" t="s">
        <v>97</v>
      </c>
      <c r="C240" t="s">
        <v>149</v>
      </c>
      <c r="D240">
        <v>162</v>
      </c>
      <c r="E240">
        <v>753</v>
      </c>
      <c r="F240">
        <v>1434</v>
      </c>
      <c r="G240" s="60">
        <v>2007</v>
      </c>
      <c r="H240" s="60" t="s">
        <v>96</v>
      </c>
      <c r="I240" s="60" t="str">
        <f t="shared" si="11"/>
        <v>2007 Toronto Blue Jays</v>
      </c>
      <c r="J240" s="60">
        <v>5536</v>
      </c>
      <c r="K240" s="60">
        <f t="shared" si="9"/>
        <v>901</v>
      </c>
      <c r="L240" s="60">
        <v>344</v>
      </c>
      <c r="M240" s="60">
        <v>24</v>
      </c>
      <c r="N240" s="60">
        <v>165</v>
      </c>
      <c r="O240" s="60">
        <v>533</v>
      </c>
      <c r="P240" s="60">
        <v>47</v>
      </c>
      <c r="Q240" s="60">
        <f t="shared" si="10"/>
        <v>3522</v>
      </c>
      <c r="R240">
        <v>719</v>
      </c>
      <c r="S240">
        <v>32</v>
      </c>
      <c r="T240">
        <v>1044</v>
      </c>
      <c r="U240">
        <v>33</v>
      </c>
      <c r="V240">
        <v>48</v>
      </c>
      <c r="W240">
        <v>0</v>
      </c>
      <c r="X240">
        <v>56</v>
      </c>
      <c r="Y240">
        <v>127</v>
      </c>
      <c r="Z240">
        <v>57</v>
      </c>
      <c r="AA240">
        <v>22</v>
      </c>
      <c r="AB240">
        <v>0.25900000000000001</v>
      </c>
      <c r="AC240">
        <v>0.32700000000000001</v>
      </c>
      <c r="AD240">
        <v>0.41899999999999998</v>
      </c>
    </row>
    <row r="241" spans="1:30" x14ac:dyDescent="0.5">
      <c r="A241" s="35">
        <v>2007</v>
      </c>
      <c r="B241" t="s">
        <v>101</v>
      </c>
      <c r="C241" t="s">
        <v>38</v>
      </c>
      <c r="D241">
        <v>162</v>
      </c>
      <c r="E241">
        <v>673</v>
      </c>
      <c r="F241">
        <v>1415</v>
      </c>
      <c r="G241" s="60">
        <v>2007</v>
      </c>
      <c r="H241" s="60" t="s">
        <v>100</v>
      </c>
      <c r="I241" s="60" t="str">
        <f t="shared" si="11"/>
        <v>2007 Washington Nationals</v>
      </c>
      <c r="J241" s="60">
        <v>5520</v>
      </c>
      <c r="K241" s="60">
        <f t="shared" si="9"/>
        <v>952</v>
      </c>
      <c r="L241" s="60">
        <v>309</v>
      </c>
      <c r="M241" s="60">
        <v>31</v>
      </c>
      <c r="N241" s="60">
        <v>123</v>
      </c>
      <c r="O241" s="60">
        <v>524</v>
      </c>
      <c r="P241" s="60">
        <v>53</v>
      </c>
      <c r="Q241" s="60">
        <f t="shared" si="10"/>
        <v>3528</v>
      </c>
      <c r="R241">
        <v>646</v>
      </c>
      <c r="S241">
        <v>38</v>
      </c>
      <c r="T241">
        <v>1128</v>
      </c>
      <c r="U241">
        <v>63</v>
      </c>
      <c r="V241">
        <v>41</v>
      </c>
      <c r="W241">
        <v>0</v>
      </c>
      <c r="X241">
        <v>56</v>
      </c>
      <c r="Y241">
        <v>143</v>
      </c>
      <c r="Z241">
        <v>69</v>
      </c>
      <c r="AA241">
        <v>23</v>
      </c>
      <c r="AB241">
        <v>0.25600000000000001</v>
      </c>
      <c r="AC241">
        <v>0.32500000000000001</v>
      </c>
      <c r="AD241">
        <v>0.39</v>
      </c>
    </row>
    <row r="242" spans="1:30" x14ac:dyDescent="0.5">
      <c r="A242" s="35">
        <v>2008</v>
      </c>
      <c r="B242" t="s">
        <v>37</v>
      </c>
      <c r="C242" t="s">
        <v>149</v>
      </c>
      <c r="D242">
        <v>162</v>
      </c>
      <c r="E242">
        <v>765</v>
      </c>
      <c r="F242">
        <v>1486</v>
      </c>
      <c r="G242" s="60">
        <v>2008</v>
      </c>
      <c r="H242" s="60" t="s">
        <v>36</v>
      </c>
      <c r="I242" s="60" t="str">
        <f t="shared" si="11"/>
        <v>2008 Anaheim Angels</v>
      </c>
      <c r="J242" s="60">
        <v>5540</v>
      </c>
      <c r="K242" s="60">
        <f t="shared" si="9"/>
        <v>1028</v>
      </c>
      <c r="L242" s="60">
        <v>274</v>
      </c>
      <c r="M242" s="60">
        <v>25</v>
      </c>
      <c r="N242" s="60">
        <v>159</v>
      </c>
      <c r="O242" s="60">
        <v>481</v>
      </c>
      <c r="P242" s="60">
        <v>52</v>
      </c>
      <c r="Q242" s="60">
        <f t="shared" si="10"/>
        <v>3521</v>
      </c>
      <c r="R242">
        <v>721</v>
      </c>
      <c r="S242">
        <v>52</v>
      </c>
      <c r="T242">
        <v>987</v>
      </c>
      <c r="U242">
        <v>32</v>
      </c>
      <c r="V242">
        <v>50</v>
      </c>
      <c r="W242">
        <v>0</v>
      </c>
      <c r="X242">
        <v>78</v>
      </c>
      <c r="Y242">
        <v>140</v>
      </c>
      <c r="Z242">
        <v>129</v>
      </c>
      <c r="AA242">
        <v>48</v>
      </c>
      <c r="AB242">
        <v>0.26800000000000002</v>
      </c>
      <c r="AC242">
        <v>0.33</v>
      </c>
      <c r="AD242">
        <v>0.41299999999999998</v>
      </c>
    </row>
    <row r="243" spans="1:30" x14ac:dyDescent="0.5">
      <c r="A243" s="35">
        <v>2008</v>
      </c>
      <c r="B243" t="s">
        <v>40</v>
      </c>
      <c r="C243" t="s">
        <v>38</v>
      </c>
      <c r="D243">
        <v>162</v>
      </c>
      <c r="E243">
        <v>720</v>
      </c>
      <c r="F243">
        <v>1355</v>
      </c>
      <c r="G243" s="60">
        <v>2008</v>
      </c>
      <c r="H243" s="60" t="s">
        <v>39</v>
      </c>
      <c r="I243" s="60" t="str">
        <f t="shared" si="11"/>
        <v>2008 Arizona Diamondbacks</v>
      </c>
      <c r="J243" s="60">
        <v>5409</v>
      </c>
      <c r="K243" s="60">
        <f t="shared" si="9"/>
        <v>831</v>
      </c>
      <c r="L243" s="60">
        <v>318</v>
      </c>
      <c r="M243" s="60">
        <v>47</v>
      </c>
      <c r="N243" s="60">
        <v>159</v>
      </c>
      <c r="O243" s="60">
        <v>587</v>
      </c>
      <c r="P243" s="60">
        <v>49</v>
      </c>
      <c r="Q243" s="60">
        <f t="shared" si="10"/>
        <v>3418</v>
      </c>
      <c r="R243">
        <v>683</v>
      </c>
      <c r="S243">
        <v>49</v>
      </c>
      <c r="T243">
        <v>1287</v>
      </c>
      <c r="U243">
        <v>68</v>
      </c>
      <c r="V243">
        <v>43</v>
      </c>
      <c r="W243">
        <v>0</v>
      </c>
      <c r="X243">
        <v>49</v>
      </c>
      <c r="Y243">
        <v>105</v>
      </c>
      <c r="Z243">
        <v>58</v>
      </c>
      <c r="AA243">
        <v>23</v>
      </c>
      <c r="AB243">
        <v>0.251</v>
      </c>
      <c r="AC243">
        <v>0.32700000000000001</v>
      </c>
      <c r="AD243">
        <v>0.41499999999999998</v>
      </c>
    </row>
    <row r="244" spans="1:30" x14ac:dyDescent="0.5">
      <c r="A244" s="35">
        <v>2008</v>
      </c>
      <c r="B244" t="s">
        <v>42</v>
      </c>
      <c r="C244" t="s">
        <v>38</v>
      </c>
      <c r="D244">
        <v>162</v>
      </c>
      <c r="E244">
        <v>753</v>
      </c>
      <c r="F244">
        <v>1514</v>
      </c>
      <c r="G244" s="60">
        <v>2008</v>
      </c>
      <c r="H244" s="60" t="s">
        <v>41</v>
      </c>
      <c r="I244" s="60" t="str">
        <f t="shared" si="11"/>
        <v>2008 Atlanta Braves</v>
      </c>
      <c r="J244" s="60">
        <v>5604</v>
      </c>
      <c r="K244" s="60">
        <f t="shared" si="9"/>
        <v>1035</v>
      </c>
      <c r="L244" s="60">
        <v>316</v>
      </c>
      <c r="M244" s="60">
        <v>33</v>
      </c>
      <c r="N244" s="60">
        <v>130</v>
      </c>
      <c r="O244" s="60">
        <v>618</v>
      </c>
      <c r="P244" s="60">
        <v>42</v>
      </c>
      <c r="Q244" s="60">
        <f t="shared" si="10"/>
        <v>3430</v>
      </c>
      <c r="R244">
        <v>721</v>
      </c>
      <c r="S244">
        <v>56</v>
      </c>
      <c r="T244">
        <v>1023</v>
      </c>
      <c r="U244">
        <v>69</v>
      </c>
      <c r="V244">
        <v>34</v>
      </c>
      <c r="W244">
        <v>1</v>
      </c>
      <c r="X244">
        <v>64</v>
      </c>
      <c r="Y244">
        <v>143</v>
      </c>
      <c r="Z244">
        <v>58</v>
      </c>
      <c r="AA244">
        <v>27</v>
      </c>
      <c r="AB244">
        <v>0.27</v>
      </c>
      <c r="AC244">
        <v>0.34499999999999997</v>
      </c>
      <c r="AD244">
        <v>0.40799999999999997</v>
      </c>
    </row>
    <row r="245" spans="1:30" x14ac:dyDescent="0.5">
      <c r="A245" s="35">
        <v>2008</v>
      </c>
      <c r="B245" t="s">
        <v>45</v>
      </c>
      <c r="C245" t="s">
        <v>149</v>
      </c>
      <c r="D245">
        <v>161</v>
      </c>
      <c r="E245">
        <v>782</v>
      </c>
      <c r="F245">
        <v>1486</v>
      </c>
      <c r="G245" s="60">
        <v>2008</v>
      </c>
      <c r="H245" s="60" t="s">
        <v>44</v>
      </c>
      <c r="I245" s="60" t="str">
        <f t="shared" si="11"/>
        <v>2008 Baltimore Orioles</v>
      </c>
      <c r="J245" s="60">
        <v>5559</v>
      </c>
      <c r="K245" s="60">
        <f t="shared" si="9"/>
        <v>962</v>
      </c>
      <c r="L245" s="60">
        <v>322</v>
      </c>
      <c r="M245" s="60">
        <v>30</v>
      </c>
      <c r="N245" s="60">
        <v>172</v>
      </c>
      <c r="O245" s="60">
        <v>533</v>
      </c>
      <c r="P245" s="60">
        <v>42</v>
      </c>
      <c r="Q245" s="60">
        <f t="shared" si="10"/>
        <v>3498</v>
      </c>
      <c r="R245">
        <v>750</v>
      </c>
      <c r="S245">
        <v>37</v>
      </c>
      <c r="T245">
        <v>990</v>
      </c>
      <c r="U245">
        <v>27</v>
      </c>
      <c r="V245">
        <v>48</v>
      </c>
      <c r="W245">
        <v>2</v>
      </c>
      <c r="X245">
        <v>68</v>
      </c>
      <c r="Y245">
        <v>111</v>
      </c>
      <c r="Z245">
        <v>81</v>
      </c>
      <c r="AA245">
        <v>37</v>
      </c>
      <c r="AB245">
        <v>0.26700000000000002</v>
      </c>
      <c r="AC245">
        <v>0.33300000000000002</v>
      </c>
      <c r="AD245">
        <v>0.42899999999999999</v>
      </c>
    </row>
    <row r="246" spans="1:30" x14ac:dyDescent="0.5">
      <c r="A246" s="35">
        <v>2008</v>
      </c>
      <c r="B246" t="s">
        <v>47</v>
      </c>
      <c r="C246" t="s">
        <v>149</v>
      </c>
      <c r="D246">
        <v>162</v>
      </c>
      <c r="E246">
        <v>845</v>
      </c>
      <c r="F246">
        <v>1565</v>
      </c>
      <c r="G246" s="60">
        <v>2008</v>
      </c>
      <c r="H246" s="60" t="s">
        <v>46</v>
      </c>
      <c r="I246" s="60" t="str">
        <f t="shared" si="11"/>
        <v>2008 Boston Red Sox</v>
      </c>
      <c r="J246" s="60">
        <v>5596</v>
      </c>
      <c r="K246" s="60">
        <f t="shared" si="9"/>
        <v>1006</v>
      </c>
      <c r="L246" s="60">
        <v>353</v>
      </c>
      <c r="M246" s="60">
        <v>33</v>
      </c>
      <c r="N246" s="60">
        <v>173</v>
      </c>
      <c r="O246" s="60">
        <v>646</v>
      </c>
      <c r="P246" s="60">
        <v>70</v>
      </c>
      <c r="Q246" s="60">
        <f t="shared" si="10"/>
        <v>3315</v>
      </c>
      <c r="R246">
        <v>807</v>
      </c>
      <c r="S246">
        <v>49</v>
      </c>
      <c r="T246">
        <v>1068</v>
      </c>
      <c r="U246">
        <v>28</v>
      </c>
      <c r="V246">
        <v>62</v>
      </c>
      <c r="W246">
        <v>0</v>
      </c>
      <c r="X246">
        <v>59</v>
      </c>
      <c r="Y246">
        <v>147</v>
      </c>
      <c r="Z246">
        <v>120</v>
      </c>
      <c r="AA246">
        <v>35</v>
      </c>
      <c r="AB246">
        <v>0.28000000000000003</v>
      </c>
      <c r="AC246">
        <v>0.35799999999999998</v>
      </c>
      <c r="AD246">
        <v>0.44700000000000001</v>
      </c>
    </row>
    <row r="247" spans="1:30" x14ac:dyDescent="0.5">
      <c r="A247" s="35">
        <v>2008</v>
      </c>
      <c r="B247" t="s">
        <v>143</v>
      </c>
      <c r="C247" t="s">
        <v>38</v>
      </c>
      <c r="D247">
        <v>161</v>
      </c>
      <c r="E247">
        <v>855</v>
      </c>
      <c r="F247">
        <v>1552</v>
      </c>
      <c r="G247" s="60">
        <v>2008</v>
      </c>
      <c r="H247" s="60" t="s">
        <v>50</v>
      </c>
      <c r="I247" s="60" t="str">
        <f t="shared" si="11"/>
        <v>2008 Chicago Cubs</v>
      </c>
      <c r="J247" s="60">
        <v>5588</v>
      </c>
      <c r="K247" s="60">
        <f t="shared" si="9"/>
        <v>1018</v>
      </c>
      <c r="L247" s="60">
        <v>329</v>
      </c>
      <c r="M247" s="60">
        <v>21</v>
      </c>
      <c r="N247" s="60">
        <v>184</v>
      </c>
      <c r="O247" s="60">
        <v>636</v>
      </c>
      <c r="P247" s="60">
        <v>50</v>
      </c>
      <c r="Q247" s="60">
        <f t="shared" si="10"/>
        <v>3350</v>
      </c>
      <c r="R247">
        <v>811</v>
      </c>
      <c r="S247">
        <v>48</v>
      </c>
      <c r="T247">
        <v>1186</v>
      </c>
      <c r="U247">
        <v>65</v>
      </c>
      <c r="V247">
        <v>45</v>
      </c>
      <c r="W247">
        <v>0</v>
      </c>
      <c r="X247">
        <v>60</v>
      </c>
      <c r="Y247">
        <v>134</v>
      </c>
      <c r="Z247">
        <v>87</v>
      </c>
      <c r="AA247">
        <v>34</v>
      </c>
      <c r="AB247">
        <v>0.27800000000000002</v>
      </c>
      <c r="AC247">
        <v>0.35399999999999998</v>
      </c>
      <c r="AD247">
        <v>0.443</v>
      </c>
    </row>
    <row r="248" spans="1:30" x14ac:dyDescent="0.5">
      <c r="A248" s="35">
        <v>2008</v>
      </c>
      <c r="B248" t="s">
        <v>143</v>
      </c>
      <c r="C248" t="s">
        <v>149</v>
      </c>
      <c r="D248">
        <v>163</v>
      </c>
      <c r="E248">
        <v>811</v>
      </c>
      <c r="F248">
        <v>1458</v>
      </c>
      <c r="G248" s="60">
        <v>2008</v>
      </c>
      <c r="H248" s="60" t="s">
        <v>48</v>
      </c>
      <c r="I248" s="60" t="str">
        <f t="shared" si="11"/>
        <v>2008 Chicago White Sox</v>
      </c>
      <c r="J248" s="60">
        <v>5553</v>
      </c>
      <c r="K248" s="60">
        <f t="shared" si="9"/>
        <v>914</v>
      </c>
      <c r="L248" s="60">
        <v>296</v>
      </c>
      <c r="M248" s="60">
        <v>13</v>
      </c>
      <c r="N248" s="60">
        <v>235</v>
      </c>
      <c r="O248" s="60">
        <v>540</v>
      </c>
      <c r="P248" s="60">
        <v>63</v>
      </c>
      <c r="Q248" s="60">
        <f t="shared" si="10"/>
        <v>3492</v>
      </c>
      <c r="R248">
        <v>785</v>
      </c>
      <c r="S248">
        <v>33</v>
      </c>
      <c r="T248">
        <v>1016</v>
      </c>
      <c r="U248">
        <v>28</v>
      </c>
      <c r="V248">
        <v>47</v>
      </c>
      <c r="W248">
        <v>0</v>
      </c>
      <c r="X248">
        <v>53</v>
      </c>
      <c r="Y248">
        <v>157</v>
      </c>
      <c r="Z248">
        <v>67</v>
      </c>
      <c r="AA248">
        <v>34</v>
      </c>
      <c r="AB248">
        <v>0.26300000000000001</v>
      </c>
      <c r="AC248">
        <v>0.33200000000000002</v>
      </c>
      <c r="AD248">
        <v>0.44800000000000001</v>
      </c>
    </row>
    <row r="249" spans="1:30" x14ac:dyDescent="0.5">
      <c r="A249" s="35">
        <v>2008</v>
      </c>
      <c r="B249" t="s">
        <v>53</v>
      </c>
      <c r="C249" t="s">
        <v>38</v>
      </c>
      <c r="D249">
        <v>162</v>
      </c>
      <c r="E249">
        <v>704</v>
      </c>
      <c r="F249">
        <v>1351</v>
      </c>
      <c r="G249" s="60">
        <v>2008</v>
      </c>
      <c r="H249" s="60" t="s">
        <v>52</v>
      </c>
      <c r="I249" s="60" t="str">
        <f t="shared" si="11"/>
        <v>2008 Cincinnati Reds</v>
      </c>
      <c r="J249" s="60">
        <v>5465</v>
      </c>
      <c r="K249" s="60">
        <f t="shared" si="9"/>
        <v>871</v>
      </c>
      <c r="L249" s="60">
        <v>269</v>
      </c>
      <c r="M249" s="60">
        <v>24</v>
      </c>
      <c r="N249" s="60">
        <v>187</v>
      </c>
      <c r="O249" s="60">
        <v>560</v>
      </c>
      <c r="P249" s="60">
        <v>50</v>
      </c>
      <c r="Q249" s="60">
        <f t="shared" si="10"/>
        <v>3504</v>
      </c>
      <c r="R249">
        <v>677</v>
      </c>
      <c r="S249">
        <v>50</v>
      </c>
      <c r="T249">
        <v>1125</v>
      </c>
      <c r="U249">
        <v>72</v>
      </c>
      <c r="V249">
        <v>41</v>
      </c>
      <c r="W249">
        <v>0</v>
      </c>
      <c r="X249">
        <v>68</v>
      </c>
      <c r="Y249">
        <v>101</v>
      </c>
      <c r="Z249">
        <v>85</v>
      </c>
      <c r="AA249">
        <v>47</v>
      </c>
      <c r="AB249">
        <v>0.247</v>
      </c>
      <c r="AC249">
        <v>0.32100000000000001</v>
      </c>
      <c r="AD249">
        <v>0.40799999999999997</v>
      </c>
    </row>
    <row r="250" spans="1:30" x14ac:dyDescent="0.5">
      <c r="A250" s="35">
        <v>2008</v>
      </c>
      <c r="B250" t="s">
        <v>55</v>
      </c>
      <c r="C250" t="s">
        <v>149</v>
      </c>
      <c r="D250">
        <v>162</v>
      </c>
      <c r="E250">
        <v>805</v>
      </c>
      <c r="F250">
        <v>1455</v>
      </c>
      <c r="G250" s="60">
        <v>2008</v>
      </c>
      <c r="H250" s="60" t="s">
        <v>54</v>
      </c>
      <c r="I250" s="60" t="str">
        <f t="shared" si="11"/>
        <v>2008 Cleveland Indians</v>
      </c>
      <c r="J250" s="60">
        <v>5543</v>
      </c>
      <c r="K250" s="60">
        <f t="shared" si="9"/>
        <v>923</v>
      </c>
      <c r="L250" s="60">
        <v>339</v>
      </c>
      <c r="M250" s="60">
        <v>22</v>
      </c>
      <c r="N250" s="60">
        <v>171</v>
      </c>
      <c r="O250" s="60">
        <v>560</v>
      </c>
      <c r="P250" s="60">
        <v>103</v>
      </c>
      <c r="Q250" s="60">
        <f t="shared" si="10"/>
        <v>3425</v>
      </c>
      <c r="R250">
        <v>772</v>
      </c>
      <c r="S250">
        <v>44</v>
      </c>
      <c r="T250">
        <v>1213</v>
      </c>
      <c r="U250">
        <v>43</v>
      </c>
      <c r="V250">
        <v>49</v>
      </c>
      <c r="W250">
        <v>1</v>
      </c>
      <c r="X250">
        <v>65</v>
      </c>
      <c r="Y250">
        <v>123</v>
      </c>
      <c r="Z250">
        <v>77</v>
      </c>
      <c r="AA250">
        <v>29</v>
      </c>
      <c r="AB250">
        <v>0.26200000000000001</v>
      </c>
      <c r="AC250">
        <v>0.33900000000000002</v>
      </c>
      <c r="AD250">
        <v>0.42399999999999999</v>
      </c>
    </row>
    <row r="251" spans="1:30" x14ac:dyDescent="0.5">
      <c r="A251" s="35">
        <v>2008</v>
      </c>
      <c r="B251" t="s">
        <v>57</v>
      </c>
      <c r="C251" t="s">
        <v>38</v>
      </c>
      <c r="D251">
        <v>162</v>
      </c>
      <c r="E251">
        <v>747</v>
      </c>
      <c r="F251">
        <v>1462</v>
      </c>
      <c r="G251" s="60">
        <v>2008</v>
      </c>
      <c r="H251" s="60" t="s">
        <v>56</v>
      </c>
      <c r="I251" s="60" t="str">
        <f t="shared" si="11"/>
        <v>2008 Colorado Rockies</v>
      </c>
      <c r="J251" s="60">
        <v>5557</v>
      </c>
      <c r="K251" s="60">
        <f t="shared" si="9"/>
        <v>964</v>
      </c>
      <c r="L251" s="60">
        <v>310</v>
      </c>
      <c r="M251" s="60">
        <v>28</v>
      </c>
      <c r="N251" s="60">
        <v>160</v>
      </c>
      <c r="O251" s="60">
        <v>570</v>
      </c>
      <c r="P251" s="60">
        <v>57</v>
      </c>
      <c r="Q251" s="60">
        <f t="shared" si="10"/>
        <v>3468</v>
      </c>
      <c r="R251">
        <v>714</v>
      </c>
      <c r="S251">
        <v>36</v>
      </c>
      <c r="T251">
        <v>1209</v>
      </c>
      <c r="U251">
        <v>90</v>
      </c>
      <c r="V251">
        <v>38</v>
      </c>
      <c r="W251">
        <v>0</v>
      </c>
      <c r="X251">
        <v>73</v>
      </c>
      <c r="Y251">
        <v>119</v>
      </c>
      <c r="Z251">
        <v>141</v>
      </c>
      <c r="AA251">
        <v>37</v>
      </c>
      <c r="AB251">
        <v>0.26300000000000001</v>
      </c>
      <c r="AC251">
        <v>0.33600000000000002</v>
      </c>
      <c r="AD251">
        <v>0.41499999999999998</v>
      </c>
    </row>
    <row r="252" spans="1:30" x14ac:dyDescent="0.5">
      <c r="A252" s="35">
        <v>2008</v>
      </c>
      <c r="B252" t="s">
        <v>59</v>
      </c>
      <c r="C252" t="s">
        <v>149</v>
      </c>
      <c r="D252">
        <v>162</v>
      </c>
      <c r="E252">
        <v>821</v>
      </c>
      <c r="F252">
        <v>1529</v>
      </c>
      <c r="G252" s="60">
        <v>2008</v>
      </c>
      <c r="H252" s="60" t="s">
        <v>58</v>
      </c>
      <c r="I252" s="60" t="str">
        <f t="shared" si="11"/>
        <v>2008 Detroit Tigers</v>
      </c>
      <c r="J252" s="60">
        <v>5641</v>
      </c>
      <c r="K252" s="60">
        <f t="shared" si="9"/>
        <v>995</v>
      </c>
      <c r="L252" s="60">
        <v>293</v>
      </c>
      <c r="M252" s="60">
        <v>41</v>
      </c>
      <c r="N252" s="60">
        <v>200</v>
      </c>
      <c r="O252" s="60">
        <v>572</v>
      </c>
      <c r="P252" s="60">
        <v>44</v>
      </c>
      <c r="Q252" s="60">
        <f t="shared" si="10"/>
        <v>3496</v>
      </c>
      <c r="R252">
        <v>780</v>
      </c>
      <c r="S252">
        <v>23</v>
      </c>
      <c r="T252">
        <v>1076</v>
      </c>
      <c r="U252">
        <v>30</v>
      </c>
      <c r="V252">
        <v>44</v>
      </c>
      <c r="W252">
        <v>0</v>
      </c>
      <c r="X252">
        <v>60</v>
      </c>
      <c r="Y252">
        <v>144</v>
      </c>
      <c r="Z252">
        <v>63</v>
      </c>
      <c r="AA252">
        <v>31</v>
      </c>
      <c r="AB252">
        <v>0.27100000000000002</v>
      </c>
      <c r="AC252">
        <v>0.34</v>
      </c>
      <c r="AD252">
        <v>0.44400000000000001</v>
      </c>
    </row>
    <row r="253" spans="1:30" x14ac:dyDescent="0.5">
      <c r="A253" s="35">
        <v>2008</v>
      </c>
      <c r="B253" t="s">
        <v>146</v>
      </c>
      <c r="C253" t="s">
        <v>38</v>
      </c>
      <c r="D253">
        <v>161</v>
      </c>
      <c r="E253">
        <v>770</v>
      </c>
      <c r="F253">
        <v>1397</v>
      </c>
      <c r="G253" s="60">
        <v>2008</v>
      </c>
      <c r="H253" s="60" t="s">
        <v>60</v>
      </c>
      <c r="I253" s="60" t="str">
        <f t="shared" si="11"/>
        <v>2008 Florida Marlins</v>
      </c>
      <c r="J253" s="60">
        <v>5499</v>
      </c>
      <c r="K253" s="60">
        <f t="shared" si="9"/>
        <v>859</v>
      </c>
      <c r="L253" s="60">
        <v>302</v>
      </c>
      <c r="M253" s="60">
        <v>28</v>
      </c>
      <c r="N253" s="60">
        <v>208</v>
      </c>
      <c r="O253" s="60">
        <v>543</v>
      </c>
      <c r="P253" s="60">
        <v>69</v>
      </c>
      <c r="Q253" s="60">
        <f t="shared" si="10"/>
        <v>3490</v>
      </c>
      <c r="R253">
        <v>741</v>
      </c>
      <c r="S253">
        <v>50</v>
      </c>
      <c r="T253">
        <v>1371</v>
      </c>
      <c r="U253">
        <v>49</v>
      </c>
      <c r="V253">
        <v>46</v>
      </c>
      <c r="W253">
        <v>0</v>
      </c>
      <c r="X253">
        <v>65</v>
      </c>
      <c r="Y253">
        <v>98</v>
      </c>
      <c r="Z253">
        <v>76</v>
      </c>
      <c r="AA253">
        <v>28</v>
      </c>
      <c r="AB253">
        <v>0.254</v>
      </c>
      <c r="AC253">
        <v>0.32600000000000001</v>
      </c>
      <c r="AD253">
        <v>0.433</v>
      </c>
    </row>
    <row r="254" spans="1:30" x14ac:dyDescent="0.5">
      <c r="A254" s="35">
        <v>2008</v>
      </c>
      <c r="B254" t="s">
        <v>63</v>
      </c>
      <c r="C254" t="s">
        <v>38</v>
      </c>
      <c r="D254">
        <v>161</v>
      </c>
      <c r="E254">
        <v>712</v>
      </c>
      <c r="F254">
        <v>1432</v>
      </c>
      <c r="G254" s="60">
        <v>2008</v>
      </c>
      <c r="H254" s="60" t="s">
        <v>62</v>
      </c>
      <c r="I254" s="60" t="str">
        <f t="shared" si="11"/>
        <v>2008 Houston Astros</v>
      </c>
      <c r="J254" s="60">
        <v>5451</v>
      </c>
      <c r="K254" s="60">
        <f t="shared" si="9"/>
        <v>959</v>
      </c>
      <c r="L254" s="60">
        <v>284</v>
      </c>
      <c r="M254" s="60">
        <v>22</v>
      </c>
      <c r="N254" s="60">
        <v>167</v>
      </c>
      <c r="O254" s="60">
        <v>449</v>
      </c>
      <c r="P254" s="60">
        <v>52</v>
      </c>
      <c r="Q254" s="60">
        <f t="shared" si="10"/>
        <v>3518</v>
      </c>
      <c r="R254">
        <v>684</v>
      </c>
      <c r="S254">
        <v>42</v>
      </c>
      <c r="T254">
        <v>1051</v>
      </c>
      <c r="U254">
        <v>57</v>
      </c>
      <c r="V254">
        <v>41</v>
      </c>
      <c r="W254">
        <v>1</v>
      </c>
      <c r="X254">
        <v>64</v>
      </c>
      <c r="Y254">
        <v>116</v>
      </c>
      <c r="Z254">
        <v>114</v>
      </c>
      <c r="AA254">
        <v>52</v>
      </c>
      <c r="AB254">
        <v>0.26300000000000001</v>
      </c>
      <c r="AC254">
        <v>0.32300000000000001</v>
      </c>
      <c r="AD254">
        <v>0.41499999999999998</v>
      </c>
    </row>
    <row r="255" spans="1:30" x14ac:dyDescent="0.5">
      <c r="A255" s="35">
        <v>2008</v>
      </c>
      <c r="B255" t="s">
        <v>150</v>
      </c>
      <c r="C255" t="s">
        <v>149</v>
      </c>
      <c r="D255">
        <v>162</v>
      </c>
      <c r="E255">
        <v>691</v>
      </c>
      <c r="F255">
        <v>1507</v>
      </c>
      <c r="G255" s="60">
        <v>2008</v>
      </c>
      <c r="H255" s="60" t="s">
        <v>64</v>
      </c>
      <c r="I255" s="60" t="str">
        <f t="shared" si="11"/>
        <v>2008 Kansas City Royals</v>
      </c>
      <c r="J255" s="60">
        <v>5608</v>
      </c>
      <c r="K255" s="60">
        <f t="shared" si="9"/>
        <v>1056</v>
      </c>
      <c r="L255" s="60">
        <v>303</v>
      </c>
      <c r="M255" s="60">
        <v>28</v>
      </c>
      <c r="N255" s="60">
        <v>120</v>
      </c>
      <c r="O255" s="60">
        <v>392</v>
      </c>
      <c r="P255" s="60">
        <v>50</v>
      </c>
      <c r="Q255" s="60">
        <f t="shared" si="10"/>
        <v>3659</v>
      </c>
      <c r="R255">
        <v>650</v>
      </c>
      <c r="S255">
        <v>31</v>
      </c>
      <c r="T255">
        <v>1005</v>
      </c>
      <c r="U255">
        <v>32</v>
      </c>
      <c r="V255">
        <v>36</v>
      </c>
      <c r="W255">
        <v>0</v>
      </c>
      <c r="X255">
        <v>60</v>
      </c>
      <c r="Y255">
        <v>144</v>
      </c>
      <c r="Z255">
        <v>79</v>
      </c>
      <c r="AA255">
        <v>38</v>
      </c>
      <c r="AB255">
        <v>0.26900000000000002</v>
      </c>
      <c r="AC255">
        <v>0.32</v>
      </c>
      <c r="AD255">
        <v>0.39700000000000002</v>
      </c>
    </row>
    <row r="256" spans="1:30" x14ac:dyDescent="0.5">
      <c r="A256" s="35">
        <v>2008</v>
      </c>
      <c r="B256" t="s">
        <v>145</v>
      </c>
      <c r="C256" t="s">
        <v>38</v>
      </c>
      <c r="D256">
        <v>162</v>
      </c>
      <c r="E256">
        <v>700</v>
      </c>
      <c r="F256">
        <v>1455</v>
      </c>
      <c r="G256" s="60">
        <v>2008</v>
      </c>
      <c r="H256" s="60" t="s">
        <v>66</v>
      </c>
      <c r="I256" s="60" t="str">
        <f t="shared" si="11"/>
        <v>2008 Los Angeles Dodgers</v>
      </c>
      <c r="J256" s="60">
        <v>5506</v>
      </c>
      <c r="K256" s="60">
        <f t="shared" si="9"/>
        <v>1018</v>
      </c>
      <c r="L256" s="60">
        <v>271</v>
      </c>
      <c r="M256" s="60">
        <v>29</v>
      </c>
      <c r="N256" s="60">
        <v>137</v>
      </c>
      <c r="O256" s="60">
        <v>543</v>
      </c>
      <c r="P256" s="60">
        <v>43</v>
      </c>
      <c r="Q256" s="60">
        <f t="shared" si="10"/>
        <v>3465</v>
      </c>
      <c r="R256">
        <v>659</v>
      </c>
      <c r="S256">
        <v>62</v>
      </c>
      <c r="T256">
        <v>1032</v>
      </c>
      <c r="U256">
        <v>64</v>
      </c>
      <c r="V256">
        <v>38</v>
      </c>
      <c r="W256">
        <v>0</v>
      </c>
      <c r="X256">
        <v>69</v>
      </c>
      <c r="Y256">
        <v>153</v>
      </c>
      <c r="Z256">
        <v>126</v>
      </c>
      <c r="AA256">
        <v>43</v>
      </c>
      <c r="AB256">
        <v>0.26400000000000001</v>
      </c>
      <c r="AC256">
        <v>0.33300000000000002</v>
      </c>
      <c r="AD256">
        <v>0.39900000000000002</v>
      </c>
    </row>
    <row r="257" spans="1:30" x14ac:dyDescent="0.5">
      <c r="A257" s="35">
        <v>2008</v>
      </c>
      <c r="B257" t="s">
        <v>69</v>
      </c>
      <c r="C257" t="s">
        <v>38</v>
      </c>
      <c r="D257">
        <v>162</v>
      </c>
      <c r="E257">
        <v>750</v>
      </c>
      <c r="F257">
        <v>1398</v>
      </c>
      <c r="G257" s="60">
        <v>2008</v>
      </c>
      <c r="H257" s="60" t="s">
        <v>68</v>
      </c>
      <c r="I257" s="60" t="str">
        <f t="shared" si="11"/>
        <v>2008 Milwaukee Brewers</v>
      </c>
      <c r="J257" s="60">
        <v>5535</v>
      </c>
      <c r="K257" s="60">
        <f t="shared" si="9"/>
        <v>841</v>
      </c>
      <c r="L257" s="60">
        <v>324</v>
      </c>
      <c r="M257" s="60">
        <v>35</v>
      </c>
      <c r="N257" s="60">
        <v>198</v>
      </c>
      <c r="O257" s="60">
        <v>550</v>
      </c>
      <c r="P257" s="60">
        <v>69</v>
      </c>
      <c r="Q257" s="60">
        <f t="shared" si="10"/>
        <v>3518</v>
      </c>
      <c r="R257">
        <v>722</v>
      </c>
      <c r="S257">
        <v>44</v>
      </c>
      <c r="T257">
        <v>1203</v>
      </c>
      <c r="U257">
        <v>54</v>
      </c>
      <c r="V257">
        <v>43</v>
      </c>
      <c r="W257">
        <v>1</v>
      </c>
      <c r="X257">
        <v>78</v>
      </c>
      <c r="Y257">
        <v>97</v>
      </c>
      <c r="Z257">
        <v>108</v>
      </c>
      <c r="AA257">
        <v>38</v>
      </c>
      <c r="AB257">
        <v>0.253</v>
      </c>
      <c r="AC257">
        <v>0.32500000000000001</v>
      </c>
      <c r="AD257">
        <v>0.43099999999999999</v>
      </c>
    </row>
    <row r="258" spans="1:30" x14ac:dyDescent="0.5">
      <c r="A258" s="35">
        <v>2008</v>
      </c>
      <c r="B258" t="s">
        <v>71</v>
      </c>
      <c r="C258" t="s">
        <v>149</v>
      </c>
      <c r="D258">
        <v>163</v>
      </c>
      <c r="E258">
        <v>829</v>
      </c>
      <c r="F258">
        <v>1572</v>
      </c>
      <c r="G258" s="60">
        <v>2008</v>
      </c>
      <c r="H258" s="60" t="s">
        <v>70</v>
      </c>
      <c r="I258" s="60" t="str">
        <f t="shared" si="11"/>
        <v>2008 Minnesota Twins</v>
      </c>
      <c r="J258" s="60">
        <v>5641</v>
      </c>
      <c r="K258" s="60">
        <f t="shared" ref="K258:K321" si="12">F258-(L258+M258+N258)</f>
        <v>1114</v>
      </c>
      <c r="L258" s="60">
        <v>298</v>
      </c>
      <c r="M258" s="60">
        <v>49</v>
      </c>
      <c r="N258" s="60">
        <v>111</v>
      </c>
      <c r="O258" s="60">
        <v>529</v>
      </c>
      <c r="P258" s="60">
        <v>36</v>
      </c>
      <c r="Q258" s="60">
        <f t="shared" ref="Q258:Q321" si="13">J258-(F258+O258+P258)</f>
        <v>3504</v>
      </c>
      <c r="R258">
        <v>791</v>
      </c>
      <c r="S258">
        <v>48</v>
      </c>
      <c r="T258">
        <v>979</v>
      </c>
      <c r="U258">
        <v>52</v>
      </c>
      <c r="V258">
        <v>72</v>
      </c>
      <c r="W258">
        <v>1</v>
      </c>
      <c r="X258">
        <v>72</v>
      </c>
      <c r="Y258">
        <v>142</v>
      </c>
      <c r="Z258">
        <v>102</v>
      </c>
      <c r="AA258">
        <v>42</v>
      </c>
      <c r="AB258">
        <v>0.27900000000000003</v>
      </c>
      <c r="AC258">
        <v>0.34</v>
      </c>
      <c r="AD258">
        <v>0.40799999999999997</v>
      </c>
    </row>
    <row r="259" spans="1:30" x14ac:dyDescent="0.5">
      <c r="A259" s="35">
        <v>2008</v>
      </c>
      <c r="B259" t="s">
        <v>144</v>
      </c>
      <c r="C259" t="s">
        <v>38</v>
      </c>
      <c r="D259">
        <v>162</v>
      </c>
      <c r="E259">
        <v>799</v>
      </c>
      <c r="F259">
        <v>1491</v>
      </c>
      <c r="G259" s="60">
        <v>2008</v>
      </c>
      <c r="H259" s="60" t="s">
        <v>76</v>
      </c>
      <c r="I259" s="60" t="str">
        <f t="shared" ref="I259:I322" si="14">G259&amp;" "&amp;H259</f>
        <v>2008 New York Mets</v>
      </c>
      <c r="J259" s="60">
        <v>5606</v>
      </c>
      <c r="K259" s="60">
        <f t="shared" si="12"/>
        <v>1007</v>
      </c>
      <c r="L259" s="60">
        <v>274</v>
      </c>
      <c r="M259" s="60">
        <v>38</v>
      </c>
      <c r="N259" s="60">
        <v>172</v>
      </c>
      <c r="O259" s="60">
        <v>619</v>
      </c>
      <c r="P259" s="60">
        <v>39</v>
      </c>
      <c r="Q259" s="60">
        <f t="shared" si="13"/>
        <v>3457</v>
      </c>
      <c r="R259">
        <v>751</v>
      </c>
      <c r="S259">
        <v>71</v>
      </c>
      <c r="T259">
        <v>1024</v>
      </c>
      <c r="U259">
        <v>73</v>
      </c>
      <c r="V259">
        <v>49</v>
      </c>
      <c r="W259">
        <v>2</v>
      </c>
      <c r="X259">
        <v>79</v>
      </c>
      <c r="Y259">
        <v>129</v>
      </c>
      <c r="Z259">
        <v>138</v>
      </c>
      <c r="AA259">
        <v>36</v>
      </c>
      <c r="AB259">
        <v>0.26600000000000001</v>
      </c>
      <c r="AC259">
        <v>0.34</v>
      </c>
      <c r="AD259">
        <v>0.42</v>
      </c>
    </row>
    <row r="260" spans="1:30" x14ac:dyDescent="0.5">
      <c r="A260" s="35">
        <v>2008</v>
      </c>
      <c r="B260" t="s">
        <v>144</v>
      </c>
      <c r="C260" t="s">
        <v>149</v>
      </c>
      <c r="D260">
        <v>162</v>
      </c>
      <c r="E260">
        <v>789</v>
      </c>
      <c r="F260">
        <v>1512</v>
      </c>
      <c r="G260" s="60">
        <v>2008</v>
      </c>
      <c r="H260" s="60" t="s">
        <v>74</v>
      </c>
      <c r="I260" s="60" t="str">
        <f t="shared" si="14"/>
        <v>2008 New York Yankees</v>
      </c>
      <c r="J260" s="60">
        <v>5572</v>
      </c>
      <c r="K260" s="60">
        <f t="shared" si="12"/>
        <v>1023</v>
      </c>
      <c r="L260" s="60">
        <v>289</v>
      </c>
      <c r="M260" s="60">
        <v>20</v>
      </c>
      <c r="N260" s="60">
        <v>180</v>
      </c>
      <c r="O260" s="60">
        <v>535</v>
      </c>
      <c r="P260" s="60">
        <v>80</v>
      </c>
      <c r="Q260" s="60">
        <f t="shared" si="13"/>
        <v>3445</v>
      </c>
      <c r="R260">
        <v>758</v>
      </c>
      <c r="S260">
        <v>36</v>
      </c>
      <c r="T260">
        <v>1015</v>
      </c>
      <c r="U260">
        <v>31</v>
      </c>
      <c r="V260">
        <v>39</v>
      </c>
      <c r="W260">
        <v>0</v>
      </c>
      <c r="X260">
        <v>61</v>
      </c>
      <c r="Y260">
        <v>149</v>
      </c>
      <c r="Z260">
        <v>118</v>
      </c>
      <c r="AA260">
        <v>39</v>
      </c>
      <c r="AB260">
        <v>0.27100000000000002</v>
      </c>
      <c r="AC260">
        <v>0.34200000000000003</v>
      </c>
      <c r="AD260">
        <v>0.42699999999999999</v>
      </c>
    </row>
    <row r="261" spans="1:30" x14ac:dyDescent="0.5">
      <c r="A261" s="35">
        <v>2008</v>
      </c>
      <c r="B261" t="s">
        <v>79</v>
      </c>
      <c r="C261" t="s">
        <v>149</v>
      </c>
      <c r="D261">
        <v>161</v>
      </c>
      <c r="E261">
        <v>646</v>
      </c>
      <c r="F261">
        <v>1318</v>
      </c>
      <c r="G261" s="60">
        <v>2008</v>
      </c>
      <c r="H261" s="60" t="s">
        <v>78</v>
      </c>
      <c r="I261" s="60" t="str">
        <f t="shared" si="14"/>
        <v>2008 Oakland Athletics</v>
      </c>
      <c r="J261" s="60">
        <v>5451</v>
      </c>
      <c r="K261" s="60">
        <f t="shared" si="12"/>
        <v>900</v>
      </c>
      <c r="L261" s="60">
        <v>270</v>
      </c>
      <c r="M261" s="60">
        <v>23</v>
      </c>
      <c r="N261" s="60">
        <v>125</v>
      </c>
      <c r="O261" s="60">
        <v>574</v>
      </c>
      <c r="P261" s="60">
        <v>48</v>
      </c>
      <c r="Q261" s="60">
        <f t="shared" si="13"/>
        <v>3511</v>
      </c>
      <c r="R261">
        <v>610</v>
      </c>
      <c r="S261">
        <v>23</v>
      </c>
      <c r="T261">
        <v>1226</v>
      </c>
      <c r="U261">
        <v>30</v>
      </c>
      <c r="V261">
        <v>35</v>
      </c>
      <c r="W261">
        <v>0</v>
      </c>
      <c r="X261">
        <v>55</v>
      </c>
      <c r="Y261">
        <v>126</v>
      </c>
      <c r="Z261">
        <v>88</v>
      </c>
      <c r="AA261">
        <v>21</v>
      </c>
      <c r="AB261">
        <v>0.24199999999999999</v>
      </c>
      <c r="AC261">
        <v>0.318</v>
      </c>
      <c r="AD261">
        <v>0.36899999999999999</v>
      </c>
    </row>
    <row r="262" spans="1:30" x14ac:dyDescent="0.5">
      <c r="A262" s="35">
        <v>2008</v>
      </c>
      <c r="B262" t="s">
        <v>81</v>
      </c>
      <c r="C262" t="s">
        <v>38</v>
      </c>
      <c r="D262">
        <v>162</v>
      </c>
      <c r="E262">
        <v>799</v>
      </c>
      <c r="F262">
        <v>1407</v>
      </c>
      <c r="G262" s="60">
        <v>2008</v>
      </c>
      <c r="H262" s="60" t="s">
        <v>80</v>
      </c>
      <c r="I262" s="60" t="str">
        <f t="shared" si="14"/>
        <v>2008 Philadelphia Phillies</v>
      </c>
      <c r="J262" s="60">
        <v>5509</v>
      </c>
      <c r="K262" s="60">
        <f t="shared" si="12"/>
        <v>866</v>
      </c>
      <c r="L262" s="60">
        <v>291</v>
      </c>
      <c r="M262" s="60">
        <v>36</v>
      </c>
      <c r="N262" s="60">
        <v>214</v>
      </c>
      <c r="O262" s="60">
        <v>586</v>
      </c>
      <c r="P262" s="60">
        <v>67</v>
      </c>
      <c r="Q262" s="60">
        <f t="shared" si="13"/>
        <v>3449</v>
      </c>
      <c r="R262">
        <v>762</v>
      </c>
      <c r="S262">
        <v>68</v>
      </c>
      <c r="T262">
        <v>1117</v>
      </c>
      <c r="U262">
        <v>71</v>
      </c>
      <c r="V262">
        <v>40</v>
      </c>
      <c r="W262">
        <v>0</v>
      </c>
      <c r="X262">
        <v>66</v>
      </c>
      <c r="Y262">
        <v>108</v>
      </c>
      <c r="Z262">
        <v>136</v>
      </c>
      <c r="AA262">
        <v>25</v>
      </c>
      <c r="AB262">
        <v>0.255</v>
      </c>
      <c r="AC262">
        <v>0.33200000000000002</v>
      </c>
      <c r="AD262">
        <v>0.438</v>
      </c>
    </row>
    <row r="263" spans="1:30" x14ac:dyDescent="0.5">
      <c r="A263" s="35">
        <v>2008</v>
      </c>
      <c r="B263" t="s">
        <v>83</v>
      </c>
      <c r="C263" t="s">
        <v>38</v>
      </c>
      <c r="D263">
        <v>162</v>
      </c>
      <c r="E263">
        <v>735</v>
      </c>
      <c r="F263">
        <v>1454</v>
      </c>
      <c r="G263" s="60">
        <v>2008</v>
      </c>
      <c r="H263" s="60" t="s">
        <v>82</v>
      </c>
      <c r="I263" s="60" t="str">
        <f t="shared" si="14"/>
        <v>2008 Pittsburgh Pirates</v>
      </c>
      <c r="J263" s="60">
        <v>5628</v>
      </c>
      <c r="K263" s="60">
        <f t="shared" si="12"/>
        <v>966</v>
      </c>
      <c r="L263" s="60">
        <v>314</v>
      </c>
      <c r="M263" s="60">
        <v>21</v>
      </c>
      <c r="N263" s="60">
        <v>153</v>
      </c>
      <c r="O263" s="60">
        <v>474</v>
      </c>
      <c r="P263" s="60">
        <v>59</v>
      </c>
      <c r="Q263" s="60">
        <f t="shared" si="13"/>
        <v>3641</v>
      </c>
      <c r="R263">
        <v>705</v>
      </c>
      <c r="S263">
        <v>40</v>
      </c>
      <c r="T263">
        <v>1039</v>
      </c>
      <c r="U263">
        <v>66</v>
      </c>
      <c r="V263">
        <v>51</v>
      </c>
      <c r="W263">
        <v>0</v>
      </c>
      <c r="X263">
        <v>65</v>
      </c>
      <c r="Y263">
        <v>111</v>
      </c>
      <c r="Z263">
        <v>57</v>
      </c>
      <c r="AA263">
        <v>19</v>
      </c>
      <c r="AB263">
        <v>0.25800000000000001</v>
      </c>
      <c r="AC263">
        <v>0.32</v>
      </c>
      <c r="AD263">
        <v>0.40300000000000002</v>
      </c>
    </row>
    <row r="264" spans="1:30" x14ac:dyDescent="0.5">
      <c r="A264" s="35">
        <v>2008</v>
      </c>
      <c r="B264" t="s">
        <v>147</v>
      </c>
      <c r="C264" t="s">
        <v>38</v>
      </c>
      <c r="D264">
        <v>162</v>
      </c>
      <c r="E264">
        <v>637</v>
      </c>
      <c r="F264">
        <v>1390</v>
      </c>
      <c r="G264" s="60">
        <v>2008</v>
      </c>
      <c r="H264" s="60" t="s">
        <v>84</v>
      </c>
      <c r="I264" s="60" t="str">
        <f t="shared" si="14"/>
        <v>2008 San Diego Padres</v>
      </c>
      <c r="J264" s="60">
        <v>5568</v>
      </c>
      <c r="K264" s="60">
        <f t="shared" si="12"/>
        <v>945</v>
      </c>
      <c r="L264" s="60">
        <v>264</v>
      </c>
      <c r="M264" s="60">
        <v>27</v>
      </c>
      <c r="N264" s="60">
        <v>154</v>
      </c>
      <c r="O264" s="60">
        <v>518</v>
      </c>
      <c r="P264" s="60">
        <v>53</v>
      </c>
      <c r="Q264" s="60">
        <f t="shared" si="13"/>
        <v>3607</v>
      </c>
      <c r="R264">
        <v>615</v>
      </c>
      <c r="S264">
        <v>35</v>
      </c>
      <c r="T264">
        <v>1259</v>
      </c>
      <c r="U264">
        <v>59</v>
      </c>
      <c r="V264">
        <v>46</v>
      </c>
      <c r="W264">
        <v>0</v>
      </c>
      <c r="X264">
        <v>49</v>
      </c>
      <c r="Y264">
        <v>129</v>
      </c>
      <c r="Z264">
        <v>36</v>
      </c>
      <c r="AA264">
        <v>17</v>
      </c>
      <c r="AB264">
        <v>0.25</v>
      </c>
      <c r="AC264">
        <v>0.317</v>
      </c>
      <c r="AD264">
        <v>0.39</v>
      </c>
    </row>
    <row r="265" spans="1:30" x14ac:dyDescent="0.5">
      <c r="A265" s="35">
        <v>2008</v>
      </c>
      <c r="B265" t="s">
        <v>87</v>
      </c>
      <c r="C265" t="s">
        <v>149</v>
      </c>
      <c r="D265">
        <v>162</v>
      </c>
      <c r="E265">
        <v>671</v>
      </c>
      <c r="F265">
        <v>1498</v>
      </c>
      <c r="G265" s="60">
        <v>2008</v>
      </c>
      <c r="H265" s="60" t="s">
        <v>86</v>
      </c>
      <c r="I265" s="60" t="str">
        <f t="shared" si="14"/>
        <v>2008 Seattle Mariners</v>
      </c>
      <c r="J265" s="60">
        <v>5643</v>
      </c>
      <c r="K265" s="60">
        <f t="shared" si="12"/>
        <v>1069</v>
      </c>
      <c r="L265" s="60">
        <v>285</v>
      </c>
      <c r="M265" s="60">
        <v>20</v>
      </c>
      <c r="N265" s="60">
        <v>124</v>
      </c>
      <c r="O265" s="60">
        <v>417</v>
      </c>
      <c r="P265" s="60">
        <v>38</v>
      </c>
      <c r="Q265" s="60">
        <f t="shared" si="13"/>
        <v>3690</v>
      </c>
      <c r="R265">
        <v>631</v>
      </c>
      <c r="S265">
        <v>44</v>
      </c>
      <c r="T265">
        <v>890</v>
      </c>
      <c r="U265">
        <v>36</v>
      </c>
      <c r="V265">
        <v>42</v>
      </c>
      <c r="W265">
        <v>0</v>
      </c>
      <c r="X265">
        <v>80</v>
      </c>
      <c r="Y265">
        <v>137</v>
      </c>
      <c r="Z265">
        <v>90</v>
      </c>
      <c r="AA265">
        <v>32</v>
      </c>
      <c r="AB265">
        <v>0.26500000000000001</v>
      </c>
      <c r="AC265">
        <v>0.318</v>
      </c>
      <c r="AD265">
        <v>0.38900000000000001</v>
      </c>
    </row>
    <row r="266" spans="1:30" x14ac:dyDescent="0.5">
      <c r="A266" s="35">
        <v>2008</v>
      </c>
      <c r="B266" t="s">
        <v>21</v>
      </c>
      <c r="C266" t="s">
        <v>38</v>
      </c>
      <c r="D266">
        <v>162</v>
      </c>
      <c r="E266">
        <v>640</v>
      </c>
      <c r="F266">
        <v>1452</v>
      </c>
      <c r="G266" s="60">
        <v>2008</v>
      </c>
      <c r="H266" s="60" t="s">
        <v>88</v>
      </c>
      <c r="I266" s="60" t="str">
        <f t="shared" si="14"/>
        <v>2008 San Francisco Giants</v>
      </c>
      <c r="J266" s="60">
        <v>5543</v>
      </c>
      <c r="K266" s="60">
        <f t="shared" si="12"/>
        <v>1010</v>
      </c>
      <c r="L266" s="60">
        <v>311</v>
      </c>
      <c r="M266" s="60">
        <v>37</v>
      </c>
      <c r="N266" s="60">
        <v>94</v>
      </c>
      <c r="O266" s="60">
        <v>452</v>
      </c>
      <c r="P266" s="60">
        <v>48</v>
      </c>
      <c r="Q266" s="60">
        <f t="shared" si="13"/>
        <v>3591</v>
      </c>
      <c r="R266">
        <v>606</v>
      </c>
      <c r="S266">
        <v>45</v>
      </c>
      <c r="T266">
        <v>1044</v>
      </c>
      <c r="U266">
        <v>57</v>
      </c>
      <c r="V266">
        <v>44</v>
      </c>
      <c r="W266">
        <v>1</v>
      </c>
      <c r="X266">
        <v>76</v>
      </c>
      <c r="Y266">
        <v>139</v>
      </c>
      <c r="Z266">
        <v>108</v>
      </c>
      <c r="AA266">
        <v>46</v>
      </c>
      <c r="AB266">
        <v>0.26200000000000001</v>
      </c>
      <c r="AC266">
        <v>0.32100000000000001</v>
      </c>
      <c r="AD266">
        <v>0.38200000000000001</v>
      </c>
    </row>
    <row r="267" spans="1:30" x14ac:dyDescent="0.5">
      <c r="A267" s="35">
        <v>2008</v>
      </c>
      <c r="B267" t="s">
        <v>142</v>
      </c>
      <c r="C267" t="s">
        <v>38</v>
      </c>
      <c r="D267">
        <v>162</v>
      </c>
      <c r="E267">
        <v>779</v>
      </c>
      <c r="F267">
        <v>1585</v>
      </c>
      <c r="G267" s="60">
        <v>2008</v>
      </c>
      <c r="H267" s="60" t="s">
        <v>90</v>
      </c>
      <c r="I267" s="60" t="str">
        <f t="shared" si="14"/>
        <v>2008 St. Louis Cardinals</v>
      </c>
      <c r="J267" s="60">
        <v>5636</v>
      </c>
      <c r="K267" s="60">
        <f t="shared" si="12"/>
        <v>1102</v>
      </c>
      <c r="L267" s="60">
        <v>283</v>
      </c>
      <c r="M267" s="60">
        <v>26</v>
      </c>
      <c r="N267" s="60">
        <v>174</v>
      </c>
      <c r="O267" s="60">
        <v>577</v>
      </c>
      <c r="P267" s="60">
        <v>42</v>
      </c>
      <c r="Q267" s="60">
        <f t="shared" si="13"/>
        <v>3432</v>
      </c>
      <c r="R267">
        <v>744</v>
      </c>
      <c r="S267">
        <v>63</v>
      </c>
      <c r="T267">
        <v>985</v>
      </c>
      <c r="U267">
        <v>71</v>
      </c>
      <c r="V267">
        <v>44</v>
      </c>
      <c r="W267">
        <v>0</v>
      </c>
      <c r="X267">
        <v>53</v>
      </c>
      <c r="Y267">
        <v>150</v>
      </c>
      <c r="Z267">
        <v>73</v>
      </c>
      <c r="AA267">
        <v>32</v>
      </c>
      <c r="AB267">
        <v>0.28100000000000003</v>
      </c>
      <c r="AC267">
        <v>0.35</v>
      </c>
      <c r="AD267">
        <v>0.433</v>
      </c>
    </row>
    <row r="268" spans="1:30" x14ac:dyDescent="0.5">
      <c r="A268" s="35">
        <v>2008</v>
      </c>
      <c r="B268" t="s">
        <v>151</v>
      </c>
      <c r="C268" t="s">
        <v>149</v>
      </c>
      <c r="D268">
        <v>162</v>
      </c>
      <c r="E268">
        <v>774</v>
      </c>
      <c r="F268">
        <v>1443</v>
      </c>
      <c r="G268" s="60">
        <v>2008</v>
      </c>
      <c r="H268" s="60" t="s">
        <v>92</v>
      </c>
      <c r="I268" s="60" t="str">
        <f t="shared" si="14"/>
        <v>2008 Tampa Bay Devil Rays</v>
      </c>
      <c r="J268" s="60">
        <v>5541</v>
      </c>
      <c r="K268" s="60">
        <f t="shared" si="12"/>
        <v>942</v>
      </c>
      <c r="L268" s="60">
        <v>284</v>
      </c>
      <c r="M268" s="60">
        <v>37</v>
      </c>
      <c r="N268" s="60">
        <v>180</v>
      </c>
      <c r="O268" s="60">
        <v>626</v>
      </c>
      <c r="P268" s="60">
        <v>68</v>
      </c>
      <c r="Q268" s="60">
        <f t="shared" si="13"/>
        <v>3404</v>
      </c>
      <c r="R268">
        <v>735</v>
      </c>
      <c r="S268">
        <v>33</v>
      </c>
      <c r="T268">
        <v>1224</v>
      </c>
      <c r="U268">
        <v>23</v>
      </c>
      <c r="V268">
        <v>52</v>
      </c>
      <c r="W268">
        <v>2</v>
      </c>
      <c r="X268">
        <v>78</v>
      </c>
      <c r="Y268">
        <v>111</v>
      </c>
      <c r="Z268">
        <v>142</v>
      </c>
      <c r="AA268">
        <v>50</v>
      </c>
      <c r="AB268">
        <v>0.26</v>
      </c>
      <c r="AC268">
        <v>0.34</v>
      </c>
      <c r="AD268">
        <v>0.42199999999999999</v>
      </c>
    </row>
    <row r="269" spans="1:30" x14ac:dyDescent="0.5">
      <c r="A269" s="35">
        <v>2008</v>
      </c>
      <c r="B269" t="s">
        <v>95</v>
      </c>
      <c r="C269" t="s">
        <v>149</v>
      </c>
      <c r="D269">
        <v>162</v>
      </c>
      <c r="E269">
        <v>901</v>
      </c>
      <c r="F269">
        <v>1619</v>
      </c>
      <c r="G269" s="60">
        <v>2008</v>
      </c>
      <c r="H269" s="60" t="s">
        <v>94</v>
      </c>
      <c r="I269" s="60" t="str">
        <f t="shared" si="14"/>
        <v>2008 Texas Rangers</v>
      </c>
      <c r="J269" s="60">
        <v>5728</v>
      </c>
      <c r="K269" s="60">
        <f t="shared" si="12"/>
        <v>1014</v>
      </c>
      <c r="L269" s="60">
        <v>376</v>
      </c>
      <c r="M269" s="60">
        <v>35</v>
      </c>
      <c r="N269" s="60">
        <v>194</v>
      </c>
      <c r="O269" s="60">
        <v>595</v>
      </c>
      <c r="P269" s="60">
        <v>63</v>
      </c>
      <c r="Q269" s="60">
        <f t="shared" si="13"/>
        <v>3451</v>
      </c>
      <c r="R269">
        <v>867</v>
      </c>
      <c r="S269">
        <v>43</v>
      </c>
      <c r="T269">
        <v>1207</v>
      </c>
      <c r="U269">
        <v>37</v>
      </c>
      <c r="V269">
        <v>54</v>
      </c>
      <c r="W269">
        <v>1</v>
      </c>
      <c r="X269">
        <v>66</v>
      </c>
      <c r="Y269">
        <v>117</v>
      </c>
      <c r="Z269">
        <v>81</v>
      </c>
      <c r="AA269">
        <v>25</v>
      </c>
      <c r="AB269">
        <v>0.28299999999999997</v>
      </c>
      <c r="AC269">
        <v>0.35399999999999998</v>
      </c>
      <c r="AD269">
        <v>0.46200000000000002</v>
      </c>
    </row>
    <row r="270" spans="1:30" x14ac:dyDescent="0.5">
      <c r="A270" s="35">
        <v>2008</v>
      </c>
      <c r="B270" t="s">
        <v>97</v>
      </c>
      <c r="C270" t="s">
        <v>149</v>
      </c>
      <c r="D270">
        <v>162</v>
      </c>
      <c r="E270">
        <v>714</v>
      </c>
      <c r="F270">
        <v>1453</v>
      </c>
      <c r="G270" s="60">
        <v>2008</v>
      </c>
      <c r="H270" s="60" t="s">
        <v>96</v>
      </c>
      <c r="I270" s="60" t="str">
        <f t="shared" si="14"/>
        <v>2008 Toronto Blue Jays</v>
      </c>
      <c r="J270" s="60">
        <v>5503</v>
      </c>
      <c r="K270" s="60">
        <f t="shared" si="12"/>
        <v>992</v>
      </c>
      <c r="L270" s="60">
        <v>303</v>
      </c>
      <c r="M270" s="60">
        <v>32</v>
      </c>
      <c r="N270" s="60">
        <v>126</v>
      </c>
      <c r="O270" s="60">
        <v>521</v>
      </c>
      <c r="P270" s="60">
        <v>59</v>
      </c>
      <c r="Q270" s="60">
        <f t="shared" si="13"/>
        <v>3470</v>
      </c>
      <c r="R270">
        <v>681</v>
      </c>
      <c r="S270">
        <v>34</v>
      </c>
      <c r="T270">
        <v>938</v>
      </c>
      <c r="U270">
        <v>48</v>
      </c>
      <c r="V270">
        <v>56</v>
      </c>
      <c r="W270">
        <v>4</v>
      </c>
      <c r="X270">
        <v>70</v>
      </c>
      <c r="Y270">
        <v>150</v>
      </c>
      <c r="Z270">
        <v>80</v>
      </c>
      <c r="AA270">
        <v>27</v>
      </c>
      <c r="AB270">
        <v>0.26400000000000001</v>
      </c>
      <c r="AC270">
        <v>0.33100000000000002</v>
      </c>
      <c r="AD270">
        <v>0.39900000000000002</v>
      </c>
    </row>
    <row r="271" spans="1:30" x14ac:dyDescent="0.5">
      <c r="A271" s="35">
        <v>2008</v>
      </c>
      <c r="B271" t="s">
        <v>101</v>
      </c>
      <c r="C271" t="s">
        <v>38</v>
      </c>
      <c r="D271">
        <v>161</v>
      </c>
      <c r="E271">
        <v>641</v>
      </c>
      <c r="F271">
        <v>1376</v>
      </c>
      <c r="G271" s="60">
        <v>2008</v>
      </c>
      <c r="H271" s="60" t="s">
        <v>100</v>
      </c>
      <c r="I271" s="60" t="str">
        <f t="shared" si="14"/>
        <v>2008 Washington Nationals</v>
      </c>
      <c r="J271" s="60">
        <v>5491</v>
      </c>
      <c r="K271" s="60">
        <f t="shared" si="12"/>
        <v>964</v>
      </c>
      <c r="L271" s="60">
        <v>269</v>
      </c>
      <c r="M271" s="60">
        <v>26</v>
      </c>
      <c r="N271" s="60">
        <v>117</v>
      </c>
      <c r="O271" s="60">
        <v>534</v>
      </c>
      <c r="P271" s="60">
        <v>67</v>
      </c>
      <c r="Q271" s="60">
        <f t="shared" si="13"/>
        <v>3514</v>
      </c>
      <c r="R271">
        <v>608</v>
      </c>
      <c r="S271">
        <v>21</v>
      </c>
      <c r="T271">
        <v>1095</v>
      </c>
      <c r="U271">
        <v>64</v>
      </c>
      <c r="V271">
        <v>36</v>
      </c>
      <c r="W271">
        <v>0</v>
      </c>
      <c r="X271">
        <v>80</v>
      </c>
      <c r="Y271">
        <v>153</v>
      </c>
      <c r="Z271">
        <v>81</v>
      </c>
      <c r="AA271">
        <v>43</v>
      </c>
      <c r="AB271">
        <v>0.251</v>
      </c>
      <c r="AC271">
        <v>0.32300000000000001</v>
      </c>
      <c r="AD271">
        <v>0.373</v>
      </c>
    </row>
    <row r="272" spans="1:30" x14ac:dyDescent="0.5">
      <c r="A272" s="35">
        <v>2009</v>
      </c>
      <c r="B272" t="s">
        <v>37</v>
      </c>
      <c r="C272" t="s">
        <v>149</v>
      </c>
      <c r="D272">
        <v>162</v>
      </c>
      <c r="E272">
        <v>883</v>
      </c>
      <c r="F272">
        <v>1604</v>
      </c>
      <c r="G272" s="60">
        <v>2009</v>
      </c>
      <c r="H272" s="60" t="s">
        <v>36</v>
      </c>
      <c r="I272" s="60" t="str">
        <f t="shared" si="14"/>
        <v>2009 Anaheim Angels</v>
      </c>
      <c r="J272" s="60">
        <v>5622</v>
      </c>
      <c r="K272" s="60">
        <f t="shared" si="12"/>
        <v>1105</v>
      </c>
      <c r="L272" s="60">
        <v>293</v>
      </c>
      <c r="M272" s="60">
        <v>33</v>
      </c>
      <c r="N272" s="60">
        <v>173</v>
      </c>
      <c r="O272" s="60">
        <v>547</v>
      </c>
      <c r="P272" s="60">
        <v>41</v>
      </c>
      <c r="Q272" s="60">
        <f t="shared" si="13"/>
        <v>3430</v>
      </c>
      <c r="R272">
        <v>841</v>
      </c>
      <c r="S272">
        <v>32</v>
      </c>
      <c r="T272">
        <v>1054</v>
      </c>
      <c r="U272">
        <v>43</v>
      </c>
      <c r="V272">
        <v>52</v>
      </c>
      <c r="W272">
        <v>0</v>
      </c>
      <c r="X272">
        <v>83</v>
      </c>
      <c r="Y272">
        <v>128</v>
      </c>
      <c r="Z272">
        <v>148</v>
      </c>
      <c r="AA272">
        <v>63</v>
      </c>
      <c r="AB272">
        <v>0.28499999999999998</v>
      </c>
      <c r="AC272">
        <v>0.35</v>
      </c>
      <c r="AD272">
        <v>0.441</v>
      </c>
    </row>
    <row r="273" spans="1:30" x14ac:dyDescent="0.5">
      <c r="A273" s="35">
        <v>2009</v>
      </c>
      <c r="B273" t="s">
        <v>40</v>
      </c>
      <c r="C273" t="s">
        <v>38</v>
      </c>
      <c r="D273">
        <v>162</v>
      </c>
      <c r="E273">
        <v>720</v>
      </c>
      <c r="F273">
        <v>1408</v>
      </c>
      <c r="G273" s="60">
        <v>2009</v>
      </c>
      <c r="H273" s="60" t="s">
        <v>39</v>
      </c>
      <c r="I273" s="60" t="str">
        <f t="shared" si="14"/>
        <v>2009 Arizona Diamondbacks</v>
      </c>
      <c r="J273" s="60">
        <v>5565</v>
      </c>
      <c r="K273" s="60">
        <f t="shared" si="12"/>
        <v>883</v>
      </c>
      <c r="L273" s="60">
        <v>307</v>
      </c>
      <c r="M273" s="60">
        <v>45</v>
      </c>
      <c r="N273" s="60">
        <v>173</v>
      </c>
      <c r="O273" s="60">
        <v>571</v>
      </c>
      <c r="P273" s="60">
        <v>37</v>
      </c>
      <c r="Q273" s="60">
        <f t="shared" si="13"/>
        <v>3549</v>
      </c>
      <c r="R273">
        <v>686</v>
      </c>
      <c r="S273">
        <v>47</v>
      </c>
      <c r="T273">
        <v>1298</v>
      </c>
      <c r="U273">
        <v>54</v>
      </c>
      <c r="V273">
        <v>41</v>
      </c>
      <c r="W273">
        <v>1</v>
      </c>
      <c r="X273">
        <v>64</v>
      </c>
      <c r="Y273">
        <v>93</v>
      </c>
      <c r="Z273">
        <v>102</v>
      </c>
      <c r="AA273">
        <v>40</v>
      </c>
      <c r="AB273">
        <v>0.253</v>
      </c>
      <c r="AC273">
        <v>0.32400000000000001</v>
      </c>
      <c r="AD273">
        <v>0.41799999999999998</v>
      </c>
    </row>
    <row r="274" spans="1:30" x14ac:dyDescent="0.5">
      <c r="A274" s="35">
        <v>2009</v>
      </c>
      <c r="B274" t="s">
        <v>42</v>
      </c>
      <c r="C274" t="s">
        <v>38</v>
      </c>
      <c r="D274">
        <v>162</v>
      </c>
      <c r="E274">
        <v>735</v>
      </c>
      <c r="F274">
        <v>1459</v>
      </c>
      <c r="G274" s="60">
        <v>2009</v>
      </c>
      <c r="H274" s="60" t="s">
        <v>41</v>
      </c>
      <c r="I274" s="60" t="str">
        <f t="shared" si="14"/>
        <v>2009 Atlanta Braves</v>
      </c>
      <c r="J274" s="60">
        <v>5539</v>
      </c>
      <c r="K274" s="60">
        <f t="shared" si="12"/>
        <v>990</v>
      </c>
      <c r="L274" s="60">
        <v>300</v>
      </c>
      <c r="M274" s="60">
        <v>20</v>
      </c>
      <c r="N274" s="60">
        <v>149</v>
      </c>
      <c r="O274" s="60">
        <v>602</v>
      </c>
      <c r="P274" s="60">
        <v>52</v>
      </c>
      <c r="Q274" s="60">
        <f t="shared" si="13"/>
        <v>3426</v>
      </c>
      <c r="R274">
        <v>700</v>
      </c>
      <c r="S274">
        <v>54</v>
      </c>
      <c r="T274">
        <v>1064</v>
      </c>
      <c r="U274">
        <v>95</v>
      </c>
      <c r="V274">
        <v>47</v>
      </c>
      <c r="W274">
        <v>0</v>
      </c>
      <c r="X274">
        <v>58</v>
      </c>
      <c r="Y274">
        <v>142</v>
      </c>
      <c r="Z274">
        <v>58</v>
      </c>
      <c r="AA274">
        <v>26</v>
      </c>
      <c r="AB274">
        <v>0.26300000000000001</v>
      </c>
      <c r="AC274">
        <v>0.33900000000000002</v>
      </c>
      <c r="AD274">
        <v>0.40500000000000003</v>
      </c>
    </row>
    <row r="275" spans="1:30" x14ac:dyDescent="0.5">
      <c r="A275" s="35">
        <v>2009</v>
      </c>
      <c r="B275" t="s">
        <v>45</v>
      </c>
      <c r="C275" t="s">
        <v>149</v>
      </c>
      <c r="D275">
        <v>162</v>
      </c>
      <c r="E275">
        <v>741</v>
      </c>
      <c r="F275">
        <v>1508</v>
      </c>
      <c r="G275" s="60">
        <v>2009</v>
      </c>
      <c r="H275" s="60" t="s">
        <v>44</v>
      </c>
      <c r="I275" s="60" t="str">
        <f t="shared" si="14"/>
        <v>2009 Baltimore Orioles</v>
      </c>
      <c r="J275" s="60">
        <v>5618</v>
      </c>
      <c r="K275" s="60">
        <f t="shared" si="12"/>
        <v>1022</v>
      </c>
      <c r="L275" s="60">
        <v>307</v>
      </c>
      <c r="M275" s="60">
        <v>19</v>
      </c>
      <c r="N275" s="60">
        <v>160</v>
      </c>
      <c r="O275" s="60">
        <v>517</v>
      </c>
      <c r="P275" s="60">
        <v>39</v>
      </c>
      <c r="Q275" s="60">
        <f t="shared" si="13"/>
        <v>3554</v>
      </c>
      <c r="R275">
        <v>708</v>
      </c>
      <c r="S275">
        <v>25</v>
      </c>
      <c r="T275">
        <v>1013</v>
      </c>
      <c r="U275">
        <v>13</v>
      </c>
      <c r="V275">
        <v>46</v>
      </c>
      <c r="W275">
        <v>0</v>
      </c>
      <c r="X275">
        <v>57</v>
      </c>
      <c r="Y275">
        <v>131</v>
      </c>
      <c r="Z275">
        <v>76</v>
      </c>
      <c r="AA275">
        <v>37</v>
      </c>
      <c r="AB275">
        <v>0.26800000000000002</v>
      </c>
      <c r="AC275">
        <v>0.33200000000000002</v>
      </c>
      <c r="AD275">
        <v>0.41499999999999998</v>
      </c>
    </row>
    <row r="276" spans="1:30" x14ac:dyDescent="0.5">
      <c r="A276" s="35">
        <v>2009</v>
      </c>
      <c r="B276" t="s">
        <v>47</v>
      </c>
      <c r="C276" t="s">
        <v>149</v>
      </c>
      <c r="D276">
        <v>162</v>
      </c>
      <c r="E276">
        <v>872</v>
      </c>
      <c r="F276">
        <v>1495</v>
      </c>
      <c r="G276" s="60">
        <v>2009</v>
      </c>
      <c r="H276" s="60" t="s">
        <v>46</v>
      </c>
      <c r="I276" s="60" t="str">
        <f t="shared" si="14"/>
        <v>2009 Boston Red Sox</v>
      </c>
      <c r="J276" s="60">
        <v>5543</v>
      </c>
      <c r="K276" s="60">
        <f t="shared" si="12"/>
        <v>923</v>
      </c>
      <c r="L276" s="60">
        <v>335</v>
      </c>
      <c r="M276" s="60">
        <v>25</v>
      </c>
      <c r="N276" s="60">
        <v>212</v>
      </c>
      <c r="O276" s="60">
        <v>659</v>
      </c>
      <c r="P276" s="60">
        <v>70</v>
      </c>
      <c r="Q276" s="60">
        <f t="shared" si="13"/>
        <v>3319</v>
      </c>
      <c r="R276">
        <v>822</v>
      </c>
      <c r="S276">
        <v>39</v>
      </c>
      <c r="T276">
        <v>1120</v>
      </c>
      <c r="U276">
        <v>19</v>
      </c>
      <c r="V276">
        <v>51</v>
      </c>
      <c r="W276">
        <v>2</v>
      </c>
      <c r="X276">
        <v>80</v>
      </c>
      <c r="Y276">
        <v>137</v>
      </c>
      <c r="Z276">
        <v>126</v>
      </c>
      <c r="AA276">
        <v>39</v>
      </c>
      <c r="AB276">
        <v>0.27</v>
      </c>
      <c r="AC276">
        <v>0.35199999999999998</v>
      </c>
      <c r="AD276">
        <v>0.45400000000000001</v>
      </c>
    </row>
    <row r="277" spans="1:30" x14ac:dyDescent="0.5">
      <c r="A277" s="35">
        <v>2009</v>
      </c>
      <c r="B277" t="s">
        <v>143</v>
      </c>
      <c r="C277" t="s">
        <v>38</v>
      </c>
      <c r="D277">
        <v>161</v>
      </c>
      <c r="E277">
        <v>707</v>
      </c>
      <c r="F277">
        <v>1398</v>
      </c>
      <c r="G277" s="60">
        <v>2009</v>
      </c>
      <c r="H277" s="60" t="s">
        <v>50</v>
      </c>
      <c r="I277" s="60" t="str">
        <f t="shared" si="14"/>
        <v>2009 Chicago Cubs</v>
      </c>
      <c r="J277" s="60">
        <v>5486</v>
      </c>
      <c r="K277" s="60">
        <f t="shared" si="12"/>
        <v>915</v>
      </c>
      <c r="L277" s="60">
        <v>293</v>
      </c>
      <c r="M277" s="60">
        <v>29</v>
      </c>
      <c r="N277" s="60">
        <v>161</v>
      </c>
      <c r="O277" s="60">
        <v>592</v>
      </c>
      <c r="P277" s="60">
        <v>59</v>
      </c>
      <c r="Q277" s="60">
        <f t="shared" si="13"/>
        <v>3437</v>
      </c>
      <c r="R277">
        <v>678</v>
      </c>
      <c r="S277">
        <v>44</v>
      </c>
      <c r="T277">
        <v>1185</v>
      </c>
      <c r="U277">
        <v>65</v>
      </c>
      <c r="V277">
        <v>42</v>
      </c>
      <c r="W277">
        <v>0</v>
      </c>
      <c r="X277">
        <v>74</v>
      </c>
      <c r="Y277">
        <v>134</v>
      </c>
      <c r="Z277">
        <v>56</v>
      </c>
      <c r="AA277">
        <v>34</v>
      </c>
      <c r="AB277">
        <v>0.255</v>
      </c>
      <c r="AC277">
        <v>0.33200000000000002</v>
      </c>
      <c r="AD277">
        <v>0.40699999999999997</v>
      </c>
    </row>
    <row r="278" spans="1:30" x14ac:dyDescent="0.5">
      <c r="A278" s="35">
        <v>2009</v>
      </c>
      <c r="B278" t="s">
        <v>143</v>
      </c>
      <c r="C278" t="s">
        <v>149</v>
      </c>
      <c r="D278">
        <v>162</v>
      </c>
      <c r="E278">
        <v>724</v>
      </c>
      <c r="F278">
        <v>1410</v>
      </c>
      <c r="G278" s="60">
        <v>2009</v>
      </c>
      <c r="H278" s="60" t="s">
        <v>48</v>
      </c>
      <c r="I278" s="60" t="str">
        <f t="shared" si="14"/>
        <v>2009 Chicago White Sox</v>
      </c>
      <c r="J278" s="60">
        <v>5463</v>
      </c>
      <c r="K278" s="60">
        <f t="shared" si="12"/>
        <v>960</v>
      </c>
      <c r="L278" s="60">
        <v>246</v>
      </c>
      <c r="M278" s="60">
        <v>20</v>
      </c>
      <c r="N278" s="60">
        <v>184</v>
      </c>
      <c r="O278" s="60">
        <v>534</v>
      </c>
      <c r="P278" s="60">
        <v>62</v>
      </c>
      <c r="Q278" s="60">
        <f t="shared" si="13"/>
        <v>3457</v>
      </c>
      <c r="R278">
        <v>695</v>
      </c>
      <c r="S278">
        <v>25</v>
      </c>
      <c r="T278">
        <v>1022</v>
      </c>
      <c r="U278">
        <v>34</v>
      </c>
      <c r="V278">
        <v>39</v>
      </c>
      <c r="W278">
        <v>0</v>
      </c>
      <c r="X278">
        <v>48</v>
      </c>
      <c r="Y278">
        <v>139</v>
      </c>
      <c r="Z278">
        <v>113</v>
      </c>
      <c r="AA278">
        <v>49</v>
      </c>
      <c r="AB278">
        <v>0.25800000000000001</v>
      </c>
      <c r="AC278">
        <v>0.32900000000000001</v>
      </c>
      <c r="AD278">
        <v>0.41099999999999998</v>
      </c>
    </row>
    <row r="279" spans="1:30" x14ac:dyDescent="0.5">
      <c r="A279" s="35">
        <v>2009</v>
      </c>
      <c r="B279" t="s">
        <v>53</v>
      </c>
      <c r="C279" t="s">
        <v>38</v>
      </c>
      <c r="D279">
        <v>162</v>
      </c>
      <c r="E279">
        <v>673</v>
      </c>
      <c r="F279">
        <v>1349</v>
      </c>
      <c r="G279" s="60">
        <v>2009</v>
      </c>
      <c r="H279" s="60" t="s">
        <v>52</v>
      </c>
      <c r="I279" s="60" t="str">
        <f t="shared" si="14"/>
        <v>2009 Cincinnati Reds</v>
      </c>
      <c r="J279" s="60">
        <v>5462</v>
      </c>
      <c r="K279" s="60">
        <f t="shared" si="12"/>
        <v>886</v>
      </c>
      <c r="L279" s="60">
        <v>280</v>
      </c>
      <c r="M279" s="60">
        <v>25</v>
      </c>
      <c r="N279" s="60">
        <v>158</v>
      </c>
      <c r="O279" s="60">
        <v>531</v>
      </c>
      <c r="P279" s="60">
        <v>53</v>
      </c>
      <c r="Q279" s="60">
        <f t="shared" si="13"/>
        <v>3529</v>
      </c>
      <c r="R279">
        <v>637</v>
      </c>
      <c r="S279">
        <v>37</v>
      </c>
      <c r="T279">
        <v>1129</v>
      </c>
      <c r="U279">
        <v>100</v>
      </c>
      <c r="V279">
        <v>41</v>
      </c>
      <c r="W279">
        <v>0</v>
      </c>
      <c r="X279">
        <v>71</v>
      </c>
      <c r="Y279">
        <v>103</v>
      </c>
      <c r="Z279">
        <v>96</v>
      </c>
      <c r="AA279">
        <v>40</v>
      </c>
      <c r="AB279">
        <v>0.247</v>
      </c>
      <c r="AC279">
        <v>0.318</v>
      </c>
      <c r="AD279">
        <v>0.39400000000000002</v>
      </c>
    </row>
    <row r="280" spans="1:30" x14ac:dyDescent="0.5">
      <c r="A280" s="35">
        <v>2009</v>
      </c>
      <c r="B280" t="s">
        <v>55</v>
      </c>
      <c r="C280" t="s">
        <v>149</v>
      </c>
      <c r="D280">
        <v>162</v>
      </c>
      <c r="E280">
        <v>773</v>
      </c>
      <c r="F280">
        <v>1468</v>
      </c>
      <c r="G280" s="60">
        <v>2009</v>
      </c>
      <c r="H280" s="60" t="s">
        <v>54</v>
      </c>
      <c r="I280" s="60" t="str">
        <f t="shared" si="14"/>
        <v>2009 Cleveland Indians</v>
      </c>
      <c r="J280" s="60">
        <v>5568</v>
      </c>
      <c r="K280" s="60">
        <f t="shared" si="12"/>
        <v>965</v>
      </c>
      <c r="L280" s="60">
        <v>314</v>
      </c>
      <c r="M280" s="60">
        <v>28</v>
      </c>
      <c r="N280" s="60">
        <v>161</v>
      </c>
      <c r="O280" s="60">
        <v>582</v>
      </c>
      <c r="P280" s="60">
        <v>81</v>
      </c>
      <c r="Q280" s="60">
        <f t="shared" si="13"/>
        <v>3437</v>
      </c>
      <c r="R280">
        <v>730</v>
      </c>
      <c r="S280">
        <v>20</v>
      </c>
      <c r="T280">
        <v>1211</v>
      </c>
      <c r="U280">
        <v>39</v>
      </c>
      <c r="V280">
        <v>50</v>
      </c>
      <c r="W280">
        <v>0</v>
      </c>
      <c r="X280">
        <v>67</v>
      </c>
      <c r="Y280">
        <v>140</v>
      </c>
      <c r="Z280">
        <v>84</v>
      </c>
      <c r="AA280">
        <v>31</v>
      </c>
      <c r="AB280">
        <v>0.26400000000000001</v>
      </c>
      <c r="AC280">
        <v>0.33900000000000002</v>
      </c>
      <c r="AD280">
        <v>0.41699999999999998</v>
      </c>
    </row>
    <row r="281" spans="1:30" x14ac:dyDescent="0.5">
      <c r="A281" s="35">
        <v>2009</v>
      </c>
      <c r="B281" t="s">
        <v>57</v>
      </c>
      <c r="C281" t="s">
        <v>38</v>
      </c>
      <c r="D281">
        <v>162</v>
      </c>
      <c r="E281">
        <v>804</v>
      </c>
      <c r="F281">
        <v>1408</v>
      </c>
      <c r="G281" s="60">
        <v>2009</v>
      </c>
      <c r="H281" s="60" t="s">
        <v>56</v>
      </c>
      <c r="I281" s="60" t="str">
        <f t="shared" si="14"/>
        <v>2009 Colorado Rockies</v>
      </c>
      <c r="J281" s="60">
        <v>5398</v>
      </c>
      <c r="K281" s="60">
        <f t="shared" si="12"/>
        <v>868</v>
      </c>
      <c r="L281" s="60">
        <v>300</v>
      </c>
      <c r="M281" s="60">
        <v>50</v>
      </c>
      <c r="N281" s="60">
        <v>190</v>
      </c>
      <c r="O281" s="60">
        <v>660</v>
      </c>
      <c r="P281" s="60">
        <v>47</v>
      </c>
      <c r="Q281" s="60">
        <f t="shared" si="13"/>
        <v>3283</v>
      </c>
      <c r="R281">
        <v>760</v>
      </c>
      <c r="S281">
        <v>40</v>
      </c>
      <c r="T281">
        <v>1277</v>
      </c>
      <c r="U281">
        <v>76</v>
      </c>
      <c r="V281">
        <v>60</v>
      </c>
      <c r="W281">
        <v>0</v>
      </c>
      <c r="X281">
        <v>64</v>
      </c>
      <c r="Y281">
        <v>111</v>
      </c>
      <c r="Z281">
        <v>106</v>
      </c>
      <c r="AA281">
        <v>55</v>
      </c>
      <c r="AB281">
        <v>0.26100000000000001</v>
      </c>
      <c r="AC281">
        <v>0.34300000000000003</v>
      </c>
      <c r="AD281">
        <v>0.441</v>
      </c>
    </row>
    <row r="282" spans="1:30" x14ac:dyDescent="0.5">
      <c r="A282" s="35">
        <v>2009</v>
      </c>
      <c r="B282" t="s">
        <v>59</v>
      </c>
      <c r="C282" t="s">
        <v>149</v>
      </c>
      <c r="D282">
        <v>163</v>
      </c>
      <c r="E282">
        <v>743</v>
      </c>
      <c r="F282">
        <v>1443</v>
      </c>
      <c r="G282" s="60">
        <v>2009</v>
      </c>
      <c r="H282" s="60" t="s">
        <v>58</v>
      </c>
      <c r="I282" s="60" t="str">
        <f t="shared" si="14"/>
        <v>2009 Detroit Tigers</v>
      </c>
      <c r="J282" s="60">
        <v>5540</v>
      </c>
      <c r="K282" s="60">
        <f t="shared" si="12"/>
        <v>980</v>
      </c>
      <c r="L282" s="60">
        <v>245</v>
      </c>
      <c r="M282" s="60">
        <v>35</v>
      </c>
      <c r="N282" s="60">
        <v>183</v>
      </c>
      <c r="O282" s="60">
        <v>540</v>
      </c>
      <c r="P282" s="60">
        <v>61</v>
      </c>
      <c r="Q282" s="60">
        <f t="shared" si="13"/>
        <v>3496</v>
      </c>
      <c r="R282">
        <v>718</v>
      </c>
      <c r="S282">
        <v>30</v>
      </c>
      <c r="T282">
        <v>1114</v>
      </c>
      <c r="U282">
        <v>53</v>
      </c>
      <c r="V282">
        <v>39</v>
      </c>
      <c r="W282">
        <v>1</v>
      </c>
      <c r="X282">
        <v>65</v>
      </c>
      <c r="Y282">
        <v>131</v>
      </c>
      <c r="Z282">
        <v>72</v>
      </c>
      <c r="AA282">
        <v>33</v>
      </c>
      <c r="AB282">
        <v>0.26</v>
      </c>
      <c r="AC282">
        <v>0.33100000000000002</v>
      </c>
      <c r="AD282">
        <v>0.41599999999999998</v>
      </c>
    </row>
    <row r="283" spans="1:30" x14ac:dyDescent="0.5">
      <c r="A283" s="35">
        <v>2009</v>
      </c>
      <c r="B283" t="s">
        <v>146</v>
      </c>
      <c r="C283" t="s">
        <v>38</v>
      </c>
      <c r="D283">
        <v>162</v>
      </c>
      <c r="E283">
        <v>772</v>
      </c>
      <c r="F283">
        <v>1493</v>
      </c>
      <c r="G283" s="60">
        <v>2009</v>
      </c>
      <c r="H283" s="60" t="s">
        <v>60</v>
      </c>
      <c r="I283" s="60" t="str">
        <f t="shared" si="14"/>
        <v>2009 Florida Marlins</v>
      </c>
      <c r="J283" s="60">
        <v>5572</v>
      </c>
      <c r="K283" s="60">
        <f t="shared" si="12"/>
        <v>1013</v>
      </c>
      <c r="L283" s="60">
        <v>296</v>
      </c>
      <c r="M283" s="60">
        <v>25</v>
      </c>
      <c r="N283" s="60">
        <v>159</v>
      </c>
      <c r="O283" s="60">
        <v>568</v>
      </c>
      <c r="P283" s="60">
        <v>63</v>
      </c>
      <c r="Q283" s="60">
        <f t="shared" si="13"/>
        <v>3448</v>
      </c>
      <c r="R283">
        <v>727</v>
      </c>
      <c r="S283">
        <v>46</v>
      </c>
      <c r="T283">
        <v>1226</v>
      </c>
      <c r="U283">
        <v>70</v>
      </c>
      <c r="V283">
        <v>39</v>
      </c>
      <c r="W283">
        <v>0</v>
      </c>
      <c r="X283">
        <v>69</v>
      </c>
      <c r="Y283">
        <v>110</v>
      </c>
      <c r="Z283">
        <v>75</v>
      </c>
      <c r="AA283">
        <v>35</v>
      </c>
      <c r="AB283">
        <v>0.26800000000000002</v>
      </c>
      <c r="AC283">
        <v>0.34</v>
      </c>
      <c r="AD283">
        <v>0.41599999999999998</v>
      </c>
    </row>
    <row r="284" spans="1:30" x14ac:dyDescent="0.5">
      <c r="A284" s="35">
        <v>2009</v>
      </c>
      <c r="B284" t="s">
        <v>63</v>
      </c>
      <c r="C284" t="s">
        <v>38</v>
      </c>
      <c r="D284">
        <v>162</v>
      </c>
      <c r="E284">
        <v>643</v>
      </c>
      <c r="F284">
        <v>1415</v>
      </c>
      <c r="G284" s="60">
        <v>2009</v>
      </c>
      <c r="H284" s="60" t="s">
        <v>62</v>
      </c>
      <c r="I284" s="60" t="str">
        <f t="shared" si="14"/>
        <v>2009 Houston Astros</v>
      </c>
      <c r="J284" s="60">
        <v>5436</v>
      </c>
      <c r="K284" s="60">
        <f t="shared" si="12"/>
        <v>971</v>
      </c>
      <c r="L284" s="60">
        <v>270</v>
      </c>
      <c r="M284" s="60">
        <v>32</v>
      </c>
      <c r="N284" s="60">
        <v>142</v>
      </c>
      <c r="O284" s="60">
        <v>448</v>
      </c>
      <c r="P284" s="60">
        <v>43</v>
      </c>
      <c r="Q284" s="60">
        <f t="shared" si="13"/>
        <v>3530</v>
      </c>
      <c r="R284">
        <v>616</v>
      </c>
      <c r="S284">
        <v>37</v>
      </c>
      <c r="T284">
        <v>990</v>
      </c>
      <c r="U284">
        <v>66</v>
      </c>
      <c r="V284">
        <v>45</v>
      </c>
      <c r="W284">
        <v>2</v>
      </c>
      <c r="X284">
        <v>55</v>
      </c>
      <c r="Y284">
        <v>153</v>
      </c>
      <c r="Z284">
        <v>113</v>
      </c>
      <c r="AA284">
        <v>44</v>
      </c>
      <c r="AB284">
        <v>0.26</v>
      </c>
      <c r="AC284">
        <v>0.31900000000000001</v>
      </c>
      <c r="AD284">
        <v>0.4</v>
      </c>
    </row>
    <row r="285" spans="1:30" x14ac:dyDescent="0.5">
      <c r="A285" s="35">
        <v>2009</v>
      </c>
      <c r="B285" t="s">
        <v>150</v>
      </c>
      <c r="C285" t="s">
        <v>149</v>
      </c>
      <c r="D285">
        <v>162</v>
      </c>
      <c r="E285">
        <v>686</v>
      </c>
      <c r="F285">
        <v>1432</v>
      </c>
      <c r="G285" s="60">
        <v>2009</v>
      </c>
      <c r="H285" s="60" t="s">
        <v>64</v>
      </c>
      <c r="I285" s="60" t="str">
        <f t="shared" si="14"/>
        <v>2009 Kansas City Royals</v>
      </c>
      <c r="J285" s="60">
        <v>5532</v>
      </c>
      <c r="K285" s="60">
        <f t="shared" si="12"/>
        <v>961</v>
      </c>
      <c r="L285" s="60">
        <v>276</v>
      </c>
      <c r="M285" s="60">
        <v>51</v>
      </c>
      <c r="N285" s="60">
        <v>144</v>
      </c>
      <c r="O285" s="60">
        <v>457</v>
      </c>
      <c r="P285" s="60">
        <v>42</v>
      </c>
      <c r="Q285" s="60">
        <f t="shared" si="13"/>
        <v>3601</v>
      </c>
      <c r="R285">
        <v>657</v>
      </c>
      <c r="S285">
        <v>20</v>
      </c>
      <c r="T285">
        <v>1091</v>
      </c>
      <c r="U285">
        <v>38</v>
      </c>
      <c r="V285">
        <v>32</v>
      </c>
      <c r="W285">
        <v>2</v>
      </c>
      <c r="X285">
        <v>65</v>
      </c>
      <c r="Y285">
        <v>135</v>
      </c>
      <c r="Z285">
        <v>88</v>
      </c>
      <c r="AA285">
        <v>29</v>
      </c>
      <c r="AB285">
        <v>0.25900000000000001</v>
      </c>
      <c r="AC285">
        <v>0.318</v>
      </c>
      <c r="AD285">
        <v>0.40500000000000003</v>
      </c>
    </row>
    <row r="286" spans="1:30" x14ac:dyDescent="0.5">
      <c r="A286" s="35">
        <v>2009</v>
      </c>
      <c r="B286" t="s">
        <v>145</v>
      </c>
      <c r="C286" t="s">
        <v>38</v>
      </c>
      <c r="D286">
        <v>162</v>
      </c>
      <c r="E286">
        <v>780</v>
      </c>
      <c r="F286">
        <v>1511</v>
      </c>
      <c r="G286" s="60">
        <v>2009</v>
      </c>
      <c r="H286" s="60" t="s">
        <v>66</v>
      </c>
      <c r="I286" s="60" t="str">
        <f t="shared" si="14"/>
        <v>2009 Los Angeles Dodgers</v>
      </c>
      <c r="J286" s="60">
        <v>5592</v>
      </c>
      <c r="K286" s="60">
        <f t="shared" si="12"/>
        <v>1049</v>
      </c>
      <c r="L286" s="60">
        <v>278</v>
      </c>
      <c r="M286" s="60">
        <v>39</v>
      </c>
      <c r="N286" s="60">
        <v>145</v>
      </c>
      <c r="O286" s="60">
        <v>607</v>
      </c>
      <c r="P286" s="60">
        <v>63</v>
      </c>
      <c r="Q286" s="60">
        <f t="shared" si="13"/>
        <v>3411</v>
      </c>
      <c r="R286">
        <v>739</v>
      </c>
      <c r="S286">
        <v>76</v>
      </c>
      <c r="T286">
        <v>1068</v>
      </c>
      <c r="U286">
        <v>78</v>
      </c>
      <c r="V286">
        <v>44</v>
      </c>
      <c r="W286">
        <v>1</v>
      </c>
      <c r="X286">
        <v>73</v>
      </c>
      <c r="Y286">
        <v>141</v>
      </c>
      <c r="Z286">
        <v>116</v>
      </c>
      <c r="AA286">
        <v>48</v>
      </c>
      <c r="AB286">
        <v>0.27</v>
      </c>
      <c r="AC286">
        <v>0.34599999999999997</v>
      </c>
      <c r="AD286">
        <v>0.41199999999999998</v>
      </c>
    </row>
    <row r="287" spans="1:30" x14ac:dyDescent="0.5">
      <c r="A287" s="35">
        <v>2009</v>
      </c>
      <c r="B287" t="s">
        <v>69</v>
      </c>
      <c r="C287" t="s">
        <v>38</v>
      </c>
      <c r="D287">
        <v>162</v>
      </c>
      <c r="E287">
        <v>785</v>
      </c>
      <c r="F287">
        <v>1447</v>
      </c>
      <c r="G287" s="60">
        <v>2009</v>
      </c>
      <c r="H287" s="60" t="s">
        <v>68</v>
      </c>
      <c r="I287" s="60" t="str">
        <f t="shared" si="14"/>
        <v>2009 Milwaukee Brewers</v>
      </c>
      <c r="J287" s="60">
        <v>5510</v>
      </c>
      <c r="K287" s="60">
        <f t="shared" si="12"/>
        <v>947</v>
      </c>
      <c r="L287" s="60">
        <v>281</v>
      </c>
      <c r="M287" s="60">
        <v>37</v>
      </c>
      <c r="N287" s="60">
        <v>182</v>
      </c>
      <c r="O287" s="60">
        <v>610</v>
      </c>
      <c r="P287" s="60">
        <v>71</v>
      </c>
      <c r="Q287" s="60">
        <f t="shared" si="13"/>
        <v>3382</v>
      </c>
      <c r="R287">
        <v>757</v>
      </c>
      <c r="S287">
        <v>44</v>
      </c>
      <c r="T287">
        <v>1231</v>
      </c>
      <c r="U287">
        <v>58</v>
      </c>
      <c r="V287">
        <v>47</v>
      </c>
      <c r="W287">
        <v>0</v>
      </c>
      <c r="X287">
        <v>60</v>
      </c>
      <c r="Y287">
        <v>128</v>
      </c>
      <c r="Z287">
        <v>68</v>
      </c>
      <c r="AA287">
        <v>37</v>
      </c>
      <c r="AB287">
        <v>0.26300000000000001</v>
      </c>
      <c r="AC287">
        <v>0.34100000000000003</v>
      </c>
      <c r="AD287">
        <v>0.42599999999999999</v>
      </c>
    </row>
    <row r="288" spans="1:30" x14ac:dyDescent="0.5">
      <c r="A288" s="35">
        <v>2009</v>
      </c>
      <c r="B288" t="s">
        <v>71</v>
      </c>
      <c r="C288" t="s">
        <v>149</v>
      </c>
      <c r="D288">
        <v>163</v>
      </c>
      <c r="E288">
        <v>817</v>
      </c>
      <c r="F288">
        <v>1539</v>
      </c>
      <c r="G288" s="60">
        <v>2009</v>
      </c>
      <c r="H288" s="60" t="s">
        <v>70</v>
      </c>
      <c r="I288" s="60" t="str">
        <f t="shared" si="14"/>
        <v>2009 Minnesota Twins</v>
      </c>
      <c r="J288" s="60">
        <v>5608</v>
      </c>
      <c r="K288" s="60">
        <f t="shared" si="12"/>
        <v>1056</v>
      </c>
      <c r="L288" s="60">
        <v>271</v>
      </c>
      <c r="M288" s="60">
        <v>40</v>
      </c>
      <c r="N288" s="60">
        <v>172</v>
      </c>
      <c r="O288" s="60">
        <v>585</v>
      </c>
      <c r="P288" s="60">
        <v>45</v>
      </c>
      <c r="Q288" s="60">
        <f t="shared" si="13"/>
        <v>3439</v>
      </c>
      <c r="R288">
        <v>770</v>
      </c>
      <c r="S288">
        <v>46</v>
      </c>
      <c r="T288">
        <v>1021</v>
      </c>
      <c r="U288">
        <v>51</v>
      </c>
      <c r="V288">
        <v>57</v>
      </c>
      <c r="W288">
        <v>0</v>
      </c>
      <c r="X288">
        <v>64</v>
      </c>
      <c r="Y288">
        <v>147</v>
      </c>
      <c r="Z288">
        <v>85</v>
      </c>
      <c r="AA288">
        <v>32</v>
      </c>
      <c r="AB288">
        <v>0.27400000000000002</v>
      </c>
      <c r="AC288">
        <v>0.34499999999999997</v>
      </c>
      <c r="AD288">
        <v>0.42899999999999999</v>
      </c>
    </row>
    <row r="289" spans="1:30" x14ac:dyDescent="0.5">
      <c r="A289" s="35">
        <v>2009</v>
      </c>
      <c r="B289" t="s">
        <v>144</v>
      </c>
      <c r="C289" t="s">
        <v>38</v>
      </c>
      <c r="D289">
        <v>162</v>
      </c>
      <c r="E289">
        <v>671</v>
      </c>
      <c r="F289">
        <v>1472</v>
      </c>
      <c r="G289" s="60">
        <v>2009</v>
      </c>
      <c r="H289" s="60" t="s">
        <v>76</v>
      </c>
      <c r="I289" s="60" t="str">
        <f t="shared" si="14"/>
        <v>2009 New York Mets</v>
      </c>
      <c r="J289" s="60">
        <v>5453</v>
      </c>
      <c r="K289" s="60">
        <f t="shared" si="12"/>
        <v>1033</v>
      </c>
      <c r="L289" s="60">
        <v>295</v>
      </c>
      <c r="M289" s="60">
        <v>49</v>
      </c>
      <c r="N289" s="60">
        <v>95</v>
      </c>
      <c r="O289" s="60">
        <v>526</v>
      </c>
      <c r="P289" s="60">
        <v>36</v>
      </c>
      <c r="Q289" s="60">
        <f t="shared" si="13"/>
        <v>3419</v>
      </c>
      <c r="R289">
        <v>631</v>
      </c>
      <c r="S289">
        <v>49</v>
      </c>
      <c r="T289">
        <v>928</v>
      </c>
      <c r="U289">
        <v>88</v>
      </c>
      <c r="V289">
        <v>55</v>
      </c>
      <c r="W289">
        <v>1</v>
      </c>
      <c r="X289">
        <v>68</v>
      </c>
      <c r="Y289">
        <v>144</v>
      </c>
      <c r="Z289">
        <v>122</v>
      </c>
      <c r="AA289">
        <v>44</v>
      </c>
      <c r="AB289">
        <v>0.27</v>
      </c>
      <c r="AC289">
        <v>0.33500000000000002</v>
      </c>
      <c r="AD289">
        <v>0.39400000000000002</v>
      </c>
    </row>
    <row r="290" spans="1:30" x14ac:dyDescent="0.5">
      <c r="A290" s="35">
        <v>2009</v>
      </c>
      <c r="B290" t="s">
        <v>144</v>
      </c>
      <c r="C290" t="s">
        <v>149</v>
      </c>
      <c r="D290">
        <v>162</v>
      </c>
      <c r="E290">
        <v>915</v>
      </c>
      <c r="F290">
        <v>1604</v>
      </c>
      <c r="G290" s="60">
        <v>2009</v>
      </c>
      <c r="H290" s="60" t="s">
        <v>74</v>
      </c>
      <c r="I290" s="60" t="str">
        <f t="shared" si="14"/>
        <v>2009 New York Yankees</v>
      </c>
      <c r="J290" s="60">
        <v>5660</v>
      </c>
      <c r="K290" s="60">
        <f t="shared" si="12"/>
        <v>1014</v>
      </c>
      <c r="L290" s="60">
        <v>325</v>
      </c>
      <c r="M290" s="60">
        <v>21</v>
      </c>
      <c r="N290" s="60">
        <v>244</v>
      </c>
      <c r="O290" s="60">
        <v>663</v>
      </c>
      <c r="P290" s="60">
        <v>54</v>
      </c>
      <c r="Q290" s="60">
        <f t="shared" si="13"/>
        <v>3339</v>
      </c>
      <c r="R290">
        <v>881</v>
      </c>
      <c r="S290">
        <v>35</v>
      </c>
      <c r="T290">
        <v>1014</v>
      </c>
      <c r="U290">
        <v>31</v>
      </c>
      <c r="V290">
        <v>39</v>
      </c>
      <c r="W290">
        <v>2</v>
      </c>
      <c r="X290">
        <v>72</v>
      </c>
      <c r="Y290">
        <v>144</v>
      </c>
      <c r="Z290">
        <v>111</v>
      </c>
      <c r="AA290">
        <v>28</v>
      </c>
      <c r="AB290">
        <v>0.28299999999999997</v>
      </c>
      <c r="AC290">
        <v>0.36199999999999999</v>
      </c>
      <c r="AD290">
        <v>0.47799999999999998</v>
      </c>
    </row>
    <row r="291" spans="1:30" x14ac:dyDescent="0.5">
      <c r="A291" s="35">
        <v>2009</v>
      </c>
      <c r="B291" t="s">
        <v>79</v>
      </c>
      <c r="C291" t="s">
        <v>149</v>
      </c>
      <c r="D291">
        <v>162</v>
      </c>
      <c r="E291">
        <v>759</v>
      </c>
      <c r="F291">
        <v>1464</v>
      </c>
      <c r="G291" s="60">
        <v>2009</v>
      </c>
      <c r="H291" s="60" t="s">
        <v>78</v>
      </c>
      <c r="I291" s="60" t="str">
        <f t="shared" si="14"/>
        <v>2009 Oakland Athletics</v>
      </c>
      <c r="J291" s="60">
        <v>5584</v>
      </c>
      <c r="K291" s="60">
        <f t="shared" si="12"/>
        <v>1001</v>
      </c>
      <c r="L291" s="60">
        <v>307</v>
      </c>
      <c r="M291" s="60">
        <v>21</v>
      </c>
      <c r="N291" s="60">
        <v>135</v>
      </c>
      <c r="O291" s="60">
        <v>527</v>
      </c>
      <c r="P291" s="60">
        <v>50</v>
      </c>
      <c r="Q291" s="60">
        <f t="shared" si="13"/>
        <v>3543</v>
      </c>
      <c r="R291">
        <v>723</v>
      </c>
      <c r="S291">
        <v>16</v>
      </c>
      <c r="T291">
        <v>1046</v>
      </c>
      <c r="U291">
        <v>31</v>
      </c>
      <c r="V291">
        <v>54</v>
      </c>
      <c r="W291">
        <v>1</v>
      </c>
      <c r="X291">
        <v>65</v>
      </c>
      <c r="Y291">
        <v>130</v>
      </c>
      <c r="Z291">
        <v>133</v>
      </c>
      <c r="AA291">
        <v>48</v>
      </c>
      <c r="AB291">
        <v>0.26200000000000001</v>
      </c>
      <c r="AC291">
        <v>0.32800000000000001</v>
      </c>
      <c r="AD291">
        <v>0.39700000000000002</v>
      </c>
    </row>
    <row r="292" spans="1:30" x14ac:dyDescent="0.5">
      <c r="A292" s="35">
        <v>2009</v>
      </c>
      <c r="B292" t="s">
        <v>81</v>
      </c>
      <c r="C292" t="s">
        <v>38</v>
      </c>
      <c r="D292">
        <v>162</v>
      </c>
      <c r="E292">
        <v>820</v>
      </c>
      <c r="F292">
        <v>1439</v>
      </c>
      <c r="G292" s="60">
        <v>2009</v>
      </c>
      <c r="H292" s="60" t="s">
        <v>80</v>
      </c>
      <c r="I292" s="60" t="str">
        <f t="shared" si="14"/>
        <v>2009 Philadelphia Phillies</v>
      </c>
      <c r="J292" s="60">
        <v>5578</v>
      </c>
      <c r="K292" s="60">
        <f t="shared" si="12"/>
        <v>868</v>
      </c>
      <c r="L292" s="60">
        <v>312</v>
      </c>
      <c r="M292" s="60">
        <v>35</v>
      </c>
      <c r="N292" s="60">
        <v>224</v>
      </c>
      <c r="O292" s="60">
        <v>589</v>
      </c>
      <c r="P292" s="60">
        <v>71</v>
      </c>
      <c r="Q292" s="60">
        <f t="shared" si="13"/>
        <v>3479</v>
      </c>
      <c r="R292">
        <v>788</v>
      </c>
      <c r="S292">
        <v>47</v>
      </c>
      <c r="T292">
        <v>1155</v>
      </c>
      <c r="U292">
        <v>55</v>
      </c>
      <c r="V292">
        <v>45</v>
      </c>
      <c r="W292">
        <v>0</v>
      </c>
      <c r="X292">
        <v>67</v>
      </c>
      <c r="Y292">
        <v>90</v>
      </c>
      <c r="Z292">
        <v>119</v>
      </c>
      <c r="AA292">
        <v>28</v>
      </c>
      <c r="AB292">
        <v>0.25800000000000001</v>
      </c>
      <c r="AC292">
        <v>0.33400000000000002</v>
      </c>
      <c r="AD292">
        <v>0.44700000000000001</v>
      </c>
    </row>
    <row r="293" spans="1:30" x14ac:dyDescent="0.5">
      <c r="A293" s="35">
        <v>2009</v>
      </c>
      <c r="B293" t="s">
        <v>83</v>
      </c>
      <c r="C293" t="s">
        <v>38</v>
      </c>
      <c r="D293">
        <v>161</v>
      </c>
      <c r="E293">
        <v>636</v>
      </c>
      <c r="F293">
        <v>1364</v>
      </c>
      <c r="G293" s="60">
        <v>2009</v>
      </c>
      <c r="H293" s="60" t="s">
        <v>82</v>
      </c>
      <c r="I293" s="60" t="str">
        <f t="shared" si="14"/>
        <v>2009 Pittsburgh Pirates</v>
      </c>
      <c r="J293" s="60">
        <v>5417</v>
      </c>
      <c r="K293" s="60">
        <f t="shared" si="12"/>
        <v>916</v>
      </c>
      <c r="L293" s="60">
        <v>289</v>
      </c>
      <c r="M293" s="60">
        <v>34</v>
      </c>
      <c r="N293" s="60">
        <v>125</v>
      </c>
      <c r="O293" s="60">
        <v>499</v>
      </c>
      <c r="P293" s="60">
        <v>46</v>
      </c>
      <c r="Q293" s="60">
        <f t="shared" si="13"/>
        <v>3508</v>
      </c>
      <c r="R293">
        <v>612</v>
      </c>
      <c r="S293">
        <v>44</v>
      </c>
      <c r="T293">
        <v>1142</v>
      </c>
      <c r="U293">
        <v>60</v>
      </c>
      <c r="V293">
        <v>36</v>
      </c>
      <c r="W293">
        <v>0</v>
      </c>
      <c r="X293">
        <v>64</v>
      </c>
      <c r="Y293">
        <v>124</v>
      </c>
      <c r="Z293">
        <v>90</v>
      </c>
      <c r="AA293">
        <v>32</v>
      </c>
      <c r="AB293">
        <v>0.252</v>
      </c>
      <c r="AC293">
        <v>0.318</v>
      </c>
      <c r="AD293">
        <v>0.38700000000000001</v>
      </c>
    </row>
    <row r="294" spans="1:30" x14ac:dyDescent="0.5">
      <c r="A294" s="35">
        <v>2009</v>
      </c>
      <c r="B294" t="s">
        <v>147</v>
      </c>
      <c r="C294" t="s">
        <v>38</v>
      </c>
      <c r="D294">
        <v>162</v>
      </c>
      <c r="E294">
        <v>638</v>
      </c>
      <c r="F294">
        <v>1315</v>
      </c>
      <c r="G294" s="60">
        <v>2009</v>
      </c>
      <c r="H294" s="60" t="s">
        <v>84</v>
      </c>
      <c r="I294" s="60" t="str">
        <f t="shared" si="14"/>
        <v>2009 San Diego Padres</v>
      </c>
      <c r="J294" s="60">
        <v>5425</v>
      </c>
      <c r="K294" s="60">
        <f t="shared" si="12"/>
        <v>878</v>
      </c>
      <c r="L294" s="60">
        <v>265</v>
      </c>
      <c r="M294" s="60">
        <v>31</v>
      </c>
      <c r="N294" s="60">
        <v>141</v>
      </c>
      <c r="O294" s="60">
        <v>586</v>
      </c>
      <c r="P294" s="60">
        <v>57</v>
      </c>
      <c r="Q294" s="60">
        <f t="shared" si="13"/>
        <v>3467</v>
      </c>
      <c r="R294">
        <v>605</v>
      </c>
      <c r="S294">
        <v>52</v>
      </c>
      <c r="T294">
        <v>1182</v>
      </c>
      <c r="U294">
        <v>74</v>
      </c>
      <c r="V294">
        <v>36</v>
      </c>
      <c r="W294">
        <v>1</v>
      </c>
      <c r="X294">
        <v>57</v>
      </c>
      <c r="Y294">
        <v>131</v>
      </c>
      <c r="Z294">
        <v>82</v>
      </c>
      <c r="AA294">
        <v>29</v>
      </c>
      <c r="AB294">
        <v>0.24199999999999999</v>
      </c>
      <c r="AC294">
        <v>0.32100000000000001</v>
      </c>
      <c r="AD294">
        <v>0.38100000000000001</v>
      </c>
    </row>
    <row r="295" spans="1:30" x14ac:dyDescent="0.5">
      <c r="A295" s="35">
        <v>2009</v>
      </c>
      <c r="B295" t="s">
        <v>87</v>
      </c>
      <c r="C295" t="s">
        <v>149</v>
      </c>
      <c r="D295">
        <v>162</v>
      </c>
      <c r="E295">
        <v>640</v>
      </c>
      <c r="F295">
        <v>1430</v>
      </c>
      <c r="G295" s="60">
        <v>2009</v>
      </c>
      <c r="H295" s="60" t="s">
        <v>86</v>
      </c>
      <c r="I295" s="60" t="str">
        <f t="shared" si="14"/>
        <v>2009 Seattle Mariners</v>
      </c>
      <c r="J295" s="60">
        <v>5543</v>
      </c>
      <c r="K295" s="60">
        <f t="shared" si="12"/>
        <v>971</v>
      </c>
      <c r="L295" s="60">
        <v>280</v>
      </c>
      <c r="M295" s="60">
        <v>19</v>
      </c>
      <c r="N295" s="60">
        <v>160</v>
      </c>
      <c r="O295" s="60">
        <v>421</v>
      </c>
      <c r="P295" s="60">
        <v>49</v>
      </c>
      <c r="Q295" s="60">
        <f t="shared" si="13"/>
        <v>3643</v>
      </c>
      <c r="R295">
        <v>613</v>
      </c>
      <c r="S295">
        <v>39</v>
      </c>
      <c r="T295">
        <v>1093</v>
      </c>
      <c r="U295">
        <v>56</v>
      </c>
      <c r="V295">
        <v>44</v>
      </c>
      <c r="W295">
        <v>0</v>
      </c>
      <c r="X295">
        <v>58</v>
      </c>
      <c r="Y295">
        <v>124</v>
      </c>
      <c r="Z295">
        <v>89</v>
      </c>
      <c r="AA295">
        <v>33</v>
      </c>
      <c r="AB295">
        <v>0.25800000000000001</v>
      </c>
      <c r="AC295">
        <v>0.314</v>
      </c>
      <c r="AD295">
        <v>0.40200000000000002</v>
      </c>
    </row>
    <row r="296" spans="1:30" x14ac:dyDescent="0.5">
      <c r="A296" s="35">
        <v>2009</v>
      </c>
      <c r="B296" t="s">
        <v>21</v>
      </c>
      <c r="C296" t="s">
        <v>38</v>
      </c>
      <c r="D296">
        <v>162</v>
      </c>
      <c r="E296">
        <v>657</v>
      </c>
      <c r="F296">
        <v>1411</v>
      </c>
      <c r="G296" s="60">
        <v>2009</v>
      </c>
      <c r="H296" s="60" t="s">
        <v>88</v>
      </c>
      <c r="I296" s="60" t="str">
        <f t="shared" si="14"/>
        <v>2009 San Francisco Giants</v>
      </c>
      <c r="J296" s="60">
        <v>5493</v>
      </c>
      <c r="K296" s="60">
        <f t="shared" si="12"/>
        <v>971</v>
      </c>
      <c r="L296" s="60">
        <v>275</v>
      </c>
      <c r="M296" s="60">
        <v>43</v>
      </c>
      <c r="N296" s="60">
        <v>122</v>
      </c>
      <c r="O296" s="60">
        <v>392</v>
      </c>
      <c r="P296" s="60">
        <v>50</v>
      </c>
      <c r="Q296" s="60">
        <f t="shared" si="13"/>
        <v>3640</v>
      </c>
      <c r="R296">
        <v>612</v>
      </c>
      <c r="S296">
        <v>41</v>
      </c>
      <c r="T296">
        <v>1158</v>
      </c>
      <c r="U296">
        <v>67</v>
      </c>
      <c r="V296">
        <v>55</v>
      </c>
      <c r="W296">
        <v>0</v>
      </c>
      <c r="X296">
        <v>65</v>
      </c>
      <c r="Y296">
        <v>115</v>
      </c>
      <c r="Z296">
        <v>78</v>
      </c>
      <c r="AA296">
        <v>28</v>
      </c>
      <c r="AB296">
        <v>0.25700000000000001</v>
      </c>
      <c r="AC296">
        <v>0.309</v>
      </c>
      <c r="AD296">
        <v>0.38900000000000001</v>
      </c>
    </row>
    <row r="297" spans="1:30" x14ac:dyDescent="0.5">
      <c r="A297" s="35">
        <v>2009</v>
      </c>
      <c r="B297" t="s">
        <v>142</v>
      </c>
      <c r="C297" t="s">
        <v>38</v>
      </c>
      <c r="D297">
        <v>162</v>
      </c>
      <c r="E297">
        <v>730</v>
      </c>
      <c r="F297">
        <v>1436</v>
      </c>
      <c r="G297" s="60">
        <v>2009</v>
      </c>
      <c r="H297" s="60" t="s">
        <v>90</v>
      </c>
      <c r="I297" s="60" t="str">
        <f t="shared" si="14"/>
        <v>2009 St. Louis Cardinals</v>
      </c>
      <c r="J297" s="60">
        <v>5465</v>
      </c>
      <c r="K297" s="60">
        <f t="shared" si="12"/>
        <v>953</v>
      </c>
      <c r="L297" s="60">
        <v>294</v>
      </c>
      <c r="M297" s="60">
        <v>29</v>
      </c>
      <c r="N297" s="60">
        <v>160</v>
      </c>
      <c r="O297" s="60">
        <v>528</v>
      </c>
      <c r="P297" s="60">
        <v>61</v>
      </c>
      <c r="Q297" s="60">
        <f t="shared" si="13"/>
        <v>3440</v>
      </c>
      <c r="R297">
        <v>694</v>
      </c>
      <c r="S297">
        <v>73</v>
      </c>
      <c r="T297">
        <v>1041</v>
      </c>
      <c r="U297">
        <v>68</v>
      </c>
      <c r="V297">
        <v>43</v>
      </c>
      <c r="W297">
        <v>3</v>
      </c>
      <c r="X297">
        <v>66</v>
      </c>
      <c r="Y297">
        <v>127</v>
      </c>
      <c r="Z297">
        <v>75</v>
      </c>
      <c r="AA297">
        <v>31</v>
      </c>
      <c r="AB297">
        <v>0.26300000000000001</v>
      </c>
      <c r="AC297">
        <v>0.33200000000000002</v>
      </c>
      <c r="AD297">
        <v>0.41499999999999998</v>
      </c>
    </row>
    <row r="298" spans="1:30" x14ac:dyDescent="0.5">
      <c r="A298" s="35">
        <v>2009</v>
      </c>
      <c r="B298" t="s">
        <v>151</v>
      </c>
      <c r="C298" t="s">
        <v>149</v>
      </c>
      <c r="D298">
        <v>162</v>
      </c>
      <c r="E298">
        <v>803</v>
      </c>
      <c r="F298">
        <v>1434</v>
      </c>
      <c r="G298" s="60">
        <v>2009</v>
      </c>
      <c r="H298" s="60" t="s">
        <v>92</v>
      </c>
      <c r="I298" s="60" t="str">
        <f t="shared" si="14"/>
        <v>2009 Tampa Bay Devil Rays</v>
      </c>
      <c r="J298" s="60">
        <v>5462</v>
      </c>
      <c r="K298" s="60">
        <f t="shared" si="12"/>
        <v>902</v>
      </c>
      <c r="L298" s="60">
        <v>297</v>
      </c>
      <c r="M298" s="60">
        <v>36</v>
      </c>
      <c r="N298" s="60">
        <v>199</v>
      </c>
      <c r="O298" s="60">
        <v>642</v>
      </c>
      <c r="P298" s="60">
        <v>49</v>
      </c>
      <c r="Q298" s="60">
        <f t="shared" si="13"/>
        <v>3337</v>
      </c>
      <c r="R298">
        <v>765</v>
      </c>
      <c r="S298">
        <v>36</v>
      </c>
      <c r="T298">
        <v>1229</v>
      </c>
      <c r="U298">
        <v>25</v>
      </c>
      <c r="V298">
        <v>45</v>
      </c>
      <c r="W298">
        <v>0</v>
      </c>
      <c r="X298">
        <v>55</v>
      </c>
      <c r="Y298">
        <v>104</v>
      </c>
      <c r="Z298">
        <v>194</v>
      </c>
      <c r="AA298">
        <v>61</v>
      </c>
      <c r="AB298">
        <v>0.26300000000000001</v>
      </c>
      <c r="AC298">
        <v>0.34300000000000003</v>
      </c>
      <c r="AD298">
        <v>0.439</v>
      </c>
    </row>
    <row r="299" spans="1:30" x14ac:dyDescent="0.5">
      <c r="A299" s="35">
        <v>2009</v>
      </c>
      <c r="B299" t="s">
        <v>95</v>
      </c>
      <c r="C299" t="s">
        <v>149</v>
      </c>
      <c r="D299">
        <v>162</v>
      </c>
      <c r="E299">
        <v>784</v>
      </c>
      <c r="F299">
        <v>1436</v>
      </c>
      <c r="G299" s="60">
        <v>2009</v>
      </c>
      <c r="H299" s="60" t="s">
        <v>94</v>
      </c>
      <c r="I299" s="60" t="str">
        <f t="shared" si="14"/>
        <v>2009 Texas Rangers</v>
      </c>
      <c r="J299" s="60">
        <v>5526</v>
      </c>
      <c r="K299" s="60">
        <f t="shared" si="12"/>
        <v>889</v>
      </c>
      <c r="L299" s="60">
        <v>296</v>
      </c>
      <c r="M299" s="60">
        <v>27</v>
      </c>
      <c r="N299" s="60">
        <v>224</v>
      </c>
      <c r="O299" s="60">
        <v>472</v>
      </c>
      <c r="P299" s="60">
        <v>37</v>
      </c>
      <c r="Q299" s="60">
        <f t="shared" si="13"/>
        <v>3581</v>
      </c>
      <c r="R299">
        <v>748</v>
      </c>
      <c r="S299">
        <v>23</v>
      </c>
      <c r="T299">
        <v>1253</v>
      </c>
      <c r="U299">
        <v>40</v>
      </c>
      <c r="V299">
        <v>51</v>
      </c>
      <c r="W299">
        <v>1</v>
      </c>
      <c r="X299">
        <v>73</v>
      </c>
      <c r="Y299">
        <v>97</v>
      </c>
      <c r="Z299">
        <v>149</v>
      </c>
      <c r="AA299">
        <v>36</v>
      </c>
      <c r="AB299">
        <v>0.26</v>
      </c>
      <c r="AC299">
        <v>0.32</v>
      </c>
      <c r="AD299">
        <v>0.44500000000000001</v>
      </c>
    </row>
    <row r="300" spans="1:30" x14ac:dyDescent="0.5">
      <c r="A300" s="35">
        <v>2009</v>
      </c>
      <c r="B300" t="s">
        <v>97</v>
      </c>
      <c r="C300" t="s">
        <v>149</v>
      </c>
      <c r="D300">
        <v>162</v>
      </c>
      <c r="E300">
        <v>798</v>
      </c>
      <c r="F300">
        <v>1516</v>
      </c>
      <c r="G300" s="60">
        <v>2009</v>
      </c>
      <c r="H300" s="60" t="s">
        <v>96</v>
      </c>
      <c r="I300" s="60" t="str">
        <f t="shared" si="14"/>
        <v>2009 Toronto Blue Jays</v>
      </c>
      <c r="J300" s="60">
        <v>5696</v>
      </c>
      <c r="K300" s="60">
        <f t="shared" si="12"/>
        <v>955</v>
      </c>
      <c r="L300" s="60">
        <v>339</v>
      </c>
      <c r="M300" s="60">
        <v>13</v>
      </c>
      <c r="N300" s="60">
        <v>209</v>
      </c>
      <c r="O300" s="60">
        <v>548</v>
      </c>
      <c r="P300" s="60">
        <v>45</v>
      </c>
      <c r="Q300" s="60">
        <f t="shared" si="13"/>
        <v>3587</v>
      </c>
      <c r="R300">
        <v>766</v>
      </c>
      <c r="S300">
        <v>23</v>
      </c>
      <c r="T300">
        <v>1028</v>
      </c>
      <c r="U300">
        <v>24</v>
      </c>
      <c r="V300">
        <v>49</v>
      </c>
      <c r="W300">
        <v>0</v>
      </c>
      <c r="X300">
        <v>68</v>
      </c>
      <c r="Y300">
        <v>130</v>
      </c>
      <c r="Z300">
        <v>73</v>
      </c>
      <c r="AA300">
        <v>23</v>
      </c>
      <c r="AB300">
        <v>0.26600000000000001</v>
      </c>
      <c r="AC300">
        <v>0.33300000000000002</v>
      </c>
      <c r="AD300">
        <v>0.44</v>
      </c>
    </row>
    <row r="301" spans="1:30" x14ac:dyDescent="0.5">
      <c r="A301" s="35">
        <v>2009</v>
      </c>
      <c r="B301" t="s">
        <v>101</v>
      </c>
      <c r="C301" t="s">
        <v>38</v>
      </c>
      <c r="D301">
        <v>162</v>
      </c>
      <c r="E301">
        <v>710</v>
      </c>
      <c r="F301">
        <v>1416</v>
      </c>
      <c r="G301" s="60">
        <v>2009</v>
      </c>
      <c r="H301" s="60" t="s">
        <v>100</v>
      </c>
      <c r="I301" s="60" t="str">
        <f t="shared" si="14"/>
        <v>2009 Washington Nationals</v>
      </c>
      <c r="J301" s="60">
        <v>5493</v>
      </c>
      <c r="K301" s="60">
        <f t="shared" si="12"/>
        <v>951</v>
      </c>
      <c r="L301" s="60">
        <v>271</v>
      </c>
      <c r="M301" s="60">
        <v>38</v>
      </c>
      <c r="N301" s="60">
        <v>156</v>
      </c>
      <c r="O301" s="60">
        <v>617</v>
      </c>
      <c r="P301" s="60">
        <v>56</v>
      </c>
      <c r="Q301" s="60">
        <f t="shared" si="13"/>
        <v>3404</v>
      </c>
      <c r="R301">
        <v>685</v>
      </c>
      <c r="S301">
        <v>39</v>
      </c>
      <c r="T301">
        <v>1208</v>
      </c>
      <c r="U301">
        <v>64</v>
      </c>
      <c r="V301">
        <v>42</v>
      </c>
      <c r="W301">
        <v>1</v>
      </c>
      <c r="X301">
        <v>55</v>
      </c>
      <c r="Y301">
        <v>133</v>
      </c>
      <c r="Z301">
        <v>73</v>
      </c>
      <c r="AA301">
        <v>40</v>
      </c>
      <c r="AB301">
        <v>0.25800000000000001</v>
      </c>
      <c r="AC301">
        <v>0.33700000000000002</v>
      </c>
      <c r="AD301">
        <v>0.40600000000000003</v>
      </c>
    </row>
    <row r="302" spans="1:30" x14ac:dyDescent="0.5">
      <c r="A302" s="35">
        <v>2010</v>
      </c>
      <c r="B302" t="s">
        <v>37</v>
      </c>
      <c r="C302" t="s">
        <v>149</v>
      </c>
      <c r="D302">
        <v>162</v>
      </c>
      <c r="E302">
        <v>681</v>
      </c>
      <c r="F302">
        <v>1363</v>
      </c>
      <c r="G302" s="60">
        <v>2010</v>
      </c>
      <c r="H302" s="60" t="s">
        <v>36</v>
      </c>
      <c r="I302" s="60" t="str">
        <f t="shared" si="14"/>
        <v>2010 Anaheim Angels</v>
      </c>
      <c r="J302" s="60">
        <v>5488</v>
      </c>
      <c r="K302" s="60">
        <f t="shared" si="12"/>
        <v>913</v>
      </c>
      <c r="L302" s="60">
        <v>276</v>
      </c>
      <c r="M302" s="60">
        <v>19</v>
      </c>
      <c r="N302" s="60">
        <v>155</v>
      </c>
      <c r="O302" s="60">
        <v>466</v>
      </c>
      <c r="P302" s="60">
        <v>52</v>
      </c>
      <c r="Q302" s="60">
        <f t="shared" si="13"/>
        <v>3607</v>
      </c>
      <c r="R302">
        <v>656</v>
      </c>
      <c r="S302">
        <v>28</v>
      </c>
      <c r="T302">
        <v>1070</v>
      </c>
      <c r="U302">
        <v>42</v>
      </c>
      <c r="V302">
        <v>37</v>
      </c>
      <c r="W302">
        <v>4</v>
      </c>
      <c r="X302">
        <v>81</v>
      </c>
      <c r="Y302">
        <v>125</v>
      </c>
      <c r="Z302">
        <v>104</v>
      </c>
      <c r="AA302">
        <v>52</v>
      </c>
      <c r="AB302">
        <v>0.248</v>
      </c>
      <c r="AC302">
        <v>0.311</v>
      </c>
      <c r="AD302">
        <v>0.39</v>
      </c>
    </row>
    <row r="303" spans="1:30" x14ac:dyDescent="0.5">
      <c r="A303" s="35">
        <v>2010</v>
      </c>
      <c r="B303" t="s">
        <v>40</v>
      </c>
      <c r="C303" t="s">
        <v>38</v>
      </c>
      <c r="D303">
        <v>162</v>
      </c>
      <c r="E303">
        <v>713</v>
      </c>
      <c r="F303">
        <v>1366</v>
      </c>
      <c r="G303" s="60">
        <v>2010</v>
      </c>
      <c r="H303" s="60" t="s">
        <v>39</v>
      </c>
      <c r="I303" s="60" t="str">
        <f t="shared" si="14"/>
        <v>2010 Arizona Diamondbacks</v>
      </c>
      <c r="J303" s="60">
        <v>5473</v>
      </c>
      <c r="K303" s="60">
        <f t="shared" si="12"/>
        <v>851</v>
      </c>
      <c r="L303" s="60">
        <v>301</v>
      </c>
      <c r="M303" s="60">
        <v>34</v>
      </c>
      <c r="N303" s="60">
        <v>180</v>
      </c>
      <c r="O303" s="60">
        <v>589</v>
      </c>
      <c r="P303" s="60">
        <v>39</v>
      </c>
      <c r="Q303" s="60">
        <f t="shared" si="13"/>
        <v>3479</v>
      </c>
      <c r="R303">
        <v>691</v>
      </c>
      <c r="S303">
        <v>45</v>
      </c>
      <c r="T303">
        <v>1529</v>
      </c>
      <c r="U303">
        <v>41</v>
      </c>
      <c r="V303">
        <v>41</v>
      </c>
      <c r="W303">
        <v>0</v>
      </c>
      <c r="X303">
        <v>56</v>
      </c>
      <c r="Y303">
        <v>113</v>
      </c>
      <c r="Z303">
        <v>86</v>
      </c>
      <c r="AA303">
        <v>41</v>
      </c>
      <c r="AB303">
        <v>0.25</v>
      </c>
      <c r="AC303">
        <v>0.32500000000000001</v>
      </c>
      <c r="AD303">
        <v>0.41599999999999998</v>
      </c>
    </row>
    <row r="304" spans="1:30" x14ac:dyDescent="0.5">
      <c r="A304" s="35">
        <v>2010</v>
      </c>
      <c r="B304" t="s">
        <v>42</v>
      </c>
      <c r="C304" t="s">
        <v>38</v>
      </c>
      <c r="D304">
        <v>162</v>
      </c>
      <c r="E304">
        <v>738</v>
      </c>
      <c r="F304">
        <v>1411</v>
      </c>
      <c r="G304" s="60">
        <v>2010</v>
      </c>
      <c r="H304" s="60" t="s">
        <v>41</v>
      </c>
      <c r="I304" s="60" t="str">
        <f t="shared" si="14"/>
        <v>2010 Atlanta Braves</v>
      </c>
      <c r="J304" s="60">
        <v>5463</v>
      </c>
      <c r="K304" s="60">
        <f t="shared" si="12"/>
        <v>935</v>
      </c>
      <c r="L304" s="60">
        <v>312</v>
      </c>
      <c r="M304" s="60">
        <v>25</v>
      </c>
      <c r="N304" s="60">
        <v>139</v>
      </c>
      <c r="O304" s="60">
        <v>634</v>
      </c>
      <c r="P304" s="60">
        <v>51</v>
      </c>
      <c r="Q304" s="60">
        <f t="shared" si="13"/>
        <v>3367</v>
      </c>
      <c r="R304">
        <v>699</v>
      </c>
      <c r="S304">
        <v>50</v>
      </c>
      <c r="T304">
        <v>1140</v>
      </c>
      <c r="U304">
        <v>69</v>
      </c>
      <c r="V304">
        <v>35</v>
      </c>
      <c r="W304">
        <v>0</v>
      </c>
      <c r="X304">
        <v>70</v>
      </c>
      <c r="Y304">
        <v>136</v>
      </c>
      <c r="Z304">
        <v>63</v>
      </c>
      <c r="AA304">
        <v>29</v>
      </c>
      <c r="AB304">
        <v>0.25800000000000001</v>
      </c>
      <c r="AC304">
        <v>0.33900000000000002</v>
      </c>
      <c r="AD304">
        <v>0.40100000000000002</v>
      </c>
    </row>
    <row r="305" spans="1:30" x14ac:dyDescent="0.5">
      <c r="A305" s="35">
        <v>2010</v>
      </c>
      <c r="B305" t="s">
        <v>45</v>
      </c>
      <c r="C305" t="s">
        <v>149</v>
      </c>
      <c r="D305">
        <v>162</v>
      </c>
      <c r="E305">
        <v>613</v>
      </c>
      <c r="F305">
        <v>1440</v>
      </c>
      <c r="G305" s="60">
        <v>2010</v>
      </c>
      <c r="H305" s="60" t="s">
        <v>44</v>
      </c>
      <c r="I305" s="60" t="str">
        <f t="shared" si="14"/>
        <v>2010 Baltimore Orioles</v>
      </c>
      <c r="J305" s="60">
        <v>5554</v>
      </c>
      <c r="K305" s="60">
        <f t="shared" si="12"/>
        <v>1022</v>
      </c>
      <c r="L305" s="60">
        <v>264</v>
      </c>
      <c r="M305" s="60">
        <v>21</v>
      </c>
      <c r="N305" s="60">
        <v>133</v>
      </c>
      <c r="O305" s="60">
        <v>424</v>
      </c>
      <c r="P305" s="60">
        <v>54</v>
      </c>
      <c r="Q305" s="60">
        <f t="shared" si="13"/>
        <v>3636</v>
      </c>
      <c r="R305">
        <v>577</v>
      </c>
      <c r="S305">
        <v>32</v>
      </c>
      <c r="T305">
        <v>1056</v>
      </c>
      <c r="U305">
        <v>31</v>
      </c>
      <c r="V305">
        <v>45</v>
      </c>
      <c r="W305">
        <v>1</v>
      </c>
      <c r="X305">
        <v>66</v>
      </c>
      <c r="Y305">
        <v>154</v>
      </c>
      <c r="Z305">
        <v>76</v>
      </c>
      <c r="AA305">
        <v>34</v>
      </c>
      <c r="AB305">
        <v>0.25900000000000001</v>
      </c>
      <c r="AC305">
        <v>0.316</v>
      </c>
      <c r="AD305">
        <v>0.38600000000000001</v>
      </c>
    </row>
    <row r="306" spans="1:30" x14ac:dyDescent="0.5">
      <c r="A306" s="35">
        <v>2010</v>
      </c>
      <c r="B306" t="s">
        <v>47</v>
      </c>
      <c r="C306" t="s">
        <v>149</v>
      </c>
      <c r="D306">
        <v>162</v>
      </c>
      <c r="E306">
        <v>818</v>
      </c>
      <c r="F306">
        <v>1511</v>
      </c>
      <c r="G306" s="60">
        <v>2010</v>
      </c>
      <c r="H306" s="60" t="s">
        <v>46</v>
      </c>
      <c r="I306" s="60" t="str">
        <f t="shared" si="14"/>
        <v>2010 Boston Red Sox</v>
      </c>
      <c r="J306" s="60">
        <v>5646</v>
      </c>
      <c r="K306" s="60">
        <f t="shared" si="12"/>
        <v>920</v>
      </c>
      <c r="L306" s="60">
        <v>358</v>
      </c>
      <c r="M306" s="60">
        <v>22</v>
      </c>
      <c r="N306" s="60">
        <v>211</v>
      </c>
      <c r="O306" s="60">
        <v>587</v>
      </c>
      <c r="P306" s="60">
        <v>47</v>
      </c>
      <c r="Q306" s="60">
        <f t="shared" si="13"/>
        <v>3501</v>
      </c>
      <c r="R306">
        <v>782</v>
      </c>
      <c r="S306">
        <v>43</v>
      </c>
      <c r="T306">
        <v>1140</v>
      </c>
      <c r="U306">
        <v>29</v>
      </c>
      <c r="V306">
        <v>46</v>
      </c>
      <c r="W306">
        <v>1</v>
      </c>
      <c r="X306">
        <v>61</v>
      </c>
      <c r="Y306">
        <v>130</v>
      </c>
      <c r="Z306">
        <v>68</v>
      </c>
      <c r="AA306">
        <v>17</v>
      </c>
      <c r="AB306">
        <v>0.26800000000000002</v>
      </c>
      <c r="AC306">
        <v>0.33900000000000002</v>
      </c>
      <c r="AD306">
        <v>0.45100000000000001</v>
      </c>
    </row>
    <row r="307" spans="1:30" x14ac:dyDescent="0.5">
      <c r="A307" s="35">
        <v>2010</v>
      </c>
      <c r="B307" t="s">
        <v>143</v>
      </c>
      <c r="C307" t="s">
        <v>38</v>
      </c>
      <c r="D307">
        <v>162</v>
      </c>
      <c r="E307">
        <v>685</v>
      </c>
      <c r="F307">
        <v>1414</v>
      </c>
      <c r="G307" s="60">
        <v>2010</v>
      </c>
      <c r="H307" s="60" t="s">
        <v>50</v>
      </c>
      <c r="I307" s="60" t="str">
        <f t="shared" si="14"/>
        <v>2010 Chicago Cubs</v>
      </c>
      <c r="J307" s="60">
        <v>5512</v>
      </c>
      <c r="K307" s="60">
        <f t="shared" si="12"/>
        <v>940</v>
      </c>
      <c r="L307" s="60">
        <v>298</v>
      </c>
      <c r="M307" s="60">
        <v>27</v>
      </c>
      <c r="N307" s="60">
        <v>149</v>
      </c>
      <c r="O307" s="60">
        <v>479</v>
      </c>
      <c r="P307" s="60">
        <v>50</v>
      </c>
      <c r="Q307" s="60">
        <f t="shared" si="13"/>
        <v>3569</v>
      </c>
      <c r="R307">
        <v>658</v>
      </c>
      <c r="S307">
        <v>32</v>
      </c>
      <c r="T307">
        <v>1236</v>
      </c>
      <c r="U307">
        <v>60</v>
      </c>
      <c r="V307">
        <v>38</v>
      </c>
      <c r="W307">
        <v>1</v>
      </c>
      <c r="X307">
        <v>73</v>
      </c>
      <c r="Y307">
        <v>124</v>
      </c>
      <c r="Z307">
        <v>55</v>
      </c>
      <c r="AA307">
        <v>31</v>
      </c>
      <c r="AB307">
        <v>0.25700000000000001</v>
      </c>
      <c r="AC307">
        <v>0.32</v>
      </c>
      <c r="AD307">
        <v>0.40100000000000002</v>
      </c>
    </row>
    <row r="308" spans="1:30" x14ac:dyDescent="0.5">
      <c r="A308" s="35">
        <v>2010</v>
      </c>
      <c r="B308" t="s">
        <v>143</v>
      </c>
      <c r="C308" t="s">
        <v>149</v>
      </c>
      <c r="D308">
        <v>162</v>
      </c>
      <c r="E308">
        <v>752</v>
      </c>
      <c r="F308">
        <v>1467</v>
      </c>
      <c r="G308" s="60">
        <v>2010</v>
      </c>
      <c r="H308" s="60" t="s">
        <v>48</v>
      </c>
      <c r="I308" s="60" t="str">
        <f t="shared" si="14"/>
        <v>2010 Chicago White Sox</v>
      </c>
      <c r="J308" s="60">
        <v>5484</v>
      </c>
      <c r="K308" s="60">
        <f t="shared" si="12"/>
        <v>1006</v>
      </c>
      <c r="L308" s="60">
        <v>263</v>
      </c>
      <c r="M308" s="60">
        <v>21</v>
      </c>
      <c r="N308" s="60">
        <v>177</v>
      </c>
      <c r="O308" s="60">
        <v>467</v>
      </c>
      <c r="P308" s="60">
        <v>79</v>
      </c>
      <c r="Q308" s="60">
        <f t="shared" si="13"/>
        <v>3471</v>
      </c>
      <c r="R308">
        <v>710</v>
      </c>
      <c r="S308">
        <v>23</v>
      </c>
      <c r="T308">
        <v>922</v>
      </c>
      <c r="U308">
        <v>50</v>
      </c>
      <c r="V308">
        <v>38</v>
      </c>
      <c r="W308">
        <v>0</v>
      </c>
      <c r="X308">
        <v>60</v>
      </c>
      <c r="Y308">
        <v>148</v>
      </c>
      <c r="Z308">
        <v>160</v>
      </c>
      <c r="AA308">
        <v>74</v>
      </c>
      <c r="AB308">
        <v>0.26800000000000002</v>
      </c>
      <c r="AC308">
        <v>0.33200000000000002</v>
      </c>
      <c r="AD308">
        <v>0.42</v>
      </c>
    </row>
    <row r="309" spans="1:30" x14ac:dyDescent="0.5">
      <c r="A309" s="35">
        <v>2010</v>
      </c>
      <c r="B309" t="s">
        <v>53</v>
      </c>
      <c r="C309" t="s">
        <v>38</v>
      </c>
      <c r="D309">
        <v>162</v>
      </c>
      <c r="E309">
        <v>790</v>
      </c>
      <c r="F309">
        <v>1515</v>
      </c>
      <c r="G309" s="60">
        <v>2010</v>
      </c>
      <c r="H309" s="60" t="s">
        <v>52</v>
      </c>
      <c r="I309" s="60" t="str">
        <f t="shared" si="14"/>
        <v>2010 Cincinnati Reds</v>
      </c>
      <c r="J309" s="60">
        <v>5579</v>
      </c>
      <c r="K309" s="60">
        <f t="shared" si="12"/>
        <v>1004</v>
      </c>
      <c r="L309" s="60">
        <v>293</v>
      </c>
      <c r="M309" s="60">
        <v>30</v>
      </c>
      <c r="N309" s="60">
        <v>188</v>
      </c>
      <c r="O309" s="60">
        <v>522</v>
      </c>
      <c r="P309" s="60">
        <v>68</v>
      </c>
      <c r="Q309" s="60">
        <f t="shared" si="13"/>
        <v>3474</v>
      </c>
      <c r="R309">
        <v>761</v>
      </c>
      <c r="S309">
        <v>34</v>
      </c>
      <c r="T309">
        <v>1218</v>
      </c>
      <c r="U309">
        <v>66</v>
      </c>
      <c r="V309">
        <v>50</v>
      </c>
      <c r="W309">
        <v>0</v>
      </c>
      <c r="X309">
        <v>75</v>
      </c>
      <c r="Y309">
        <v>113</v>
      </c>
      <c r="Z309">
        <v>93</v>
      </c>
      <c r="AA309">
        <v>43</v>
      </c>
      <c r="AB309">
        <v>0.27200000000000002</v>
      </c>
      <c r="AC309">
        <v>0.33800000000000002</v>
      </c>
      <c r="AD309">
        <v>0.436</v>
      </c>
    </row>
    <row r="310" spans="1:30" x14ac:dyDescent="0.5">
      <c r="A310" s="35">
        <v>2010</v>
      </c>
      <c r="B310" t="s">
        <v>55</v>
      </c>
      <c r="C310" t="s">
        <v>149</v>
      </c>
      <c r="D310">
        <v>162</v>
      </c>
      <c r="E310">
        <v>646</v>
      </c>
      <c r="F310">
        <v>1362</v>
      </c>
      <c r="G310" s="60">
        <v>2010</v>
      </c>
      <c r="H310" s="60" t="s">
        <v>54</v>
      </c>
      <c r="I310" s="60" t="str">
        <f t="shared" si="14"/>
        <v>2010 Cleveland Indians</v>
      </c>
      <c r="J310" s="60">
        <v>5487</v>
      </c>
      <c r="K310" s="60">
        <f t="shared" si="12"/>
        <v>924</v>
      </c>
      <c r="L310" s="60">
        <v>290</v>
      </c>
      <c r="M310" s="60">
        <v>20</v>
      </c>
      <c r="N310" s="60">
        <v>128</v>
      </c>
      <c r="O310" s="60">
        <v>545</v>
      </c>
      <c r="P310" s="60">
        <v>64</v>
      </c>
      <c r="Q310" s="60">
        <f t="shared" si="13"/>
        <v>3516</v>
      </c>
      <c r="R310">
        <v>601</v>
      </c>
      <c r="S310">
        <v>34</v>
      </c>
      <c r="T310">
        <v>1184</v>
      </c>
      <c r="U310">
        <v>36</v>
      </c>
      <c r="V310">
        <v>33</v>
      </c>
      <c r="W310">
        <v>0</v>
      </c>
      <c r="X310">
        <v>59</v>
      </c>
      <c r="Y310">
        <v>118</v>
      </c>
      <c r="Z310">
        <v>91</v>
      </c>
      <c r="AA310">
        <v>33</v>
      </c>
      <c r="AB310">
        <v>0.248</v>
      </c>
      <c r="AC310">
        <v>0.32200000000000001</v>
      </c>
      <c r="AD310">
        <v>0.378</v>
      </c>
    </row>
    <row r="311" spans="1:30" x14ac:dyDescent="0.5">
      <c r="A311" s="35">
        <v>2010</v>
      </c>
      <c r="B311" t="s">
        <v>57</v>
      </c>
      <c r="C311" t="s">
        <v>38</v>
      </c>
      <c r="D311">
        <v>162</v>
      </c>
      <c r="E311">
        <v>770</v>
      </c>
      <c r="F311">
        <v>1452</v>
      </c>
      <c r="G311" s="60">
        <v>2010</v>
      </c>
      <c r="H311" s="60" t="s">
        <v>56</v>
      </c>
      <c r="I311" s="60" t="str">
        <f t="shared" si="14"/>
        <v>2010 Colorado Rockies</v>
      </c>
      <c r="J311" s="60">
        <v>5530</v>
      </c>
      <c r="K311" s="60">
        <f t="shared" si="12"/>
        <v>955</v>
      </c>
      <c r="L311" s="60">
        <v>270</v>
      </c>
      <c r="M311" s="60">
        <v>54</v>
      </c>
      <c r="N311" s="60">
        <v>173</v>
      </c>
      <c r="O311" s="60">
        <v>585</v>
      </c>
      <c r="P311" s="60">
        <v>47</v>
      </c>
      <c r="Q311" s="60">
        <f t="shared" si="13"/>
        <v>3446</v>
      </c>
      <c r="R311">
        <v>741</v>
      </c>
      <c r="S311">
        <v>53</v>
      </c>
      <c r="T311">
        <v>1274</v>
      </c>
      <c r="U311">
        <v>56</v>
      </c>
      <c r="V311">
        <v>47</v>
      </c>
      <c r="W311">
        <v>0</v>
      </c>
      <c r="X311">
        <v>55</v>
      </c>
      <c r="Y311">
        <v>103</v>
      </c>
      <c r="Z311">
        <v>99</v>
      </c>
      <c r="AA311">
        <v>42</v>
      </c>
      <c r="AB311">
        <v>0.26300000000000001</v>
      </c>
      <c r="AC311">
        <v>0.33600000000000002</v>
      </c>
      <c r="AD311">
        <v>0.42499999999999999</v>
      </c>
    </row>
    <row r="312" spans="1:30" x14ac:dyDescent="0.5">
      <c r="A312" s="35">
        <v>2010</v>
      </c>
      <c r="B312" t="s">
        <v>59</v>
      </c>
      <c r="C312" t="s">
        <v>149</v>
      </c>
      <c r="D312">
        <v>162</v>
      </c>
      <c r="E312">
        <v>751</v>
      </c>
      <c r="F312">
        <v>1515</v>
      </c>
      <c r="G312" s="60">
        <v>2010</v>
      </c>
      <c r="H312" s="60" t="s">
        <v>58</v>
      </c>
      <c r="I312" s="60" t="str">
        <f t="shared" si="14"/>
        <v>2010 Detroit Tigers</v>
      </c>
      <c r="J312" s="60">
        <v>5643</v>
      </c>
      <c r="K312" s="60">
        <f t="shared" si="12"/>
        <v>1023</v>
      </c>
      <c r="L312" s="60">
        <v>308</v>
      </c>
      <c r="M312" s="60">
        <v>32</v>
      </c>
      <c r="N312" s="60">
        <v>152</v>
      </c>
      <c r="O312" s="60">
        <v>546</v>
      </c>
      <c r="P312" s="60">
        <v>41</v>
      </c>
      <c r="Q312" s="60">
        <f t="shared" si="13"/>
        <v>3541</v>
      </c>
      <c r="R312">
        <v>717</v>
      </c>
      <c r="S312">
        <v>50</v>
      </c>
      <c r="T312">
        <v>1147</v>
      </c>
      <c r="U312">
        <v>41</v>
      </c>
      <c r="V312">
        <v>41</v>
      </c>
      <c r="W312">
        <v>0</v>
      </c>
      <c r="X312">
        <v>69</v>
      </c>
      <c r="Y312">
        <v>118</v>
      </c>
      <c r="Z312">
        <v>69</v>
      </c>
      <c r="AA312">
        <v>30</v>
      </c>
      <c r="AB312">
        <v>0.26800000000000002</v>
      </c>
      <c r="AC312">
        <v>0.33500000000000002</v>
      </c>
      <c r="AD312">
        <v>0.41499999999999998</v>
      </c>
    </row>
    <row r="313" spans="1:30" x14ac:dyDescent="0.5">
      <c r="A313" s="35">
        <v>2010</v>
      </c>
      <c r="B313" t="s">
        <v>146</v>
      </c>
      <c r="C313" t="s">
        <v>38</v>
      </c>
      <c r="D313">
        <v>162</v>
      </c>
      <c r="E313">
        <v>719</v>
      </c>
      <c r="F313">
        <v>1403</v>
      </c>
      <c r="G313" s="60">
        <v>2010</v>
      </c>
      <c r="H313" s="60" t="s">
        <v>60</v>
      </c>
      <c r="I313" s="60" t="str">
        <f t="shared" si="14"/>
        <v>2010 Florida Marlins</v>
      </c>
      <c r="J313" s="60">
        <v>5531</v>
      </c>
      <c r="K313" s="60">
        <f t="shared" si="12"/>
        <v>920</v>
      </c>
      <c r="L313" s="60">
        <v>294</v>
      </c>
      <c r="M313" s="60">
        <v>37</v>
      </c>
      <c r="N313" s="60">
        <v>152</v>
      </c>
      <c r="O313" s="60">
        <v>514</v>
      </c>
      <c r="P313" s="60">
        <v>55</v>
      </c>
      <c r="Q313" s="60">
        <f t="shared" si="13"/>
        <v>3559</v>
      </c>
      <c r="R313">
        <v>686</v>
      </c>
      <c r="S313">
        <v>42</v>
      </c>
      <c r="T313">
        <v>1375</v>
      </c>
      <c r="U313">
        <v>51</v>
      </c>
      <c r="V313">
        <v>43</v>
      </c>
      <c r="W313">
        <v>0</v>
      </c>
      <c r="X313">
        <v>70</v>
      </c>
      <c r="Y313">
        <v>107</v>
      </c>
      <c r="Z313">
        <v>92</v>
      </c>
      <c r="AA313">
        <v>26</v>
      </c>
      <c r="AB313">
        <v>0.254</v>
      </c>
      <c r="AC313">
        <v>0.32100000000000001</v>
      </c>
      <c r="AD313">
        <v>0.40300000000000002</v>
      </c>
    </row>
    <row r="314" spans="1:30" x14ac:dyDescent="0.5">
      <c r="A314" s="35">
        <v>2010</v>
      </c>
      <c r="B314" t="s">
        <v>63</v>
      </c>
      <c r="C314" t="s">
        <v>38</v>
      </c>
      <c r="D314">
        <v>162</v>
      </c>
      <c r="E314">
        <v>611</v>
      </c>
      <c r="F314">
        <v>1348</v>
      </c>
      <c r="G314" s="60">
        <v>2010</v>
      </c>
      <c r="H314" s="60" t="s">
        <v>62</v>
      </c>
      <c r="I314" s="60" t="str">
        <f t="shared" si="14"/>
        <v>2010 Houston Astros</v>
      </c>
      <c r="J314" s="60">
        <v>5452</v>
      </c>
      <c r="K314" s="60">
        <f t="shared" si="12"/>
        <v>963</v>
      </c>
      <c r="L314" s="60">
        <v>252</v>
      </c>
      <c r="M314" s="60">
        <v>25</v>
      </c>
      <c r="N314" s="60">
        <v>108</v>
      </c>
      <c r="O314" s="60">
        <v>415</v>
      </c>
      <c r="P314" s="60">
        <v>33</v>
      </c>
      <c r="Q314" s="60">
        <f t="shared" si="13"/>
        <v>3656</v>
      </c>
      <c r="R314">
        <v>577</v>
      </c>
      <c r="S314">
        <v>27</v>
      </c>
      <c r="T314">
        <v>1025</v>
      </c>
      <c r="U314">
        <v>75</v>
      </c>
      <c r="V314">
        <v>29</v>
      </c>
      <c r="W314">
        <v>1</v>
      </c>
      <c r="X314">
        <v>76</v>
      </c>
      <c r="Y314">
        <v>130</v>
      </c>
      <c r="Z314">
        <v>100</v>
      </c>
      <c r="AA314">
        <v>36</v>
      </c>
      <c r="AB314">
        <v>0.247</v>
      </c>
      <c r="AC314">
        <v>0.30299999999999999</v>
      </c>
      <c r="AD314">
        <v>0.36199999999999999</v>
      </c>
    </row>
    <row r="315" spans="1:30" x14ac:dyDescent="0.5">
      <c r="A315" s="35">
        <v>2010</v>
      </c>
      <c r="B315" t="s">
        <v>150</v>
      </c>
      <c r="C315" t="s">
        <v>149</v>
      </c>
      <c r="D315">
        <v>162</v>
      </c>
      <c r="E315">
        <v>676</v>
      </c>
      <c r="F315">
        <v>1534</v>
      </c>
      <c r="G315" s="60">
        <v>2010</v>
      </c>
      <c r="H315" s="60" t="s">
        <v>64</v>
      </c>
      <c r="I315" s="60" t="str">
        <f t="shared" si="14"/>
        <v>2010 Kansas City Royals</v>
      </c>
      <c r="J315" s="60">
        <v>5604</v>
      </c>
      <c r="K315" s="60">
        <f t="shared" si="12"/>
        <v>1103</v>
      </c>
      <c r="L315" s="60">
        <v>279</v>
      </c>
      <c r="M315" s="60">
        <v>31</v>
      </c>
      <c r="N315" s="60">
        <v>121</v>
      </c>
      <c r="O315" s="60">
        <v>471</v>
      </c>
      <c r="P315" s="60">
        <v>35</v>
      </c>
      <c r="Q315" s="60">
        <f t="shared" si="13"/>
        <v>3564</v>
      </c>
      <c r="R315">
        <v>640</v>
      </c>
      <c r="S315">
        <v>25</v>
      </c>
      <c r="T315">
        <v>905</v>
      </c>
      <c r="U315">
        <v>45</v>
      </c>
      <c r="V315">
        <v>53</v>
      </c>
      <c r="W315">
        <v>1</v>
      </c>
      <c r="X315">
        <v>67</v>
      </c>
      <c r="Y315">
        <v>152</v>
      </c>
      <c r="Z315">
        <v>115</v>
      </c>
      <c r="AA315">
        <v>50</v>
      </c>
      <c r="AB315">
        <v>0.27400000000000002</v>
      </c>
      <c r="AC315">
        <v>0.33100000000000002</v>
      </c>
      <c r="AD315">
        <v>0.39900000000000002</v>
      </c>
    </row>
    <row r="316" spans="1:30" x14ac:dyDescent="0.5">
      <c r="A316" s="35">
        <v>2010</v>
      </c>
      <c r="B316" t="s">
        <v>145</v>
      </c>
      <c r="C316" t="s">
        <v>38</v>
      </c>
      <c r="D316">
        <v>162</v>
      </c>
      <c r="E316">
        <v>667</v>
      </c>
      <c r="F316">
        <v>1368</v>
      </c>
      <c r="G316" s="60">
        <v>2010</v>
      </c>
      <c r="H316" s="60" t="s">
        <v>66</v>
      </c>
      <c r="I316" s="60" t="str">
        <f t="shared" si="14"/>
        <v>2010 Los Angeles Dodgers</v>
      </c>
      <c r="J316" s="60">
        <v>5426</v>
      </c>
      <c r="K316" s="60">
        <f t="shared" si="12"/>
        <v>949</v>
      </c>
      <c r="L316" s="60">
        <v>270</v>
      </c>
      <c r="M316" s="60">
        <v>29</v>
      </c>
      <c r="N316" s="60">
        <v>120</v>
      </c>
      <c r="O316" s="60">
        <v>533</v>
      </c>
      <c r="P316" s="60">
        <v>46</v>
      </c>
      <c r="Q316" s="60">
        <f t="shared" si="13"/>
        <v>3479</v>
      </c>
      <c r="R316">
        <v>621</v>
      </c>
      <c r="S316">
        <v>57</v>
      </c>
      <c r="T316">
        <v>1184</v>
      </c>
      <c r="U316">
        <v>85</v>
      </c>
      <c r="V316">
        <v>50</v>
      </c>
      <c r="W316">
        <v>0</v>
      </c>
      <c r="X316">
        <v>83</v>
      </c>
      <c r="Y316">
        <v>123</v>
      </c>
      <c r="Z316">
        <v>92</v>
      </c>
      <c r="AA316">
        <v>50</v>
      </c>
      <c r="AB316">
        <v>0.252</v>
      </c>
      <c r="AC316">
        <v>0.32200000000000001</v>
      </c>
      <c r="AD316">
        <v>0.379</v>
      </c>
    </row>
    <row r="317" spans="1:30" x14ac:dyDescent="0.5">
      <c r="A317" s="35">
        <v>2010</v>
      </c>
      <c r="B317" t="s">
        <v>69</v>
      </c>
      <c r="C317" t="s">
        <v>38</v>
      </c>
      <c r="D317">
        <v>162</v>
      </c>
      <c r="E317">
        <v>750</v>
      </c>
      <c r="F317">
        <v>1471</v>
      </c>
      <c r="G317" s="60">
        <v>2010</v>
      </c>
      <c r="H317" s="60" t="s">
        <v>68</v>
      </c>
      <c r="I317" s="60" t="str">
        <f t="shared" si="14"/>
        <v>2010 Milwaukee Brewers</v>
      </c>
      <c r="J317" s="60">
        <v>5606</v>
      </c>
      <c r="K317" s="60">
        <f t="shared" si="12"/>
        <v>963</v>
      </c>
      <c r="L317" s="60">
        <v>293</v>
      </c>
      <c r="M317" s="60">
        <v>33</v>
      </c>
      <c r="N317" s="60">
        <v>182</v>
      </c>
      <c r="O317" s="60">
        <v>546</v>
      </c>
      <c r="P317" s="60">
        <v>81</v>
      </c>
      <c r="Q317" s="60">
        <f t="shared" si="13"/>
        <v>3508</v>
      </c>
      <c r="R317">
        <v>710</v>
      </c>
      <c r="S317">
        <v>35</v>
      </c>
      <c r="T317">
        <v>1216</v>
      </c>
      <c r="U317">
        <v>35</v>
      </c>
      <c r="V317">
        <v>35</v>
      </c>
      <c r="W317">
        <v>1</v>
      </c>
      <c r="X317">
        <v>67</v>
      </c>
      <c r="Y317">
        <v>115</v>
      </c>
      <c r="Z317">
        <v>81</v>
      </c>
      <c r="AA317">
        <v>26</v>
      </c>
      <c r="AB317">
        <v>0.26200000000000001</v>
      </c>
      <c r="AC317">
        <v>0.33500000000000002</v>
      </c>
      <c r="AD317">
        <v>0.42399999999999999</v>
      </c>
    </row>
    <row r="318" spans="1:30" x14ac:dyDescent="0.5">
      <c r="A318" s="35">
        <v>2010</v>
      </c>
      <c r="B318" t="s">
        <v>71</v>
      </c>
      <c r="C318" t="s">
        <v>149</v>
      </c>
      <c r="D318">
        <v>162</v>
      </c>
      <c r="E318">
        <v>781</v>
      </c>
      <c r="F318">
        <v>1521</v>
      </c>
      <c r="G318" s="60">
        <v>2010</v>
      </c>
      <c r="H318" s="60" t="s">
        <v>70</v>
      </c>
      <c r="I318" s="60" t="str">
        <f t="shared" si="14"/>
        <v>2010 Minnesota Twins</v>
      </c>
      <c r="J318" s="60">
        <v>5568</v>
      </c>
      <c r="K318" s="60">
        <f t="shared" si="12"/>
        <v>1020</v>
      </c>
      <c r="L318" s="60">
        <v>318</v>
      </c>
      <c r="M318" s="60">
        <v>41</v>
      </c>
      <c r="N318" s="60">
        <v>142</v>
      </c>
      <c r="O318" s="60">
        <v>559</v>
      </c>
      <c r="P318" s="60">
        <v>39</v>
      </c>
      <c r="Q318" s="60">
        <f t="shared" si="13"/>
        <v>3449</v>
      </c>
      <c r="R318">
        <v>749</v>
      </c>
      <c r="S318">
        <v>45</v>
      </c>
      <c r="T318">
        <v>967</v>
      </c>
      <c r="U318">
        <v>38</v>
      </c>
      <c r="V318">
        <v>53</v>
      </c>
      <c r="W318">
        <v>0</v>
      </c>
      <c r="X318">
        <v>63</v>
      </c>
      <c r="Y318">
        <v>159</v>
      </c>
      <c r="Z318">
        <v>68</v>
      </c>
      <c r="AA318">
        <v>28</v>
      </c>
      <c r="AB318">
        <v>0.27300000000000002</v>
      </c>
      <c r="AC318">
        <v>0.34100000000000003</v>
      </c>
      <c r="AD318">
        <v>0.42199999999999999</v>
      </c>
    </row>
    <row r="319" spans="1:30" x14ac:dyDescent="0.5">
      <c r="A319" s="35">
        <v>2010</v>
      </c>
      <c r="B319" t="s">
        <v>144</v>
      </c>
      <c r="C319" t="s">
        <v>38</v>
      </c>
      <c r="D319">
        <v>162</v>
      </c>
      <c r="E319">
        <v>656</v>
      </c>
      <c r="F319">
        <v>1361</v>
      </c>
      <c r="G319" s="60">
        <v>2010</v>
      </c>
      <c r="H319" s="60" t="s">
        <v>76</v>
      </c>
      <c r="I319" s="60" t="str">
        <f t="shared" si="14"/>
        <v>2010 New York Mets</v>
      </c>
      <c r="J319" s="60">
        <v>5465</v>
      </c>
      <c r="K319" s="60">
        <f t="shared" si="12"/>
        <v>927</v>
      </c>
      <c r="L319" s="60">
        <v>266</v>
      </c>
      <c r="M319" s="60">
        <v>40</v>
      </c>
      <c r="N319" s="60">
        <v>128</v>
      </c>
      <c r="O319" s="60">
        <v>502</v>
      </c>
      <c r="P319" s="60">
        <v>46</v>
      </c>
      <c r="Q319" s="60">
        <f t="shared" si="13"/>
        <v>3556</v>
      </c>
      <c r="R319">
        <v>625</v>
      </c>
      <c r="S319">
        <v>53</v>
      </c>
      <c r="T319">
        <v>1095</v>
      </c>
      <c r="U319">
        <v>74</v>
      </c>
      <c r="V319">
        <v>57</v>
      </c>
      <c r="W319">
        <v>0</v>
      </c>
      <c r="X319">
        <v>66</v>
      </c>
      <c r="Y319">
        <v>101</v>
      </c>
      <c r="Z319">
        <v>130</v>
      </c>
      <c r="AA319">
        <v>44</v>
      </c>
      <c r="AB319">
        <v>0.249</v>
      </c>
      <c r="AC319">
        <v>0.314</v>
      </c>
      <c r="AD319">
        <v>0.38300000000000001</v>
      </c>
    </row>
    <row r="320" spans="1:30" x14ac:dyDescent="0.5">
      <c r="A320" s="35">
        <v>2010</v>
      </c>
      <c r="B320" t="s">
        <v>144</v>
      </c>
      <c r="C320" t="s">
        <v>149</v>
      </c>
      <c r="D320">
        <v>162</v>
      </c>
      <c r="E320">
        <v>859</v>
      </c>
      <c r="F320">
        <v>1485</v>
      </c>
      <c r="G320" s="60">
        <v>2010</v>
      </c>
      <c r="H320" s="60" t="s">
        <v>74</v>
      </c>
      <c r="I320" s="60" t="str">
        <f t="shared" si="14"/>
        <v>2010 New York Yankees</v>
      </c>
      <c r="J320" s="60">
        <v>5567</v>
      </c>
      <c r="K320" s="60">
        <f t="shared" si="12"/>
        <v>977</v>
      </c>
      <c r="L320" s="60">
        <v>275</v>
      </c>
      <c r="M320" s="60">
        <v>32</v>
      </c>
      <c r="N320" s="60">
        <v>201</v>
      </c>
      <c r="O320" s="60">
        <v>662</v>
      </c>
      <c r="P320" s="60">
        <v>73</v>
      </c>
      <c r="Q320" s="60">
        <f t="shared" si="13"/>
        <v>3347</v>
      </c>
      <c r="R320">
        <v>823</v>
      </c>
      <c r="S320">
        <v>36</v>
      </c>
      <c r="T320">
        <v>1136</v>
      </c>
      <c r="U320">
        <v>33</v>
      </c>
      <c r="V320">
        <v>44</v>
      </c>
      <c r="W320">
        <v>0</v>
      </c>
      <c r="X320">
        <v>61</v>
      </c>
      <c r="Y320">
        <v>124</v>
      </c>
      <c r="Z320">
        <v>103</v>
      </c>
      <c r="AA320">
        <v>30</v>
      </c>
      <c r="AB320">
        <v>0.26700000000000002</v>
      </c>
      <c r="AC320">
        <v>0.35</v>
      </c>
      <c r="AD320">
        <v>0.436</v>
      </c>
    </row>
    <row r="321" spans="1:30" x14ac:dyDescent="0.5">
      <c r="A321" s="35">
        <v>2010</v>
      </c>
      <c r="B321" t="s">
        <v>79</v>
      </c>
      <c r="C321" t="s">
        <v>149</v>
      </c>
      <c r="D321">
        <v>162</v>
      </c>
      <c r="E321">
        <v>663</v>
      </c>
      <c r="F321">
        <v>1396</v>
      </c>
      <c r="G321" s="60">
        <v>2010</v>
      </c>
      <c r="H321" s="60" t="s">
        <v>78</v>
      </c>
      <c r="I321" s="60" t="str">
        <f t="shared" si="14"/>
        <v>2010 Oakland Athletics</v>
      </c>
      <c r="J321" s="60">
        <v>5448</v>
      </c>
      <c r="K321" s="60">
        <f t="shared" si="12"/>
        <v>981</v>
      </c>
      <c r="L321" s="60">
        <v>276</v>
      </c>
      <c r="M321" s="60">
        <v>30</v>
      </c>
      <c r="N321" s="60">
        <v>109</v>
      </c>
      <c r="O321" s="60">
        <v>527</v>
      </c>
      <c r="P321" s="60">
        <v>47</v>
      </c>
      <c r="Q321" s="60">
        <f t="shared" si="13"/>
        <v>3478</v>
      </c>
      <c r="R321">
        <v>619</v>
      </c>
      <c r="S321">
        <v>16</v>
      </c>
      <c r="T321">
        <v>1061</v>
      </c>
      <c r="U321">
        <v>43</v>
      </c>
      <c r="V321">
        <v>51</v>
      </c>
      <c r="W321">
        <v>1</v>
      </c>
      <c r="X321">
        <v>69</v>
      </c>
      <c r="Y321">
        <v>129</v>
      </c>
      <c r="Z321">
        <v>156</v>
      </c>
      <c r="AA321">
        <v>38</v>
      </c>
      <c r="AB321">
        <v>0.25600000000000001</v>
      </c>
      <c r="AC321">
        <v>0.32400000000000001</v>
      </c>
      <c r="AD321">
        <v>0.378</v>
      </c>
    </row>
    <row r="322" spans="1:30" x14ac:dyDescent="0.5">
      <c r="A322" s="35">
        <v>2010</v>
      </c>
      <c r="B322" t="s">
        <v>81</v>
      </c>
      <c r="C322" t="s">
        <v>38</v>
      </c>
      <c r="D322">
        <v>162</v>
      </c>
      <c r="E322">
        <v>772</v>
      </c>
      <c r="F322">
        <v>1451</v>
      </c>
      <c r="G322" s="60">
        <v>2010</v>
      </c>
      <c r="H322" s="60" t="s">
        <v>80</v>
      </c>
      <c r="I322" s="60" t="str">
        <f t="shared" si="14"/>
        <v>2010 Philadelphia Phillies</v>
      </c>
      <c r="J322" s="60">
        <v>5581</v>
      </c>
      <c r="K322" s="60">
        <f t="shared" ref="K322:K385" si="15">F322-(L322+M322+N322)</f>
        <v>961</v>
      </c>
      <c r="L322" s="60">
        <v>290</v>
      </c>
      <c r="M322" s="60">
        <v>34</v>
      </c>
      <c r="N322" s="60">
        <v>166</v>
      </c>
      <c r="O322" s="60">
        <v>560</v>
      </c>
      <c r="P322" s="60">
        <v>63</v>
      </c>
      <c r="Q322" s="60">
        <f t="shared" ref="Q322:Q385" si="16">J322-(F322+O322+P322)</f>
        <v>3507</v>
      </c>
      <c r="R322">
        <v>736</v>
      </c>
      <c r="S322">
        <v>69</v>
      </c>
      <c r="T322">
        <v>1064</v>
      </c>
      <c r="U322">
        <v>44</v>
      </c>
      <c r="V322">
        <v>43</v>
      </c>
      <c r="W322">
        <v>0</v>
      </c>
      <c r="X322">
        <v>74</v>
      </c>
      <c r="Y322">
        <v>120</v>
      </c>
      <c r="Z322">
        <v>108</v>
      </c>
      <c r="AA322">
        <v>21</v>
      </c>
      <c r="AB322">
        <v>0.26</v>
      </c>
      <c r="AC322">
        <v>0.33200000000000002</v>
      </c>
      <c r="AD322">
        <v>0.41299999999999998</v>
      </c>
    </row>
    <row r="323" spans="1:30" x14ac:dyDescent="0.5">
      <c r="A323" s="35">
        <v>2010</v>
      </c>
      <c r="B323" t="s">
        <v>83</v>
      </c>
      <c r="C323" t="s">
        <v>38</v>
      </c>
      <c r="D323">
        <v>162</v>
      </c>
      <c r="E323">
        <v>587</v>
      </c>
      <c r="F323">
        <v>1303</v>
      </c>
      <c r="G323" s="60">
        <v>2010</v>
      </c>
      <c r="H323" s="60" t="s">
        <v>82</v>
      </c>
      <c r="I323" s="60" t="str">
        <f t="shared" ref="I323:I386" si="17">G323&amp;" "&amp;H323</f>
        <v>2010 Pittsburgh Pirates</v>
      </c>
      <c r="J323" s="60">
        <v>5386</v>
      </c>
      <c r="K323" s="60">
        <f t="shared" si="15"/>
        <v>874</v>
      </c>
      <c r="L323" s="60">
        <v>276</v>
      </c>
      <c r="M323" s="60">
        <v>27</v>
      </c>
      <c r="N323" s="60">
        <v>126</v>
      </c>
      <c r="O323" s="60">
        <v>463</v>
      </c>
      <c r="P323" s="60">
        <v>33</v>
      </c>
      <c r="Q323" s="60">
        <f t="shared" si="16"/>
        <v>3587</v>
      </c>
      <c r="R323">
        <v>570</v>
      </c>
      <c r="S323">
        <v>28</v>
      </c>
      <c r="T323">
        <v>1207</v>
      </c>
      <c r="U323">
        <v>58</v>
      </c>
      <c r="V323">
        <v>33</v>
      </c>
      <c r="W323">
        <v>1</v>
      </c>
      <c r="X323">
        <v>71</v>
      </c>
      <c r="Y323">
        <v>119</v>
      </c>
      <c r="Z323">
        <v>87</v>
      </c>
      <c r="AA323">
        <v>36</v>
      </c>
      <c r="AB323">
        <v>0.24199999999999999</v>
      </c>
      <c r="AC323">
        <v>0.30399999999999999</v>
      </c>
      <c r="AD323">
        <v>0.373</v>
      </c>
    </row>
    <row r="324" spans="1:30" x14ac:dyDescent="0.5">
      <c r="A324" s="35">
        <v>2010</v>
      </c>
      <c r="B324" t="s">
        <v>147</v>
      </c>
      <c r="C324" t="s">
        <v>38</v>
      </c>
      <c r="D324">
        <v>162</v>
      </c>
      <c r="E324">
        <v>665</v>
      </c>
      <c r="F324">
        <v>1338</v>
      </c>
      <c r="G324" s="60">
        <v>2010</v>
      </c>
      <c r="H324" s="60" t="s">
        <v>84</v>
      </c>
      <c r="I324" s="60" t="str">
        <f t="shared" si="17"/>
        <v>2010 San Diego Padres</v>
      </c>
      <c r="J324" s="60">
        <v>5434</v>
      </c>
      <c r="K324" s="60">
        <f t="shared" si="15"/>
        <v>946</v>
      </c>
      <c r="L324" s="60">
        <v>236</v>
      </c>
      <c r="M324" s="60">
        <v>24</v>
      </c>
      <c r="N324" s="60">
        <v>132</v>
      </c>
      <c r="O324" s="60">
        <v>538</v>
      </c>
      <c r="P324" s="60">
        <v>50</v>
      </c>
      <c r="Q324" s="60">
        <f t="shared" si="16"/>
        <v>3508</v>
      </c>
      <c r="R324">
        <v>630</v>
      </c>
      <c r="S324">
        <v>67</v>
      </c>
      <c r="T324">
        <v>1183</v>
      </c>
      <c r="U324">
        <v>79</v>
      </c>
      <c r="V324">
        <v>46</v>
      </c>
      <c r="W324">
        <v>1</v>
      </c>
      <c r="X324">
        <v>63</v>
      </c>
      <c r="Y324">
        <v>106</v>
      </c>
      <c r="Z324">
        <v>124</v>
      </c>
      <c r="AA324">
        <v>50</v>
      </c>
      <c r="AB324">
        <v>0.246</v>
      </c>
      <c r="AC324">
        <v>0.317</v>
      </c>
      <c r="AD324">
        <v>0.371</v>
      </c>
    </row>
    <row r="325" spans="1:30" x14ac:dyDescent="0.5">
      <c r="A325" s="35">
        <v>2010</v>
      </c>
      <c r="B325" t="s">
        <v>87</v>
      </c>
      <c r="C325" t="s">
        <v>149</v>
      </c>
      <c r="D325">
        <v>162</v>
      </c>
      <c r="E325">
        <v>513</v>
      </c>
      <c r="F325">
        <v>1274</v>
      </c>
      <c r="G325" s="60">
        <v>2010</v>
      </c>
      <c r="H325" s="60" t="s">
        <v>86</v>
      </c>
      <c r="I325" s="60" t="str">
        <f t="shared" si="17"/>
        <v>2010 Seattle Mariners</v>
      </c>
      <c r="J325" s="60">
        <v>5409</v>
      </c>
      <c r="K325" s="60">
        <f t="shared" si="15"/>
        <v>930</v>
      </c>
      <c r="L325" s="60">
        <v>227</v>
      </c>
      <c r="M325" s="60">
        <v>16</v>
      </c>
      <c r="N325" s="60">
        <v>101</v>
      </c>
      <c r="O325" s="60">
        <v>459</v>
      </c>
      <c r="P325" s="60">
        <v>39</v>
      </c>
      <c r="Q325" s="60">
        <f t="shared" si="16"/>
        <v>3637</v>
      </c>
      <c r="R325">
        <v>485</v>
      </c>
      <c r="S325">
        <v>33</v>
      </c>
      <c r="T325">
        <v>1184</v>
      </c>
      <c r="U325">
        <v>42</v>
      </c>
      <c r="V325">
        <v>40</v>
      </c>
      <c r="W325">
        <v>0</v>
      </c>
      <c r="X325">
        <v>65</v>
      </c>
      <c r="Y325">
        <v>110</v>
      </c>
      <c r="Z325">
        <v>142</v>
      </c>
      <c r="AA325">
        <v>39</v>
      </c>
      <c r="AB325">
        <v>0.23599999999999999</v>
      </c>
      <c r="AC325">
        <v>0.29799999999999999</v>
      </c>
      <c r="AD325">
        <v>0.33900000000000002</v>
      </c>
    </row>
    <row r="326" spans="1:30" x14ac:dyDescent="0.5">
      <c r="A326" s="35">
        <v>2010</v>
      </c>
      <c r="B326" t="s">
        <v>21</v>
      </c>
      <c r="C326" t="s">
        <v>38</v>
      </c>
      <c r="D326">
        <v>162</v>
      </c>
      <c r="E326">
        <v>697</v>
      </c>
      <c r="F326">
        <v>1411</v>
      </c>
      <c r="G326" s="60">
        <v>2010</v>
      </c>
      <c r="H326" s="60" t="s">
        <v>88</v>
      </c>
      <c r="I326" s="60" t="str">
        <f t="shared" si="17"/>
        <v>2010 San Francisco Giants</v>
      </c>
      <c r="J326" s="60">
        <v>5488</v>
      </c>
      <c r="K326" s="60">
        <f t="shared" si="15"/>
        <v>935</v>
      </c>
      <c r="L326" s="60">
        <v>284</v>
      </c>
      <c r="M326" s="60">
        <v>30</v>
      </c>
      <c r="N326" s="60">
        <v>162</v>
      </c>
      <c r="O326" s="60">
        <v>487</v>
      </c>
      <c r="P326" s="60">
        <v>50</v>
      </c>
      <c r="Q326" s="60">
        <f t="shared" si="16"/>
        <v>3540</v>
      </c>
      <c r="R326">
        <v>660</v>
      </c>
      <c r="S326">
        <v>53</v>
      </c>
      <c r="T326">
        <v>1099</v>
      </c>
      <c r="U326">
        <v>76</v>
      </c>
      <c r="V326">
        <v>41</v>
      </c>
      <c r="W326">
        <v>1</v>
      </c>
      <c r="X326">
        <v>75</v>
      </c>
      <c r="Y326">
        <v>158</v>
      </c>
      <c r="Z326">
        <v>55</v>
      </c>
      <c r="AA326">
        <v>32</v>
      </c>
      <c r="AB326">
        <v>0.25700000000000001</v>
      </c>
      <c r="AC326">
        <v>0.32100000000000001</v>
      </c>
      <c r="AD326">
        <v>0.40799999999999997</v>
      </c>
    </row>
    <row r="327" spans="1:30" x14ac:dyDescent="0.5">
      <c r="A327" s="35">
        <v>2010</v>
      </c>
      <c r="B327" t="s">
        <v>142</v>
      </c>
      <c r="C327" t="s">
        <v>38</v>
      </c>
      <c r="D327">
        <v>162</v>
      </c>
      <c r="E327">
        <v>736</v>
      </c>
      <c r="F327">
        <v>1456</v>
      </c>
      <c r="G327" s="60">
        <v>2010</v>
      </c>
      <c r="H327" s="60" t="s">
        <v>90</v>
      </c>
      <c r="I327" s="60" t="str">
        <f t="shared" si="17"/>
        <v>2010 St. Louis Cardinals</v>
      </c>
      <c r="J327" s="60">
        <v>5542</v>
      </c>
      <c r="K327" s="60">
        <f t="shared" si="15"/>
        <v>1003</v>
      </c>
      <c r="L327" s="60">
        <v>285</v>
      </c>
      <c r="M327" s="60">
        <v>18</v>
      </c>
      <c r="N327" s="60">
        <v>150</v>
      </c>
      <c r="O327" s="60">
        <v>541</v>
      </c>
      <c r="P327" s="60">
        <v>50</v>
      </c>
      <c r="Q327" s="60">
        <f t="shared" si="16"/>
        <v>3495</v>
      </c>
      <c r="R327">
        <v>689</v>
      </c>
      <c r="S327">
        <v>78</v>
      </c>
      <c r="T327">
        <v>1027</v>
      </c>
      <c r="U327">
        <v>66</v>
      </c>
      <c r="V327">
        <v>40</v>
      </c>
      <c r="W327">
        <v>2</v>
      </c>
      <c r="X327">
        <v>72</v>
      </c>
      <c r="Y327">
        <v>124</v>
      </c>
      <c r="Z327">
        <v>79</v>
      </c>
      <c r="AA327">
        <v>41</v>
      </c>
      <c r="AB327">
        <v>0.26300000000000001</v>
      </c>
      <c r="AC327">
        <v>0.33200000000000002</v>
      </c>
      <c r="AD327">
        <v>0.40200000000000002</v>
      </c>
    </row>
    <row r="328" spans="1:30" x14ac:dyDescent="0.5">
      <c r="A328" s="35">
        <v>2010</v>
      </c>
      <c r="B328" t="s">
        <v>151</v>
      </c>
      <c r="C328" t="s">
        <v>149</v>
      </c>
      <c r="D328">
        <v>162</v>
      </c>
      <c r="E328">
        <v>802</v>
      </c>
      <c r="F328">
        <v>1343</v>
      </c>
      <c r="G328" s="60">
        <v>2010</v>
      </c>
      <c r="H328" s="60" t="s">
        <v>92</v>
      </c>
      <c r="I328" s="60" t="str">
        <f t="shared" si="17"/>
        <v>2010 Tampa Bay Devil Rays</v>
      </c>
      <c r="J328" s="60">
        <v>5439</v>
      </c>
      <c r="K328" s="60">
        <f t="shared" si="15"/>
        <v>851</v>
      </c>
      <c r="L328" s="60">
        <v>295</v>
      </c>
      <c r="M328" s="60">
        <v>37</v>
      </c>
      <c r="N328" s="60">
        <v>160</v>
      </c>
      <c r="O328" s="60">
        <v>672</v>
      </c>
      <c r="P328" s="60">
        <v>57</v>
      </c>
      <c r="Q328" s="60">
        <f t="shared" si="16"/>
        <v>3367</v>
      </c>
      <c r="R328">
        <v>769</v>
      </c>
      <c r="S328">
        <v>30</v>
      </c>
      <c r="T328">
        <v>1292</v>
      </c>
      <c r="U328">
        <v>39</v>
      </c>
      <c r="V328">
        <v>57</v>
      </c>
      <c r="W328">
        <v>6</v>
      </c>
      <c r="X328">
        <v>78</v>
      </c>
      <c r="Y328">
        <v>92</v>
      </c>
      <c r="Z328">
        <v>172</v>
      </c>
      <c r="AA328">
        <v>47</v>
      </c>
      <c r="AB328">
        <v>0.247</v>
      </c>
      <c r="AC328">
        <v>0.33300000000000002</v>
      </c>
      <c r="AD328">
        <v>0.40300000000000002</v>
      </c>
    </row>
    <row r="329" spans="1:30" x14ac:dyDescent="0.5">
      <c r="A329" s="35">
        <v>2010</v>
      </c>
      <c r="B329" t="s">
        <v>95</v>
      </c>
      <c r="C329" t="s">
        <v>149</v>
      </c>
      <c r="D329">
        <v>162</v>
      </c>
      <c r="E329">
        <v>787</v>
      </c>
      <c r="F329">
        <v>1556</v>
      </c>
      <c r="G329" s="60">
        <v>2010</v>
      </c>
      <c r="H329" s="60" t="s">
        <v>94</v>
      </c>
      <c r="I329" s="60" t="str">
        <f t="shared" si="17"/>
        <v>2010 Texas Rangers</v>
      </c>
      <c r="J329" s="60">
        <v>5635</v>
      </c>
      <c r="K329" s="60">
        <f t="shared" si="15"/>
        <v>1101</v>
      </c>
      <c r="L329" s="60">
        <v>268</v>
      </c>
      <c r="M329" s="60">
        <v>25</v>
      </c>
      <c r="N329" s="60">
        <v>162</v>
      </c>
      <c r="O329" s="60">
        <v>511</v>
      </c>
      <c r="P329" s="60">
        <v>45</v>
      </c>
      <c r="Q329" s="60">
        <f t="shared" si="16"/>
        <v>3523</v>
      </c>
      <c r="R329">
        <v>740</v>
      </c>
      <c r="S329">
        <v>37</v>
      </c>
      <c r="T329">
        <v>986</v>
      </c>
      <c r="U329">
        <v>53</v>
      </c>
      <c r="V329">
        <v>54</v>
      </c>
      <c r="W329">
        <v>4</v>
      </c>
      <c r="X329">
        <v>73</v>
      </c>
      <c r="Y329">
        <v>129</v>
      </c>
      <c r="Z329">
        <v>123</v>
      </c>
      <c r="AA329">
        <v>48</v>
      </c>
      <c r="AB329">
        <v>0.27600000000000002</v>
      </c>
      <c r="AC329">
        <v>0.33800000000000002</v>
      </c>
      <c r="AD329">
        <v>0.41899999999999998</v>
      </c>
    </row>
    <row r="330" spans="1:30" x14ac:dyDescent="0.5">
      <c r="A330" s="35">
        <v>2010</v>
      </c>
      <c r="B330" t="s">
        <v>97</v>
      </c>
      <c r="C330" t="s">
        <v>149</v>
      </c>
      <c r="D330">
        <v>162</v>
      </c>
      <c r="E330">
        <v>755</v>
      </c>
      <c r="F330">
        <v>1364</v>
      </c>
      <c r="G330" s="60">
        <v>2010</v>
      </c>
      <c r="H330" s="60" t="s">
        <v>96</v>
      </c>
      <c r="I330" s="60" t="str">
        <f t="shared" si="17"/>
        <v>2010 Toronto Blue Jays</v>
      </c>
      <c r="J330" s="60">
        <v>5495</v>
      </c>
      <c r="K330" s="60">
        <f t="shared" si="15"/>
        <v>767</v>
      </c>
      <c r="L330" s="60">
        <v>319</v>
      </c>
      <c r="M330" s="60">
        <v>21</v>
      </c>
      <c r="N330" s="60">
        <v>257</v>
      </c>
      <c r="O330" s="60">
        <v>471</v>
      </c>
      <c r="P330" s="60">
        <v>55</v>
      </c>
      <c r="Q330" s="60">
        <f t="shared" si="16"/>
        <v>3605</v>
      </c>
      <c r="R330">
        <v>732</v>
      </c>
      <c r="S330">
        <v>25</v>
      </c>
      <c r="T330">
        <v>1164</v>
      </c>
      <c r="U330">
        <v>16</v>
      </c>
      <c r="V330">
        <v>34</v>
      </c>
      <c r="W330">
        <v>1</v>
      </c>
      <c r="X330">
        <v>59</v>
      </c>
      <c r="Y330">
        <v>114</v>
      </c>
      <c r="Z330">
        <v>58</v>
      </c>
      <c r="AA330">
        <v>20</v>
      </c>
      <c r="AB330">
        <v>0.248</v>
      </c>
      <c r="AC330">
        <v>0.312</v>
      </c>
      <c r="AD330">
        <v>0.45400000000000001</v>
      </c>
    </row>
    <row r="331" spans="1:30" x14ac:dyDescent="0.5">
      <c r="A331" s="35">
        <v>2010</v>
      </c>
      <c r="B331" t="s">
        <v>101</v>
      </c>
      <c r="C331" t="s">
        <v>38</v>
      </c>
      <c r="D331">
        <v>162</v>
      </c>
      <c r="E331">
        <v>655</v>
      </c>
      <c r="F331">
        <v>1355</v>
      </c>
      <c r="G331" s="60">
        <v>2010</v>
      </c>
      <c r="H331" s="60" t="s">
        <v>100</v>
      </c>
      <c r="I331" s="60" t="str">
        <f t="shared" si="17"/>
        <v>2010 Washington Nationals</v>
      </c>
      <c r="J331" s="60">
        <v>5418</v>
      </c>
      <c r="K331" s="60">
        <f t="shared" si="15"/>
        <v>925</v>
      </c>
      <c r="L331" s="60">
        <v>250</v>
      </c>
      <c r="M331" s="60">
        <v>31</v>
      </c>
      <c r="N331" s="60">
        <v>149</v>
      </c>
      <c r="O331" s="60">
        <v>503</v>
      </c>
      <c r="P331" s="60">
        <v>60</v>
      </c>
      <c r="Q331" s="60">
        <f t="shared" si="16"/>
        <v>3500</v>
      </c>
      <c r="R331">
        <v>634</v>
      </c>
      <c r="S331">
        <v>36</v>
      </c>
      <c r="T331">
        <v>1220</v>
      </c>
      <c r="U331">
        <v>71</v>
      </c>
      <c r="V331">
        <v>47</v>
      </c>
      <c r="W331">
        <v>1</v>
      </c>
      <c r="X331">
        <v>59</v>
      </c>
      <c r="Y331">
        <v>125</v>
      </c>
      <c r="Z331">
        <v>110</v>
      </c>
      <c r="AA331">
        <v>41</v>
      </c>
      <c r="AB331">
        <v>0.25</v>
      </c>
      <c r="AC331">
        <v>0.318</v>
      </c>
      <c r="AD331">
        <v>0.39</v>
      </c>
    </row>
    <row r="332" spans="1:30" x14ac:dyDescent="0.5">
      <c r="A332" s="35">
        <v>2011</v>
      </c>
      <c r="B332" t="s">
        <v>37</v>
      </c>
      <c r="C332" t="s">
        <v>149</v>
      </c>
      <c r="D332">
        <v>162</v>
      </c>
      <c r="E332">
        <v>667</v>
      </c>
      <c r="F332">
        <v>1394</v>
      </c>
      <c r="G332" s="60">
        <v>2011</v>
      </c>
      <c r="H332" s="60" t="s">
        <v>36</v>
      </c>
      <c r="I332" s="60" t="str">
        <f t="shared" si="17"/>
        <v>2011 Anaheim Angels</v>
      </c>
      <c r="J332" s="60">
        <v>5513</v>
      </c>
      <c r="K332" s="60">
        <f t="shared" si="15"/>
        <v>916</v>
      </c>
      <c r="L332" s="60">
        <v>289</v>
      </c>
      <c r="M332" s="60">
        <v>34</v>
      </c>
      <c r="N332" s="60">
        <v>155</v>
      </c>
      <c r="O332" s="60">
        <v>442</v>
      </c>
      <c r="P332" s="60">
        <v>51</v>
      </c>
      <c r="Q332" s="60">
        <f t="shared" si="16"/>
        <v>3626</v>
      </c>
      <c r="R332">
        <v>629</v>
      </c>
      <c r="S332">
        <v>33</v>
      </c>
      <c r="T332">
        <v>1086</v>
      </c>
      <c r="U332">
        <v>50</v>
      </c>
      <c r="V332">
        <v>32</v>
      </c>
      <c r="W332">
        <v>0</v>
      </c>
      <c r="X332">
        <v>72</v>
      </c>
      <c r="Y332">
        <v>126</v>
      </c>
      <c r="Z332">
        <v>135</v>
      </c>
      <c r="AA332">
        <v>52</v>
      </c>
      <c r="AB332">
        <v>0.253</v>
      </c>
      <c r="AC332">
        <v>0.313</v>
      </c>
      <c r="AD332">
        <v>0.40200000000000002</v>
      </c>
    </row>
    <row r="333" spans="1:30" x14ac:dyDescent="0.5">
      <c r="A333" s="35">
        <v>2011</v>
      </c>
      <c r="B333" t="s">
        <v>40</v>
      </c>
      <c r="C333" t="s">
        <v>38</v>
      </c>
      <c r="D333">
        <v>162</v>
      </c>
      <c r="E333">
        <v>731</v>
      </c>
      <c r="F333">
        <v>1357</v>
      </c>
      <c r="G333" s="60">
        <v>2011</v>
      </c>
      <c r="H333" s="60" t="s">
        <v>39</v>
      </c>
      <c r="I333" s="60" t="str">
        <f t="shared" si="17"/>
        <v>2011 Arizona Diamondbacks</v>
      </c>
      <c r="J333" s="60">
        <v>5421</v>
      </c>
      <c r="K333" s="60">
        <f t="shared" si="15"/>
        <v>855</v>
      </c>
      <c r="L333" s="60">
        <v>293</v>
      </c>
      <c r="M333" s="60">
        <v>37</v>
      </c>
      <c r="N333" s="60">
        <v>172</v>
      </c>
      <c r="O333" s="60">
        <v>531</v>
      </c>
      <c r="P333" s="60">
        <v>61</v>
      </c>
      <c r="Q333" s="60">
        <f t="shared" si="16"/>
        <v>3472</v>
      </c>
      <c r="R333">
        <v>702</v>
      </c>
      <c r="S333">
        <v>55</v>
      </c>
      <c r="T333">
        <v>1249</v>
      </c>
      <c r="U333">
        <v>50</v>
      </c>
      <c r="V333">
        <v>33</v>
      </c>
      <c r="W333">
        <v>0</v>
      </c>
      <c r="X333">
        <v>47</v>
      </c>
      <c r="Y333">
        <v>82</v>
      </c>
      <c r="Z333">
        <v>133</v>
      </c>
      <c r="AA333">
        <v>55</v>
      </c>
      <c r="AB333">
        <v>0.25</v>
      </c>
      <c r="AC333">
        <v>0.32200000000000001</v>
      </c>
      <c r="AD333">
        <v>0.41299999999999998</v>
      </c>
    </row>
    <row r="334" spans="1:30" x14ac:dyDescent="0.5">
      <c r="A334" s="35">
        <v>2011</v>
      </c>
      <c r="B334" t="s">
        <v>42</v>
      </c>
      <c r="C334" t="s">
        <v>38</v>
      </c>
      <c r="D334">
        <v>162</v>
      </c>
      <c r="E334">
        <v>641</v>
      </c>
      <c r="F334">
        <v>1345</v>
      </c>
      <c r="G334" s="60">
        <v>2011</v>
      </c>
      <c r="H334" s="60" t="s">
        <v>41</v>
      </c>
      <c r="I334" s="60" t="str">
        <f t="shared" si="17"/>
        <v>2011 Atlanta Braves</v>
      </c>
      <c r="J334" s="60">
        <v>5528</v>
      </c>
      <c r="K334" s="60">
        <f t="shared" si="15"/>
        <v>912</v>
      </c>
      <c r="L334" s="60">
        <v>244</v>
      </c>
      <c r="M334" s="60">
        <v>16</v>
      </c>
      <c r="N334" s="60">
        <v>173</v>
      </c>
      <c r="O334" s="60">
        <v>504</v>
      </c>
      <c r="P334" s="60">
        <v>28</v>
      </c>
      <c r="Q334" s="60">
        <f t="shared" si="16"/>
        <v>3651</v>
      </c>
      <c r="R334">
        <v>606</v>
      </c>
      <c r="S334">
        <v>45</v>
      </c>
      <c r="T334">
        <v>1260</v>
      </c>
      <c r="U334">
        <v>75</v>
      </c>
      <c r="V334">
        <v>30</v>
      </c>
      <c r="W334">
        <v>4</v>
      </c>
      <c r="X334">
        <v>75</v>
      </c>
      <c r="Y334">
        <v>113</v>
      </c>
      <c r="Z334">
        <v>77</v>
      </c>
      <c r="AA334">
        <v>44</v>
      </c>
      <c r="AB334">
        <v>0.24299999999999999</v>
      </c>
      <c r="AC334">
        <v>0.308</v>
      </c>
      <c r="AD334">
        <v>0.38700000000000001</v>
      </c>
    </row>
    <row r="335" spans="1:30" x14ac:dyDescent="0.5">
      <c r="A335" s="35">
        <v>2011</v>
      </c>
      <c r="B335" t="s">
        <v>45</v>
      </c>
      <c r="C335" t="s">
        <v>149</v>
      </c>
      <c r="D335">
        <v>162</v>
      </c>
      <c r="E335">
        <v>708</v>
      </c>
      <c r="F335">
        <v>1434</v>
      </c>
      <c r="G335" s="60">
        <v>2011</v>
      </c>
      <c r="H335" s="60" t="s">
        <v>44</v>
      </c>
      <c r="I335" s="60" t="str">
        <f t="shared" si="17"/>
        <v>2011 Baltimore Orioles</v>
      </c>
      <c r="J335" s="60">
        <v>5585</v>
      </c>
      <c r="K335" s="60">
        <f t="shared" si="15"/>
        <v>957</v>
      </c>
      <c r="L335" s="60">
        <v>273</v>
      </c>
      <c r="M335" s="60">
        <v>13</v>
      </c>
      <c r="N335" s="60">
        <v>191</v>
      </c>
      <c r="O335" s="60">
        <v>452</v>
      </c>
      <c r="P335" s="60">
        <v>52</v>
      </c>
      <c r="Q335" s="60">
        <f t="shared" si="16"/>
        <v>3647</v>
      </c>
      <c r="R335">
        <v>684</v>
      </c>
      <c r="S335">
        <v>24</v>
      </c>
      <c r="T335">
        <v>1120</v>
      </c>
      <c r="U335">
        <v>24</v>
      </c>
      <c r="V335">
        <v>43</v>
      </c>
      <c r="W335">
        <v>0</v>
      </c>
      <c r="X335">
        <v>68</v>
      </c>
      <c r="Y335">
        <v>154</v>
      </c>
      <c r="Z335">
        <v>81</v>
      </c>
      <c r="AA335">
        <v>25</v>
      </c>
      <c r="AB335">
        <v>0.25700000000000001</v>
      </c>
      <c r="AC335">
        <v>0.316</v>
      </c>
      <c r="AD335">
        <v>0.41299999999999998</v>
      </c>
    </row>
    <row r="336" spans="1:30" x14ac:dyDescent="0.5">
      <c r="A336" s="35">
        <v>2011</v>
      </c>
      <c r="B336" t="s">
        <v>47</v>
      </c>
      <c r="C336" t="s">
        <v>149</v>
      </c>
      <c r="D336">
        <v>162</v>
      </c>
      <c r="E336">
        <v>875</v>
      </c>
      <c r="F336">
        <v>1600</v>
      </c>
      <c r="G336" s="60">
        <v>2011</v>
      </c>
      <c r="H336" s="60" t="s">
        <v>46</v>
      </c>
      <c r="I336" s="60" t="str">
        <f t="shared" si="17"/>
        <v>2011 Boston Red Sox</v>
      </c>
      <c r="J336" s="60">
        <v>5710</v>
      </c>
      <c r="K336" s="60">
        <f t="shared" si="15"/>
        <v>1010</v>
      </c>
      <c r="L336" s="60">
        <v>352</v>
      </c>
      <c r="M336" s="60">
        <v>35</v>
      </c>
      <c r="N336" s="60">
        <v>203</v>
      </c>
      <c r="O336" s="60">
        <v>578</v>
      </c>
      <c r="P336" s="60">
        <v>50</v>
      </c>
      <c r="Q336" s="60">
        <f t="shared" si="16"/>
        <v>3482</v>
      </c>
      <c r="R336">
        <v>842</v>
      </c>
      <c r="S336">
        <v>52</v>
      </c>
      <c r="T336">
        <v>1108</v>
      </c>
      <c r="U336">
        <v>22</v>
      </c>
      <c r="V336">
        <v>50</v>
      </c>
      <c r="W336">
        <v>4</v>
      </c>
      <c r="X336">
        <v>71</v>
      </c>
      <c r="Y336">
        <v>136</v>
      </c>
      <c r="Z336">
        <v>102</v>
      </c>
      <c r="AA336">
        <v>42</v>
      </c>
      <c r="AB336">
        <v>0.28000000000000003</v>
      </c>
      <c r="AC336">
        <v>0.34899999999999998</v>
      </c>
      <c r="AD336">
        <v>0.46100000000000002</v>
      </c>
    </row>
    <row r="337" spans="1:30" x14ac:dyDescent="0.5">
      <c r="A337" s="35">
        <v>2011</v>
      </c>
      <c r="B337" t="s">
        <v>143</v>
      </c>
      <c r="C337" t="s">
        <v>38</v>
      </c>
      <c r="D337">
        <v>162</v>
      </c>
      <c r="E337">
        <v>654</v>
      </c>
      <c r="F337">
        <v>1423</v>
      </c>
      <c r="G337" s="60">
        <v>2011</v>
      </c>
      <c r="H337" s="60" t="s">
        <v>50</v>
      </c>
      <c r="I337" s="60" t="str">
        <f t="shared" si="17"/>
        <v>2011 Chicago Cubs</v>
      </c>
      <c r="J337" s="60">
        <v>5549</v>
      </c>
      <c r="K337" s="60">
        <f t="shared" si="15"/>
        <v>954</v>
      </c>
      <c r="L337" s="60">
        <v>285</v>
      </c>
      <c r="M337" s="60">
        <v>36</v>
      </c>
      <c r="N337" s="60">
        <v>148</v>
      </c>
      <c r="O337" s="60">
        <v>425</v>
      </c>
      <c r="P337" s="60">
        <v>59</v>
      </c>
      <c r="Q337" s="60">
        <f t="shared" si="16"/>
        <v>3642</v>
      </c>
      <c r="R337">
        <v>610</v>
      </c>
      <c r="S337">
        <v>35</v>
      </c>
      <c r="T337">
        <v>1202</v>
      </c>
      <c r="U337">
        <v>60</v>
      </c>
      <c r="V337">
        <v>35</v>
      </c>
      <c r="W337">
        <v>2</v>
      </c>
      <c r="X337">
        <v>84</v>
      </c>
      <c r="Y337">
        <v>123</v>
      </c>
      <c r="Z337">
        <v>69</v>
      </c>
      <c r="AA337">
        <v>23</v>
      </c>
      <c r="AB337">
        <v>0.25600000000000001</v>
      </c>
      <c r="AC337">
        <v>0.314</v>
      </c>
      <c r="AD337">
        <v>0.40100000000000002</v>
      </c>
    </row>
    <row r="338" spans="1:30" x14ac:dyDescent="0.5">
      <c r="A338" s="35">
        <v>2011</v>
      </c>
      <c r="B338" t="s">
        <v>143</v>
      </c>
      <c r="C338" t="s">
        <v>149</v>
      </c>
      <c r="D338">
        <v>162</v>
      </c>
      <c r="E338">
        <v>654</v>
      </c>
      <c r="F338">
        <v>1387</v>
      </c>
      <c r="G338" s="60">
        <v>2011</v>
      </c>
      <c r="H338" s="60" t="s">
        <v>48</v>
      </c>
      <c r="I338" s="60" t="str">
        <f t="shared" si="17"/>
        <v>2011 Chicago White Sox</v>
      </c>
      <c r="J338" s="60">
        <v>5502</v>
      </c>
      <c r="K338" s="60">
        <f t="shared" si="15"/>
        <v>965</v>
      </c>
      <c r="L338" s="60">
        <v>252</v>
      </c>
      <c r="M338" s="60">
        <v>16</v>
      </c>
      <c r="N338" s="60">
        <v>154</v>
      </c>
      <c r="O338" s="60">
        <v>475</v>
      </c>
      <c r="P338" s="60">
        <v>84</v>
      </c>
      <c r="Q338" s="60">
        <f t="shared" si="16"/>
        <v>3556</v>
      </c>
      <c r="R338">
        <v>625</v>
      </c>
      <c r="S338">
        <v>31</v>
      </c>
      <c r="T338">
        <v>989</v>
      </c>
      <c r="U338">
        <v>52</v>
      </c>
      <c r="V338">
        <v>46</v>
      </c>
      <c r="W338">
        <v>0</v>
      </c>
      <c r="X338">
        <v>66</v>
      </c>
      <c r="Y338">
        <v>125</v>
      </c>
      <c r="Z338">
        <v>81</v>
      </c>
      <c r="AA338">
        <v>53</v>
      </c>
      <c r="AB338">
        <v>0.252</v>
      </c>
      <c r="AC338">
        <v>0.31900000000000001</v>
      </c>
      <c r="AD338">
        <v>0.38800000000000001</v>
      </c>
    </row>
    <row r="339" spans="1:30" x14ac:dyDescent="0.5">
      <c r="A339" s="35">
        <v>2011</v>
      </c>
      <c r="B339" t="s">
        <v>53</v>
      </c>
      <c r="C339" t="s">
        <v>38</v>
      </c>
      <c r="D339">
        <v>162</v>
      </c>
      <c r="E339">
        <v>735</v>
      </c>
      <c r="F339">
        <v>1438</v>
      </c>
      <c r="G339" s="60">
        <v>2011</v>
      </c>
      <c r="H339" s="60" t="s">
        <v>52</v>
      </c>
      <c r="I339" s="60" t="str">
        <f t="shared" si="17"/>
        <v>2011 Cincinnati Reds</v>
      </c>
      <c r="J339" s="60">
        <v>5612</v>
      </c>
      <c r="K339" s="60">
        <f t="shared" si="15"/>
        <v>972</v>
      </c>
      <c r="L339" s="60">
        <v>264</v>
      </c>
      <c r="M339" s="60">
        <v>19</v>
      </c>
      <c r="N339" s="60">
        <v>183</v>
      </c>
      <c r="O339" s="60">
        <v>535</v>
      </c>
      <c r="P339" s="60">
        <v>63</v>
      </c>
      <c r="Q339" s="60">
        <f t="shared" si="16"/>
        <v>3576</v>
      </c>
      <c r="R339">
        <v>697</v>
      </c>
      <c r="S339">
        <v>52</v>
      </c>
      <c r="T339">
        <v>1250</v>
      </c>
      <c r="U339">
        <v>78</v>
      </c>
      <c r="V339">
        <v>40</v>
      </c>
      <c r="W339">
        <v>1</v>
      </c>
      <c r="X339">
        <v>89</v>
      </c>
      <c r="Y339">
        <v>98</v>
      </c>
      <c r="Z339">
        <v>97</v>
      </c>
      <c r="AA339">
        <v>50</v>
      </c>
      <c r="AB339">
        <v>0.25600000000000001</v>
      </c>
      <c r="AC339">
        <v>0.32600000000000001</v>
      </c>
      <c r="AD339">
        <v>0.40799999999999997</v>
      </c>
    </row>
    <row r="340" spans="1:30" x14ac:dyDescent="0.5">
      <c r="A340" s="35">
        <v>2011</v>
      </c>
      <c r="B340" t="s">
        <v>55</v>
      </c>
      <c r="C340" t="s">
        <v>149</v>
      </c>
      <c r="D340">
        <v>162</v>
      </c>
      <c r="E340">
        <v>704</v>
      </c>
      <c r="F340">
        <v>1380</v>
      </c>
      <c r="G340" s="60">
        <v>2011</v>
      </c>
      <c r="H340" s="60" t="s">
        <v>54</v>
      </c>
      <c r="I340" s="60" t="str">
        <f t="shared" si="17"/>
        <v>2011 Cleveland Indians</v>
      </c>
      <c r="J340" s="60">
        <v>5509</v>
      </c>
      <c r="K340" s="60">
        <f t="shared" si="15"/>
        <v>910</v>
      </c>
      <c r="L340" s="60">
        <v>290</v>
      </c>
      <c r="M340" s="60">
        <v>26</v>
      </c>
      <c r="N340" s="60">
        <v>154</v>
      </c>
      <c r="O340" s="60">
        <v>494</v>
      </c>
      <c r="P340" s="60">
        <v>65</v>
      </c>
      <c r="Q340" s="60">
        <f t="shared" si="16"/>
        <v>3570</v>
      </c>
      <c r="R340">
        <v>671</v>
      </c>
      <c r="S340">
        <v>30</v>
      </c>
      <c r="T340">
        <v>1269</v>
      </c>
      <c r="U340">
        <v>31</v>
      </c>
      <c r="V340">
        <v>43</v>
      </c>
      <c r="W340">
        <v>0</v>
      </c>
      <c r="X340">
        <v>42</v>
      </c>
      <c r="Y340">
        <v>111</v>
      </c>
      <c r="Z340">
        <v>89</v>
      </c>
      <c r="AA340">
        <v>42</v>
      </c>
      <c r="AB340">
        <v>0.25</v>
      </c>
      <c r="AC340">
        <v>0.317</v>
      </c>
      <c r="AD340">
        <v>0.39600000000000002</v>
      </c>
    </row>
    <row r="341" spans="1:30" x14ac:dyDescent="0.5">
      <c r="A341" s="35">
        <v>2011</v>
      </c>
      <c r="B341" t="s">
        <v>57</v>
      </c>
      <c r="C341" t="s">
        <v>38</v>
      </c>
      <c r="D341">
        <v>162</v>
      </c>
      <c r="E341">
        <v>735</v>
      </c>
      <c r="F341">
        <v>1429</v>
      </c>
      <c r="G341" s="60">
        <v>2011</v>
      </c>
      <c r="H341" s="60" t="s">
        <v>56</v>
      </c>
      <c r="I341" s="60" t="str">
        <f t="shared" si="17"/>
        <v>2011 Colorado Rockies</v>
      </c>
      <c r="J341" s="60">
        <v>5544</v>
      </c>
      <c r="K341" s="60">
        <f t="shared" si="15"/>
        <v>952</v>
      </c>
      <c r="L341" s="60">
        <v>274</v>
      </c>
      <c r="M341" s="60">
        <v>40</v>
      </c>
      <c r="N341" s="60">
        <v>163</v>
      </c>
      <c r="O341" s="60">
        <v>555</v>
      </c>
      <c r="P341" s="60">
        <v>57</v>
      </c>
      <c r="Q341" s="60">
        <f t="shared" si="16"/>
        <v>3503</v>
      </c>
      <c r="R341">
        <v>697</v>
      </c>
      <c r="S341">
        <v>54</v>
      </c>
      <c r="T341">
        <v>1201</v>
      </c>
      <c r="U341">
        <v>75</v>
      </c>
      <c r="V341">
        <v>44</v>
      </c>
      <c r="W341">
        <v>0</v>
      </c>
      <c r="X341">
        <v>72</v>
      </c>
      <c r="Y341">
        <v>112</v>
      </c>
      <c r="Z341">
        <v>118</v>
      </c>
      <c r="AA341">
        <v>42</v>
      </c>
      <c r="AB341">
        <v>0.25800000000000001</v>
      </c>
      <c r="AC341">
        <v>0.32900000000000001</v>
      </c>
      <c r="AD341">
        <v>0.41</v>
      </c>
    </row>
    <row r="342" spans="1:30" x14ac:dyDescent="0.5">
      <c r="A342" s="35">
        <v>2011</v>
      </c>
      <c r="B342" t="s">
        <v>59</v>
      </c>
      <c r="C342" t="s">
        <v>149</v>
      </c>
      <c r="D342">
        <v>162</v>
      </c>
      <c r="E342">
        <v>787</v>
      </c>
      <c r="F342">
        <v>1540</v>
      </c>
      <c r="G342" s="60">
        <v>2011</v>
      </c>
      <c r="H342" s="60" t="s">
        <v>58</v>
      </c>
      <c r="I342" s="60" t="str">
        <f t="shared" si="17"/>
        <v>2011 Detroit Tigers</v>
      </c>
      <c r="J342" s="60">
        <v>5563</v>
      </c>
      <c r="K342" s="60">
        <f t="shared" si="15"/>
        <v>1040</v>
      </c>
      <c r="L342" s="60">
        <v>297</v>
      </c>
      <c r="M342" s="60">
        <v>34</v>
      </c>
      <c r="N342" s="60">
        <v>169</v>
      </c>
      <c r="O342" s="60">
        <v>521</v>
      </c>
      <c r="P342" s="60">
        <v>39</v>
      </c>
      <c r="Q342" s="60">
        <f t="shared" si="16"/>
        <v>3463</v>
      </c>
      <c r="R342">
        <v>750</v>
      </c>
      <c r="S342">
        <v>47</v>
      </c>
      <c r="T342">
        <v>1143</v>
      </c>
      <c r="U342">
        <v>50</v>
      </c>
      <c r="V342">
        <v>58</v>
      </c>
      <c r="W342">
        <v>0</v>
      </c>
      <c r="X342">
        <v>74</v>
      </c>
      <c r="Y342">
        <v>142</v>
      </c>
      <c r="Z342">
        <v>49</v>
      </c>
      <c r="AA342">
        <v>20</v>
      </c>
      <c r="AB342">
        <v>0.27700000000000002</v>
      </c>
      <c r="AC342">
        <v>0.34</v>
      </c>
      <c r="AD342">
        <v>0.434</v>
      </c>
    </row>
    <row r="343" spans="1:30" x14ac:dyDescent="0.5">
      <c r="A343" s="35">
        <v>2011</v>
      </c>
      <c r="B343" t="s">
        <v>146</v>
      </c>
      <c r="C343" t="s">
        <v>38</v>
      </c>
      <c r="D343">
        <v>162</v>
      </c>
      <c r="E343">
        <v>625</v>
      </c>
      <c r="F343">
        <v>1358</v>
      </c>
      <c r="G343" s="60">
        <v>2011</v>
      </c>
      <c r="H343" s="60" t="s">
        <v>60</v>
      </c>
      <c r="I343" s="60" t="str">
        <f t="shared" si="17"/>
        <v>2011 Florida Marlins</v>
      </c>
      <c r="J343" s="60">
        <v>5508</v>
      </c>
      <c r="K343" s="60">
        <f t="shared" si="15"/>
        <v>905</v>
      </c>
      <c r="L343" s="60">
        <v>274</v>
      </c>
      <c r="M343" s="60">
        <v>30</v>
      </c>
      <c r="N343" s="60">
        <v>149</v>
      </c>
      <c r="O343" s="60">
        <v>542</v>
      </c>
      <c r="P343" s="60">
        <v>51</v>
      </c>
      <c r="Q343" s="60">
        <f t="shared" si="16"/>
        <v>3557</v>
      </c>
      <c r="R343">
        <v>596</v>
      </c>
      <c r="S343">
        <v>38</v>
      </c>
      <c r="T343">
        <v>1244</v>
      </c>
      <c r="U343">
        <v>89</v>
      </c>
      <c r="V343">
        <v>42</v>
      </c>
      <c r="W343">
        <v>0</v>
      </c>
      <c r="X343">
        <v>67</v>
      </c>
      <c r="Y343">
        <v>111</v>
      </c>
      <c r="Z343">
        <v>95</v>
      </c>
      <c r="AA343">
        <v>41</v>
      </c>
      <c r="AB343">
        <v>0.247</v>
      </c>
      <c r="AC343">
        <v>0.318</v>
      </c>
      <c r="AD343">
        <v>0.38800000000000001</v>
      </c>
    </row>
    <row r="344" spans="1:30" x14ac:dyDescent="0.5">
      <c r="A344" s="35">
        <v>2011</v>
      </c>
      <c r="B344" t="s">
        <v>63</v>
      </c>
      <c r="C344" t="s">
        <v>38</v>
      </c>
      <c r="D344">
        <v>162</v>
      </c>
      <c r="E344">
        <v>615</v>
      </c>
      <c r="F344">
        <v>1442</v>
      </c>
      <c r="G344" s="60">
        <v>2011</v>
      </c>
      <c r="H344" s="60" t="s">
        <v>62</v>
      </c>
      <c r="I344" s="60" t="str">
        <f t="shared" si="17"/>
        <v>2011 Houston Astros</v>
      </c>
      <c r="J344" s="60">
        <v>5598</v>
      </c>
      <c r="K344" s="60">
        <f t="shared" si="15"/>
        <v>1010</v>
      </c>
      <c r="L344" s="60">
        <v>309</v>
      </c>
      <c r="M344" s="60">
        <v>28</v>
      </c>
      <c r="N344" s="60">
        <v>95</v>
      </c>
      <c r="O344" s="60">
        <v>401</v>
      </c>
      <c r="P344" s="60">
        <v>46</v>
      </c>
      <c r="Q344" s="60">
        <f t="shared" si="16"/>
        <v>3709</v>
      </c>
      <c r="R344">
        <v>579</v>
      </c>
      <c r="S344">
        <v>34</v>
      </c>
      <c r="T344">
        <v>1164</v>
      </c>
      <c r="U344">
        <v>66</v>
      </c>
      <c r="V344">
        <v>37</v>
      </c>
      <c r="W344">
        <v>2</v>
      </c>
      <c r="X344">
        <v>71</v>
      </c>
      <c r="Y344">
        <v>111</v>
      </c>
      <c r="Z344">
        <v>118</v>
      </c>
      <c r="AA344">
        <v>33</v>
      </c>
      <c r="AB344">
        <v>0.25800000000000001</v>
      </c>
      <c r="AC344">
        <v>0.311</v>
      </c>
      <c r="AD344">
        <v>0.374</v>
      </c>
    </row>
    <row r="345" spans="1:30" x14ac:dyDescent="0.5">
      <c r="A345" s="35">
        <v>2011</v>
      </c>
      <c r="B345" t="s">
        <v>150</v>
      </c>
      <c r="C345" t="s">
        <v>149</v>
      </c>
      <c r="D345">
        <v>162</v>
      </c>
      <c r="E345">
        <v>730</v>
      </c>
      <c r="F345">
        <v>1560</v>
      </c>
      <c r="G345" s="60">
        <v>2011</v>
      </c>
      <c r="H345" s="60" t="s">
        <v>64</v>
      </c>
      <c r="I345" s="60" t="str">
        <f t="shared" si="17"/>
        <v>2011 Kansas City Royals</v>
      </c>
      <c r="J345" s="60">
        <v>5672</v>
      </c>
      <c r="K345" s="60">
        <f t="shared" si="15"/>
        <v>1065</v>
      </c>
      <c r="L345" s="60">
        <v>325</v>
      </c>
      <c r="M345" s="60">
        <v>41</v>
      </c>
      <c r="N345" s="60">
        <v>129</v>
      </c>
      <c r="O345" s="60">
        <v>442</v>
      </c>
      <c r="P345" s="60">
        <v>39</v>
      </c>
      <c r="Q345" s="60">
        <f t="shared" si="16"/>
        <v>3631</v>
      </c>
      <c r="R345">
        <v>705</v>
      </c>
      <c r="S345">
        <v>37</v>
      </c>
      <c r="T345">
        <v>1006</v>
      </c>
      <c r="U345">
        <v>55</v>
      </c>
      <c r="V345">
        <v>57</v>
      </c>
      <c r="W345">
        <v>2</v>
      </c>
      <c r="X345">
        <v>81</v>
      </c>
      <c r="Y345">
        <v>121</v>
      </c>
      <c r="Z345">
        <v>153</v>
      </c>
      <c r="AA345">
        <v>58</v>
      </c>
      <c r="AB345">
        <v>0.27500000000000002</v>
      </c>
      <c r="AC345">
        <v>0.32900000000000001</v>
      </c>
      <c r="AD345">
        <v>0.41499999999999998</v>
      </c>
    </row>
    <row r="346" spans="1:30" x14ac:dyDescent="0.5">
      <c r="A346" s="35">
        <v>2011</v>
      </c>
      <c r="B346" t="s">
        <v>145</v>
      </c>
      <c r="C346" t="s">
        <v>38</v>
      </c>
      <c r="D346">
        <v>161</v>
      </c>
      <c r="E346">
        <v>644</v>
      </c>
      <c r="F346">
        <v>1395</v>
      </c>
      <c r="G346" s="60">
        <v>2011</v>
      </c>
      <c r="H346" s="60" t="s">
        <v>66</v>
      </c>
      <c r="I346" s="60" t="str">
        <f t="shared" si="17"/>
        <v>2011 Los Angeles Dodgers</v>
      </c>
      <c r="J346" s="60">
        <v>5436</v>
      </c>
      <c r="K346" s="60">
        <f t="shared" si="15"/>
        <v>1013</v>
      </c>
      <c r="L346" s="60">
        <v>237</v>
      </c>
      <c r="M346" s="60">
        <v>28</v>
      </c>
      <c r="N346" s="60">
        <v>117</v>
      </c>
      <c r="O346" s="60">
        <v>498</v>
      </c>
      <c r="P346" s="60">
        <v>45</v>
      </c>
      <c r="Q346" s="60">
        <f t="shared" si="16"/>
        <v>3498</v>
      </c>
      <c r="R346">
        <v>613</v>
      </c>
      <c r="S346">
        <v>61</v>
      </c>
      <c r="T346">
        <v>1087</v>
      </c>
      <c r="U346">
        <v>71</v>
      </c>
      <c r="V346">
        <v>43</v>
      </c>
      <c r="W346">
        <v>1</v>
      </c>
      <c r="X346">
        <v>64</v>
      </c>
      <c r="Y346">
        <v>101</v>
      </c>
      <c r="Z346">
        <v>126</v>
      </c>
      <c r="AA346">
        <v>40</v>
      </c>
      <c r="AB346">
        <v>0.25700000000000001</v>
      </c>
      <c r="AC346">
        <v>0.32200000000000001</v>
      </c>
      <c r="AD346">
        <v>0.375</v>
      </c>
    </row>
    <row r="347" spans="1:30" x14ac:dyDescent="0.5">
      <c r="A347" s="35">
        <v>2011</v>
      </c>
      <c r="B347" t="s">
        <v>69</v>
      </c>
      <c r="C347" t="s">
        <v>38</v>
      </c>
      <c r="D347">
        <v>162</v>
      </c>
      <c r="E347">
        <v>721</v>
      </c>
      <c r="F347">
        <v>1422</v>
      </c>
      <c r="G347" s="60">
        <v>2011</v>
      </c>
      <c r="H347" s="60" t="s">
        <v>68</v>
      </c>
      <c r="I347" s="60" t="str">
        <f t="shared" si="17"/>
        <v>2011 Milwaukee Brewers</v>
      </c>
      <c r="J347" s="60">
        <v>5447</v>
      </c>
      <c r="K347" s="60">
        <f t="shared" si="15"/>
        <v>930</v>
      </c>
      <c r="L347" s="60">
        <v>276</v>
      </c>
      <c r="M347" s="60">
        <v>31</v>
      </c>
      <c r="N347" s="60">
        <v>185</v>
      </c>
      <c r="O347" s="60">
        <v>481</v>
      </c>
      <c r="P347" s="60">
        <v>56</v>
      </c>
      <c r="Q347" s="60">
        <f t="shared" si="16"/>
        <v>3488</v>
      </c>
      <c r="R347">
        <v>693</v>
      </c>
      <c r="S347">
        <v>53</v>
      </c>
      <c r="T347">
        <v>1083</v>
      </c>
      <c r="U347">
        <v>85</v>
      </c>
      <c r="V347">
        <v>44</v>
      </c>
      <c r="W347">
        <v>0</v>
      </c>
      <c r="X347">
        <v>76</v>
      </c>
      <c r="Y347">
        <v>114</v>
      </c>
      <c r="Z347">
        <v>94</v>
      </c>
      <c r="AA347">
        <v>31</v>
      </c>
      <c r="AB347">
        <v>0.26100000000000001</v>
      </c>
      <c r="AC347">
        <v>0.32500000000000001</v>
      </c>
      <c r="AD347">
        <v>0.42499999999999999</v>
      </c>
    </row>
    <row r="348" spans="1:30" x14ac:dyDescent="0.5">
      <c r="A348" s="35">
        <v>2011</v>
      </c>
      <c r="B348" t="s">
        <v>71</v>
      </c>
      <c r="C348" t="s">
        <v>149</v>
      </c>
      <c r="D348">
        <v>162</v>
      </c>
      <c r="E348">
        <v>619</v>
      </c>
      <c r="F348">
        <v>1357</v>
      </c>
      <c r="G348" s="60">
        <v>2011</v>
      </c>
      <c r="H348" s="60" t="s">
        <v>70</v>
      </c>
      <c r="I348" s="60" t="str">
        <f t="shared" si="17"/>
        <v>2011 Minnesota Twins</v>
      </c>
      <c r="J348" s="60">
        <v>5487</v>
      </c>
      <c r="K348" s="60">
        <f t="shared" si="15"/>
        <v>970</v>
      </c>
      <c r="L348" s="60">
        <v>259</v>
      </c>
      <c r="M348" s="60">
        <v>25</v>
      </c>
      <c r="N348" s="60">
        <v>103</v>
      </c>
      <c r="O348" s="60">
        <v>440</v>
      </c>
      <c r="P348" s="60">
        <v>37</v>
      </c>
      <c r="Q348" s="60">
        <f t="shared" si="16"/>
        <v>3653</v>
      </c>
      <c r="R348">
        <v>572</v>
      </c>
      <c r="S348">
        <v>24</v>
      </c>
      <c r="T348">
        <v>1048</v>
      </c>
      <c r="U348">
        <v>31</v>
      </c>
      <c r="V348">
        <v>25</v>
      </c>
      <c r="W348">
        <v>0</v>
      </c>
      <c r="X348">
        <v>72</v>
      </c>
      <c r="Y348">
        <v>115</v>
      </c>
      <c r="Z348">
        <v>92</v>
      </c>
      <c r="AA348">
        <v>39</v>
      </c>
      <c r="AB348">
        <v>0.247</v>
      </c>
      <c r="AC348">
        <v>0.30599999999999999</v>
      </c>
      <c r="AD348">
        <v>0.36</v>
      </c>
    </row>
    <row r="349" spans="1:30" x14ac:dyDescent="0.5">
      <c r="A349" s="35">
        <v>2011</v>
      </c>
      <c r="B349" t="s">
        <v>144</v>
      </c>
      <c r="C349" t="s">
        <v>38</v>
      </c>
      <c r="D349">
        <v>162</v>
      </c>
      <c r="E349">
        <v>718</v>
      </c>
      <c r="F349">
        <v>1477</v>
      </c>
      <c r="G349" s="60">
        <v>2011</v>
      </c>
      <c r="H349" s="60" t="s">
        <v>76</v>
      </c>
      <c r="I349" s="60" t="str">
        <f t="shared" si="17"/>
        <v>2011 New York Mets</v>
      </c>
      <c r="J349" s="60">
        <v>5600</v>
      </c>
      <c r="K349" s="60">
        <f t="shared" si="15"/>
        <v>1021</v>
      </c>
      <c r="L349" s="60">
        <v>309</v>
      </c>
      <c r="M349" s="60">
        <v>39</v>
      </c>
      <c r="N349" s="60">
        <v>108</v>
      </c>
      <c r="O349" s="60">
        <v>571</v>
      </c>
      <c r="P349" s="60">
        <v>51</v>
      </c>
      <c r="Q349" s="60">
        <f t="shared" si="16"/>
        <v>3501</v>
      </c>
      <c r="R349">
        <v>676</v>
      </c>
      <c r="S349">
        <v>56</v>
      </c>
      <c r="T349">
        <v>1085</v>
      </c>
      <c r="U349">
        <v>65</v>
      </c>
      <c r="V349">
        <v>48</v>
      </c>
      <c r="W349">
        <v>0</v>
      </c>
      <c r="X349">
        <v>68</v>
      </c>
      <c r="Y349">
        <v>112</v>
      </c>
      <c r="Z349">
        <v>130</v>
      </c>
      <c r="AA349">
        <v>35</v>
      </c>
      <c r="AB349">
        <v>0.26400000000000001</v>
      </c>
      <c r="AC349">
        <v>0.33500000000000002</v>
      </c>
      <c r="AD349">
        <v>0.39100000000000001</v>
      </c>
    </row>
    <row r="350" spans="1:30" x14ac:dyDescent="0.5">
      <c r="A350" s="35">
        <v>2011</v>
      </c>
      <c r="B350" t="s">
        <v>144</v>
      </c>
      <c r="C350" t="s">
        <v>149</v>
      </c>
      <c r="D350">
        <v>162</v>
      </c>
      <c r="E350">
        <v>867</v>
      </c>
      <c r="F350">
        <v>1452</v>
      </c>
      <c r="G350" s="60">
        <v>2011</v>
      </c>
      <c r="H350" s="60" t="s">
        <v>74</v>
      </c>
      <c r="I350" s="60" t="str">
        <f t="shared" si="17"/>
        <v>2011 New York Yankees</v>
      </c>
      <c r="J350" s="60">
        <v>5518</v>
      </c>
      <c r="K350" s="60">
        <f t="shared" si="15"/>
        <v>930</v>
      </c>
      <c r="L350" s="60">
        <v>267</v>
      </c>
      <c r="M350" s="60">
        <v>33</v>
      </c>
      <c r="N350" s="60">
        <v>222</v>
      </c>
      <c r="O350" s="60">
        <v>627</v>
      </c>
      <c r="P350" s="60">
        <v>74</v>
      </c>
      <c r="Q350" s="60">
        <f t="shared" si="16"/>
        <v>3365</v>
      </c>
      <c r="R350">
        <v>836</v>
      </c>
      <c r="S350">
        <v>34</v>
      </c>
      <c r="T350">
        <v>1138</v>
      </c>
      <c r="U350">
        <v>36</v>
      </c>
      <c r="V350">
        <v>51</v>
      </c>
      <c r="W350">
        <v>0</v>
      </c>
      <c r="X350">
        <v>63</v>
      </c>
      <c r="Y350">
        <v>146</v>
      </c>
      <c r="Z350">
        <v>147</v>
      </c>
      <c r="AA350">
        <v>46</v>
      </c>
      <c r="AB350">
        <v>0.26300000000000001</v>
      </c>
      <c r="AC350">
        <v>0.34300000000000003</v>
      </c>
      <c r="AD350">
        <v>0.44400000000000001</v>
      </c>
    </row>
    <row r="351" spans="1:30" x14ac:dyDescent="0.5">
      <c r="A351" s="35">
        <v>2011</v>
      </c>
      <c r="B351" t="s">
        <v>79</v>
      </c>
      <c r="C351" t="s">
        <v>149</v>
      </c>
      <c r="D351">
        <v>162</v>
      </c>
      <c r="E351">
        <v>645</v>
      </c>
      <c r="F351">
        <v>1330</v>
      </c>
      <c r="G351" s="60">
        <v>2011</v>
      </c>
      <c r="H351" s="60" t="s">
        <v>78</v>
      </c>
      <c r="I351" s="60" t="str">
        <f t="shared" si="17"/>
        <v>2011 Oakland Athletics</v>
      </c>
      <c r="J351" s="60">
        <v>5452</v>
      </c>
      <c r="K351" s="60">
        <f t="shared" si="15"/>
        <v>907</v>
      </c>
      <c r="L351" s="60">
        <v>280</v>
      </c>
      <c r="M351" s="60">
        <v>29</v>
      </c>
      <c r="N351" s="60">
        <v>114</v>
      </c>
      <c r="O351" s="60">
        <v>509</v>
      </c>
      <c r="P351" s="60">
        <v>50</v>
      </c>
      <c r="Q351" s="60">
        <f t="shared" si="16"/>
        <v>3563</v>
      </c>
      <c r="R351">
        <v>612</v>
      </c>
      <c r="S351">
        <v>20</v>
      </c>
      <c r="T351">
        <v>1094</v>
      </c>
      <c r="U351">
        <v>34</v>
      </c>
      <c r="V351">
        <v>57</v>
      </c>
      <c r="W351">
        <v>2</v>
      </c>
      <c r="X351">
        <v>67</v>
      </c>
      <c r="Y351">
        <v>119</v>
      </c>
      <c r="Z351">
        <v>117</v>
      </c>
      <c r="AA351">
        <v>43</v>
      </c>
      <c r="AB351">
        <v>0.24399999999999999</v>
      </c>
      <c r="AC351">
        <v>0.311</v>
      </c>
      <c r="AD351">
        <v>0.36899999999999999</v>
      </c>
    </row>
    <row r="352" spans="1:30" x14ac:dyDescent="0.5">
      <c r="A352" s="35">
        <v>2011</v>
      </c>
      <c r="B352" t="s">
        <v>81</v>
      </c>
      <c r="C352" t="s">
        <v>38</v>
      </c>
      <c r="D352">
        <v>162</v>
      </c>
      <c r="E352">
        <v>713</v>
      </c>
      <c r="F352">
        <v>1409</v>
      </c>
      <c r="G352" s="60">
        <v>2011</v>
      </c>
      <c r="H352" s="60" t="s">
        <v>80</v>
      </c>
      <c r="I352" s="60" t="str">
        <f t="shared" si="17"/>
        <v>2011 Philadelphia Phillies</v>
      </c>
      <c r="J352" s="60">
        <v>5579</v>
      </c>
      <c r="K352" s="60">
        <f t="shared" si="15"/>
        <v>960</v>
      </c>
      <c r="L352" s="60">
        <v>258</v>
      </c>
      <c r="M352" s="60">
        <v>38</v>
      </c>
      <c r="N352" s="60">
        <v>153</v>
      </c>
      <c r="O352" s="60">
        <v>539</v>
      </c>
      <c r="P352" s="60">
        <v>56</v>
      </c>
      <c r="Q352" s="60">
        <f t="shared" si="16"/>
        <v>3575</v>
      </c>
      <c r="R352">
        <v>693</v>
      </c>
      <c r="S352">
        <v>52</v>
      </c>
      <c r="T352">
        <v>1024</v>
      </c>
      <c r="U352">
        <v>65</v>
      </c>
      <c r="V352">
        <v>38</v>
      </c>
      <c r="W352">
        <v>2</v>
      </c>
      <c r="X352">
        <v>78</v>
      </c>
      <c r="Y352">
        <v>108</v>
      </c>
      <c r="Z352">
        <v>96</v>
      </c>
      <c r="AA352">
        <v>24</v>
      </c>
      <c r="AB352">
        <v>0.253</v>
      </c>
      <c r="AC352">
        <v>0.32300000000000001</v>
      </c>
      <c r="AD352">
        <v>0.39500000000000002</v>
      </c>
    </row>
    <row r="353" spans="1:30" x14ac:dyDescent="0.5">
      <c r="A353" s="35">
        <v>2011</v>
      </c>
      <c r="B353" t="s">
        <v>83</v>
      </c>
      <c r="C353" t="s">
        <v>38</v>
      </c>
      <c r="D353">
        <v>162</v>
      </c>
      <c r="E353">
        <v>610</v>
      </c>
      <c r="F353">
        <v>1325</v>
      </c>
      <c r="G353" s="60">
        <v>2011</v>
      </c>
      <c r="H353" s="60" t="s">
        <v>82</v>
      </c>
      <c r="I353" s="60" t="str">
        <f t="shared" si="17"/>
        <v>2011 Pittsburgh Pirates</v>
      </c>
      <c r="J353" s="60">
        <v>5421</v>
      </c>
      <c r="K353" s="60">
        <f t="shared" si="15"/>
        <v>906</v>
      </c>
      <c r="L353" s="60">
        <v>277</v>
      </c>
      <c r="M353" s="60">
        <v>35</v>
      </c>
      <c r="N353" s="60">
        <v>107</v>
      </c>
      <c r="O353" s="60">
        <v>489</v>
      </c>
      <c r="P353" s="60">
        <v>34</v>
      </c>
      <c r="Q353" s="60">
        <f t="shared" si="16"/>
        <v>3573</v>
      </c>
      <c r="R353">
        <v>580</v>
      </c>
      <c r="S353">
        <v>31</v>
      </c>
      <c r="T353">
        <v>1308</v>
      </c>
      <c r="U353">
        <v>75</v>
      </c>
      <c r="V353">
        <v>44</v>
      </c>
      <c r="W353">
        <v>1</v>
      </c>
      <c r="X353">
        <v>66</v>
      </c>
      <c r="Y353">
        <v>123</v>
      </c>
      <c r="Z353">
        <v>108</v>
      </c>
      <c r="AA353">
        <v>52</v>
      </c>
      <c r="AB353">
        <v>0.24399999999999999</v>
      </c>
      <c r="AC353">
        <v>0.309</v>
      </c>
      <c r="AD353">
        <v>0.36799999999999999</v>
      </c>
    </row>
    <row r="354" spans="1:30" x14ac:dyDescent="0.5">
      <c r="A354" s="35">
        <v>2011</v>
      </c>
      <c r="B354" t="s">
        <v>147</v>
      </c>
      <c r="C354" t="s">
        <v>38</v>
      </c>
      <c r="D354">
        <v>162</v>
      </c>
      <c r="E354">
        <v>593</v>
      </c>
      <c r="F354">
        <v>1284</v>
      </c>
      <c r="G354" s="60">
        <v>2011</v>
      </c>
      <c r="H354" s="60" t="s">
        <v>84</v>
      </c>
      <c r="I354" s="60" t="str">
        <f t="shared" si="17"/>
        <v>2011 San Diego Padres</v>
      </c>
      <c r="J354" s="60">
        <v>5417</v>
      </c>
      <c r="K354" s="60">
        <f t="shared" si="15"/>
        <v>904</v>
      </c>
      <c r="L354" s="60">
        <v>247</v>
      </c>
      <c r="M354" s="60">
        <v>42</v>
      </c>
      <c r="N354" s="60">
        <v>91</v>
      </c>
      <c r="O354" s="60">
        <v>501</v>
      </c>
      <c r="P354" s="60">
        <v>48</v>
      </c>
      <c r="Q354" s="60">
        <f t="shared" si="16"/>
        <v>3584</v>
      </c>
      <c r="R354">
        <v>563</v>
      </c>
      <c r="S354">
        <v>42</v>
      </c>
      <c r="T354">
        <v>1320</v>
      </c>
      <c r="U354">
        <v>55</v>
      </c>
      <c r="V354">
        <v>47</v>
      </c>
      <c r="W354">
        <v>6</v>
      </c>
      <c r="X354">
        <v>67</v>
      </c>
      <c r="Y354">
        <v>105</v>
      </c>
      <c r="Z354">
        <v>170</v>
      </c>
      <c r="AA354">
        <v>44</v>
      </c>
      <c r="AB354">
        <v>0.23699999999999999</v>
      </c>
      <c r="AC354">
        <v>0.30499999999999999</v>
      </c>
      <c r="AD354">
        <v>0.34899999999999998</v>
      </c>
    </row>
    <row r="355" spans="1:30" x14ac:dyDescent="0.5">
      <c r="A355" s="35">
        <v>2011</v>
      </c>
      <c r="B355" t="s">
        <v>87</v>
      </c>
      <c r="C355" t="s">
        <v>149</v>
      </c>
      <c r="D355">
        <v>162</v>
      </c>
      <c r="E355">
        <v>556</v>
      </c>
      <c r="F355">
        <v>1263</v>
      </c>
      <c r="G355" s="60">
        <v>2011</v>
      </c>
      <c r="H355" s="60" t="s">
        <v>86</v>
      </c>
      <c r="I355" s="60" t="str">
        <f t="shared" si="17"/>
        <v>2011 Seattle Mariners</v>
      </c>
      <c r="J355" s="60">
        <v>5421</v>
      </c>
      <c r="K355" s="60">
        <f t="shared" si="15"/>
        <v>879</v>
      </c>
      <c r="L355" s="60">
        <v>253</v>
      </c>
      <c r="M355" s="60">
        <v>22</v>
      </c>
      <c r="N355" s="60">
        <v>109</v>
      </c>
      <c r="O355" s="60">
        <v>435</v>
      </c>
      <c r="P355" s="60">
        <v>37</v>
      </c>
      <c r="Q355" s="60">
        <f t="shared" si="16"/>
        <v>3686</v>
      </c>
      <c r="R355">
        <v>534</v>
      </c>
      <c r="S355">
        <v>33</v>
      </c>
      <c r="T355">
        <v>1280</v>
      </c>
      <c r="U355">
        <v>38</v>
      </c>
      <c r="V355">
        <v>41</v>
      </c>
      <c r="W355">
        <v>0</v>
      </c>
      <c r="X355">
        <v>69</v>
      </c>
      <c r="Y355">
        <v>82</v>
      </c>
      <c r="Z355">
        <v>125</v>
      </c>
      <c r="AA355">
        <v>40</v>
      </c>
      <c r="AB355">
        <v>0.23300000000000001</v>
      </c>
      <c r="AC355">
        <v>0.29199999999999998</v>
      </c>
      <c r="AD355">
        <v>0.34799999999999998</v>
      </c>
    </row>
    <row r="356" spans="1:30" x14ac:dyDescent="0.5">
      <c r="A356" s="35">
        <v>2011</v>
      </c>
      <c r="B356" t="s">
        <v>21</v>
      </c>
      <c r="C356" t="s">
        <v>38</v>
      </c>
      <c r="D356">
        <v>162</v>
      </c>
      <c r="E356">
        <v>570</v>
      </c>
      <c r="F356">
        <v>1327</v>
      </c>
      <c r="G356" s="60">
        <v>2011</v>
      </c>
      <c r="H356" s="60" t="s">
        <v>88</v>
      </c>
      <c r="I356" s="60" t="str">
        <f t="shared" si="17"/>
        <v>2011 San Francisco Giants</v>
      </c>
      <c r="J356" s="60">
        <v>5486</v>
      </c>
      <c r="K356" s="60">
        <f t="shared" si="15"/>
        <v>900</v>
      </c>
      <c r="L356" s="60">
        <v>282</v>
      </c>
      <c r="M356" s="60">
        <v>24</v>
      </c>
      <c r="N356" s="60">
        <v>121</v>
      </c>
      <c r="O356" s="60">
        <v>448</v>
      </c>
      <c r="P356" s="60">
        <v>52</v>
      </c>
      <c r="Q356" s="60">
        <f t="shared" si="16"/>
        <v>3659</v>
      </c>
      <c r="R356">
        <v>534</v>
      </c>
      <c r="S356">
        <v>47</v>
      </c>
      <c r="T356">
        <v>1122</v>
      </c>
      <c r="U356">
        <v>62</v>
      </c>
      <c r="V356">
        <v>43</v>
      </c>
      <c r="W356">
        <v>0</v>
      </c>
      <c r="X356">
        <v>74</v>
      </c>
      <c r="Y356">
        <v>117</v>
      </c>
      <c r="Z356">
        <v>85</v>
      </c>
      <c r="AA356">
        <v>51</v>
      </c>
      <c r="AB356">
        <v>0.24199999999999999</v>
      </c>
      <c r="AC356">
        <v>0.30299999999999999</v>
      </c>
      <c r="AD356">
        <v>0.36799999999999999</v>
      </c>
    </row>
    <row r="357" spans="1:30" x14ac:dyDescent="0.5">
      <c r="A357" s="35">
        <v>2011</v>
      </c>
      <c r="B357" t="s">
        <v>142</v>
      </c>
      <c r="C357" t="s">
        <v>38</v>
      </c>
      <c r="D357">
        <v>162</v>
      </c>
      <c r="E357">
        <v>762</v>
      </c>
      <c r="F357">
        <v>1513</v>
      </c>
      <c r="G357" s="60">
        <v>2011</v>
      </c>
      <c r="H357" s="60" t="s">
        <v>90</v>
      </c>
      <c r="I357" s="60" t="str">
        <f t="shared" si="17"/>
        <v>2011 St. Louis Cardinals</v>
      </c>
      <c r="J357" s="60">
        <v>5532</v>
      </c>
      <c r="K357" s="60">
        <f t="shared" si="15"/>
        <v>1021</v>
      </c>
      <c r="L357" s="60">
        <v>308</v>
      </c>
      <c r="M357" s="60">
        <v>22</v>
      </c>
      <c r="N357" s="60">
        <v>162</v>
      </c>
      <c r="O357" s="60">
        <v>542</v>
      </c>
      <c r="P357" s="60">
        <v>44</v>
      </c>
      <c r="Q357" s="60">
        <f t="shared" si="16"/>
        <v>3433</v>
      </c>
      <c r="R357">
        <v>726</v>
      </c>
      <c r="S357">
        <v>64</v>
      </c>
      <c r="T357">
        <v>978</v>
      </c>
      <c r="U357">
        <v>84</v>
      </c>
      <c r="V357">
        <v>40</v>
      </c>
      <c r="W357">
        <v>0</v>
      </c>
      <c r="X357">
        <v>56</v>
      </c>
      <c r="Y357">
        <v>169</v>
      </c>
      <c r="Z357">
        <v>57</v>
      </c>
      <c r="AA357">
        <v>39</v>
      </c>
      <c r="AB357">
        <v>0.27300000000000002</v>
      </c>
      <c r="AC357">
        <v>0.34100000000000003</v>
      </c>
      <c r="AD357">
        <v>0.42499999999999999</v>
      </c>
    </row>
    <row r="358" spans="1:30" x14ac:dyDescent="0.5">
      <c r="A358" s="35">
        <v>2011</v>
      </c>
      <c r="B358" t="s">
        <v>151</v>
      </c>
      <c r="C358" t="s">
        <v>149</v>
      </c>
      <c r="D358">
        <v>162</v>
      </c>
      <c r="E358">
        <v>707</v>
      </c>
      <c r="F358">
        <v>1324</v>
      </c>
      <c r="G358" s="60">
        <v>2011</v>
      </c>
      <c r="H358" s="60" t="s">
        <v>92</v>
      </c>
      <c r="I358" s="60" t="str">
        <f t="shared" si="17"/>
        <v>2011 Tampa Bay Devil Rays</v>
      </c>
      <c r="J358" s="60">
        <v>5436</v>
      </c>
      <c r="K358" s="60">
        <f t="shared" si="15"/>
        <v>842</v>
      </c>
      <c r="L358" s="60">
        <v>273</v>
      </c>
      <c r="M358" s="60">
        <v>37</v>
      </c>
      <c r="N358" s="60">
        <v>172</v>
      </c>
      <c r="O358" s="60">
        <v>571</v>
      </c>
      <c r="P358" s="60">
        <v>73</v>
      </c>
      <c r="Q358" s="60">
        <f t="shared" si="16"/>
        <v>3468</v>
      </c>
      <c r="R358">
        <v>674</v>
      </c>
      <c r="S358">
        <v>31</v>
      </c>
      <c r="T358">
        <v>1193</v>
      </c>
      <c r="U358">
        <v>37</v>
      </c>
      <c r="V358">
        <v>35</v>
      </c>
      <c r="W358">
        <v>0</v>
      </c>
      <c r="X358">
        <v>73</v>
      </c>
      <c r="Y358">
        <v>101</v>
      </c>
      <c r="Z358">
        <v>155</v>
      </c>
      <c r="AA358">
        <v>62</v>
      </c>
      <c r="AB358">
        <v>0.24399999999999999</v>
      </c>
      <c r="AC358">
        <v>0.32200000000000001</v>
      </c>
      <c r="AD358">
        <v>0.40200000000000002</v>
      </c>
    </row>
    <row r="359" spans="1:30" x14ac:dyDescent="0.5">
      <c r="A359" s="35">
        <v>2011</v>
      </c>
      <c r="B359" t="s">
        <v>95</v>
      </c>
      <c r="C359" t="s">
        <v>149</v>
      </c>
      <c r="D359">
        <v>162</v>
      </c>
      <c r="E359">
        <v>855</v>
      </c>
      <c r="F359">
        <v>1599</v>
      </c>
      <c r="G359" s="60">
        <v>2011</v>
      </c>
      <c r="H359" s="60" t="s">
        <v>94</v>
      </c>
      <c r="I359" s="60" t="str">
        <f t="shared" si="17"/>
        <v>2011 Texas Rangers</v>
      </c>
      <c r="J359" s="60">
        <v>5659</v>
      </c>
      <c r="K359" s="60">
        <f t="shared" si="15"/>
        <v>1047</v>
      </c>
      <c r="L359" s="60">
        <v>310</v>
      </c>
      <c r="M359" s="60">
        <v>32</v>
      </c>
      <c r="N359" s="60">
        <v>210</v>
      </c>
      <c r="O359" s="60">
        <v>475</v>
      </c>
      <c r="P359" s="60">
        <v>39</v>
      </c>
      <c r="Q359" s="60">
        <f t="shared" si="16"/>
        <v>3546</v>
      </c>
      <c r="R359">
        <v>807</v>
      </c>
      <c r="S359">
        <v>35</v>
      </c>
      <c r="T359">
        <v>930</v>
      </c>
      <c r="U359">
        <v>39</v>
      </c>
      <c r="V359">
        <v>49</v>
      </c>
      <c r="W359">
        <v>0</v>
      </c>
      <c r="X359">
        <v>89</v>
      </c>
      <c r="Y359">
        <v>135</v>
      </c>
      <c r="Z359">
        <v>143</v>
      </c>
      <c r="AA359">
        <v>45</v>
      </c>
      <c r="AB359">
        <v>0.28299999999999997</v>
      </c>
      <c r="AC359">
        <v>0.34</v>
      </c>
      <c r="AD359">
        <v>0.46</v>
      </c>
    </row>
    <row r="360" spans="1:30" x14ac:dyDescent="0.5">
      <c r="A360" s="35">
        <v>2011</v>
      </c>
      <c r="B360" t="s">
        <v>97</v>
      </c>
      <c r="C360" t="s">
        <v>149</v>
      </c>
      <c r="D360">
        <v>162</v>
      </c>
      <c r="E360">
        <v>743</v>
      </c>
      <c r="F360">
        <v>1384</v>
      </c>
      <c r="G360" s="60">
        <v>2011</v>
      </c>
      <c r="H360" s="60" t="s">
        <v>96</v>
      </c>
      <c r="I360" s="60" t="str">
        <f t="shared" si="17"/>
        <v>2011 Toronto Blue Jays</v>
      </c>
      <c r="J360" s="60">
        <v>5559</v>
      </c>
      <c r="K360" s="60">
        <f t="shared" si="15"/>
        <v>879</v>
      </c>
      <c r="L360" s="60">
        <v>285</v>
      </c>
      <c r="M360" s="60">
        <v>34</v>
      </c>
      <c r="N360" s="60">
        <v>186</v>
      </c>
      <c r="O360" s="60">
        <v>525</v>
      </c>
      <c r="P360" s="60">
        <v>48</v>
      </c>
      <c r="Q360" s="60">
        <f t="shared" si="16"/>
        <v>3602</v>
      </c>
      <c r="R360">
        <v>704</v>
      </c>
      <c r="S360">
        <v>41</v>
      </c>
      <c r="T360">
        <v>1184</v>
      </c>
      <c r="U360">
        <v>31</v>
      </c>
      <c r="V360">
        <v>47</v>
      </c>
      <c r="W360">
        <v>0</v>
      </c>
      <c r="X360">
        <v>78</v>
      </c>
      <c r="Y360">
        <v>108</v>
      </c>
      <c r="Z360">
        <v>131</v>
      </c>
      <c r="AA360">
        <v>52</v>
      </c>
      <c r="AB360">
        <v>0.249</v>
      </c>
      <c r="AC360">
        <v>0.317</v>
      </c>
      <c r="AD360">
        <v>0.41299999999999998</v>
      </c>
    </row>
    <row r="361" spans="1:30" x14ac:dyDescent="0.5">
      <c r="A361" s="35">
        <v>2011</v>
      </c>
      <c r="B361" t="s">
        <v>101</v>
      </c>
      <c r="C361" t="s">
        <v>38</v>
      </c>
      <c r="D361">
        <v>161</v>
      </c>
      <c r="E361">
        <v>624</v>
      </c>
      <c r="F361">
        <v>1319</v>
      </c>
      <c r="G361" s="60">
        <v>2011</v>
      </c>
      <c r="H361" s="60" t="s">
        <v>100</v>
      </c>
      <c r="I361" s="60" t="str">
        <f t="shared" si="17"/>
        <v>2011 Washington Nationals</v>
      </c>
      <c r="J361" s="60">
        <v>5441</v>
      </c>
      <c r="K361" s="60">
        <f t="shared" si="15"/>
        <v>886</v>
      </c>
      <c r="L361" s="60">
        <v>257</v>
      </c>
      <c r="M361" s="60">
        <v>22</v>
      </c>
      <c r="N361" s="60">
        <v>154</v>
      </c>
      <c r="O361" s="60">
        <v>470</v>
      </c>
      <c r="P361" s="60">
        <v>65</v>
      </c>
      <c r="Q361" s="60">
        <f t="shared" si="16"/>
        <v>3587</v>
      </c>
      <c r="R361">
        <v>594</v>
      </c>
      <c r="S361">
        <v>40</v>
      </c>
      <c r="T361">
        <v>1323</v>
      </c>
      <c r="U361">
        <v>82</v>
      </c>
      <c r="V361">
        <v>32</v>
      </c>
      <c r="W361">
        <v>0</v>
      </c>
      <c r="X361">
        <v>70</v>
      </c>
      <c r="Y361">
        <v>103</v>
      </c>
      <c r="Z361">
        <v>106</v>
      </c>
      <c r="AA361">
        <v>38</v>
      </c>
      <c r="AB361">
        <v>0.24199999999999999</v>
      </c>
      <c r="AC361">
        <v>0.309</v>
      </c>
      <c r="AD361">
        <v>0.38300000000000001</v>
      </c>
    </row>
    <row r="362" spans="1:30" x14ac:dyDescent="0.5">
      <c r="A362" s="35">
        <v>2012</v>
      </c>
      <c r="B362" t="s">
        <v>37</v>
      </c>
      <c r="C362" t="s">
        <v>149</v>
      </c>
      <c r="D362">
        <v>162</v>
      </c>
      <c r="E362">
        <v>767</v>
      </c>
      <c r="F362">
        <v>1518</v>
      </c>
      <c r="G362" s="60">
        <v>2012</v>
      </c>
      <c r="H362" s="60" t="s">
        <v>36</v>
      </c>
      <c r="I362" s="60" t="str">
        <f t="shared" si="17"/>
        <v>2012 Anaheim Angels</v>
      </c>
      <c r="J362" s="60">
        <v>5536</v>
      </c>
      <c r="K362" s="60">
        <f t="shared" si="15"/>
        <v>1036</v>
      </c>
      <c r="L362" s="60">
        <v>273</v>
      </c>
      <c r="M362" s="60">
        <v>22</v>
      </c>
      <c r="N362" s="60">
        <v>187</v>
      </c>
      <c r="O362" s="60">
        <v>449</v>
      </c>
      <c r="P362" s="60">
        <v>47</v>
      </c>
      <c r="Q362" s="60">
        <f t="shared" si="16"/>
        <v>3522</v>
      </c>
      <c r="R362">
        <v>732</v>
      </c>
      <c r="S362">
        <v>29</v>
      </c>
      <c r="T362">
        <v>1113</v>
      </c>
      <c r="U362">
        <v>47</v>
      </c>
      <c r="V362">
        <v>41</v>
      </c>
      <c r="W362">
        <v>1</v>
      </c>
      <c r="X362">
        <v>68</v>
      </c>
      <c r="Y362">
        <v>138</v>
      </c>
      <c r="Z362">
        <v>134</v>
      </c>
      <c r="AA362">
        <v>33</v>
      </c>
      <c r="AB362">
        <v>0.27400000000000002</v>
      </c>
      <c r="AC362">
        <v>0.33200000000000002</v>
      </c>
      <c r="AD362">
        <v>0.433</v>
      </c>
    </row>
    <row r="363" spans="1:30" x14ac:dyDescent="0.5">
      <c r="A363" s="35">
        <v>2012</v>
      </c>
      <c r="B363" t="s">
        <v>40</v>
      </c>
      <c r="C363" t="s">
        <v>38</v>
      </c>
      <c r="D363">
        <v>162</v>
      </c>
      <c r="E363">
        <v>734</v>
      </c>
      <c r="F363">
        <v>1416</v>
      </c>
      <c r="G363" s="60">
        <v>2012</v>
      </c>
      <c r="H363" s="60" t="s">
        <v>39</v>
      </c>
      <c r="I363" s="60" t="str">
        <f t="shared" si="17"/>
        <v>2012 Arizona Diamondbacks</v>
      </c>
      <c r="J363" s="60">
        <v>5462</v>
      </c>
      <c r="K363" s="60">
        <f t="shared" si="15"/>
        <v>911</v>
      </c>
      <c r="L363" s="60">
        <v>307</v>
      </c>
      <c r="M363" s="60">
        <v>33</v>
      </c>
      <c r="N363" s="60">
        <v>165</v>
      </c>
      <c r="O363" s="60">
        <v>539</v>
      </c>
      <c r="P363" s="60">
        <v>41</v>
      </c>
      <c r="Q363" s="60">
        <f t="shared" si="16"/>
        <v>3466</v>
      </c>
      <c r="R363">
        <v>710</v>
      </c>
      <c r="S363">
        <v>47</v>
      </c>
      <c r="T363">
        <v>1266</v>
      </c>
      <c r="U363">
        <v>61</v>
      </c>
      <c r="V363">
        <v>45</v>
      </c>
      <c r="W363">
        <v>2</v>
      </c>
      <c r="X363">
        <v>64</v>
      </c>
      <c r="Y363">
        <v>108</v>
      </c>
      <c r="Z363">
        <v>93</v>
      </c>
      <c r="AA363">
        <v>51</v>
      </c>
      <c r="AB363">
        <v>0.25900000000000001</v>
      </c>
      <c r="AC363">
        <v>0.32800000000000001</v>
      </c>
      <c r="AD363">
        <v>0.41799999999999998</v>
      </c>
    </row>
    <row r="364" spans="1:30" x14ac:dyDescent="0.5">
      <c r="A364" s="35">
        <v>2012</v>
      </c>
      <c r="B364" t="s">
        <v>42</v>
      </c>
      <c r="C364" t="s">
        <v>38</v>
      </c>
      <c r="D364">
        <v>162</v>
      </c>
      <c r="E364">
        <v>700</v>
      </c>
      <c r="F364">
        <v>1341</v>
      </c>
      <c r="G364" s="60">
        <v>2012</v>
      </c>
      <c r="H364" s="60" t="s">
        <v>41</v>
      </c>
      <c r="I364" s="60" t="str">
        <f t="shared" si="17"/>
        <v>2012 Atlanta Braves</v>
      </c>
      <c r="J364" s="60">
        <v>5425</v>
      </c>
      <c r="K364" s="60">
        <f t="shared" si="15"/>
        <v>899</v>
      </c>
      <c r="L364" s="60">
        <v>263</v>
      </c>
      <c r="M364" s="60">
        <v>30</v>
      </c>
      <c r="N364" s="60">
        <v>149</v>
      </c>
      <c r="O364" s="60">
        <v>567</v>
      </c>
      <c r="P364" s="60">
        <v>34</v>
      </c>
      <c r="Q364" s="60">
        <f t="shared" si="16"/>
        <v>3483</v>
      </c>
      <c r="R364">
        <v>660</v>
      </c>
      <c r="S364">
        <v>37</v>
      </c>
      <c r="T364">
        <v>1289</v>
      </c>
      <c r="U364">
        <v>53</v>
      </c>
      <c r="V364">
        <v>46</v>
      </c>
      <c r="W364">
        <v>1</v>
      </c>
      <c r="X364">
        <v>64</v>
      </c>
      <c r="Y364">
        <v>108</v>
      </c>
      <c r="Z364">
        <v>101</v>
      </c>
      <c r="AA364">
        <v>32</v>
      </c>
      <c r="AB364">
        <v>0.247</v>
      </c>
      <c r="AC364">
        <v>0.32</v>
      </c>
      <c r="AD364">
        <v>0.38900000000000001</v>
      </c>
    </row>
    <row r="365" spans="1:30" x14ac:dyDescent="0.5">
      <c r="A365" s="35">
        <v>2012</v>
      </c>
      <c r="B365" t="s">
        <v>45</v>
      </c>
      <c r="C365" t="s">
        <v>149</v>
      </c>
      <c r="D365">
        <v>162</v>
      </c>
      <c r="E365">
        <v>712</v>
      </c>
      <c r="F365">
        <v>1375</v>
      </c>
      <c r="G365" s="60">
        <v>2012</v>
      </c>
      <c r="H365" s="60" t="s">
        <v>44</v>
      </c>
      <c r="I365" s="60" t="str">
        <f t="shared" si="17"/>
        <v>2012 Baltimore Orioles</v>
      </c>
      <c r="J365" s="60">
        <v>5560</v>
      </c>
      <c r="K365" s="60">
        <f t="shared" si="15"/>
        <v>875</v>
      </c>
      <c r="L365" s="60">
        <v>270</v>
      </c>
      <c r="M365" s="60">
        <v>16</v>
      </c>
      <c r="N365" s="60">
        <v>214</v>
      </c>
      <c r="O365" s="60">
        <v>480</v>
      </c>
      <c r="P365" s="60">
        <v>50</v>
      </c>
      <c r="Q365" s="60">
        <f t="shared" si="16"/>
        <v>3655</v>
      </c>
      <c r="R365">
        <v>677</v>
      </c>
      <c r="S365">
        <v>24</v>
      </c>
      <c r="T365">
        <v>1315</v>
      </c>
      <c r="U365">
        <v>38</v>
      </c>
      <c r="V365">
        <v>30</v>
      </c>
      <c r="W365">
        <v>2</v>
      </c>
      <c r="X365">
        <v>56</v>
      </c>
      <c r="Y365">
        <v>152</v>
      </c>
      <c r="Z365">
        <v>58</v>
      </c>
      <c r="AA365">
        <v>29</v>
      </c>
      <c r="AB365">
        <v>0.247</v>
      </c>
      <c r="AC365">
        <v>0.311</v>
      </c>
      <c r="AD365">
        <v>0.41699999999999998</v>
      </c>
    </row>
    <row r="366" spans="1:30" x14ac:dyDescent="0.5">
      <c r="A366" s="35">
        <v>2012</v>
      </c>
      <c r="B366" t="s">
        <v>47</v>
      </c>
      <c r="C366" t="s">
        <v>149</v>
      </c>
      <c r="D366">
        <v>162</v>
      </c>
      <c r="E366">
        <v>734</v>
      </c>
      <c r="F366">
        <v>1459</v>
      </c>
      <c r="G366" s="60">
        <v>2012</v>
      </c>
      <c r="H366" s="60" t="s">
        <v>46</v>
      </c>
      <c r="I366" s="60" t="str">
        <f t="shared" si="17"/>
        <v>2012 Boston Red Sox</v>
      </c>
      <c r="J366" s="60">
        <v>5604</v>
      </c>
      <c r="K366" s="60">
        <f t="shared" si="15"/>
        <v>939</v>
      </c>
      <c r="L366" s="60">
        <v>339</v>
      </c>
      <c r="M366" s="60">
        <v>16</v>
      </c>
      <c r="N366" s="60">
        <v>165</v>
      </c>
      <c r="O366" s="60">
        <v>428</v>
      </c>
      <c r="P366" s="60">
        <v>45</v>
      </c>
      <c r="Q366" s="60">
        <f t="shared" si="16"/>
        <v>3672</v>
      </c>
      <c r="R366">
        <v>695</v>
      </c>
      <c r="S366">
        <v>27</v>
      </c>
      <c r="T366">
        <v>1197</v>
      </c>
      <c r="U366">
        <v>34</v>
      </c>
      <c r="V366">
        <v>55</v>
      </c>
      <c r="W366">
        <v>0</v>
      </c>
      <c r="X366">
        <v>62</v>
      </c>
      <c r="Y366">
        <v>105</v>
      </c>
      <c r="Z366">
        <v>97</v>
      </c>
      <c r="AA366">
        <v>31</v>
      </c>
      <c r="AB366">
        <v>0.26</v>
      </c>
      <c r="AC366">
        <v>0.315</v>
      </c>
      <c r="AD366">
        <v>0.41499999999999998</v>
      </c>
    </row>
    <row r="367" spans="1:30" x14ac:dyDescent="0.5">
      <c r="A367" s="35">
        <v>2012</v>
      </c>
      <c r="B367" t="s">
        <v>143</v>
      </c>
      <c r="C367" t="s">
        <v>38</v>
      </c>
      <c r="D367">
        <v>162</v>
      </c>
      <c r="E367">
        <v>613</v>
      </c>
      <c r="F367">
        <v>1297</v>
      </c>
      <c r="G367" s="60">
        <v>2012</v>
      </c>
      <c r="H367" s="60" t="s">
        <v>50</v>
      </c>
      <c r="I367" s="60" t="str">
        <f t="shared" si="17"/>
        <v>2012 Chicago Cubs</v>
      </c>
      <c r="J367" s="60">
        <v>5411</v>
      </c>
      <c r="K367" s="60">
        <f t="shared" si="15"/>
        <v>859</v>
      </c>
      <c r="L367" s="60">
        <v>265</v>
      </c>
      <c r="M367" s="60">
        <v>36</v>
      </c>
      <c r="N367" s="60">
        <v>137</v>
      </c>
      <c r="O367" s="60">
        <v>447</v>
      </c>
      <c r="P367" s="60">
        <v>43</v>
      </c>
      <c r="Q367" s="60">
        <f t="shared" si="16"/>
        <v>3624</v>
      </c>
      <c r="R367">
        <v>570</v>
      </c>
      <c r="S367">
        <v>29</v>
      </c>
      <c r="T367">
        <v>1235</v>
      </c>
      <c r="U367">
        <v>42</v>
      </c>
      <c r="V367">
        <v>24</v>
      </c>
      <c r="W367">
        <v>0</v>
      </c>
      <c r="X367">
        <v>90</v>
      </c>
      <c r="Y367">
        <v>125</v>
      </c>
      <c r="Z367">
        <v>94</v>
      </c>
      <c r="AA367">
        <v>45</v>
      </c>
      <c r="AB367">
        <v>0.24</v>
      </c>
      <c r="AC367">
        <v>0.30199999999999999</v>
      </c>
      <c r="AD367">
        <v>0.378</v>
      </c>
    </row>
    <row r="368" spans="1:30" x14ac:dyDescent="0.5">
      <c r="A368" s="35">
        <v>2012</v>
      </c>
      <c r="B368" t="s">
        <v>143</v>
      </c>
      <c r="C368" t="s">
        <v>149</v>
      </c>
      <c r="D368">
        <v>162</v>
      </c>
      <c r="E368">
        <v>748</v>
      </c>
      <c r="F368">
        <v>1409</v>
      </c>
      <c r="G368" s="60">
        <v>2012</v>
      </c>
      <c r="H368" s="60" t="s">
        <v>48</v>
      </c>
      <c r="I368" s="60" t="str">
        <f t="shared" si="17"/>
        <v>2012 Chicago White Sox</v>
      </c>
      <c r="J368" s="60">
        <v>5518</v>
      </c>
      <c r="K368" s="60">
        <f t="shared" si="15"/>
        <v>941</v>
      </c>
      <c r="L368" s="60">
        <v>228</v>
      </c>
      <c r="M368" s="60">
        <v>29</v>
      </c>
      <c r="N368" s="60">
        <v>211</v>
      </c>
      <c r="O368" s="60">
        <v>461</v>
      </c>
      <c r="P368" s="60">
        <v>65</v>
      </c>
      <c r="Q368" s="60">
        <f t="shared" si="16"/>
        <v>3583</v>
      </c>
      <c r="R368">
        <v>726</v>
      </c>
      <c r="S368">
        <v>24</v>
      </c>
      <c r="T368">
        <v>1203</v>
      </c>
      <c r="U368">
        <v>31</v>
      </c>
      <c r="V368">
        <v>36</v>
      </c>
      <c r="W368">
        <v>0</v>
      </c>
      <c r="X368">
        <v>62</v>
      </c>
      <c r="Y368">
        <v>112</v>
      </c>
      <c r="Z368">
        <v>109</v>
      </c>
      <c r="AA368">
        <v>43</v>
      </c>
      <c r="AB368">
        <v>0.255</v>
      </c>
      <c r="AC368">
        <v>0.318</v>
      </c>
      <c r="AD368">
        <v>0.42199999999999999</v>
      </c>
    </row>
    <row r="369" spans="1:30" x14ac:dyDescent="0.5">
      <c r="A369" s="35">
        <v>2012</v>
      </c>
      <c r="B369" t="s">
        <v>53</v>
      </c>
      <c r="C369" t="s">
        <v>38</v>
      </c>
      <c r="D369">
        <v>162</v>
      </c>
      <c r="E369">
        <v>669</v>
      </c>
      <c r="F369">
        <v>1377</v>
      </c>
      <c r="G369" s="60">
        <v>2012</v>
      </c>
      <c r="H369" s="60" t="s">
        <v>52</v>
      </c>
      <c r="I369" s="60" t="str">
        <f t="shared" si="17"/>
        <v>2012 Cincinnati Reds</v>
      </c>
      <c r="J369" s="60">
        <v>5477</v>
      </c>
      <c r="K369" s="60">
        <f t="shared" si="15"/>
        <v>879</v>
      </c>
      <c r="L369" s="60">
        <v>296</v>
      </c>
      <c r="M369" s="60">
        <v>30</v>
      </c>
      <c r="N369" s="60">
        <v>172</v>
      </c>
      <c r="O369" s="60">
        <v>481</v>
      </c>
      <c r="P369" s="60">
        <v>47</v>
      </c>
      <c r="Q369" s="60">
        <f t="shared" si="16"/>
        <v>3572</v>
      </c>
      <c r="R369">
        <v>636</v>
      </c>
      <c r="S369">
        <v>54</v>
      </c>
      <c r="T369">
        <v>1266</v>
      </c>
      <c r="U369">
        <v>73</v>
      </c>
      <c r="V369">
        <v>37</v>
      </c>
      <c r="W369">
        <v>0</v>
      </c>
      <c r="X369">
        <v>73</v>
      </c>
      <c r="Y369">
        <v>100</v>
      </c>
      <c r="Z369">
        <v>87</v>
      </c>
      <c r="AA369">
        <v>27</v>
      </c>
      <c r="AB369">
        <v>0.251</v>
      </c>
      <c r="AC369">
        <v>0.315</v>
      </c>
      <c r="AD369">
        <v>0.41099999999999998</v>
      </c>
    </row>
    <row r="370" spans="1:30" x14ac:dyDescent="0.5">
      <c r="A370" s="35">
        <v>2012</v>
      </c>
      <c r="B370" t="s">
        <v>55</v>
      </c>
      <c r="C370" t="s">
        <v>149</v>
      </c>
      <c r="D370">
        <v>162</v>
      </c>
      <c r="E370">
        <v>667</v>
      </c>
      <c r="F370">
        <v>1385</v>
      </c>
      <c r="G370" s="60">
        <v>2012</v>
      </c>
      <c r="H370" s="60" t="s">
        <v>54</v>
      </c>
      <c r="I370" s="60" t="str">
        <f t="shared" si="17"/>
        <v>2012 Cleveland Indians</v>
      </c>
      <c r="J370" s="60">
        <v>5525</v>
      </c>
      <c r="K370" s="60">
        <f t="shared" si="15"/>
        <v>959</v>
      </c>
      <c r="L370" s="60">
        <v>266</v>
      </c>
      <c r="M370" s="60">
        <v>24</v>
      </c>
      <c r="N370" s="60">
        <v>136</v>
      </c>
      <c r="O370" s="60">
        <v>555</v>
      </c>
      <c r="P370" s="60">
        <v>59</v>
      </c>
      <c r="Q370" s="60">
        <f t="shared" si="16"/>
        <v>3526</v>
      </c>
      <c r="R370">
        <v>635</v>
      </c>
      <c r="S370">
        <v>28</v>
      </c>
      <c r="T370">
        <v>1087</v>
      </c>
      <c r="U370">
        <v>17</v>
      </c>
      <c r="V370">
        <v>39</v>
      </c>
      <c r="W370">
        <v>0</v>
      </c>
      <c r="X370">
        <v>64</v>
      </c>
      <c r="Y370">
        <v>141</v>
      </c>
      <c r="Z370">
        <v>110</v>
      </c>
      <c r="AA370">
        <v>44</v>
      </c>
      <c r="AB370">
        <v>0.251</v>
      </c>
      <c r="AC370">
        <v>0.32400000000000001</v>
      </c>
      <c r="AD370">
        <v>0.38100000000000001</v>
      </c>
    </row>
    <row r="371" spans="1:30" x14ac:dyDescent="0.5">
      <c r="A371" s="35">
        <v>2012</v>
      </c>
      <c r="B371" t="s">
        <v>57</v>
      </c>
      <c r="C371" t="s">
        <v>38</v>
      </c>
      <c r="D371">
        <v>162</v>
      </c>
      <c r="E371">
        <v>758</v>
      </c>
      <c r="F371">
        <v>1526</v>
      </c>
      <c r="G371" s="60">
        <v>2012</v>
      </c>
      <c r="H371" s="60" t="s">
        <v>56</v>
      </c>
      <c r="I371" s="60" t="str">
        <f t="shared" si="17"/>
        <v>2012 Colorado Rockies</v>
      </c>
      <c r="J371" s="60">
        <v>5577</v>
      </c>
      <c r="K371" s="60">
        <f t="shared" si="15"/>
        <v>1002</v>
      </c>
      <c r="L371" s="60">
        <v>306</v>
      </c>
      <c r="M371" s="60">
        <v>52</v>
      </c>
      <c r="N371" s="60">
        <v>166</v>
      </c>
      <c r="O371" s="60">
        <v>450</v>
      </c>
      <c r="P371" s="60">
        <v>36</v>
      </c>
      <c r="Q371" s="60">
        <f t="shared" si="16"/>
        <v>3565</v>
      </c>
      <c r="R371">
        <v>716</v>
      </c>
      <c r="S371">
        <v>34</v>
      </c>
      <c r="T371">
        <v>1213</v>
      </c>
      <c r="U371">
        <v>74</v>
      </c>
      <c r="V371">
        <v>39</v>
      </c>
      <c r="W371">
        <v>7</v>
      </c>
      <c r="X371">
        <v>75</v>
      </c>
      <c r="Y371">
        <v>132</v>
      </c>
      <c r="Z371">
        <v>100</v>
      </c>
      <c r="AA371">
        <v>40</v>
      </c>
      <c r="AB371">
        <v>0.27400000000000002</v>
      </c>
      <c r="AC371">
        <v>0.33</v>
      </c>
      <c r="AD371">
        <v>0.436</v>
      </c>
    </row>
    <row r="372" spans="1:30" x14ac:dyDescent="0.5">
      <c r="A372" s="35">
        <v>2012</v>
      </c>
      <c r="B372" t="s">
        <v>59</v>
      </c>
      <c r="C372" t="s">
        <v>149</v>
      </c>
      <c r="D372">
        <v>162</v>
      </c>
      <c r="E372">
        <v>726</v>
      </c>
      <c r="F372">
        <v>1467</v>
      </c>
      <c r="G372" s="60">
        <v>2012</v>
      </c>
      <c r="H372" s="60" t="s">
        <v>58</v>
      </c>
      <c r="I372" s="60" t="str">
        <f t="shared" si="17"/>
        <v>2012 Detroit Tigers</v>
      </c>
      <c r="J372" s="60">
        <v>5476</v>
      </c>
      <c r="K372" s="60">
        <f t="shared" si="15"/>
        <v>986</v>
      </c>
      <c r="L372" s="60">
        <v>279</v>
      </c>
      <c r="M372" s="60">
        <v>39</v>
      </c>
      <c r="N372" s="60">
        <v>163</v>
      </c>
      <c r="O372" s="60">
        <v>511</v>
      </c>
      <c r="P372" s="60">
        <v>57</v>
      </c>
      <c r="Q372" s="60">
        <f t="shared" si="16"/>
        <v>3441</v>
      </c>
      <c r="R372">
        <v>698</v>
      </c>
      <c r="S372">
        <v>46</v>
      </c>
      <c r="T372">
        <v>1103</v>
      </c>
      <c r="U372">
        <v>36</v>
      </c>
      <c r="V372">
        <v>39</v>
      </c>
      <c r="W372">
        <v>0</v>
      </c>
      <c r="X372">
        <v>52</v>
      </c>
      <c r="Y372">
        <v>156</v>
      </c>
      <c r="Z372">
        <v>59</v>
      </c>
      <c r="AA372">
        <v>23</v>
      </c>
      <c r="AB372">
        <v>0.26800000000000002</v>
      </c>
      <c r="AC372">
        <v>0.33500000000000002</v>
      </c>
      <c r="AD372">
        <v>0.42199999999999999</v>
      </c>
    </row>
    <row r="373" spans="1:30" x14ac:dyDescent="0.5">
      <c r="A373" s="35">
        <v>2012</v>
      </c>
      <c r="B373" t="s">
        <v>63</v>
      </c>
      <c r="C373" t="s">
        <v>38</v>
      </c>
      <c r="D373">
        <v>162</v>
      </c>
      <c r="E373">
        <v>583</v>
      </c>
      <c r="F373">
        <v>1276</v>
      </c>
      <c r="G373" s="60">
        <v>2012</v>
      </c>
      <c r="H373" s="60" t="s">
        <v>60</v>
      </c>
      <c r="I373" s="60" t="str">
        <f t="shared" si="17"/>
        <v>2012 Florida Marlins</v>
      </c>
      <c r="J373" s="60">
        <v>5407</v>
      </c>
      <c r="K373" s="60">
        <f t="shared" si="15"/>
        <v>864</v>
      </c>
      <c r="L373" s="60">
        <v>238</v>
      </c>
      <c r="M373" s="60">
        <v>28</v>
      </c>
      <c r="N373" s="60">
        <v>146</v>
      </c>
      <c r="O373" s="60">
        <v>463</v>
      </c>
      <c r="P373" s="60">
        <v>58</v>
      </c>
      <c r="Q373" s="60">
        <f t="shared" si="16"/>
        <v>3610</v>
      </c>
      <c r="R373">
        <v>545</v>
      </c>
      <c r="S373">
        <v>19</v>
      </c>
      <c r="T373">
        <v>1365</v>
      </c>
      <c r="U373">
        <v>54</v>
      </c>
      <c r="V373">
        <v>30</v>
      </c>
      <c r="W373">
        <v>2</v>
      </c>
      <c r="X373">
        <v>77</v>
      </c>
      <c r="Y373">
        <v>114</v>
      </c>
      <c r="Z373">
        <v>105</v>
      </c>
      <c r="AA373">
        <v>46</v>
      </c>
      <c r="AB373">
        <v>0.23599999999999999</v>
      </c>
      <c r="AC373">
        <v>0.30199999999999999</v>
      </c>
      <c r="AD373">
        <v>0.371</v>
      </c>
    </row>
    <row r="374" spans="1:30" x14ac:dyDescent="0.5">
      <c r="A374" s="35">
        <v>2012</v>
      </c>
      <c r="B374" t="s">
        <v>150</v>
      </c>
      <c r="C374" t="s">
        <v>149</v>
      </c>
      <c r="D374">
        <v>162</v>
      </c>
      <c r="E374">
        <v>676</v>
      </c>
      <c r="F374">
        <v>1492</v>
      </c>
      <c r="G374" s="60">
        <v>2012</v>
      </c>
      <c r="H374" s="60" t="s">
        <v>62</v>
      </c>
      <c r="I374" s="60" t="str">
        <f t="shared" si="17"/>
        <v>2012 Houston Astros</v>
      </c>
      <c r="J374" s="60">
        <v>5636</v>
      </c>
      <c r="K374" s="60">
        <f t="shared" si="15"/>
        <v>1029</v>
      </c>
      <c r="L374" s="60">
        <v>295</v>
      </c>
      <c r="M374" s="60">
        <v>37</v>
      </c>
      <c r="N374" s="60">
        <v>131</v>
      </c>
      <c r="O374" s="60">
        <v>404</v>
      </c>
      <c r="P374" s="60">
        <v>42</v>
      </c>
      <c r="Q374" s="60">
        <f t="shared" si="16"/>
        <v>3698</v>
      </c>
      <c r="R374">
        <v>643</v>
      </c>
      <c r="S374">
        <v>35</v>
      </c>
      <c r="T374">
        <v>1032</v>
      </c>
      <c r="U374">
        <v>26</v>
      </c>
      <c r="V374">
        <v>41</v>
      </c>
      <c r="W374">
        <v>0</v>
      </c>
      <c r="X374">
        <v>49</v>
      </c>
      <c r="Y374">
        <v>130</v>
      </c>
      <c r="Z374">
        <v>132</v>
      </c>
      <c r="AA374">
        <v>38</v>
      </c>
      <c r="AB374">
        <v>0.26500000000000001</v>
      </c>
      <c r="AC374">
        <v>0.317</v>
      </c>
      <c r="AD374">
        <v>0.4</v>
      </c>
    </row>
    <row r="375" spans="1:30" x14ac:dyDescent="0.5">
      <c r="A375" s="35">
        <v>2012</v>
      </c>
      <c r="B375" t="s">
        <v>145</v>
      </c>
      <c r="C375" t="s">
        <v>38</v>
      </c>
      <c r="D375">
        <v>162</v>
      </c>
      <c r="E375">
        <v>637</v>
      </c>
      <c r="F375">
        <v>1369</v>
      </c>
      <c r="G375" s="60">
        <v>2012</v>
      </c>
      <c r="H375" s="60" t="s">
        <v>64</v>
      </c>
      <c r="I375" s="60" t="str">
        <f t="shared" si="17"/>
        <v>2012 Kansas City Royals</v>
      </c>
      <c r="J375" s="60">
        <v>5438</v>
      </c>
      <c r="K375" s="60">
        <f t="shared" si="15"/>
        <v>961</v>
      </c>
      <c r="L375" s="60">
        <v>269</v>
      </c>
      <c r="M375" s="60">
        <v>23</v>
      </c>
      <c r="N375" s="60">
        <v>116</v>
      </c>
      <c r="O375" s="60">
        <v>481</v>
      </c>
      <c r="P375" s="60">
        <v>52</v>
      </c>
      <c r="Q375" s="60">
        <f t="shared" si="16"/>
        <v>3536</v>
      </c>
      <c r="R375">
        <v>607</v>
      </c>
      <c r="S375">
        <v>49</v>
      </c>
      <c r="T375">
        <v>1156</v>
      </c>
      <c r="U375">
        <v>82</v>
      </c>
      <c r="V375">
        <v>38</v>
      </c>
      <c r="W375">
        <v>0</v>
      </c>
      <c r="X375">
        <v>73</v>
      </c>
      <c r="Y375">
        <v>139</v>
      </c>
      <c r="Z375">
        <v>104</v>
      </c>
      <c r="AA375">
        <v>44</v>
      </c>
      <c r="AB375">
        <v>0.252</v>
      </c>
      <c r="AC375">
        <v>0.317</v>
      </c>
      <c r="AD375">
        <v>0.374</v>
      </c>
    </row>
    <row r="376" spans="1:30" x14ac:dyDescent="0.5">
      <c r="A376" s="35">
        <v>2012</v>
      </c>
      <c r="B376" t="s">
        <v>104</v>
      </c>
      <c r="C376" t="s">
        <v>38</v>
      </c>
      <c r="D376">
        <v>162</v>
      </c>
      <c r="E376">
        <v>609</v>
      </c>
      <c r="F376">
        <v>1327</v>
      </c>
      <c r="G376" s="60">
        <v>2012</v>
      </c>
      <c r="H376" s="60" t="s">
        <v>66</v>
      </c>
      <c r="I376" s="60" t="str">
        <f t="shared" si="17"/>
        <v>2012 Los Angeles Dodgers</v>
      </c>
      <c r="J376" s="60">
        <v>5437</v>
      </c>
      <c r="K376" s="60">
        <f t="shared" si="15"/>
        <v>890</v>
      </c>
      <c r="L376" s="60">
        <v>261</v>
      </c>
      <c r="M376" s="60">
        <v>39</v>
      </c>
      <c r="N376" s="60">
        <v>137</v>
      </c>
      <c r="O376" s="60">
        <v>484</v>
      </c>
      <c r="P376" s="60">
        <v>35</v>
      </c>
      <c r="Q376" s="60">
        <f t="shared" si="16"/>
        <v>3591</v>
      </c>
      <c r="R376">
        <v>576</v>
      </c>
      <c r="S376">
        <v>46</v>
      </c>
      <c r="T376">
        <v>1228</v>
      </c>
      <c r="U376">
        <v>60</v>
      </c>
      <c r="V376">
        <v>40</v>
      </c>
      <c r="W376">
        <v>1</v>
      </c>
      <c r="X376">
        <v>68</v>
      </c>
      <c r="Y376">
        <v>114</v>
      </c>
      <c r="Z376">
        <v>149</v>
      </c>
      <c r="AA376">
        <v>41</v>
      </c>
      <c r="AB376">
        <v>0.24399999999999999</v>
      </c>
      <c r="AC376">
        <v>0.308</v>
      </c>
      <c r="AD376">
        <v>0.38200000000000001</v>
      </c>
    </row>
    <row r="377" spans="1:30" x14ac:dyDescent="0.5">
      <c r="A377" s="35">
        <v>2012</v>
      </c>
      <c r="B377" t="s">
        <v>69</v>
      </c>
      <c r="C377" t="s">
        <v>38</v>
      </c>
      <c r="D377">
        <v>162</v>
      </c>
      <c r="E377">
        <v>776</v>
      </c>
      <c r="F377">
        <v>1442</v>
      </c>
      <c r="G377" s="60">
        <v>2012</v>
      </c>
      <c r="H377" s="60" t="s">
        <v>68</v>
      </c>
      <c r="I377" s="60" t="str">
        <f t="shared" si="17"/>
        <v>2012 Milwaukee Brewers</v>
      </c>
      <c r="J377" s="60">
        <v>5557</v>
      </c>
      <c r="K377" s="60">
        <f t="shared" si="15"/>
        <v>901</v>
      </c>
      <c r="L377" s="60">
        <v>300</v>
      </c>
      <c r="M377" s="60">
        <v>39</v>
      </c>
      <c r="N377" s="60">
        <v>202</v>
      </c>
      <c r="O377" s="60">
        <v>466</v>
      </c>
      <c r="P377" s="60">
        <v>90</v>
      </c>
      <c r="Q377" s="60">
        <f t="shared" si="16"/>
        <v>3559</v>
      </c>
      <c r="R377">
        <v>741</v>
      </c>
      <c r="S377">
        <v>35</v>
      </c>
      <c r="T377">
        <v>1240</v>
      </c>
      <c r="U377">
        <v>76</v>
      </c>
      <c r="V377">
        <v>35</v>
      </c>
      <c r="W377">
        <v>0</v>
      </c>
      <c r="X377">
        <v>77</v>
      </c>
      <c r="Y377">
        <v>111</v>
      </c>
      <c r="Z377">
        <v>158</v>
      </c>
      <c r="AA377">
        <v>39</v>
      </c>
      <c r="AB377">
        <v>0.25900000000000001</v>
      </c>
      <c r="AC377">
        <v>0.32500000000000001</v>
      </c>
      <c r="AD377">
        <v>0.437</v>
      </c>
    </row>
    <row r="378" spans="1:30" x14ac:dyDescent="0.5">
      <c r="A378" s="35">
        <v>2012</v>
      </c>
      <c r="B378" t="s">
        <v>71</v>
      </c>
      <c r="C378" t="s">
        <v>149</v>
      </c>
      <c r="D378">
        <v>162</v>
      </c>
      <c r="E378">
        <v>701</v>
      </c>
      <c r="F378">
        <v>1448</v>
      </c>
      <c r="G378" s="60">
        <v>2012</v>
      </c>
      <c r="H378" s="60" t="s">
        <v>70</v>
      </c>
      <c r="I378" s="60" t="str">
        <f t="shared" si="17"/>
        <v>2012 Minnesota Twins</v>
      </c>
      <c r="J378" s="60">
        <v>5562</v>
      </c>
      <c r="K378" s="60">
        <f t="shared" si="15"/>
        <v>1017</v>
      </c>
      <c r="L378" s="60">
        <v>270</v>
      </c>
      <c r="M378" s="60">
        <v>30</v>
      </c>
      <c r="N378" s="60">
        <v>131</v>
      </c>
      <c r="O378" s="60">
        <v>505</v>
      </c>
      <c r="P378" s="60">
        <v>53</v>
      </c>
      <c r="Q378" s="60">
        <f t="shared" si="16"/>
        <v>3556</v>
      </c>
      <c r="R378">
        <v>666</v>
      </c>
      <c r="S378">
        <v>28</v>
      </c>
      <c r="T378">
        <v>1069</v>
      </c>
      <c r="U378">
        <v>33</v>
      </c>
      <c r="V378">
        <v>56</v>
      </c>
      <c r="W378">
        <v>0</v>
      </c>
      <c r="X378">
        <v>77</v>
      </c>
      <c r="Y378">
        <v>149</v>
      </c>
      <c r="Z378">
        <v>135</v>
      </c>
      <c r="AA378">
        <v>37</v>
      </c>
      <c r="AB378">
        <v>0.26</v>
      </c>
      <c r="AC378">
        <v>0.32500000000000001</v>
      </c>
      <c r="AD378">
        <v>0.39</v>
      </c>
    </row>
    <row r="379" spans="1:30" x14ac:dyDescent="0.5">
      <c r="A379" s="35">
        <v>2012</v>
      </c>
      <c r="B379" t="s">
        <v>144</v>
      </c>
      <c r="C379" t="s">
        <v>38</v>
      </c>
      <c r="D379">
        <v>162</v>
      </c>
      <c r="E379">
        <v>650</v>
      </c>
      <c r="F379">
        <v>1357</v>
      </c>
      <c r="G379" s="60">
        <v>2012</v>
      </c>
      <c r="H379" s="60" t="s">
        <v>76</v>
      </c>
      <c r="I379" s="60" t="str">
        <f t="shared" si="17"/>
        <v>2012 New York Mets</v>
      </c>
      <c r="J379" s="60">
        <v>5450</v>
      </c>
      <c r="K379" s="60">
        <f t="shared" si="15"/>
        <v>911</v>
      </c>
      <c r="L379" s="60">
        <v>286</v>
      </c>
      <c r="M379" s="60">
        <v>21</v>
      </c>
      <c r="N379" s="60">
        <v>139</v>
      </c>
      <c r="O379" s="60">
        <v>503</v>
      </c>
      <c r="P379" s="60">
        <v>42</v>
      </c>
      <c r="Q379" s="60">
        <f t="shared" si="16"/>
        <v>3548</v>
      </c>
      <c r="R379">
        <v>625</v>
      </c>
      <c r="S379">
        <v>43</v>
      </c>
      <c r="T379">
        <v>1250</v>
      </c>
      <c r="U379">
        <v>64</v>
      </c>
      <c r="V379">
        <v>30</v>
      </c>
      <c r="W379">
        <v>2</v>
      </c>
      <c r="X379">
        <v>65</v>
      </c>
      <c r="Y379">
        <v>118</v>
      </c>
      <c r="Z379">
        <v>79</v>
      </c>
      <c r="AA379">
        <v>38</v>
      </c>
      <c r="AB379">
        <v>0.249</v>
      </c>
      <c r="AC379">
        <v>0.316</v>
      </c>
      <c r="AD379">
        <v>0.38600000000000001</v>
      </c>
    </row>
    <row r="380" spans="1:30" x14ac:dyDescent="0.5">
      <c r="A380" s="35">
        <v>2012</v>
      </c>
      <c r="B380" t="s">
        <v>144</v>
      </c>
      <c r="C380" t="s">
        <v>149</v>
      </c>
      <c r="D380">
        <v>162</v>
      </c>
      <c r="E380">
        <v>804</v>
      </c>
      <c r="F380">
        <v>1462</v>
      </c>
      <c r="G380" s="60">
        <v>2012</v>
      </c>
      <c r="H380" s="60" t="s">
        <v>74</v>
      </c>
      <c r="I380" s="60" t="str">
        <f t="shared" si="17"/>
        <v>2012 New York Yankees</v>
      </c>
      <c r="J380" s="60">
        <v>5524</v>
      </c>
      <c r="K380" s="60">
        <f t="shared" si="15"/>
        <v>924</v>
      </c>
      <c r="L380" s="60">
        <v>280</v>
      </c>
      <c r="M380" s="60">
        <v>13</v>
      </c>
      <c r="N380" s="60">
        <v>245</v>
      </c>
      <c r="O380" s="60">
        <v>565</v>
      </c>
      <c r="P380" s="60">
        <v>62</v>
      </c>
      <c r="Q380" s="60">
        <f t="shared" si="16"/>
        <v>3435</v>
      </c>
      <c r="R380">
        <v>774</v>
      </c>
      <c r="S380">
        <v>31</v>
      </c>
      <c r="T380">
        <v>1176</v>
      </c>
      <c r="U380">
        <v>31</v>
      </c>
      <c r="V380">
        <v>49</v>
      </c>
      <c r="W380">
        <v>0</v>
      </c>
      <c r="X380">
        <v>62</v>
      </c>
      <c r="Y380">
        <v>136</v>
      </c>
      <c r="Z380">
        <v>93</v>
      </c>
      <c r="AA380">
        <v>27</v>
      </c>
      <c r="AB380">
        <v>0.26500000000000001</v>
      </c>
      <c r="AC380">
        <v>0.33700000000000002</v>
      </c>
      <c r="AD380">
        <v>0.45300000000000001</v>
      </c>
    </row>
    <row r="381" spans="1:30" x14ac:dyDescent="0.5">
      <c r="A381" s="35">
        <v>2012</v>
      </c>
      <c r="B381" t="s">
        <v>79</v>
      </c>
      <c r="C381" t="s">
        <v>149</v>
      </c>
      <c r="D381">
        <v>162</v>
      </c>
      <c r="E381">
        <v>713</v>
      </c>
      <c r="F381">
        <v>1315</v>
      </c>
      <c r="G381" s="60">
        <v>2012</v>
      </c>
      <c r="H381" s="60" t="s">
        <v>78</v>
      </c>
      <c r="I381" s="60" t="str">
        <f t="shared" si="17"/>
        <v>2012 Oakland Athletics</v>
      </c>
      <c r="J381" s="60">
        <v>5527</v>
      </c>
      <c r="K381" s="60">
        <f t="shared" si="15"/>
        <v>821</v>
      </c>
      <c r="L381" s="60">
        <v>267</v>
      </c>
      <c r="M381" s="60">
        <v>32</v>
      </c>
      <c r="N381" s="60">
        <v>195</v>
      </c>
      <c r="O381" s="60">
        <v>550</v>
      </c>
      <c r="P381" s="60">
        <v>45</v>
      </c>
      <c r="Q381" s="60">
        <f t="shared" si="16"/>
        <v>3617</v>
      </c>
      <c r="R381">
        <v>676</v>
      </c>
      <c r="S381">
        <v>29</v>
      </c>
      <c r="T381">
        <v>1387</v>
      </c>
      <c r="U381">
        <v>27</v>
      </c>
      <c r="V381">
        <v>34</v>
      </c>
      <c r="W381">
        <v>0</v>
      </c>
      <c r="X381">
        <v>57</v>
      </c>
      <c r="Y381">
        <v>97</v>
      </c>
      <c r="Z381">
        <v>122</v>
      </c>
      <c r="AA381">
        <v>32</v>
      </c>
      <c r="AB381">
        <v>0.23799999999999999</v>
      </c>
      <c r="AC381">
        <v>0.31</v>
      </c>
      <c r="AD381">
        <v>0.40400000000000003</v>
      </c>
    </row>
    <row r="382" spans="1:30" x14ac:dyDescent="0.5">
      <c r="A382" s="35">
        <v>2012</v>
      </c>
      <c r="B382" t="s">
        <v>81</v>
      </c>
      <c r="C382" t="s">
        <v>38</v>
      </c>
      <c r="D382">
        <v>162</v>
      </c>
      <c r="E382">
        <v>684</v>
      </c>
      <c r="F382">
        <v>1414</v>
      </c>
      <c r="G382" s="60">
        <v>2012</v>
      </c>
      <c r="H382" s="60" t="s">
        <v>80</v>
      </c>
      <c r="I382" s="60" t="str">
        <f t="shared" si="17"/>
        <v>2012 Philadelphia Phillies</v>
      </c>
      <c r="J382" s="60">
        <v>5544</v>
      </c>
      <c r="K382" s="60">
        <f t="shared" si="15"/>
        <v>957</v>
      </c>
      <c r="L382" s="60">
        <v>271</v>
      </c>
      <c r="M382" s="60">
        <v>28</v>
      </c>
      <c r="N382" s="60">
        <v>158</v>
      </c>
      <c r="O382" s="60">
        <v>454</v>
      </c>
      <c r="P382" s="60">
        <v>63</v>
      </c>
      <c r="Q382" s="60">
        <f t="shared" si="16"/>
        <v>3613</v>
      </c>
      <c r="R382">
        <v>659</v>
      </c>
      <c r="S382">
        <v>41</v>
      </c>
      <c r="T382">
        <v>1094</v>
      </c>
      <c r="U382">
        <v>72</v>
      </c>
      <c r="V382">
        <v>39</v>
      </c>
      <c r="W382">
        <v>0</v>
      </c>
      <c r="X382">
        <v>64</v>
      </c>
      <c r="Y382">
        <v>114</v>
      </c>
      <c r="Z382">
        <v>116</v>
      </c>
      <c r="AA382">
        <v>23</v>
      </c>
      <c r="AB382">
        <v>0.255</v>
      </c>
      <c r="AC382">
        <v>0.317</v>
      </c>
      <c r="AD382">
        <v>0.4</v>
      </c>
    </row>
    <row r="383" spans="1:30" x14ac:dyDescent="0.5">
      <c r="A383" s="35">
        <v>2012</v>
      </c>
      <c r="B383" t="s">
        <v>83</v>
      </c>
      <c r="C383" t="s">
        <v>38</v>
      </c>
      <c r="D383">
        <v>162</v>
      </c>
      <c r="E383">
        <v>651</v>
      </c>
      <c r="F383">
        <v>1313</v>
      </c>
      <c r="G383" s="60">
        <v>2012</v>
      </c>
      <c r="H383" s="60" t="s">
        <v>82</v>
      </c>
      <c r="I383" s="60" t="str">
        <f t="shared" si="17"/>
        <v>2012 Pittsburgh Pirates</v>
      </c>
      <c r="J383" s="60">
        <v>5412</v>
      </c>
      <c r="K383" s="60">
        <f t="shared" si="15"/>
        <v>865</v>
      </c>
      <c r="L383" s="60">
        <v>241</v>
      </c>
      <c r="M383" s="60">
        <v>37</v>
      </c>
      <c r="N383" s="60">
        <v>170</v>
      </c>
      <c r="O383" s="60">
        <v>444</v>
      </c>
      <c r="P383" s="60">
        <v>51</v>
      </c>
      <c r="Q383" s="60">
        <f t="shared" si="16"/>
        <v>3604</v>
      </c>
      <c r="R383">
        <v>620</v>
      </c>
      <c r="S383">
        <v>32</v>
      </c>
      <c r="T383">
        <v>1354</v>
      </c>
      <c r="U383">
        <v>62</v>
      </c>
      <c r="V383">
        <v>45</v>
      </c>
      <c r="W383">
        <v>0</v>
      </c>
      <c r="X383">
        <v>79</v>
      </c>
      <c r="Y383">
        <v>98</v>
      </c>
      <c r="Z383">
        <v>73</v>
      </c>
      <c r="AA383">
        <v>52</v>
      </c>
      <c r="AB383">
        <v>0.24299999999999999</v>
      </c>
      <c r="AC383">
        <v>0.30399999999999999</v>
      </c>
      <c r="AD383">
        <v>0.39500000000000002</v>
      </c>
    </row>
    <row r="384" spans="1:30" x14ac:dyDescent="0.5">
      <c r="A384" s="35">
        <v>2012</v>
      </c>
      <c r="B384" t="s">
        <v>147</v>
      </c>
      <c r="C384" t="s">
        <v>38</v>
      </c>
      <c r="D384">
        <v>162</v>
      </c>
      <c r="E384">
        <v>651</v>
      </c>
      <c r="F384">
        <v>1339</v>
      </c>
      <c r="G384" s="60">
        <v>2012</v>
      </c>
      <c r="H384" s="60" t="s">
        <v>84</v>
      </c>
      <c r="I384" s="60" t="str">
        <f t="shared" si="17"/>
        <v>2012 San Diego Padres</v>
      </c>
      <c r="J384" s="60">
        <v>5422</v>
      </c>
      <c r="K384" s="60">
        <f t="shared" si="15"/>
        <v>903</v>
      </c>
      <c r="L384" s="60">
        <v>272</v>
      </c>
      <c r="M384" s="60">
        <v>43</v>
      </c>
      <c r="N384" s="60">
        <v>121</v>
      </c>
      <c r="O384" s="60">
        <v>539</v>
      </c>
      <c r="P384" s="60">
        <v>54</v>
      </c>
      <c r="Q384" s="60">
        <f t="shared" si="16"/>
        <v>3490</v>
      </c>
      <c r="R384">
        <v>610</v>
      </c>
      <c r="S384">
        <v>36</v>
      </c>
      <c r="T384">
        <v>1238</v>
      </c>
      <c r="U384">
        <v>63</v>
      </c>
      <c r="V384">
        <v>34</v>
      </c>
      <c r="W384">
        <v>0</v>
      </c>
      <c r="X384">
        <v>70</v>
      </c>
      <c r="Y384">
        <v>100</v>
      </c>
      <c r="Z384">
        <v>155</v>
      </c>
      <c r="AA384">
        <v>46</v>
      </c>
      <c r="AB384">
        <v>0.247</v>
      </c>
      <c r="AC384">
        <v>0.31900000000000001</v>
      </c>
      <c r="AD384">
        <v>0.38</v>
      </c>
    </row>
    <row r="385" spans="1:30" x14ac:dyDescent="0.5">
      <c r="A385" s="35">
        <v>2012</v>
      </c>
      <c r="B385" t="s">
        <v>87</v>
      </c>
      <c r="C385" t="s">
        <v>149</v>
      </c>
      <c r="D385">
        <v>162</v>
      </c>
      <c r="E385">
        <v>619</v>
      </c>
      <c r="F385">
        <v>1285</v>
      </c>
      <c r="G385" s="60">
        <v>2012</v>
      </c>
      <c r="H385" s="60" t="s">
        <v>86</v>
      </c>
      <c r="I385" s="60" t="str">
        <f t="shared" si="17"/>
        <v>2012 Seattle Mariners</v>
      </c>
      <c r="J385" s="60">
        <v>5494</v>
      </c>
      <c r="K385" s="60">
        <f t="shared" si="15"/>
        <v>868</v>
      </c>
      <c r="L385" s="60">
        <v>241</v>
      </c>
      <c r="M385" s="60">
        <v>27</v>
      </c>
      <c r="N385" s="60">
        <v>149</v>
      </c>
      <c r="O385" s="60">
        <v>466</v>
      </c>
      <c r="P385" s="60">
        <v>30</v>
      </c>
      <c r="Q385" s="60">
        <f t="shared" si="16"/>
        <v>3713</v>
      </c>
      <c r="R385">
        <v>584</v>
      </c>
      <c r="S385">
        <v>21</v>
      </c>
      <c r="T385">
        <v>1259</v>
      </c>
      <c r="U385">
        <v>32</v>
      </c>
      <c r="V385">
        <v>35</v>
      </c>
      <c r="W385">
        <v>0</v>
      </c>
      <c r="X385">
        <v>68</v>
      </c>
      <c r="Y385">
        <v>95</v>
      </c>
      <c r="Z385">
        <v>104</v>
      </c>
      <c r="AA385">
        <v>35</v>
      </c>
      <c r="AB385">
        <v>0.23400000000000001</v>
      </c>
      <c r="AC385">
        <v>0.29599999999999999</v>
      </c>
      <c r="AD385">
        <v>0.36899999999999999</v>
      </c>
    </row>
    <row r="386" spans="1:30" x14ac:dyDescent="0.5">
      <c r="A386" s="35">
        <v>2012</v>
      </c>
      <c r="B386" t="s">
        <v>21</v>
      </c>
      <c r="C386" t="s">
        <v>38</v>
      </c>
      <c r="D386">
        <v>162</v>
      </c>
      <c r="E386">
        <v>718</v>
      </c>
      <c r="F386">
        <v>1495</v>
      </c>
      <c r="G386" s="60">
        <v>2012</v>
      </c>
      <c r="H386" s="60" t="s">
        <v>88</v>
      </c>
      <c r="I386" s="60" t="str">
        <f t="shared" si="17"/>
        <v>2012 San Francisco Giants</v>
      </c>
      <c r="J386" s="60">
        <v>5558</v>
      </c>
      <c r="K386" s="60">
        <f t="shared" ref="K386:K449" si="18">F386-(L386+M386+N386)</f>
        <v>1048</v>
      </c>
      <c r="L386" s="60">
        <v>287</v>
      </c>
      <c r="M386" s="60">
        <v>57</v>
      </c>
      <c r="N386" s="60">
        <v>103</v>
      </c>
      <c r="O386" s="60">
        <v>483</v>
      </c>
      <c r="P386" s="60">
        <v>29</v>
      </c>
      <c r="Q386" s="60">
        <f t="shared" ref="Q386:Q449" si="19">J386-(F386+O386+P386)</f>
        <v>3551</v>
      </c>
      <c r="R386">
        <v>675</v>
      </c>
      <c r="S386">
        <v>44</v>
      </c>
      <c r="T386">
        <v>1097</v>
      </c>
      <c r="U386">
        <v>69</v>
      </c>
      <c r="V386">
        <v>61</v>
      </c>
      <c r="W386">
        <v>0</v>
      </c>
      <c r="X386">
        <v>75</v>
      </c>
      <c r="Y386">
        <v>114</v>
      </c>
      <c r="Z386">
        <v>118</v>
      </c>
      <c r="AA386">
        <v>39</v>
      </c>
      <c r="AB386">
        <v>0.26900000000000002</v>
      </c>
      <c r="AC386">
        <v>0.32700000000000001</v>
      </c>
      <c r="AD386">
        <v>0.39700000000000002</v>
      </c>
    </row>
    <row r="387" spans="1:30" x14ac:dyDescent="0.5">
      <c r="A387" s="35">
        <v>2012</v>
      </c>
      <c r="B387" t="s">
        <v>142</v>
      </c>
      <c r="C387" t="s">
        <v>38</v>
      </c>
      <c r="D387">
        <v>162</v>
      </c>
      <c r="E387">
        <v>765</v>
      </c>
      <c r="F387">
        <v>1526</v>
      </c>
      <c r="G387" s="60">
        <v>2012</v>
      </c>
      <c r="H387" s="60" t="s">
        <v>90</v>
      </c>
      <c r="I387" s="60" t="str">
        <f t="shared" ref="I387:I450" si="20">G387&amp;" "&amp;H387</f>
        <v>2012 St. Louis Cardinals</v>
      </c>
      <c r="J387" s="60">
        <v>5622</v>
      </c>
      <c r="K387" s="60">
        <f t="shared" si="18"/>
        <v>1040</v>
      </c>
      <c r="L387" s="60">
        <v>290</v>
      </c>
      <c r="M387" s="60">
        <v>37</v>
      </c>
      <c r="N387" s="60">
        <v>159</v>
      </c>
      <c r="O387" s="60">
        <v>533</v>
      </c>
      <c r="P387" s="60">
        <v>53</v>
      </c>
      <c r="Q387" s="60">
        <f t="shared" si="19"/>
        <v>3510</v>
      </c>
      <c r="R387">
        <v>732</v>
      </c>
      <c r="S387">
        <v>45</v>
      </c>
      <c r="T387">
        <v>1192</v>
      </c>
      <c r="U387">
        <v>69</v>
      </c>
      <c r="V387">
        <v>49</v>
      </c>
      <c r="W387">
        <v>0</v>
      </c>
      <c r="X387">
        <v>73</v>
      </c>
      <c r="Y387">
        <v>135</v>
      </c>
      <c r="Z387">
        <v>91</v>
      </c>
      <c r="AA387">
        <v>37</v>
      </c>
      <c r="AB387">
        <v>0.27100000000000002</v>
      </c>
      <c r="AC387">
        <v>0.33800000000000002</v>
      </c>
      <c r="AD387">
        <v>0.42099999999999999</v>
      </c>
    </row>
    <row r="388" spans="1:30" x14ac:dyDescent="0.5">
      <c r="A388" s="35">
        <v>2012</v>
      </c>
      <c r="B388" t="s">
        <v>151</v>
      </c>
      <c r="C388" t="s">
        <v>149</v>
      </c>
      <c r="D388">
        <v>162</v>
      </c>
      <c r="E388">
        <v>697</v>
      </c>
      <c r="F388">
        <v>1293</v>
      </c>
      <c r="G388" s="60">
        <v>2012</v>
      </c>
      <c r="H388" s="60" t="s">
        <v>92</v>
      </c>
      <c r="I388" s="60" t="str">
        <f t="shared" si="20"/>
        <v>2012 Tampa Bay Devil Rays</v>
      </c>
      <c r="J388" s="60">
        <v>5398</v>
      </c>
      <c r="K388" s="60">
        <f t="shared" si="18"/>
        <v>838</v>
      </c>
      <c r="L388" s="60">
        <v>250</v>
      </c>
      <c r="M388" s="60">
        <v>30</v>
      </c>
      <c r="N388" s="60">
        <v>175</v>
      </c>
      <c r="O388" s="60">
        <v>571</v>
      </c>
      <c r="P388" s="60">
        <v>58</v>
      </c>
      <c r="Q388" s="60">
        <f t="shared" si="19"/>
        <v>3476</v>
      </c>
      <c r="R388">
        <v>665</v>
      </c>
      <c r="S388">
        <v>26</v>
      </c>
      <c r="T388">
        <v>1323</v>
      </c>
      <c r="U388">
        <v>34</v>
      </c>
      <c r="V388">
        <v>42</v>
      </c>
      <c r="W388">
        <v>2</v>
      </c>
      <c r="X388">
        <v>58</v>
      </c>
      <c r="Y388">
        <v>133</v>
      </c>
      <c r="Z388">
        <v>134</v>
      </c>
      <c r="AA388">
        <v>44</v>
      </c>
      <c r="AB388">
        <v>0.24</v>
      </c>
      <c r="AC388">
        <v>0.317</v>
      </c>
      <c r="AD388">
        <v>0.39400000000000002</v>
      </c>
    </row>
    <row r="389" spans="1:30" x14ac:dyDescent="0.5">
      <c r="A389" s="35">
        <v>2012</v>
      </c>
      <c r="B389" t="s">
        <v>95</v>
      </c>
      <c r="C389" t="s">
        <v>149</v>
      </c>
      <c r="D389">
        <v>162</v>
      </c>
      <c r="E389">
        <v>808</v>
      </c>
      <c r="F389">
        <v>1526</v>
      </c>
      <c r="G389" s="60">
        <v>2012</v>
      </c>
      <c r="H389" s="60" t="s">
        <v>94</v>
      </c>
      <c r="I389" s="60" t="str">
        <f t="shared" si="20"/>
        <v>2012 Texas Rangers</v>
      </c>
      <c r="J389" s="60">
        <v>5590</v>
      </c>
      <c r="K389" s="60">
        <f t="shared" si="18"/>
        <v>991</v>
      </c>
      <c r="L389" s="60">
        <v>303</v>
      </c>
      <c r="M389" s="60">
        <v>32</v>
      </c>
      <c r="N389" s="60">
        <v>200</v>
      </c>
      <c r="O389" s="60">
        <v>478</v>
      </c>
      <c r="P389" s="60">
        <v>57</v>
      </c>
      <c r="Q389" s="60">
        <f t="shared" si="19"/>
        <v>3529</v>
      </c>
      <c r="R389">
        <v>780</v>
      </c>
      <c r="S389">
        <v>44</v>
      </c>
      <c r="T389">
        <v>1103</v>
      </c>
      <c r="U389">
        <v>36</v>
      </c>
      <c r="V389">
        <v>53</v>
      </c>
      <c r="W389">
        <v>2</v>
      </c>
      <c r="X389">
        <v>82</v>
      </c>
      <c r="Y389">
        <v>121</v>
      </c>
      <c r="Z389">
        <v>91</v>
      </c>
      <c r="AA389">
        <v>44</v>
      </c>
      <c r="AB389">
        <v>0.27300000000000002</v>
      </c>
      <c r="AC389">
        <v>0.33400000000000002</v>
      </c>
      <c r="AD389">
        <v>0.44600000000000001</v>
      </c>
    </row>
    <row r="390" spans="1:30" x14ac:dyDescent="0.5">
      <c r="A390" s="35">
        <v>2012</v>
      </c>
      <c r="B390" t="s">
        <v>97</v>
      </c>
      <c r="C390" t="s">
        <v>149</v>
      </c>
      <c r="D390">
        <v>162</v>
      </c>
      <c r="E390">
        <v>716</v>
      </c>
      <c r="F390">
        <v>1346</v>
      </c>
      <c r="G390" s="60">
        <v>2012</v>
      </c>
      <c r="H390" s="60" t="s">
        <v>96</v>
      </c>
      <c r="I390" s="60" t="str">
        <f t="shared" si="20"/>
        <v>2012 Toronto Blue Jays</v>
      </c>
      <c r="J390" s="60">
        <v>5487</v>
      </c>
      <c r="K390" s="60">
        <f t="shared" si="18"/>
        <v>879</v>
      </c>
      <c r="L390" s="60">
        <v>247</v>
      </c>
      <c r="M390" s="60">
        <v>22</v>
      </c>
      <c r="N390" s="60">
        <v>198</v>
      </c>
      <c r="O390" s="60">
        <v>473</v>
      </c>
      <c r="P390" s="60">
        <v>55</v>
      </c>
      <c r="Q390" s="60">
        <f t="shared" si="19"/>
        <v>3613</v>
      </c>
      <c r="R390">
        <v>677</v>
      </c>
      <c r="S390">
        <v>29</v>
      </c>
      <c r="T390">
        <v>1251</v>
      </c>
      <c r="U390">
        <v>33</v>
      </c>
      <c r="V390">
        <v>45</v>
      </c>
      <c r="W390">
        <v>1</v>
      </c>
      <c r="X390">
        <v>76</v>
      </c>
      <c r="Y390">
        <v>109</v>
      </c>
      <c r="Z390">
        <v>123</v>
      </c>
      <c r="AA390">
        <v>41</v>
      </c>
      <c r="AB390">
        <v>0.245</v>
      </c>
      <c r="AC390">
        <v>0.309</v>
      </c>
      <c r="AD390">
        <v>0.40699999999999997</v>
      </c>
    </row>
    <row r="391" spans="1:30" x14ac:dyDescent="0.5">
      <c r="A391" s="35">
        <v>2012</v>
      </c>
      <c r="B391" t="s">
        <v>101</v>
      </c>
      <c r="C391" t="s">
        <v>38</v>
      </c>
      <c r="D391">
        <v>162</v>
      </c>
      <c r="E391">
        <v>731</v>
      </c>
      <c r="F391">
        <v>1468</v>
      </c>
      <c r="G391" s="60">
        <v>2012</v>
      </c>
      <c r="H391" s="60" t="s">
        <v>100</v>
      </c>
      <c r="I391" s="60" t="str">
        <f t="shared" si="20"/>
        <v>2012 Washington Nationals</v>
      </c>
      <c r="J391" s="60">
        <v>5615</v>
      </c>
      <c r="K391" s="60">
        <f t="shared" si="18"/>
        <v>948</v>
      </c>
      <c r="L391" s="60">
        <v>301</v>
      </c>
      <c r="M391" s="60">
        <v>25</v>
      </c>
      <c r="N391" s="60">
        <v>194</v>
      </c>
      <c r="O391" s="60">
        <v>479</v>
      </c>
      <c r="P391" s="60">
        <v>41</v>
      </c>
      <c r="Q391" s="60">
        <f t="shared" si="19"/>
        <v>3627</v>
      </c>
      <c r="R391">
        <v>688</v>
      </c>
      <c r="S391">
        <v>43</v>
      </c>
      <c r="T391">
        <v>1325</v>
      </c>
      <c r="U391">
        <v>50</v>
      </c>
      <c r="V391">
        <v>36</v>
      </c>
      <c r="W391">
        <v>0</v>
      </c>
      <c r="X391">
        <v>66</v>
      </c>
      <c r="Y391">
        <v>110</v>
      </c>
      <c r="Z391">
        <v>105</v>
      </c>
      <c r="AA391">
        <v>35</v>
      </c>
      <c r="AB391">
        <v>0.26100000000000001</v>
      </c>
      <c r="AC391">
        <v>0.32200000000000001</v>
      </c>
      <c r="AD391">
        <v>0.42799999999999999</v>
      </c>
    </row>
    <row r="392" spans="1:30" x14ac:dyDescent="0.5">
      <c r="A392" s="35">
        <v>2013</v>
      </c>
      <c r="B392" t="s">
        <v>37</v>
      </c>
      <c r="C392" t="s">
        <v>149</v>
      </c>
      <c r="D392">
        <v>162</v>
      </c>
      <c r="E392">
        <v>733</v>
      </c>
      <c r="F392">
        <v>1476</v>
      </c>
      <c r="G392" s="60">
        <v>2013</v>
      </c>
      <c r="H392" s="60" t="s">
        <v>36</v>
      </c>
      <c r="I392" s="60" t="str">
        <f t="shared" si="20"/>
        <v>2013 Anaheim Angels</v>
      </c>
      <c r="J392" s="60">
        <v>5588</v>
      </c>
      <c r="K392" s="60">
        <f t="shared" si="18"/>
        <v>1003</v>
      </c>
      <c r="L392" s="60">
        <v>270</v>
      </c>
      <c r="M392" s="60">
        <v>39</v>
      </c>
      <c r="N392" s="60">
        <v>164</v>
      </c>
      <c r="O392" s="60">
        <v>523</v>
      </c>
      <c r="P392" s="60">
        <v>48</v>
      </c>
      <c r="Q392" s="60">
        <f t="shared" si="19"/>
        <v>3541</v>
      </c>
      <c r="R392">
        <v>696</v>
      </c>
      <c r="S392">
        <v>40</v>
      </c>
      <c r="T392">
        <v>1221</v>
      </c>
      <c r="U392">
        <v>37</v>
      </c>
      <c r="V392">
        <v>64</v>
      </c>
      <c r="W392">
        <v>0</v>
      </c>
      <c r="X392">
        <v>70</v>
      </c>
      <c r="Y392">
        <v>150</v>
      </c>
      <c r="Z392">
        <v>82</v>
      </c>
      <c r="AA392">
        <v>34</v>
      </c>
      <c r="AB392">
        <v>0.26400000000000001</v>
      </c>
      <c r="AC392">
        <v>0.32900000000000001</v>
      </c>
      <c r="AD392">
        <v>0.41399999999999998</v>
      </c>
    </row>
    <row r="393" spans="1:30" x14ac:dyDescent="0.5">
      <c r="A393" s="35">
        <v>2013</v>
      </c>
      <c r="B393" t="s">
        <v>40</v>
      </c>
      <c r="C393" t="s">
        <v>38</v>
      </c>
      <c r="D393">
        <v>162</v>
      </c>
      <c r="E393">
        <v>685</v>
      </c>
      <c r="F393">
        <v>1468</v>
      </c>
      <c r="G393" s="60">
        <v>2013</v>
      </c>
      <c r="H393" s="60" t="s">
        <v>39</v>
      </c>
      <c r="I393" s="60" t="str">
        <f t="shared" si="20"/>
        <v>2013 Arizona Diamondbacks</v>
      </c>
      <c r="J393" s="60">
        <v>5676</v>
      </c>
      <c r="K393" s="60">
        <f t="shared" si="18"/>
        <v>1005</v>
      </c>
      <c r="L393" s="60">
        <v>302</v>
      </c>
      <c r="M393" s="60">
        <v>31</v>
      </c>
      <c r="N393" s="60">
        <v>130</v>
      </c>
      <c r="O393" s="60">
        <v>519</v>
      </c>
      <c r="P393" s="60">
        <v>43</v>
      </c>
      <c r="Q393" s="60">
        <f t="shared" si="19"/>
        <v>3646</v>
      </c>
      <c r="R393">
        <v>647</v>
      </c>
      <c r="S393">
        <v>51</v>
      </c>
      <c r="T393">
        <v>1142</v>
      </c>
      <c r="U393">
        <v>50</v>
      </c>
      <c r="V393">
        <v>43</v>
      </c>
      <c r="W393">
        <v>3</v>
      </c>
      <c r="X393">
        <v>56</v>
      </c>
      <c r="Y393">
        <v>160</v>
      </c>
      <c r="Z393">
        <v>62</v>
      </c>
      <c r="AA393">
        <v>41</v>
      </c>
      <c r="AB393">
        <v>0.25900000000000001</v>
      </c>
      <c r="AC393">
        <v>0.32300000000000001</v>
      </c>
      <c r="AD393">
        <v>0.39100000000000001</v>
      </c>
    </row>
    <row r="394" spans="1:30" x14ac:dyDescent="0.5">
      <c r="A394" s="35">
        <v>2013</v>
      </c>
      <c r="B394" t="s">
        <v>42</v>
      </c>
      <c r="C394" t="s">
        <v>38</v>
      </c>
      <c r="D394">
        <v>162</v>
      </c>
      <c r="E394">
        <v>688</v>
      </c>
      <c r="F394">
        <v>1354</v>
      </c>
      <c r="G394" s="60">
        <v>2013</v>
      </c>
      <c r="H394" s="60" t="s">
        <v>41</v>
      </c>
      <c r="I394" s="60" t="str">
        <f t="shared" si="20"/>
        <v>2013 Atlanta Braves</v>
      </c>
      <c r="J394" s="60">
        <v>5441</v>
      </c>
      <c r="K394" s="60">
        <f t="shared" si="18"/>
        <v>905</v>
      </c>
      <c r="L394" s="60">
        <v>247</v>
      </c>
      <c r="M394" s="60">
        <v>21</v>
      </c>
      <c r="N394" s="60">
        <v>181</v>
      </c>
      <c r="O394" s="60">
        <v>542</v>
      </c>
      <c r="P394" s="60">
        <v>55</v>
      </c>
      <c r="Q394" s="60">
        <f t="shared" si="19"/>
        <v>3490</v>
      </c>
      <c r="R394">
        <v>656</v>
      </c>
      <c r="S394">
        <v>36</v>
      </c>
      <c r="T394">
        <v>1384</v>
      </c>
      <c r="U394">
        <v>58</v>
      </c>
      <c r="V394">
        <v>35</v>
      </c>
      <c r="W394">
        <v>2</v>
      </c>
      <c r="X394">
        <v>67</v>
      </c>
      <c r="Y394">
        <v>119</v>
      </c>
      <c r="Z394">
        <v>64</v>
      </c>
      <c r="AA394">
        <v>31</v>
      </c>
      <c r="AB394">
        <v>0.249</v>
      </c>
      <c r="AC394">
        <v>0.32100000000000001</v>
      </c>
      <c r="AD394">
        <v>0.40200000000000002</v>
      </c>
    </row>
    <row r="395" spans="1:30" x14ac:dyDescent="0.5">
      <c r="A395" s="35">
        <v>2013</v>
      </c>
      <c r="B395" t="s">
        <v>45</v>
      </c>
      <c r="C395" t="s">
        <v>149</v>
      </c>
      <c r="D395">
        <v>162</v>
      </c>
      <c r="E395">
        <v>745</v>
      </c>
      <c r="F395">
        <v>1460</v>
      </c>
      <c r="G395" s="60">
        <v>2013</v>
      </c>
      <c r="H395" s="60" t="s">
        <v>44</v>
      </c>
      <c r="I395" s="60" t="str">
        <f t="shared" si="20"/>
        <v>2013 Baltimore Orioles</v>
      </c>
      <c r="J395" s="60">
        <v>5620</v>
      </c>
      <c r="K395" s="60">
        <f t="shared" si="18"/>
        <v>936</v>
      </c>
      <c r="L395" s="60">
        <v>298</v>
      </c>
      <c r="M395" s="60">
        <v>14</v>
      </c>
      <c r="N395" s="60">
        <v>212</v>
      </c>
      <c r="O395" s="60">
        <v>416</v>
      </c>
      <c r="P395" s="60">
        <v>36</v>
      </c>
      <c r="Q395" s="60">
        <f t="shared" si="19"/>
        <v>3708</v>
      </c>
      <c r="R395">
        <v>719</v>
      </c>
      <c r="S395">
        <v>36</v>
      </c>
      <c r="T395">
        <v>1125</v>
      </c>
      <c r="U395">
        <v>27</v>
      </c>
      <c r="V395">
        <v>45</v>
      </c>
      <c r="W395">
        <v>0</v>
      </c>
      <c r="X395">
        <v>60</v>
      </c>
      <c r="Y395">
        <v>105</v>
      </c>
      <c r="Z395">
        <v>79</v>
      </c>
      <c r="AA395">
        <v>29</v>
      </c>
      <c r="AB395">
        <v>0.26</v>
      </c>
      <c r="AC395">
        <v>0.313</v>
      </c>
      <c r="AD395">
        <v>0.43099999999999999</v>
      </c>
    </row>
    <row r="396" spans="1:30" x14ac:dyDescent="0.5">
      <c r="A396" s="35">
        <v>2013</v>
      </c>
      <c r="B396" t="s">
        <v>47</v>
      </c>
      <c r="C396" t="s">
        <v>149</v>
      </c>
      <c r="D396">
        <v>162</v>
      </c>
      <c r="E396">
        <v>853</v>
      </c>
      <c r="F396">
        <v>1566</v>
      </c>
      <c r="G396" s="60">
        <v>2013</v>
      </c>
      <c r="H396" s="60" t="s">
        <v>46</v>
      </c>
      <c r="I396" s="60" t="str">
        <f t="shared" si="20"/>
        <v>2013 Boston Red Sox</v>
      </c>
      <c r="J396" s="60">
        <v>5651</v>
      </c>
      <c r="K396" s="60">
        <f t="shared" si="18"/>
        <v>996</v>
      </c>
      <c r="L396" s="60">
        <v>363</v>
      </c>
      <c r="M396" s="60">
        <v>29</v>
      </c>
      <c r="N396" s="60">
        <v>178</v>
      </c>
      <c r="O396" s="60">
        <v>581</v>
      </c>
      <c r="P396" s="60">
        <v>72</v>
      </c>
      <c r="Q396" s="60">
        <f t="shared" si="19"/>
        <v>3432</v>
      </c>
      <c r="R396">
        <v>819</v>
      </c>
      <c r="S396">
        <v>51</v>
      </c>
      <c r="T396">
        <v>1308</v>
      </c>
      <c r="U396">
        <v>24</v>
      </c>
      <c r="V396">
        <v>50</v>
      </c>
      <c r="W396">
        <v>4</v>
      </c>
      <c r="X396">
        <v>57</v>
      </c>
      <c r="Y396">
        <v>137</v>
      </c>
      <c r="Z396">
        <v>123</v>
      </c>
      <c r="AA396">
        <v>19</v>
      </c>
      <c r="AB396">
        <v>0.27700000000000002</v>
      </c>
      <c r="AC396">
        <v>0.34899999999999998</v>
      </c>
      <c r="AD396">
        <v>0.44600000000000001</v>
      </c>
    </row>
    <row r="397" spans="1:30" x14ac:dyDescent="0.5">
      <c r="A397" s="35">
        <v>2013</v>
      </c>
      <c r="B397" t="s">
        <v>143</v>
      </c>
      <c r="C397" t="s">
        <v>38</v>
      </c>
      <c r="D397">
        <v>162</v>
      </c>
      <c r="E397">
        <v>602</v>
      </c>
      <c r="F397">
        <v>1307</v>
      </c>
      <c r="G397" s="60">
        <v>2013</v>
      </c>
      <c r="H397" s="60" t="s">
        <v>50</v>
      </c>
      <c r="I397" s="60" t="str">
        <f t="shared" si="20"/>
        <v>2013 Chicago Cubs</v>
      </c>
      <c r="J397" s="60">
        <v>5498</v>
      </c>
      <c r="K397" s="60">
        <f t="shared" si="18"/>
        <v>820</v>
      </c>
      <c r="L397" s="60">
        <v>297</v>
      </c>
      <c r="M397" s="60">
        <v>18</v>
      </c>
      <c r="N397" s="60">
        <v>172</v>
      </c>
      <c r="O397" s="60">
        <v>439</v>
      </c>
      <c r="P397" s="60">
        <v>67</v>
      </c>
      <c r="Q397" s="60">
        <f t="shared" si="19"/>
        <v>3685</v>
      </c>
      <c r="R397">
        <v>576</v>
      </c>
      <c r="S397">
        <v>28</v>
      </c>
      <c r="T397">
        <v>1230</v>
      </c>
      <c r="U397">
        <v>43</v>
      </c>
      <c r="V397">
        <v>30</v>
      </c>
      <c r="W397">
        <v>2</v>
      </c>
      <c r="X397">
        <v>79</v>
      </c>
      <c r="Y397">
        <v>120</v>
      </c>
      <c r="Z397">
        <v>63</v>
      </c>
      <c r="AA397">
        <v>32</v>
      </c>
      <c r="AB397">
        <v>0.23799999999999999</v>
      </c>
      <c r="AC397">
        <v>0.3</v>
      </c>
      <c r="AD397">
        <v>0.39200000000000002</v>
      </c>
    </row>
    <row r="398" spans="1:30" x14ac:dyDescent="0.5">
      <c r="A398" s="35">
        <v>2013</v>
      </c>
      <c r="B398" t="s">
        <v>143</v>
      </c>
      <c r="C398" t="s">
        <v>149</v>
      </c>
      <c r="D398">
        <v>162</v>
      </c>
      <c r="E398">
        <v>598</v>
      </c>
      <c r="F398">
        <v>1385</v>
      </c>
      <c r="G398" s="60">
        <v>2013</v>
      </c>
      <c r="H398" s="60" t="s">
        <v>48</v>
      </c>
      <c r="I398" s="60" t="str">
        <f t="shared" si="20"/>
        <v>2013 Chicago White Sox</v>
      </c>
      <c r="J398" s="60">
        <v>5563</v>
      </c>
      <c r="K398" s="60">
        <f t="shared" si="18"/>
        <v>981</v>
      </c>
      <c r="L398" s="60">
        <v>237</v>
      </c>
      <c r="M398" s="60">
        <v>19</v>
      </c>
      <c r="N398" s="60">
        <v>148</v>
      </c>
      <c r="O398" s="60">
        <v>411</v>
      </c>
      <c r="P398" s="60">
        <v>34</v>
      </c>
      <c r="Q398" s="60">
        <f t="shared" si="19"/>
        <v>3733</v>
      </c>
      <c r="R398">
        <v>574</v>
      </c>
      <c r="S398">
        <v>23</v>
      </c>
      <c r="T398">
        <v>1207</v>
      </c>
      <c r="U398">
        <v>19</v>
      </c>
      <c r="V398">
        <v>48</v>
      </c>
      <c r="W398">
        <v>2</v>
      </c>
      <c r="X398">
        <v>53</v>
      </c>
      <c r="Y398">
        <v>124</v>
      </c>
      <c r="Z398">
        <v>105</v>
      </c>
      <c r="AA398">
        <v>42</v>
      </c>
      <c r="AB398">
        <v>0.249</v>
      </c>
      <c r="AC398">
        <v>0.30199999999999999</v>
      </c>
      <c r="AD398">
        <v>0.378</v>
      </c>
    </row>
    <row r="399" spans="1:30" x14ac:dyDescent="0.5">
      <c r="A399" s="35">
        <v>2013</v>
      </c>
      <c r="B399" t="s">
        <v>53</v>
      </c>
      <c r="C399" t="s">
        <v>38</v>
      </c>
      <c r="D399">
        <v>162</v>
      </c>
      <c r="E399">
        <v>698</v>
      </c>
      <c r="F399">
        <v>1370</v>
      </c>
      <c r="G399" s="60">
        <v>2013</v>
      </c>
      <c r="H399" s="60" t="s">
        <v>52</v>
      </c>
      <c r="I399" s="60" t="str">
        <f t="shared" si="20"/>
        <v>2013 Cincinnati Reds</v>
      </c>
      <c r="J399" s="60">
        <v>5499</v>
      </c>
      <c r="K399" s="60">
        <f t="shared" si="18"/>
        <v>921</v>
      </c>
      <c r="L399" s="60">
        <v>274</v>
      </c>
      <c r="M399" s="60">
        <v>20</v>
      </c>
      <c r="N399" s="60">
        <v>155</v>
      </c>
      <c r="O399" s="60">
        <v>585</v>
      </c>
      <c r="P399" s="60">
        <v>76</v>
      </c>
      <c r="Q399" s="60">
        <f t="shared" si="19"/>
        <v>3468</v>
      </c>
      <c r="R399">
        <v>664</v>
      </c>
      <c r="S399">
        <v>65</v>
      </c>
      <c r="T399">
        <v>1245</v>
      </c>
      <c r="U399">
        <v>85</v>
      </c>
      <c r="V399">
        <v>46</v>
      </c>
      <c r="W399">
        <v>2</v>
      </c>
      <c r="X399">
        <v>73</v>
      </c>
      <c r="Y399">
        <v>129</v>
      </c>
      <c r="Z399">
        <v>67</v>
      </c>
      <c r="AA399">
        <v>35</v>
      </c>
      <c r="AB399">
        <v>0.249</v>
      </c>
      <c r="AC399">
        <v>0.32700000000000001</v>
      </c>
      <c r="AD399">
        <v>0.39100000000000001</v>
      </c>
    </row>
    <row r="400" spans="1:30" x14ac:dyDescent="0.5">
      <c r="A400" s="35">
        <v>2013</v>
      </c>
      <c r="B400" t="s">
        <v>55</v>
      </c>
      <c r="C400" t="s">
        <v>149</v>
      </c>
      <c r="D400">
        <v>162</v>
      </c>
      <c r="E400">
        <v>745</v>
      </c>
      <c r="F400">
        <v>1391</v>
      </c>
      <c r="G400" s="60">
        <v>2013</v>
      </c>
      <c r="H400" s="60" t="s">
        <v>54</v>
      </c>
      <c r="I400" s="60" t="str">
        <f t="shared" si="20"/>
        <v>2013 Cleveland Indians</v>
      </c>
      <c r="J400" s="60">
        <v>5465</v>
      </c>
      <c r="K400" s="60">
        <f t="shared" si="18"/>
        <v>907</v>
      </c>
      <c r="L400" s="60">
        <v>290</v>
      </c>
      <c r="M400" s="60">
        <v>23</v>
      </c>
      <c r="N400" s="60">
        <v>171</v>
      </c>
      <c r="O400" s="60">
        <v>562</v>
      </c>
      <c r="P400" s="60">
        <v>51</v>
      </c>
      <c r="Q400" s="60">
        <f t="shared" si="19"/>
        <v>3461</v>
      </c>
      <c r="R400">
        <v>711</v>
      </c>
      <c r="S400">
        <v>19</v>
      </c>
      <c r="T400">
        <v>1283</v>
      </c>
      <c r="U400">
        <v>31</v>
      </c>
      <c r="V400">
        <v>56</v>
      </c>
      <c r="W400">
        <v>0</v>
      </c>
      <c r="X400">
        <v>57</v>
      </c>
      <c r="Y400">
        <v>106</v>
      </c>
      <c r="Z400">
        <v>117</v>
      </c>
      <c r="AA400">
        <v>36</v>
      </c>
      <c r="AB400">
        <v>0.255</v>
      </c>
      <c r="AC400">
        <v>0.32700000000000001</v>
      </c>
      <c r="AD400">
        <v>0.41</v>
      </c>
    </row>
    <row r="401" spans="1:30" x14ac:dyDescent="0.5">
      <c r="A401" s="35">
        <v>2013</v>
      </c>
      <c r="B401" t="s">
        <v>57</v>
      </c>
      <c r="C401" t="s">
        <v>38</v>
      </c>
      <c r="D401">
        <v>162</v>
      </c>
      <c r="E401">
        <v>706</v>
      </c>
      <c r="F401">
        <v>1511</v>
      </c>
      <c r="G401" s="60">
        <v>2013</v>
      </c>
      <c r="H401" s="60" t="s">
        <v>56</v>
      </c>
      <c r="I401" s="60" t="str">
        <f t="shared" si="20"/>
        <v>2013 Colorado Rockies</v>
      </c>
      <c r="J401" s="60">
        <v>5599</v>
      </c>
      <c r="K401" s="60">
        <f t="shared" si="18"/>
        <v>1033</v>
      </c>
      <c r="L401" s="60">
        <v>283</v>
      </c>
      <c r="M401" s="60">
        <v>36</v>
      </c>
      <c r="N401" s="60">
        <v>159</v>
      </c>
      <c r="O401" s="60">
        <v>427</v>
      </c>
      <c r="P401" s="60">
        <v>26</v>
      </c>
      <c r="Q401" s="60">
        <f t="shared" si="19"/>
        <v>3635</v>
      </c>
      <c r="R401">
        <v>673</v>
      </c>
      <c r="S401">
        <v>26</v>
      </c>
      <c r="T401">
        <v>1204</v>
      </c>
      <c r="U401">
        <v>65</v>
      </c>
      <c r="V401">
        <v>35</v>
      </c>
      <c r="W401">
        <v>0</v>
      </c>
      <c r="X401">
        <v>57</v>
      </c>
      <c r="Y401">
        <v>111</v>
      </c>
      <c r="Z401">
        <v>112</v>
      </c>
      <c r="AA401">
        <v>32</v>
      </c>
      <c r="AB401">
        <v>0.27</v>
      </c>
      <c r="AC401">
        <v>0.32300000000000001</v>
      </c>
      <c r="AD401">
        <v>0.41799999999999998</v>
      </c>
    </row>
    <row r="402" spans="1:30" x14ac:dyDescent="0.5">
      <c r="A402" s="35">
        <v>2013</v>
      </c>
      <c r="B402" t="s">
        <v>59</v>
      </c>
      <c r="C402" t="s">
        <v>149</v>
      </c>
      <c r="D402">
        <v>162</v>
      </c>
      <c r="E402">
        <v>796</v>
      </c>
      <c r="F402">
        <v>1625</v>
      </c>
      <c r="G402" s="60">
        <v>2013</v>
      </c>
      <c r="H402" s="60" t="s">
        <v>58</v>
      </c>
      <c r="I402" s="60" t="str">
        <f t="shared" si="20"/>
        <v>2013 Detroit Tigers</v>
      </c>
      <c r="J402" s="60">
        <v>5735</v>
      </c>
      <c r="K402" s="60">
        <f t="shared" si="18"/>
        <v>1134</v>
      </c>
      <c r="L402" s="60">
        <v>292</v>
      </c>
      <c r="M402" s="60">
        <v>23</v>
      </c>
      <c r="N402" s="60">
        <v>176</v>
      </c>
      <c r="O402" s="60">
        <v>531</v>
      </c>
      <c r="P402" s="60">
        <v>43</v>
      </c>
      <c r="Q402" s="60">
        <f t="shared" si="19"/>
        <v>3536</v>
      </c>
      <c r="R402">
        <v>767</v>
      </c>
      <c r="S402">
        <v>40</v>
      </c>
      <c r="T402">
        <v>1073</v>
      </c>
      <c r="U402">
        <v>32</v>
      </c>
      <c r="V402">
        <v>47</v>
      </c>
      <c r="W402">
        <v>0</v>
      </c>
      <c r="X402">
        <v>60</v>
      </c>
      <c r="Y402">
        <v>146</v>
      </c>
      <c r="Z402">
        <v>35</v>
      </c>
      <c r="AA402">
        <v>20</v>
      </c>
      <c r="AB402">
        <v>0.28299999999999997</v>
      </c>
      <c r="AC402">
        <v>0.34599999999999997</v>
      </c>
      <c r="AD402">
        <v>0.434</v>
      </c>
    </row>
    <row r="403" spans="1:30" x14ac:dyDescent="0.5">
      <c r="A403" s="35">
        <v>2013</v>
      </c>
      <c r="B403" t="s">
        <v>63</v>
      </c>
      <c r="C403" t="s">
        <v>149</v>
      </c>
      <c r="D403">
        <v>162</v>
      </c>
      <c r="E403">
        <v>610</v>
      </c>
      <c r="F403">
        <v>1307</v>
      </c>
      <c r="G403" s="60">
        <v>2013</v>
      </c>
      <c r="H403" s="60" t="s">
        <v>60</v>
      </c>
      <c r="I403" s="60" t="str">
        <f t="shared" si="20"/>
        <v>2013 Florida Marlins</v>
      </c>
      <c r="J403" s="60">
        <v>5457</v>
      </c>
      <c r="K403" s="60">
        <f t="shared" si="18"/>
        <v>877</v>
      </c>
      <c r="L403" s="60">
        <v>266</v>
      </c>
      <c r="M403" s="60">
        <v>16</v>
      </c>
      <c r="N403" s="60">
        <v>148</v>
      </c>
      <c r="O403" s="60">
        <v>426</v>
      </c>
      <c r="P403" s="60">
        <v>52</v>
      </c>
      <c r="Q403" s="60">
        <f t="shared" si="19"/>
        <v>3672</v>
      </c>
      <c r="R403">
        <v>566</v>
      </c>
      <c r="S403">
        <v>17</v>
      </c>
      <c r="T403">
        <v>1535</v>
      </c>
      <c r="U403">
        <v>46</v>
      </c>
      <c r="V403">
        <v>38</v>
      </c>
      <c r="W403">
        <v>1</v>
      </c>
      <c r="X403">
        <v>63</v>
      </c>
      <c r="Y403">
        <v>110</v>
      </c>
      <c r="Z403">
        <v>110</v>
      </c>
      <c r="AA403">
        <v>61</v>
      </c>
      <c r="AB403">
        <v>0.24</v>
      </c>
      <c r="AC403">
        <v>0.29899999999999999</v>
      </c>
      <c r="AD403">
        <v>0.375</v>
      </c>
    </row>
    <row r="404" spans="1:30" x14ac:dyDescent="0.5">
      <c r="A404" s="35">
        <v>2013</v>
      </c>
      <c r="B404" t="s">
        <v>150</v>
      </c>
      <c r="C404" t="s">
        <v>149</v>
      </c>
      <c r="D404">
        <v>162</v>
      </c>
      <c r="E404">
        <v>648</v>
      </c>
      <c r="F404">
        <v>1443</v>
      </c>
      <c r="G404" s="60">
        <v>2013</v>
      </c>
      <c r="H404" s="60" t="s">
        <v>62</v>
      </c>
      <c r="I404" s="60" t="str">
        <f t="shared" si="20"/>
        <v>2013 Houston Astros</v>
      </c>
      <c r="J404" s="60">
        <v>5549</v>
      </c>
      <c r="K404" s="60">
        <f t="shared" si="18"/>
        <v>1043</v>
      </c>
      <c r="L404" s="60">
        <v>254</v>
      </c>
      <c r="M404" s="60">
        <v>34</v>
      </c>
      <c r="N404" s="60">
        <v>112</v>
      </c>
      <c r="O404" s="60">
        <v>422</v>
      </c>
      <c r="P404" s="60">
        <v>42</v>
      </c>
      <c r="Q404" s="60">
        <f t="shared" si="19"/>
        <v>3642</v>
      </c>
      <c r="R404">
        <v>620</v>
      </c>
      <c r="S404">
        <v>38</v>
      </c>
      <c r="T404">
        <v>1048</v>
      </c>
      <c r="U404">
        <v>37</v>
      </c>
      <c r="V404">
        <v>42</v>
      </c>
      <c r="W404">
        <v>1</v>
      </c>
      <c r="X404">
        <v>59</v>
      </c>
      <c r="Y404">
        <v>131</v>
      </c>
      <c r="Z404">
        <v>153</v>
      </c>
      <c r="AA404">
        <v>32</v>
      </c>
      <c r="AB404">
        <v>0.26</v>
      </c>
      <c r="AC404">
        <v>0.315</v>
      </c>
      <c r="AD404">
        <v>0.379</v>
      </c>
    </row>
    <row r="405" spans="1:30" x14ac:dyDescent="0.5">
      <c r="A405" s="35">
        <v>2013</v>
      </c>
      <c r="B405" t="s">
        <v>145</v>
      </c>
      <c r="C405" t="s">
        <v>38</v>
      </c>
      <c r="D405">
        <v>162</v>
      </c>
      <c r="E405">
        <v>649</v>
      </c>
      <c r="F405">
        <v>1447</v>
      </c>
      <c r="G405" s="60">
        <v>2013</v>
      </c>
      <c r="H405" s="60" t="s">
        <v>64</v>
      </c>
      <c r="I405" s="60" t="str">
        <f t="shared" si="20"/>
        <v>2013 Kansas City Royals</v>
      </c>
      <c r="J405" s="60">
        <v>5491</v>
      </c>
      <c r="K405" s="60">
        <f t="shared" si="18"/>
        <v>1011</v>
      </c>
      <c r="L405" s="60">
        <v>281</v>
      </c>
      <c r="M405" s="60">
        <v>17</v>
      </c>
      <c r="N405" s="60">
        <v>138</v>
      </c>
      <c r="O405" s="60">
        <v>476</v>
      </c>
      <c r="P405" s="60">
        <v>57</v>
      </c>
      <c r="Q405" s="60">
        <f t="shared" si="19"/>
        <v>3511</v>
      </c>
      <c r="R405">
        <v>618</v>
      </c>
      <c r="S405">
        <v>45</v>
      </c>
      <c r="T405">
        <v>1146</v>
      </c>
      <c r="U405">
        <v>71</v>
      </c>
      <c r="V405">
        <v>48</v>
      </c>
      <c r="W405">
        <v>2</v>
      </c>
      <c r="X405">
        <v>62</v>
      </c>
      <c r="Y405">
        <v>130</v>
      </c>
      <c r="Z405">
        <v>78</v>
      </c>
      <c r="AA405">
        <v>28</v>
      </c>
      <c r="AB405">
        <v>0.26400000000000001</v>
      </c>
      <c r="AC405">
        <v>0.32600000000000001</v>
      </c>
      <c r="AD405">
        <v>0.39600000000000002</v>
      </c>
    </row>
    <row r="406" spans="1:30" x14ac:dyDescent="0.5">
      <c r="A406" s="35">
        <v>2013</v>
      </c>
      <c r="B406" t="s">
        <v>104</v>
      </c>
      <c r="C406" t="s">
        <v>38</v>
      </c>
      <c r="D406">
        <v>162</v>
      </c>
      <c r="E406">
        <v>513</v>
      </c>
      <c r="F406">
        <v>1257</v>
      </c>
      <c r="G406" s="60">
        <v>2013</v>
      </c>
      <c r="H406" s="60" t="s">
        <v>66</v>
      </c>
      <c r="I406" s="60" t="str">
        <f t="shared" si="20"/>
        <v>2013 Los Angeles Dodgers</v>
      </c>
      <c r="J406" s="60">
        <v>5449</v>
      </c>
      <c r="K406" s="60">
        <f t="shared" si="18"/>
        <v>912</v>
      </c>
      <c r="L406" s="60">
        <v>219</v>
      </c>
      <c r="M406" s="60">
        <v>31</v>
      </c>
      <c r="N406" s="60">
        <v>95</v>
      </c>
      <c r="O406" s="60">
        <v>432</v>
      </c>
      <c r="P406" s="60">
        <v>56</v>
      </c>
      <c r="Q406" s="60">
        <f t="shared" si="19"/>
        <v>3704</v>
      </c>
      <c r="R406">
        <v>485</v>
      </c>
      <c r="S406">
        <v>31</v>
      </c>
      <c r="T406">
        <v>1232</v>
      </c>
      <c r="U406">
        <v>57</v>
      </c>
      <c r="V406">
        <v>26</v>
      </c>
      <c r="W406">
        <v>1</v>
      </c>
      <c r="X406">
        <v>55</v>
      </c>
      <c r="Y406">
        <v>131</v>
      </c>
      <c r="Z406">
        <v>78</v>
      </c>
      <c r="AA406">
        <v>29</v>
      </c>
      <c r="AB406">
        <v>0.23100000000000001</v>
      </c>
      <c r="AC406">
        <v>0.29299999999999998</v>
      </c>
      <c r="AD406">
        <v>0.33500000000000002</v>
      </c>
    </row>
    <row r="407" spans="1:30" x14ac:dyDescent="0.5">
      <c r="A407" s="35">
        <v>2013</v>
      </c>
      <c r="B407" t="s">
        <v>69</v>
      </c>
      <c r="C407" t="s">
        <v>38</v>
      </c>
      <c r="D407">
        <v>162</v>
      </c>
      <c r="E407">
        <v>640</v>
      </c>
      <c r="F407">
        <v>1381</v>
      </c>
      <c r="G407" s="60">
        <v>2013</v>
      </c>
      <c r="H407" s="60" t="s">
        <v>68</v>
      </c>
      <c r="I407" s="60" t="str">
        <f t="shared" si="20"/>
        <v>2013 Milwaukee Brewers</v>
      </c>
      <c r="J407" s="60">
        <v>5474</v>
      </c>
      <c r="K407" s="60">
        <f t="shared" si="18"/>
        <v>943</v>
      </c>
      <c r="L407" s="60">
        <v>238</v>
      </c>
      <c r="M407" s="60">
        <v>43</v>
      </c>
      <c r="N407" s="60">
        <v>157</v>
      </c>
      <c r="O407" s="60">
        <v>407</v>
      </c>
      <c r="P407" s="60">
        <v>71</v>
      </c>
      <c r="Q407" s="60">
        <f t="shared" si="19"/>
        <v>3615</v>
      </c>
      <c r="R407">
        <v>610</v>
      </c>
      <c r="S407">
        <v>22</v>
      </c>
      <c r="T407">
        <v>1183</v>
      </c>
      <c r="U407">
        <v>77</v>
      </c>
      <c r="V407">
        <v>35</v>
      </c>
      <c r="W407">
        <v>0</v>
      </c>
      <c r="X407">
        <v>70</v>
      </c>
      <c r="Y407">
        <v>116</v>
      </c>
      <c r="Z407">
        <v>142</v>
      </c>
      <c r="AA407">
        <v>50</v>
      </c>
      <c r="AB407">
        <v>0.252</v>
      </c>
      <c r="AC407">
        <v>0.311</v>
      </c>
      <c r="AD407">
        <v>0.39800000000000002</v>
      </c>
    </row>
    <row r="408" spans="1:30" x14ac:dyDescent="0.5">
      <c r="A408" s="35">
        <v>2013</v>
      </c>
      <c r="B408" t="s">
        <v>71</v>
      </c>
      <c r="C408" t="s">
        <v>149</v>
      </c>
      <c r="D408">
        <v>162</v>
      </c>
      <c r="E408">
        <v>614</v>
      </c>
      <c r="F408">
        <v>1346</v>
      </c>
      <c r="G408" s="60">
        <v>2013</v>
      </c>
      <c r="H408" s="60" t="s">
        <v>70</v>
      </c>
      <c r="I408" s="60" t="str">
        <f t="shared" si="20"/>
        <v>2013 Minnesota Twins</v>
      </c>
      <c r="J408" s="60">
        <v>5564</v>
      </c>
      <c r="K408" s="60">
        <f t="shared" si="18"/>
        <v>895</v>
      </c>
      <c r="L408" s="60">
        <v>285</v>
      </c>
      <c r="M408" s="60">
        <v>15</v>
      </c>
      <c r="N408" s="60">
        <v>151</v>
      </c>
      <c r="O408" s="60">
        <v>533</v>
      </c>
      <c r="P408" s="60">
        <v>52</v>
      </c>
      <c r="Q408" s="60">
        <f t="shared" si="19"/>
        <v>3633</v>
      </c>
      <c r="R408">
        <v>590</v>
      </c>
      <c r="S408">
        <v>20</v>
      </c>
      <c r="T408">
        <v>1430</v>
      </c>
      <c r="U408">
        <v>29</v>
      </c>
      <c r="V408">
        <v>32</v>
      </c>
      <c r="W408">
        <v>2</v>
      </c>
      <c r="X408">
        <v>66</v>
      </c>
      <c r="Y408">
        <v>103</v>
      </c>
      <c r="Z408">
        <v>52</v>
      </c>
      <c r="AA408">
        <v>33</v>
      </c>
      <c r="AB408">
        <v>0.24199999999999999</v>
      </c>
      <c r="AC408">
        <v>0.312</v>
      </c>
      <c r="AD408">
        <v>0.38</v>
      </c>
    </row>
    <row r="409" spans="1:30" x14ac:dyDescent="0.5">
      <c r="A409" s="35">
        <v>2013</v>
      </c>
      <c r="B409" t="s">
        <v>144</v>
      </c>
      <c r="C409" t="s">
        <v>38</v>
      </c>
      <c r="D409">
        <v>162</v>
      </c>
      <c r="E409">
        <v>619</v>
      </c>
      <c r="F409">
        <v>1318</v>
      </c>
      <c r="G409" s="60">
        <v>2013</v>
      </c>
      <c r="H409" s="60" t="s">
        <v>76</v>
      </c>
      <c r="I409" s="60" t="str">
        <f t="shared" si="20"/>
        <v>2013 New York Mets</v>
      </c>
      <c r="J409" s="60">
        <v>5559</v>
      </c>
      <c r="K409" s="60">
        <f t="shared" si="18"/>
        <v>893</v>
      </c>
      <c r="L409" s="60">
        <v>263</v>
      </c>
      <c r="M409" s="60">
        <v>32</v>
      </c>
      <c r="N409" s="60">
        <v>130</v>
      </c>
      <c r="O409" s="60">
        <v>512</v>
      </c>
      <c r="P409" s="60">
        <v>51</v>
      </c>
      <c r="Q409" s="60">
        <f t="shared" si="19"/>
        <v>3678</v>
      </c>
      <c r="R409">
        <v>593</v>
      </c>
      <c r="S409">
        <v>40</v>
      </c>
      <c r="T409">
        <v>1384</v>
      </c>
      <c r="U409">
        <v>53</v>
      </c>
      <c r="V409">
        <v>32</v>
      </c>
      <c r="W409">
        <v>0</v>
      </c>
      <c r="X409">
        <v>56</v>
      </c>
      <c r="Y409">
        <v>106</v>
      </c>
      <c r="Z409">
        <v>114</v>
      </c>
      <c r="AA409">
        <v>35</v>
      </c>
      <c r="AB409">
        <v>0.23699999999999999</v>
      </c>
      <c r="AC409">
        <v>0.30599999999999999</v>
      </c>
      <c r="AD409">
        <v>0.36599999999999999</v>
      </c>
    </row>
    <row r="410" spans="1:30" x14ac:dyDescent="0.5">
      <c r="A410" s="35">
        <v>2013</v>
      </c>
      <c r="B410" t="s">
        <v>144</v>
      </c>
      <c r="C410" t="s">
        <v>149</v>
      </c>
      <c r="D410">
        <v>162</v>
      </c>
      <c r="E410">
        <v>650</v>
      </c>
      <c r="F410">
        <v>1321</v>
      </c>
      <c r="G410" s="60">
        <v>2013</v>
      </c>
      <c r="H410" s="60" t="s">
        <v>74</v>
      </c>
      <c r="I410" s="60" t="str">
        <f t="shared" si="20"/>
        <v>2013 New York Yankees</v>
      </c>
      <c r="J410" s="60">
        <v>5449</v>
      </c>
      <c r="K410" s="60">
        <f t="shared" si="18"/>
        <v>906</v>
      </c>
      <c r="L410" s="60">
        <v>247</v>
      </c>
      <c r="M410" s="60">
        <v>24</v>
      </c>
      <c r="N410" s="60">
        <v>144</v>
      </c>
      <c r="O410" s="60">
        <v>466</v>
      </c>
      <c r="P410" s="60">
        <v>57</v>
      </c>
      <c r="Q410" s="60">
        <f t="shared" si="19"/>
        <v>3605</v>
      </c>
      <c r="R410">
        <v>614</v>
      </c>
      <c r="S410">
        <v>33</v>
      </c>
      <c r="T410">
        <v>1214</v>
      </c>
      <c r="U410">
        <v>36</v>
      </c>
      <c r="V410">
        <v>36</v>
      </c>
      <c r="W410">
        <v>1</v>
      </c>
      <c r="X410">
        <v>63</v>
      </c>
      <c r="Y410">
        <v>121</v>
      </c>
      <c r="Z410">
        <v>115</v>
      </c>
      <c r="AA410">
        <v>31</v>
      </c>
      <c r="AB410">
        <v>0.24199999999999999</v>
      </c>
      <c r="AC410">
        <v>0.307</v>
      </c>
      <c r="AD410">
        <v>0.376</v>
      </c>
    </row>
    <row r="411" spans="1:30" x14ac:dyDescent="0.5">
      <c r="A411" s="35">
        <v>2013</v>
      </c>
      <c r="B411" t="s">
        <v>79</v>
      </c>
      <c r="C411" t="s">
        <v>149</v>
      </c>
      <c r="D411">
        <v>162</v>
      </c>
      <c r="E411">
        <v>767</v>
      </c>
      <c r="F411">
        <v>1403</v>
      </c>
      <c r="G411" s="60">
        <v>2013</v>
      </c>
      <c r="H411" s="60" t="s">
        <v>78</v>
      </c>
      <c r="I411" s="60" t="str">
        <f t="shared" si="20"/>
        <v>2013 Oakland Athletics</v>
      </c>
      <c r="J411" s="60">
        <v>5521</v>
      </c>
      <c r="K411" s="60">
        <f t="shared" si="18"/>
        <v>891</v>
      </c>
      <c r="L411" s="60">
        <v>301</v>
      </c>
      <c r="M411" s="60">
        <v>25</v>
      </c>
      <c r="N411" s="60">
        <v>186</v>
      </c>
      <c r="O411" s="60">
        <v>573</v>
      </c>
      <c r="P411" s="60">
        <v>45</v>
      </c>
      <c r="Q411" s="60">
        <f t="shared" si="19"/>
        <v>3500</v>
      </c>
      <c r="R411">
        <v>725</v>
      </c>
      <c r="S411">
        <v>29</v>
      </c>
      <c r="T411">
        <v>1178</v>
      </c>
      <c r="U411">
        <v>21</v>
      </c>
      <c r="V411">
        <v>49</v>
      </c>
      <c r="W411">
        <v>0</v>
      </c>
      <c r="X411">
        <v>48</v>
      </c>
      <c r="Y411">
        <v>108</v>
      </c>
      <c r="Z411">
        <v>74</v>
      </c>
      <c r="AA411">
        <v>28</v>
      </c>
      <c r="AB411">
        <v>0.254</v>
      </c>
      <c r="AC411">
        <v>0.32700000000000001</v>
      </c>
      <c r="AD411">
        <v>0.41899999999999998</v>
      </c>
    </row>
    <row r="412" spans="1:30" x14ac:dyDescent="0.5">
      <c r="A412" s="35">
        <v>2013</v>
      </c>
      <c r="B412" t="s">
        <v>81</v>
      </c>
      <c r="C412" t="s">
        <v>38</v>
      </c>
      <c r="D412">
        <v>162</v>
      </c>
      <c r="E412">
        <v>610</v>
      </c>
      <c r="F412">
        <v>1355</v>
      </c>
      <c r="G412" s="60">
        <v>2013</v>
      </c>
      <c r="H412" s="60" t="s">
        <v>80</v>
      </c>
      <c r="I412" s="60" t="str">
        <f t="shared" si="20"/>
        <v>2013 Philadelphia Phillies</v>
      </c>
      <c r="J412" s="60">
        <v>5456</v>
      </c>
      <c r="K412" s="60">
        <f t="shared" si="18"/>
        <v>928</v>
      </c>
      <c r="L412" s="60">
        <v>255</v>
      </c>
      <c r="M412" s="60">
        <v>32</v>
      </c>
      <c r="N412" s="60">
        <v>140</v>
      </c>
      <c r="O412" s="60">
        <v>417</v>
      </c>
      <c r="P412" s="60">
        <v>53</v>
      </c>
      <c r="Q412" s="60">
        <f t="shared" si="19"/>
        <v>3631</v>
      </c>
      <c r="R412">
        <v>578</v>
      </c>
      <c r="S412">
        <v>41</v>
      </c>
      <c r="T412">
        <v>1205</v>
      </c>
      <c r="U412">
        <v>57</v>
      </c>
      <c r="V412">
        <v>31</v>
      </c>
      <c r="W412">
        <v>0</v>
      </c>
      <c r="X412">
        <v>67</v>
      </c>
      <c r="Y412">
        <v>131</v>
      </c>
      <c r="Z412">
        <v>73</v>
      </c>
      <c r="AA412">
        <v>29</v>
      </c>
      <c r="AB412">
        <v>0.248</v>
      </c>
      <c r="AC412">
        <v>0.30599999999999999</v>
      </c>
      <c r="AD412">
        <v>0.38400000000000001</v>
      </c>
    </row>
    <row r="413" spans="1:30" x14ac:dyDescent="0.5">
      <c r="A413" s="35">
        <v>2013</v>
      </c>
      <c r="B413" t="s">
        <v>83</v>
      </c>
      <c r="C413" t="s">
        <v>38</v>
      </c>
      <c r="D413">
        <v>162</v>
      </c>
      <c r="E413">
        <v>634</v>
      </c>
      <c r="F413">
        <v>1346</v>
      </c>
      <c r="G413" s="60">
        <v>2013</v>
      </c>
      <c r="H413" s="60" t="s">
        <v>82</v>
      </c>
      <c r="I413" s="60" t="str">
        <f t="shared" si="20"/>
        <v>2013 Pittsburgh Pirates</v>
      </c>
      <c r="J413" s="60">
        <v>5486</v>
      </c>
      <c r="K413" s="60">
        <f t="shared" si="18"/>
        <v>877</v>
      </c>
      <c r="L413" s="60">
        <v>273</v>
      </c>
      <c r="M413" s="60">
        <v>35</v>
      </c>
      <c r="N413" s="60">
        <v>161</v>
      </c>
      <c r="O413" s="60">
        <v>469</v>
      </c>
      <c r="P413" s="60">
        <v>88</v>
      </c>
      <c r="Q413" s="60">
        <f t="shared" si="19"/>
        <v>3583</v>
      </c>
      <c r="R413">
        <v>603</v>
      </c>
      <c r="S413">
        <v>41</v>
      </c>
      <c r="T413">
        <v>1330</v>
      </c>
      <c r="U413">
        <v>62</v>
      </c>
      <c r="V413">
        <v>29</v>
      </c>
      <c r="W413">
        <v>1</v>
      </c>
      <c r="X413">
        <v>63</v>
      </c>
      <c r="Y413">
        <v>120</v>
      </c>
      <c r="Z413">
        <v>94</v>
      </c>
      <c r="AA413">
        <v>42</v>
      </c>
      <c r="AB413">
        <v>0.245</v>
      </c>
      <c r="AC413">
        <v>0.313</v>
      </c>
      <c r="AD413">
        <v>0.39600000000000002</v>
      </c>
    </row>
    <row r="414" spans="1:30" x14ac:dyDescent="0.5">
      <c r="A414" s="35">
        <v>2013</v>
      </c>
      <c r="B414" t="s">
        <v>147</v>
      </c>
      <c r="C414" t="s">
        <v>38</v>
      </c>
      <c r="D414">
        <v>162</v>
      </c>
      <c r="E414">
        <v>618</v>
      </c>
      <c r="F414">
        <v>1349</v>
      </c>
      <c r="G414" s="60">
        <v>2013</v>
      </c>
      <c r="H414" s="60" t="s">
        <v>84</v>
      </c>
      <c r="I414" s="60" t="str">
        <f t="shared" si="20"/>
        <v>2013 San Diego Padres</v>
      </c>
      <c r="J414" s="60">
        <v>5517</v>
      </c>
      <c r="K414" s="60">
        <f t="shared" si="18"/>
        <v>931</v>
      </c>
      <c r="L414" s="60">
        <v>246</v>
      </c>
      <c r="M414" s="60">
        <v>26</v>
      </c>
      <c r="N414" s="60">
        <v>146</v>
      </c>
      <c r="O414" s="60">
        <v>467</v>
      </c>
      <c r="P414" s="60">
        <v>52</v>
      </c>
      <c r="Q414" s="60">
        <f t="shared" si="19"/>
        <v>3649</v>
      </c>
      <c r="R414">
        <v>578</v>
      </c>
      <c r="S414">
        <v>36</v>
      </c>
      <c r="T414">
        <v>1309</v>
      </c>
      <c r="U414">
        <v>52</v>
      </c>
      <c r="V414">
        <v>34</v>
      </c>
      <c r="W414">
        <v>0</v>
      </c>
      <c r="X414">
        <v>54</v>
      </c>
      <c r="Y414">
        <v>99</v>
      </c>
      <c r="Z414">
        <v>118</v>
      </c>
      <c r="AA414">
        <v>34</v>
      </c>
      <c r="AB414">
        <v>0.245</v>
      </c>
      <c r="AC414">
        <v>0.308</v>
      </c>
      <c r="AD414">
        <v>0.378</v>
      </c>
    </row>
    <row r="415" spans="1:30" x14ac:dyDescent="0.5">
      <c r="A415" s="35">
        <v>2013</v>
      </c>
      <c r="B415" t="s">
        <v>87</v>
      </c>
      <c r="C415" t="s">
        <v>149</v>
      </c>
      <c r="D415">
        <v>162</v>
      </c>
      <c r="E415">
        <v>624</v>
      </c>
      <c r="F415">
        <v>1318</v>
      </c>
      <c r="G415" s="60">
        <v>2013</v>
      </c>
      <c r="H415" s="60" t="s">
        <v>86</v>
      </c>
      <c r="I415" s="60" t="str">
        <f t="shared" si="20"/>
        <v>2013 Seattle Mariners</v>
      </c>
      <c r="J415" s="60">
        <v>5558</v>
      </c>
      <c r="K415" s="60">
        <f t="shared" si="18"/>
        <v>864</v>
      </c>
      <c r="L415" s="60">
        <v>249</v>
      </c>
      <c r="M415" s="60">
        <v>17</v>
      </c>
      <c r="N415" s="60">
        <v>188</v>
      </c>
      <c r="O415" s="60">
        <v>529</v>
      </c>
      <c r="P415" s="60">
        <v>31</v>
      </c>
      <c r="Q415" s="60">
        <f t="shared" si="19"/>
        <v>3680</v>
      </c>
      <c r="R415">
        <v>597</v>
      </c>
      <c r="S415">
        <v>21</v>
      </c>
      <c r="T415">
        <v>1353</v>
      </c>
      <c r="U415">
        <v>26</v>
      </c>
      <c r="V415">
        <v>28</v>
      </c>
      <c r="W415">
        <v>0</v>
      </c>
      <c r="X415">
        <v>60</v>
      </c>
      <c r="Y415">
        <v>122</v>
      </c>
      <c r="Z415">
        <v>49</v>
      </c>
      <c r="AA415">
        <v>23</v>
      </c>
      <c r="AB415">
        <v>0.23699999999999999</v>
      </c>
      <c r="AC415">
        <v>0.30599999999999999</v>
      </c>
      <c r="AD415">
        <v>0.39</v>
      </c>
    </row>
    <row r="416" spans="1:30" x14ac:dyDescent="0.5">
      <c r="A416" s="35">
        <v>2013</v>
      </c>
      <c r="B416" t="s">
        <v>21</v>
      </c>
      <c r="C416" t="s">
        <v>38</v>
      </c>
      <c r="D416">
        <v>162</v>
      </c>
      <c r="E416">
        <v>629</v>
      </c>
      <c r="F416">
        <v>1446</v>
      </c>
      <c r="G416" s="60">
        <v>2013</v>
      </c>
      <c r="H416" s="60" t="s">
        <v>88</v>
      </c>
      <c r="I416" s="60" t="str">
        <f t="shared" si="20"/>
        <v>2013 San Francisco Giants</v>
      </c>
      <c r="J416" s="60">
        <v>5552</v>
      </c>
      <c r="K416" s="60">
        <f t="shared" si="18"/>
        <v>1024</v>
      </c>
      <c r="L416" s="60">
        <v>280</v>
      </c>
      <c r="M416" s="60">
        <v>35</v>
      </c>
      <c r="N416" s="60">
        <v>107</v>
      </c>
      <c r="O416" s="60">
        <v>469</v>
      </c>
      <c r="P416" s="60">
        <v>39</v>
      </c>
      <c r="Q416" s="60">
        <f t="shared" si="19"/>
        <v>3598</v>
      </c>
      <c r="R416">
        <v>596</v>
      </c>
      <c r="S416">
        <v>40</v>
      </c>
      <c r="T416">
        <v>1078</v>
      </c>
      <c r="U416">
        <v>66</v>
      </c>
      <c r="V416">
        <v>42</v>
      </c>
      <c r="W416">
        <v>0</v>
      </c>
      <c r="X416">
        <v>60</v>
      </c>
      <c r="Y416">
        <v>131</v>
      </c>
      <c r="Z416">
        <v>67</v>
      </c>
      <c r="AA416">
        <v>26</v>
      </c>
      <c r="AB416">
        <v>0.26</v>
      </c>
      <c r="AC416">
        <v>0.32</v>
      </c>
      <c r="AD416">
        <v>0.38100000000000001</v>
      </c>
    </row>
    <row r="417" spans="1:30" x14ac:dyDescent="0.5">
      <c r="A417" s="35">
        <v>2013</v>
      </c>
      <c r="B417" t="s">
        <v>142</v>
      </c>
      <c r="C417" t="s">
        <v>38</v>
      </c>
      <c r="D417">
        <v>162</v>
      </c>
      <c r="E417">
        <v>783</v>
      </c>
      <c r="F417">
        <v>1494</v>
      </c>
      <c r="G417" s="60">
        <v>2013</v>
      </c>
      <c r="H417" s="60" t="s">
        <v>90</v>
      </c>
      <c r="I417" s="60" t="str">
        <f t="shared" si="20"/>
        <v>2013 St. Louis Cardinals</v>
      </c>
      <c r="J417" s="60">
        <v>5557</v>
      </c>
      <c r="K417" s="60">
        <f t="shared" si="18"/>
        <v>1027</v>
      </c>
      <c r="L417" s="60">
        <v>322</v>
      </c>
      <c r="M417" s="60">
        <v>20</v>
      </c>
      <c r="N417" s="60">
        <v>125</v>
      </c>
      <c r="O417" s="60">
        <v>481</v>
      </c>
      <c r="P417" s="60">
        <v>64</v>
      </c>
      <c r="Q417" s="60">
        <f t="shared" si="19"/>
        <v>3518</v>
      </c>
      <c r="R417">
        <v>745</v>
      </c>
      <c r="S417">
        <v>38</v>
      </c>
      <c r="T417">
        <v>1110</v>
      </c>
      <c r="U417">
        <v>56</v>
      </c>
      <c r="V417">
        <v>44</v>
      </c>
      <c r="W417">
        <v>0</v>
      </c>
      <c r="X417">
        <v>51</v>
      </c>
      <c r="Y417">
        <v>154</v>
      </c>
      <c r="Z417">
        <v>45</v>
      </c>
      <c r="AA417">
        <v>22</v>
      </c>
      <c r="AB417">
        <v>0.26900000000000002</v>
      </c>
      <c r="AC417">
        <v>0.33200000000000002</v>
      </c>
      <c r="AD417">
        <v>0.40100000000000002</v>
      </c>
    </row>
    <row r="418" spans="1:30" x14ac:dyDescent="0.5">
      <c r="A418" s="35">
        <v>2013</v>
      </c>
      <c r="B418" t="s">
        <v>151</v>
      </c>
      <c r="C418" t="s">
        <v>149</v>
      </c>
      <c r="D418">
        <v>163</v>
      </c>
      <c r="E418">
        <v>700</v>
      </c>
      <c r="F418">
        <v>1421</v>
      </c>
      <c r="G418" s="60">
        <v>2013</v>
      </c>
      <c r="H418" s="60" t="s">
        <v>92</v>
      </c>
      <c r="I418" s="60" t="str">
        <f t="shared" si="20"/>
        <v>2013 Tampa Bay Devil Rays</v>
      </c>
      <c r="J418" s="60">
        <v>5538</v>
      </c>
      <c r="K418" s="60">
        <f t="shared" si="18"/>
        <v>937</v>
      </c>
      <c r="L418" s="60">
        <v>296</v>
      </c>
      <c r="M418" s="60">
        <v>23</v>
      </c>
      <c r="N418" s="60">
        <v>165</v>
      </c>
      <c r="O418" s="60">
        <v>589</v>
      </c>
      <c r="P418" s="60">
        <v>36</v>
      </c>
      <c r="Q418" s="60">
        <f t="shared" si="19"/>
        <v>3492</v>
      </c>
      <c r="R418">
        <v>670</v>
      </c>
      <c r="S418">
        <v>31</v>
      </c>
      <c r="T418">
        <v>1171</v>
      </c>
      <c r="U418">
        <v>24</v>
      </c>
      <c r="V418">
        <v>55</v>
      </c>
      <c r="W418">
        <v>0</v>
      </c>
      <c r="X418">
        <v>40</v>
      </c>
      <c r="Y418">
        <v>140</v>
      </c>
      <c r="Z418">
        <v>73</v>
      </c>
      <c r="AA418">
        <v>38</v>
      </c>
      <c r="AB418">
        <v>0.25700000000000001</v>
      </c>
      <c r="AC418">
        <v>0.32900000000000001</v>
      </c>
      <c r="AD418">
        <v>0.40799999999999997</v>
      </c>
    </row>
    <row r="419" spans="1:30" x14ac:dyDescent="0.5">
      <c r="A419" s="35">
        <v>2013</v>
      </c>
      <c r="B419" t="s">
        <v>95</v>
      </c>
      <c r="C419" t="s">
        <v>149</v>
      </c>
      <c r="D419">
        <v>163</v>
      </c>
      <c r="E419">
        <v>730</v>
      </c>
      <c r="F419">
        <v>1465</v>
      </c>
      <c r="G419" s="60">
        <v>2013</v>
      </c>
      <c r="H419" s="60" t="s">
        <v>94</v>
      </c>
      <c r="I419" s="60" t="str">
        <f t="shared" si="20"/>
        <v>2013 Texas Rangers</v>
      </c>
      <c r="J419" s="60">
        <v>5585</v>
      </c>
      <c r="K419" s="60">
        <f t="shared" si="18"/>
        <v>1004</v>
      </c>
      <c r="L419" s="60">
        <v>262</v>
      </c>
      <c r="M419" s="60">
        <v>23</v>
      </c>
      <c r="N419" s="60">
        <v>176</v>
      </c>
      <c r="O419" s="60">
        <v>462</v>
      </c>
      <c r="P419" s="60">
        <v>61</v>
      </c>
      <c r="Q419" s="60">
        <f t="shared" si="19"/>
        <v>3597</v>
      </c>
      <c r="R419">
        <v>691</v>
      </c>
      <c r="S419">
        <v>26</v>
      </c>
      <c r="T419">
        <v>1067</v>
      </c>
      <c r="U419">
        <v>45</v>
      </c>
      <c r="V419">
        <v>42</v>
      </c>
      <c r="W419">
        <v>1</v>
      </c>
      <c r="X419">
        <v>77</v>
      </c>
      <c r="Y419">
        <v>124</v>
      </c>
      <c r="Z419">
        <v>149</v>
      </c>
      <c r="AA419">
        <v>46</v>
      </c>
      <c r="AB419">
        <v>0.26200000000000001</v>
      </c>
      <c r="AC419">
        <v>0.32300000000000001</v>
      </c>
      <c r="AD419">
        <v>0.41199999999999998</v>
      </c>
    </row>
    <row r="420" spans="1:30" x14ac:dyDescent="0.5">
      <c r="A420" s="35">
        <v>2013</v>
      </c>
      <c r="B420" t="s">
        <v>97</v>
      </c>
      <c r="C420" t="s">
        <v>149</v>
      </c>
      <c r="D420">
        <v>162</v>
      </c>
      <c r="E420">
        <v>712</v>
      </c>
      <c r="F420">
        <v>1398</v>
      </c>
      <c r="G420" s="60">
        <v>2013</v>
      </c>
      <c r="H420" s="60" t="s">
        <v>96</v>
      </c>
      <c r="I420" s="60" t="str">
        <f t="shared" si="20"/>
        <v>2013 Toronto Blue Jays</v>
      </c>
      <c r="J420" s="60">
        <v>5537</v>
      </c>
      <c r="K420" s="60">
        <f t="shared" si="18"/>
        <v>916</v>
      </c>
      <c r="L420" s="60">
        <v>273</v>
      </c>
      <c r="M420" s="60">
        <v>24</v>
      </c>
      <c r="N420" s="60">
        <v>185</v>
      </c>
      <c r="O420" s="60">
        <v>510</v>
      </c>
      <c r="P420" s="60">
        <v>38</v>
      </c>
      <c r="Q420" s="60">
        <f t="shared" si="19"/>
        <v>3591</v>
      </c>
      <c r="R420">
        <v>669</v>
      </c>
      <c r="S420">
        <v>19</v>
      </c>
      <c r="T420">
        <v>1123</v>
      </c>
      <c r="U420">
        <v>29</v>
      </c>
      <c r="V420">
        <v>38</v>
      </c>
      <c r="W420">
        <v>0</v>
      </c>
      <c r="X420">
        <v>60</v>
      </c>
      <c r="Y420">
        <v>133</v>
      </c>
      <c r="Z420">
        <v>112</v>
      </c>
      <c r="AA420">
        <v>41</v>
      </c>
      <c r="AB420">
        <v>0.252</v>
      </c>
      <c r="AC420">
        <v>0.318</v>
      </c>
      <c r="AD420">
        <v>0.41099999999999998</v>
      </c>
    </row>
    <row r="421" spans="1:30" x14ac:dyDescent="0.5">
      <c r="A421" s="35">
        <v>2013</v>
      </c>
      <c r="B421" t="s">
        <v>101</v>
      </c>
      <c r="C421" t="s">
        <v>38</v>
      </c>
      <c r="D421">
        <v>162</v>
      </c>
      <c r="E421">
        <v>656</v>
      </c>
      <c r="F421">
        <v>1365</v>
      </c>
      <c r="G421" s="60">
        <v>2013</v>
      </c>
      <c r="H421" s="60" t="s">
        <v>100</v>
      </c>
      <c r="I421" s="60" t="str">
        <f t="shared" si="20"/>
        <v>2013 Washington Nationals</v>
      </c>
      <c r="J421" s="60">
        <v>5436</v>
      </c>
      <c r="K421" s="60">
        <f t="shared" si="18"/>
        <v>918</v>
      </c>
      <c r="L421" s="60">
        <v>259</v>
      </c>
      <c r="M421" s="60">
        <v>27</v>
      </c>
      <c r="N421" s="60">
        <v>161</v>
      </c>
      <c r="O421" s="60">
        <v>464</v>
      </c>
      <c r="P421" s="60">
        <v>40</v>
      </c>
      <c r="Q421" s="60">
        <f t="shared" si="19"/>
        <v>3567</v>
      </c>
      <c r="R421">
        <v>621</v>
      </c>
      <c r="S421">
        <v>35</v>
      </c>
      <c r="T421">
        <v>1192</v>
      </c>
      <c r="U421">
        <v>68</v>
      </c>
      <c r="V421">
        <v>39</v>
      </c>
      <c r="W421">
        <v>0</v>
      </c>
      <c r="X421">
        <v>54</v>
      </c>
      <c r="Y421">
        <v>115</v>
      </c>
      <c r="Z421">
        <v>88</v>
      </c>
      <c r="AA421">
        <v>28</v>
      </c>
      <c r="AB421">
        <v>0.251</v>
      </c>
      <c r="AC421">
        <v>0.313</v>
      </c>
      <c r="AD421">
        <v>0.39800000000000002</v>
      </c>
    </row>
    <row r="422" spans="1:30" x14ac:dyDescent="0.5">
      <c r="A422" s="35">
        <v>2014</v>
      </c>
      <c r="B422" t="s">
        <v>37</v>
      </c>
      <c r="C422" t="s">
        <v>149</v>
      </c>
      <c r="D422">
        <v>162</v>
      </c>
      <c r="E422">
        <v>773</v>
      </c>
      <c r="F422">
        <v>1464</v>
      </c>
      <c r="G422" s="60">
        <v>2014</v>
      </c>
      <c r="H422" s="60" t="s">
        <v>36</v>
      </c>
      <c r="I422" s="60" t="str">
        <f t="shared" si="20"/>
        <v>2014 Anaheim Angels</v>
      </c>
      <c r="J422" s="60">
        <v>5652</v>
      </c>
      <c r="K422" s="60">
        <f t="shared" si="18"/>
        <v>974</v>
      </c>
      <c r="L422" s="60">
        <v>304</v>
      </c>
      <c r="M422" s="60">
        <v>31</v>
      </c>
      <c r="N422" s="60">
        <v>155</v>
      </c>
      <c r="O422" s="60">
        <v>492</v>
      </c>
      <c r="P422" s="60">
        <v>60</v>
      </c>
      <c r="Q422" s="60">
        <f t="shared" si="19"/>
        <v>3636</v>
      </c>
      <c r="R422">
        <v>729</v>
      </c>
      <c r="S422">
        <v>42</v>
      </c>
      <c r="T422">
        <v>1266</v>
      </c>
      <c r="U422">
        <v>26</v>
      </c>
      <c r="V422">
        <v>54</v>
      </c>
      <c r="W422">
        <v>1</v>
      </c>
      <c r="X422">
        <v>86</v>
      </c>
      <c r="Y422">
        <v>112</v>
      </c>
      <c r="Z422">
        <v>81</v>
      </c>
      <c r="AA422">
        <v>39</v>
      </c>
      <c r="AB422">
        <v>0.25900000000000001</v>
      </c>
      <c r="AC422">
        <v>0.32200000000000001</v>
      </c>
      <c r="AD422">
        <v>0.40600000000000003</v>
      </c>
    </row>
    <row r="423" spans="1:30" x14ac:dyDescent="0.5">
      <c r="A423" s="35">
        <v>2014</v>
      </c>
      <c r="B423" t="s">
        <v>40</v>
      </c>
      <c r="C423" t="s">
        <v>38</v>
      </c>
      <c r="D423">
        <v>162</v>
      </c>
      <c r="E423">
        <v>615</v>
      </c>
      <c r="F423">
        <v>1379</v>
      </c>
      <c r="G423" s="60">
        <v>2014</v>
      </c>
      <c r="H423" s="60" t="s">
        <v>39</v>
      </c>
      <c r="I423" s="60" t="str">
        <f t="shared" si="20"/>
        <v>2014 Arizona Diamondbacks</v>
      </c>
      <c r="J423" s="60">
        <v>5552</v>
      </c>
      <c r="K423" s="60">
        <f t="shared" si="18"/>
        <v>955</v>
      </c>
      <c r="L423" s="60">
        <v>259</v>
      </c>
      <c r="M423" s="60">
        <v>47</v>
      </c>
      <c r="N423" s="60">
        <v>118</v>
      </c>
      <c r="O423" s="60">
        <v>398</v>
      </c>
      <c r="P423" s="60">
        <v>43</v>
      </c>
      <c r="Q423" s="60">
        <f t="shared" si="19"/>
        <v>3732</v>
      </c>
      <c r="R423">
        <v>573</v>
      </c>
      <c r="S423">
        <v>31</v>
      </c>
      <c r="T423">
        <v>1165</v>
      </c>
      <c r="U423">
        <v>56</v>
      </c>
      <c r="V423">
        <v>36</v>
      </c>
      <c r="W423">
        <v>4</v>
      </c>
      <c r="X423">
        <v>73</v>
      </c>
      <c r="Y423">
        <v>115</v>
      </c>
      <c r="Z423">
        <v>86</v>
      </c>
      <c r="AA423">
        <v>33</v>
      </c>
      <c r="AB423">
        <v>0.248</v>
      </c>
      <c r="AC423">
        <v>0.30199999999999999</v>
      </c>
      <c r="AD423">
        <v>0.376</v>
      </c>
    </row>
    <row r="424" spans="1:30" x14ac:dyDescent="0.5">
      <c r="A424" s="35">
        <v>2014</v>
      </c>
      <c r="B424" t="s">
        <v>42</v>
      </c>
      <c r="C424" t="s">
        <v>38</v>
      </c>
      <c r="D424">
        <v>162</v>
      </c>
      <c r="E424">
        <v>573</v>
      </c>
      <c r="F424">
        <v>1316</v>
      </c>
      <c r="G424" s="60">
        <v>2014</v>
      </c>
      <c r="H424" s="60" t="s">
        <v>41</v>
      </c>
      <c r="I424" s="60" t="str">
        <f t="shared" si="20"/>
        <v>2014 Atlanta Braves</v>
      </c>
      <c r="J424" s="60">
        <v>5468</v>
      </c>
      <c r="K424" s="60">
        <f t="shared" si="18"/>
        <v>931</v>
      </c>
      <c r="L424" s="60">
        <v>240</v>
      </c>
      <c r="M424" s="60">
        <v>22</v>
      </c>
      <c r="N424" s="60">
        <v>123</v>
      </c>
      <c r="O424" s="60">
        <v>472</v>
      </c>
      <c r="P424" s="60">
        <v>43</v>
      </c>
      <c r="Q424" s="60">
        <f t="shared" si="19"/>
        <v>3637</v>
      </c>
      <c r="R424">
        <v>545</v>
      </c>
      <c r="S424">
        <v>31</v>
      </c>
      <c r="T424">
        <v>1369</v>
      </c>
      <c r="U424">
        <v>53</v>
      </c>
      <c r="V424">
        <v>27</v>
      </c>
      <c r="W424">
        <v>1</v>
      </c>
      <c r="X424">
        <v>55</v>
      </c>
      <c r="Y424">
        <v>121</v>
      </c>
      <c r="Z424">
        <v>95</v>
      </c>
      <c r="AA424">
        <v>33</v>
      </c>
      <c r="AB424">
        <v>0.24099999999999999</v>
      </c>
      <c r="AC424">
        <v>0.30499999999999999</v>
      </c>
      <c r="AD424">
        <v>0.36</v>
      </c>
    </row>
    <row r="425" spans="1:30" x14ac:dyDescent="0.5">
      <c r="A425" s="35">
        <v>2014</v>
      </c>
      <c r="B425" t="s">
        <v>45</v>
      </c>
      <c r="C425" t="s">
        <v>149</v>
      </c>
      <c r="D425">
        <v>162</v>
      </c>
      <c r="E425">
        <v>705</v>
      </c>
      <c r="F425">
        <v>1434</v>
      </c>
      <c r="G425" s="60">
        <v>2014</v>
      </c>
      <c r="H425" s="60" t="s">
        <v>44</v>
      </c>
      <c r="I425" s="60" t="str">
        <f t="shared" si="20"/>
        <v>2014 Baltimore Orioles</v>
      </c>
      <c r="J425" s="60">
        <v>5596</v>
      </c>
      <c r="K425" s="60">
        <f t="shared" si="18"/>
        <v>943</v>
      </c>
      <c r="L425" s="60">
        <v>264</v>
      </c>
      <c r="M425" s="60">
        <v>16</v>
      </c>
      <c r="N425" s="60">
        <v>211</v>
      </c>
      <c r="O425" s="60">
        <v>401</v>
      </c>
      <c r="P425" s="60">
        <v>62</v>
      </c>
      <c r="Q425" s="60">
        <f t="shared" si="19"/>
        <v>3699</v>
      </c>
      <c r="R425">
        <v>681</v>
      </c>
      <c r="S425">
        <v>29</v>
      </c>
      <c r="T425">
        <v>1285</v>
      </c>
      <c r="U425">
        <v>35</v>
      </c>
      <c r="V425">
        <v>36</v>
      </c>
      <c r="W425">
        <v>0</v>
      </c>
      <c r="X425">
        <v>66</v>
      </c>
      <c r="Y425">
        <v>112</v>
      </c>
      <c r="Z425">
        <v>44</v>
      </c>
      <c r="AA425">
        <v>20</v>
      </c>
      <c r="AB425">
        <v>0.25600000000000001</v>
      </c>
      <c r="AC425">
        <v>0.311</v>
      </c>
      <c r="AD425">
        <v>0.42199999999999999</v>
      </c>
    </row>
    <row r="426" spans="1:30" x14ac:dyDescent="0.5">
      <c r="A426" s="35">
        <v>2014</v>
      </c>
      <c r="B426" t="s">
        <v>47</v>
      </c>
      <c r="C426" t="s">
        <v>149</v>
      </c>
      <c r="D426">
        <v>162</v>
      </c>
      <c r="E426">
        <v>634</v>
      </c>
      <c r="F426">
        <v>1355</v>
      </c>
      <c r="G426" s="60">
        <v>2014</v>
      </c>
      <c r="H426" s="60" t="s">
        <v>46</v>
      </c>
      <c r="I426" s="60" t="str">
        <f t="shared" si="20"/>
        <v>2014 Boston Red Sox</v>
      </c>
      <c r="J426" s="60">
        <v>5551</v>
      </c>
      <c r="K426" s="60">
        <f t="shared" si="18"/>
        <v>930</v>
      </c>
      <c r="L426" s="60">
        <v>282</v>
      </c>
      <c r="M426" s="60">
        <v>20</v>
      </c>
      <c r="N426" s="60">
        <v>123</v>
      </c>
      <c r="O426" s="60">
        <v>535</v>
      </c>
      <c r="P426" s="60">
        <v>68</v>
      </c>
      <c r="Q426" s="60">
        <f t="shared" si="19"/>
        <v>3593</v>
      </c>
      <c r="R426">
        <v>601</v>
      </c>
      <c r="S426">
        <v>36</v>
      </c>
      <c r="T426">
        <v>1337</v>
      </c>
      <c r="U426">
        <v>20</v>
      </c>
      <c r="V426">
        <v>52</v>
      </c>
      <c r="W426">
        <v>0</v>
      </c>
      <c r="X426">
        <v>61</v>
      </c>
      <c r="Y426">
        <v>138</v>
      </c>
      <c r="Z426">
        <v>63</v>
      </c>
      <c r="AA426">
        <v>25</v>
      </c>
      <c r="AB426">
        <v>0.24399999999999999</v>
      </c>
      <c r="AC426">
        <v>0.316</v>
      </c>
      <c r="AD426">
        <v>0.36899999999999999</v>
      </c>
    </row>
    <row r="427" spans="1:30" x14ac:dyDescent="0.5">
      <c r="A427" s="35">
        <v>2014</v>
      </c>
      <c r="B427" t="s">
        <v>143</v>
      </c>
      <c r="C427" t="s">
        <v>38</v>
      </c>
      <c r="D427">
        <v>162</v>
      </c>
      <c r="E427">
        <v>614</v>
      </c>
      <c r="F427">
        <v>1315</v>
      </c>
      <c r="G427" s="60">
        <v>2014</v>
      </c>
      <c r="H427" s="60" t="s">
        <v>50</v>
      </c>
      <c r="I427" s="60" t="str">
        <f t="shared" si="20"/>
        <v>2014 Chicago Cubs</v>
      </c>
      <c r="J427" s="60">
        <v>5508</v>
      </c>
      <c r="K427" s="60">
        <f t="shared" si="18"/>
        <v>857</v>
      </c>
      <c r="L427" s="60">
        <v>270</v>
      </c>
      <c r="M427" s="60">
        <v>31</v>
      </c>
      <c r="N427" s="60">
        <v>157</v>
      </c>
      <c r="O427" s="60">
        <v>442</v>
      </c>
      <c r="P427" s="60">
        <v>54</v>
      </c>
      <c r="Q427" s="60">
        <f t="shared" si="19"/>
        <v>3697</v>
      </c>
      <c r="R427">
        <v>590</v>
      </c>
      <c r="S427">
        <v>29</v>
      </c>
      <c r="T427">
        <v>1477</v>
      </c>
      <c r="U427">
        <v>57</v>
      </c>
      <c r="V427">
        <v>41</v>
      </c>
      <c r="W427">
        <v>0</v>
      </c>
      <c r="X427">
        <v>50</v>
      </c>
      <c r="Y427">
        <v>94</v>
      </c>
      <c r="Z427">
        <v>65</v>
      </c>
      <c r="AA427">
        <v>40</v>
      </c>
      <c r="AB427">
        <v>0.23899999999999999</v>
      </c>
      <c r="AC427">
        <v>0.3</v>
      </c>
      <c r="AD427">
        <v>0.38500000000000001</v>
      </c>
    </row>
    <row r="428" spans="1:30" x14ac:dyDescent="0.5">
      <c r="A428" s="35">
        <v>2014</v>
      </c>
      <c r="B428" t="s">
        <v>143</v>
      </c>
      <c r="C428" t="s">
        <v>149</v>
      </c>
      <c r="D428">
        <v>162</v>
      </c>
      <c r="E428">
        <v>660</v>
      </c>
      <c r="F428">
        <v>1400</v>
      </c>
      <c r="G428" s="60">
        <v>2014</v>
      </c>
      <c r="H428" s="60" t="s">
        <v>48</v>
      </c>
      <c r="I428" s="60" t="str">
        <f t="shared" si="20"/>
        <v>2014 Chicago White Sox</v>
      </c>
      <c r="J428" s="60">
        <v>5543</v>
      </c>
      <c r="K428" s="60">
        <f t="shared" si="18"/>
        <v>934</v>
      </c>
      <c r="L428" s="60">
        <v>279</v>
      </c>
      <c r="M428" s="60">
        <v>32</v>
      </c>
      <c r="N428" s="60">
        <v>155</v>
      </c>
      <c r="O428" s="60">
        <v>417</v>
      </c>
      <c r="P428" s="60">
        <v>60</v>
      </c>
      <c r="Q428" s="60">
        <f t="shared" si="19"/>
        <v>3666</v>
      </c>
      <c r="R428">
        <v>625</v>
      </c>
      <c r="S428">
        <v>33</v>
      </c>
      <c r="T428">
        <v>1362</v>
      </c>
      <c r="U428">
        <v>19</v>
      </c>
      <c r="V428">
        <v>38</v>
      </c>
      <c r="W428">
        <v>0</v>
      </c>
      <c r="X428">
        <v>70</v>
      </c>
      <c r="Y428">
        <v>127</v>
      </c>
      <c r="Z428">
        <v>85</v>
      </c>
      <c r="AA428">
        <v>36</v>
      </c>
      <c r="AB428">
        <v>0.253</v>
      </c>
      <c r="AC428">
        <v>0.31</v>
      </c>
      <c r="AD428">
        <v>0.39800000000000002</v>
      </c>
    </row>
    <row r="429" spans="1:30" x14ac:dyDescent="0.5">
      <c r="A429" s="35">
        <v>2014</v>
      </c>
      <c r="B429" t="s">
        <v>53</v>
      </c>
      <c r="C429" t="s">
        <v>38</v>
      </c>
      <c r="D429">
        <v>162</v>
      </c>
      <c r="E429">
        <v>595</v>
      </c>
      <c r="F429">
        <v>1282</v>
      </c>
      <c r="G429" s="60">
        <v>2014</v>
      </c>
      <c r="H429" s="60" t="s">
        <v>52</v>
      </c>
      <c r="I429" s="60" t="str">
        <f t="shared" si="20"/>
        <v>2014 Cincinnati Reds</v>
      </c>
      <c r="J429" s="60">
        <v>5395</v>
      </c>
      <c r="K429" s="60">
        <f t="shared" si="18"/>
        <v>877</v>
      </c>
      <c r="L429" s="60">
        <v>254</v>
      </c>
      <c r="M429" s="60">
        <v>20</v>
      </c>
      <c r="N429" s="60">
        <v>131</v>
      </c>
      <c r="O429" s="60">
        <v>415</v>
      </c>
      <c r="P429" s="60">
        <v>52</v>
      </c>
      <c r="Q429" s="60">
        <f t="shared" si="19"/>
        <v>3646</v>
      </c>
      <c r="R429">
        <v>562</v>
      </c>
      <c r="S429">
        <v>22</v>
      </c>
      <c r="T429">
        <v>1252</v>
      </c>
      <c r="U429">
        <v>76</v>
      </c>
      <c r="V429">
        <v>37</v>
      </c>
      <c r="W429">
        <v>3</v>
      </c>
      <c r="X429">
        <v>72</v>
      </c>
      <c r="Y429">
        <v>88</v>
      </c>
      <c r="Z429">
        <v>122</v>
      </c>
      <c r="AA429">
        <v>52</v>
      </c>
      <c r="AB429">
        <v>0.23799999999999999</v>
      </c>
      <c r="AC429">
        <v>0.29599999999999999</v>
      </c>
      <c r="AD429">
        <v>0.36499999999999999</v>
      </c>
    </row>
    <row r="430" spans="1:30" x14ac:dyDescent="0.5">
      <c r="A430" s="35">
        <v>2014</v>
      </c>
      <c r="B430" t="s">
        <v>55</v>
      </c>
      <c r="C430" t="s">
        <v>149</v>
      </c>
      <c r="D430">
        <v>162</v>
      </c>
      <c r="E430">
        <v>669</v>
      </c>
      <c r="F430">
        <v>1411</v>
      </c>
      <c r="G430" s="60">
        <v>2014</v>
      </c>
      <c r="H430" s="60" t="s">
        <v>54</v>
      </c>
      <c r="I430" s="60" t="str">
        <f t="shared" si="20"/>
        <v>2014 Cleveland Indians</v>
      </c>
      <c r="J430" s="60">
        <v>5575</v>
      </c>
      <c r="K430" s="60">
        <f t="shared" si="18"/>
        <v>962</v>
      </c>
      <c r="L430" s="60">
        <v>284</v>
      </c>
      <c r="M430" s="60">
        <v>23</v>
      </c>
      <c r="N430" s="60">
        <v>142</v>
      </c>
      <c r="O430" s="60">
        <v>504</v>
      </c>
      <c r="P430" s="60">
        <v>42</v>
      </c>
      <c r="Q430" s="60">
        <f t="shared" si="19"/>
        <v>3618</v>
      </c>
      <c r="R430">
        <v>644</v>
      </c>
      <c r="S430">
        <v>24</v>
      </c>
      <c r="T430">
        <v>1189</v>
      </c>
      <c r="U430">
        <v>51</v>
      </c>
      <c r="V430">
        <v>49</v>
      </c>
      <c r="W430">
        <v>1</v>
      </c>
      <c r="X430">
        <v>59</v>
      </c>
      <c r="Y430">
        <v>126</v>
      </c>
      <c r="Z430">
        <v>104</v>
      </c>
      <c r="AA430">
        <v>27</v>
      </c>
      <c r="AB430">
        <v>0.253</v>
      </c>
      <c r="AC430">
        <v>0.317</v>
      </c>
      <c r="AD430">
        <v>0.38900000000000001</v>
      </c>
    </row>
    <row r="431" spans="1:30" x14ac:dyDescent="0.5">
      <c r="A431" s="35">
        <v>2014</v>
      </c>
      <c r="B431" t="s">
        <v>57</v>
      </c>
      <c r="C431" t="s">
        <v>38</v>
      </c>
      <c r="D431">
        <v>162</v>
      </c>
      <c r="E431">
        <v>755</v>
      </c>
      <c r="F431">
        <v>1551</v>
      </c>
      <c r="G431" s="60">
        <v>2014</v>
      </c>
      <c r="H431" s="60" t="s">
        <v>56</v>
      </c>
      <c r="I431" s="60" t="str">
        <f t="shared" si="20"/>
        <v>2014 Colorado Rockies</v>
      </c>
      <c r="J431" s="60">
        <v>5612</v>
      </c>
      <c r="K431" s="60">
        <f t="shared" si="18"/>
        <v>1017</v>
      </c>
      <c r="L431" s="60">
        <v>307</v>
      </c>
      <c r="M431" s="60">
        <v>41</v>
      </c>
      <c r="N431" s="60">
        <v>186</v>
      </c>
      <c r="O431" s="60">
        <v>397</v>
      </c>
      <c r="P431" s="60">
        <v>48</v>
      </c>
      <c r="Q431" s="60">
        <f t="shared" si="19"/>
        <v>3616</v>
      </c>
      <c r="R431">
        <v>721</v>
      </c>
      <c r="S431">
        <v>39</v>
      </c>
      <c r="T431">
        <v>1281</v>
      </c>
      <c r="U431">
        <v>59</v>
      </c>
      <c r="V431">
        <v>48</v>
      </c>
      <c r="W431">
        <v>0</v>
      </c>
      <c r="X431">
        <v>55</v>
      </c>
      <c r="Y431">
        <v>121</v>
      </c>
      <c r="Z431">
        <v>85</v>
      </c>
      <c r="AA431">
        <v>48</v>
      </c>
      <c r="AB431">
        <v>0.27600000000000002</v>
      </c>
      <c r="AC431">
        <v>0.32700000000000001</v>
      </c>
      <c r="AD431">
        <v>0.44500000000000001</v>
      </c>
    </row>
    <row r="432" spans="1:30" x14ac:dyDescent="0.5">
      <c r="A432" s="35">
        <v>2014</v>
      </c>
      <c r="B432" t="s">
        <v>59</v>
      </c>
      <c r="C432" t="s">
        <v>149</v>
      </c>
      <c r="D432">
        <v>162</v>
      </c>
      <c r="E432">
        <v>757</v>
      </c>
      <c r="F432">
        <v>1557</v>
      </c>
      <c r="G432" s="60">
        <v>2014</v>
      </c>
      <c r="H432" s="60" t="s">
        <v>58</v>
      </c>
      <c r="I432" s="60" t="str">
        <f t="shared" si="20"/>
        <v>2014 Detroit Tigers</v>
      </c>
      <c r="J432" s="60">
        <v>5630</v>
      </c>
      <c r="K432" s="60">
        <f t="shared" si="18"/>
        <v>1051</v>
      </c>
      <c r="L432" s="60">
        <v>325</v>
      </c>
      <c r="M432" s="60">
        <v>26</v>
      </c>
      <c r="N432" s="60">
        <v>155</v>
      </c>
      <c r="O432" s="60">
        <v>443</v>
      </c>
      <c r="P432" s="60">
        <v>44</v>
      </c>
      <c r="Q432" s="60">
        <f t="shared" si="19"/>
        <v>3586</v>
      </c>
      <c r="R432">
        <v>731</v>
      </c>
      <c r="S432">
        <v>51</v>
      </c>
      <c r="T432">
        <v>1144</v>
      </c>
      <c r="U432">
        <v>24</v>
      </c>
      <c r="V432">
        <v>61</v>
      </c>
      <c r="W432">
        <v>0</v>
      </c>
      <c r="X432">
        <v>66</v>
      </c>
      <c r="Y432">
        <v>137</v>
      </c>
      <c r="Z432">
        <v>106</v>
      </c>
      <c r="AA432">
        <v>41</v>
      </c>
      <c r="AB432">
        <v>0.27700000000000002</v>
      </c>
      <c r="AC432">
        <v>0.33100000000000002</v>
      </c>
      <c r="AD432">
        <v>0.42599999999999999</v>
      </c>
    </row>
    <row r="433" spans="1:30" x14ac:dyDescent="0.5">
      <c r="A433" s="35">
        <v>2014</v>
      </c>
      <c r="B433" t="s">
        <v>63</v>
      </c>
      <c r="C433" t="s">
        <v>149</v>
      </c>
      <c r="D433">
        <v>162</v>
      </c>
      <c r="E433">
        <v>629</v>
      </c>
      <c r="F433">
        <v>1317</v>
      </c>
      <c r="G433" s="60">
        <v>2014</v>
      </c>
      <c r="H433" s="60" t="s">
        <v>60</v>
      </c>
      <c r="I433" s="60" t="str">
        <f t="shared" si="20"/>
        <v>2014 Florida Marlins</v>
      </c>
      <c r="J433" s="60">
        <v>5447</v>
      </c>
      <c r="K433" s="60">
        <f t="shared" si="18"/>
        <v>895</v>
      </c>
      <c r="L433" s="60">
        <v>240</v>
      </c>
      <c r="M433" s="60">
        <v>19</v>
      </c>
      <c r="N433" s="60">
        <v>163</v>
      </c>
      <c r="O433" s="60">
        <v>495</v>
      </c>
      <c r="P433" s="60">
        <v>55</v>
      </c>
      <c r="Q433" s="60">
        <f t="shared" si="19"/>
        <v>3580</v>
      </c>
      <c r="R433">
        <v>596</v>
      </c>
      <c r="S433">
        <v>27</v>
      </c>
      <c r="T433">
        <v>1442</v>
      </c>
      <c r="U433">
        <v>22</v>
      </c>
      <c r="V433">
        <v>36</v>
      </c>
      <c r="W433">
        <v>0</v>
      </c>
      <c r="X433">
        <v>45</v>
      </c>
      <c r="Y433">
        <v>122</v>
      </c>
      <c r="Z433">
        <v>122</v>
      </c>
      <c r="AA433">
        <v>37</v>
      </c>
      <c r="AB433">
        <v>0.24199999999999999</v>
      </c>
      <c r="AC433">
        <v>0.309</v>
      </c>
      <c r="AD433">
        <v>0.38300000000000001</v>
      </c>
    </row>
    <row r="434" spans="1:30" x14ac:dyDescent="0.5">
      <c r="A434" s="35">
        <v>2014</v>
      </c>
      <c r="B434" t="s">
        <v>150</v>
      </c>
      <c r="C434" t="s">
        <v>149</v>
      </c>
      <c r="D434">
        <v>162</v>
      </c>
      <c r="E434">
        <v>651</v>
      </c>
      <c r="F434">
        <v>1456</v>
      </c>
      <c r="G434" s="60">
        <v>2014</v>
      </c>
      <c r="H434" s="60" t="s">
        <v>62</v>
      </c>
      <c r="I434" s="60" t="str">
        <f t="shared" si="20"/>
        <v>2014 Houston Astros</v>
      </c>
      <c r="J434" s="60">
        <v>5545</v>
      </c>
      <c r="K434" s="60">
        <f t="shared" si="18"/>
        <v>1046</v>
      </c>
      <c r="L434" s="60">
        <v>286</v>
      </c>
      <c r="M434" s="60">
        <v>29</v>
      </c>
      <c r="N434" s="60">
        <v>95</v>
      </c>
      <c r="O434" s="60">
        <v>380</v>
      </c>
      <c r="P434" s="60">
        <v>53</v>
      </c>
      <c r="Q434" s="60">
        <f t="shared" si="19"/>
        <v>3656</v>
      </c>
      <c r="R434">
        <v>604</v>
      </c>
      <c r="S434">
        <v>22</v>
      </c>
      <c r="T434">
        <v>985</v>
      </c>
      <c r="U434">
        <v>33</v>
      </c>
      <c r="V434">
        <v>47</v>
      </c>
      <c r="W434">
        <v>0</v>
      </c>
      <c r="X434">
        <v>58</v>
      </c>
      <c r="Y434">
        <v>131</v>
      </c>
      <c r="Z434">
        <v>153</v>
      </c>
      <c r="AA434">
        <v>36</v>
      </c>
      <c r="AB434">
        <v>0.26300000000000001</v>
      </c>
      <c r="AC434">
        <v>0.314</v>
      </c>
      <c r="AD434">
        <v>0.376</v>
      </c>
    </row>
    <row r="435" spans="1:30" x14ac:dyDescent="0.5">
      <c r="A435" s="35">
        <v>2014</v>
      </c>
      <c r="B435" t="s">
        <v>145</v>
      </c>
      <c r="C435" t="s">
        <v>38</v>
      </c>
      <c r="D435">
        <v>162</v>
      </c>
      <c r="E435">
        <v>718</v>
      </c>
      <c r="F435">
        <v>1476</v>
      </c>
      <c r="G435" s="60">
        <v>2014</v>
      </c>
      <c r="H435" s="60" t="s">
        <v>64</v>
      </c>
      <c r="I435" s="60" t="str">
        <f t="shared" si="20"/>
        <v>2014 Kansas City Royals</v>
      </c>
      <c r="J435" s="60">
        <v>5560</v>
      </c>
      <c r="K435" s="60">
        <f t="shared" si="18"/>
        <v>1002</v>
      </c>
      <c r="L435" s="60">
        <v>302</v>
      </c>
      <c r="M435" s="60">
        <v>38</v>
      </c>
      <c r="N435" s="60">
        <v>134</v>
      </c>
      <c r="O435" s="60">
        <v>519</v>
      </c>
      <c r="P435" s="60">
        <v>61</v>
      </c>
      <c r="Q435" s="60">
        <f t="shared" si="19"/>
        <v>3504</v>
      </c>
      <c r="R435">
        <v>686</v>
      </c>
      <c r="S435">
        <v>30</v>
      </c>
      <c r="T435">
        <v>1246</v>
      </c>
      <c r="U435">
        <v>47</v>
      </c>
      <c r="V435">
        <v>43</v>
      </c>
      <c r="W435">
        <v>1</v>
      </c>
      <c r="X435">
        <v>65</v>
      </c>
      <c r="Y435">
        <v>119</v>
      </c>
      <c r="Z435">
        <v>138</v>
      </c>
      <c r="AA435">
        <v>50</v>
      </c>
      <c r="AB435">
        <v>0.26500000000000001</v>
      </c>
      <c r="AC435">
        <v>0.33300000000000002</v>
      </c>
      <c r="AD435">
        <v>0.40600000000000003</v>
      </c>
    </row>
    <row r="436" spans="1:30" x14ac:dyDescent="0.5">
      <c r="A436" s="35">
        <v>2014</v>
      </c>
      <c r="B436" t="s">
        <v>104</v>
      </c>
      <c r="C436" t="s">
        <v>38</v>
      </c>
      <c r="D436">
        <v>162</v>
      </c>
      <c r="E436">
        <v>645</v>
      </c>
      <c r="F436">
        <v>1399</v>
      </c>
      <c r="G436" s="60">
        <v>2014</v>
      </c>
      <c r="H436" s="60" t="s">
        <v>66</v>
      </c>
      <c r="I436" s="60" t="str">
        <f t="shared" si="20"/>
        <v>2014 Los Angeles Dodgers</v>
      </c>
      <c r="J436" s="60">
        <v>5538</v>
      </c>
      <c r="K436" s="60">
        <f t="shared" si="18"/>
        <v>987</v>
      </c>
      <c r="L436" s="60">
        <v>254</v>
      </c>
      <c r="M436" s="60">
        <v>36</v>
      </c>
      <c r="N436" s="60">
        <v>122</v>
      </c>
      <c r="O436" s="60">
        <v>501</v>
      </c>
      <c r="P436" s="60">
        <v>35</v>
      </c>
      <c r="Q436" s="60">
        <f t="shared" si="19"/>
        <v>3603</v>
      </c>
      <c r="R436">
        <v>614</v>
      </c>
      <c r="S436">
        <v>49</v>
      </c>
      <c r="T436">
        <v>1419</v>
      </c>
      <c r="U436">
        <v>71</v>
      </c>
      <c r="V436">
        <v>39</v>
      </c>
      <c r="W436">
        <v>1</v>
      </c>
      <c r="X436">
        <v>65</v>
      </c>
      <c r="Y436">
        <v>143</v>
      </c>
      <c r="Z436">
        <v>58</v>
      </c>
      <c r="AA436">
        <v>21</v>
      </c>
      <c r="AB436">
        <v>0.253</v>
      </c>
      <c r="AC436">
        <v>0.317</v>
      </c>
      <c r="AD436">
        <v>0.378</v>
      </c>
    </row>
    <row r="437" spans="1:30" x14ac:dyDescent="0.5">
      <c r="A437" s="35">
        <v>2014</v>
      </c>
      <c r="B437" t="s">
        <v>69</v>
      </c>
      <c r="C437" t="s">
        <v>38</v>
      </c>
      <c r="D437">
        <v>162</v>
      </c>
      <c r="E437">
        <v>650</v>
      </c>
      <c r="F437">
        <v>1366</v>
      </c>
      <c r="G437" s="60">
        <v>2014</v>
      </c>
      <c r="H437" s="60" t="s">
        <v>68</v>
      </c>
      <c r="I437" s="60" t="str">
        <f t="shared" si="20"/>
        <v>2014 Milwaukee Brewers</v>
      </c>
      <c r="J437" s="60">
        <v>5462</v>
      </c>
      <c r="K437" s="60">
        <f t="shared" si="18"/>
        <v>891</v>
      </c>
      <c r="L437" s="60">
        <v>297</v>
      </c>
      <c r="M437" s="60">
        <v>28</v>
      </c>
      <c r="N437" s="60">
        <v>150</v>
      </c>
      <c r="O437" s="60">
        <v>423</v>
      </c>
      <c r="P437" s="60">
        <v>73</v>
      </c>
      <c r="Q437" s="60">
        <f t="shared" si="19"/>
        <v>3600</v>
      </c>
      <c r="R437">
        <v>617</v>
      </c>
      <c r="S437">
        <v>32</v>
      </c>
      <c r="T437">
        <v>1197</v>
      </c>
      <c r="U437">
        <v>70</v>
      </c>
      <c r="V437">
        <v>37</v>
      </c>
      <c r="W437">
        <v>0</v>
      </c>
      <c r="X437">
        <v>71</v>
      </c>
      <c r="Y437">
        <v>135</v>
      </c>
      <c r="Z437">
        <v>102</v>
      </c>
      <c r="AA437">
        <v>43</v>
      </c>
      <c r="AB437">
        <v>0.25</v>
      </c>
      <c r="AC437">
        <v>0.311</v>
      </c>
      <c r="AD437">
        <v>0.39700000000000002</v>
      </c>
    </row>
    <row r="438" spans="1:30" x14ac:dyDescent="0.5">
      <c r="A438" s="35">
        <v>2014</v>
      </c>
      <c r="B438" t="s">
        <v>71</v>
      </c>
      <c r="C438" t="s">
        <v>149</v>
      </c>
      <c r="D438">
        <v>162</v>
      </c>
      <c r="E438">
        <v>715</v>
      </c>
      <c r="F438">
        <v>1412</v>
      </c>
      <c r="G438" s="60">
        <v>2014</v>
      </c>
      <c r="H438" s="60" t="s">
        <v>70</v>
      </c>
      <c r="I438" s="60" t="str">
        <f t="shared" si="20"/>
        <v>2014 Minnesota Twins</v>
      </c>
      <c r="J438" s="60">
        <v>5567</v>
      </c>
      <c r="K438" s="60">
        <f t="shared" si="18"/>
        <v>941</v>
      </c>
      <c r="L438" s="60">
        <v>316</v>
      </c>
      <c r="M438" s="60">
        <v>27</v>
      </c>
      <c r="N438" s="60">
        <v>128</v>
      </c>
      <c r="O438" s="60">
        <v>544</v>
      </c>
      <c r="P438" s="60">
        <v>53</v>
      </c>
      <c r="Q438" s="60">
        <f t="shared" si="19"/>
        <v>3558</v>
      </c>
      <c r="R438">
        <v>675</v>
      </c>
      <c r="S438">
        <v>29</v>
      </c>
      <c r="T438">
        <v>1329</v>
      </c>
      <c r="U438">
        <v>25</v>
      </c>
      <c r="V438">
        <v>44</v>
      </c>
      <c r="W438">
        <v>0</v>
      </c>
      <c r="X438">
        <v>68</v>
      </c>
      <c r="Y438">
        <v>97</v>
      </c>
      <c r="Z438">
        <v>99</v>
      </c>
      <c r="AA438">
        <v>36</v>
      </c>
      <c r="AB438">
        <v>0.254</v>
      </c>
      <c r="AC438">
        <v>0.32400000000000001</v>
      </c>
      <c r="AD438">
        <v>0.38900000000000001</v>
      </c>
    </row>
    <row r="439" spans="1:30" x14ac:dyDescent="0.5">
      <c r="A439" s="35">
        <v>2014</v>
      </c>
      <c r="B439" t="s">
        <v>144</v>
      </c>
      <c r="C439" t="s">
        <v>38</v>
      </c>
      <c r="D439">
        <v>162</v>
      </c>
      <c r="E439">
        <v>629</v>
      </c>
      <c r="F439">
        <v>1306</v>
      </c>
      <c r="G439" s="60">
        <v>2014</v>
      </c>
      <c r="H439" s="60" t="s">
        <v>76</v>
      </c>
      <c r="I439" s="60" t="str">
        <f t="shared" si="20"/>
        <v>2014 New York Mets</v>
      </c>
      <c r="J439" s="60">
        <v>5472</v>
      </c>
      <c r="K439" s="60">
        <f t="shared" si="18"/>
        <v>887</v>
      </c>
      <c r="L439" s="60">
        <v>275</v>
      </c>
      <c r="M439" s="60">
        <v>19</v>
      </c>
      <c r="N439" s="60">
        <v>125</v>
      </c>
      <c r="O439" s="60">
        <v>516</v>
      </c>
      <c r="P439" s="60">
        <v>54</v>
      </c>
      <c r="Q439" s="60">
        <f t="shared" si="19"/>
        <v>3596</v>
      </c>
      <c r="R439">
        <v>602</v>
      </c>
      <c r="S439">
        <v>42</v>
      </c>
      <c r="T439">
        <v>1264</v>
      </c>
      <c r="U439">
        <v>59</v>
      </c>
      <c r="V439">
        <v>44</v>
      </c>
      <c r="W439">
        <v>0</v>
      </c>
      <c r="X439">
        <v>62</v>
      </c>
      <c r="Y439">
        <v>112</v>
      </c>
      <c r="Z439">
        <v>101</v>
      </c>
      <c r="AA439">
        <v>34</v>
      </c>
      <c r="AB439">
        <v>0.23899999999999999</v>
      </c>
      <c r="AC439">
        <v>0.308</v>
      </c>
      <c r="AD439">
        <v>0.36399999999999999</v>
      </c>
    </row>
    <row r="440" spans="1:30" x14ac:dyDescent="0.5">
      <c r="A440" s="35">
        <v>2014</v>
      </c>
      <c r="B440" t="s">
        <v>144</v>
      </c>
      <c r="C440" t="s">
        <v>149</v>
      </c>
      <c r="D440">
        <v>162</v>
      </c>
      <c r="E440">
        <v>633</v>
      </c>
      <c r="F440">
        <v>1349</v>
      </c>
      <c r="G440" s="60">
        <v>2014</v>
      </c>
      <c r="H440" s="60" t="s">
        <v>74</v>
      </c>
      <c r="I440" s="60" t="str">
        <f t="shared" si="20"/>
        <v>2014 New York Yankees</v>
      </c>
      <c r="J440" s="60">
        <v>5497</v>
      </c>
      <c r="K440" s="60">
        <f t="shared" si="18"/>
        <v>929</v>
      </c>
      <c r="L440" s="60">
        <v>247</v>
      </c>
      <c r="M440" s="60">
        <v>26</v>
      </c>
      <c r="N440" s="60">
        <v>147</v>
      </c>
      <c r="O440" s="60">
        <v>452</v>
      </c>
      <c r="P440" s="60">
        <v>56</v>
      </c>
      <c r="Q440" s="60">
        <f t="shared" si="19"/>
        <v>3640</v>
      </c>
      <c r="R440">
        <v>591</v>
      </c>
      <c r="S440">
        <v>16</v>
      </c>
      <c r="T440">
        <v>1133</v>
      </c>
      <c r="U440">
        <v>29</v>
      </c>
      <c r="V440">
        <v>47</v>
      </c>
      <c r="W440">
        <v>1</v>
      </c>
      <c r="X440">
        <v>54</v>
      </c>
      <c r="Y440">
        <v>111</v>
      </c>
      <c r="Z440">
        <v>112</v>
      </c>
      <c r="AA440">
        <v>26</v>
      </c>
      <c r="AB440">
        <v>0.245</v>
      </c>
      <c r="AC440">
        <v>0.307</v>
      </c>
      <c r="AD440">
        <v>0.38</v>
      </c>
    </row>
    <row r="441" spans="1:30" x14ac:dyDescent="0.5">
      <c r="A441" s="35">
        <v>2014</v>
      </c>
      <c r="B441" t="s">
        <v>79</v>
      </c>
      <c r="C441" t="s">
        <v>149</v>
      </c>
      <c r="D441">
        <v>162</v>
      </c>
      <c r="E441">
        <v>729</v>
      </c>
      <c r="F441">
        <v>1354</v>
      </c>
      <c r="G441" s="60">
        <v>2014</v>
      </c>
      <c r="H441" s="60" t="s">
        <v>78</v>
      </c>
      <c r="I441" s="60" t="str">
        <f t="shared" si="20"/>
        <v>2014 Oakland Athletics</v>
      </c>
      <c r="J441" s="60">
        <v>5545</v>
      </c>
      <c r="K441" s="60">
        <f t="shared" si="18"/>
        <v>922</v>
      </c>
      <c r="L441" s="60">
        <v>253</v>
      </c>
      <c r="M441" s="60">
        <v>33</v>
      </c>
      <c r="N441" s="60">
        <v>146</v>
      </c>
      <c r="O441" s="60">
        <v>586</v>
      </c>
      <c r="P441" s="60">
        <v>49</v>
      </c>
      <c r="Q441" s="60">
        <f t="shared" si="19"/>
        <v>3556</v>
      </c>
      <c r="R441">
        <v>686</v>
      </c>
      <c r="S441">
        <v>34</v>
      </c>
      <c r="T441">
        <v>1104</v>
      </c>
      <c r="U441">
        <v>19</v>
      </c>
      <c r="V441">
        <v>43</v>
      </c>
      <c r="W441">
        <v>3</v>
      </c>
      <c r="X441">
        <v>68</v>
      </c>
      <c r="Y441">
        <v>118</v>
      </c>
      <c r="Z441">
        <v>83</v>
      </c>
      <c r="AA441">
        <v>20</v>
      </c>
      <c r="AB441">
        <v>0.24399999999999999</v>
      </c>
      <c r="AC441">
        <v>0.32</v>
      </c>
      <c r="AD441">
        <v>0.38100000000000001</v>
      </c>
    </row>
    <row r="442" spans="1:30" x14ac:dyDescent="0.5">
      <c r="A442" s="35">
        <v>2014</v>
      </c>
      <c r="B442" t="s">
        <v>81</v>
      </c>
      <c r="C442" t="s">
        <v>38</v>
      </c>
      <c r="D442">
        <v>162</v>
      </c>
      <c r="E442">
        <v>619</v>
      </c>
      <c r="F442">
        <v>1356</v>
      </c>
      <c r="G442" s="60">
        <v>2014</v>
      </c>
      <c r="H442" s="60" t="s">
        <v>80</v>
      </c>
      <c r="I442" s="60" t="str">
        <f t="shared" si="20"/>
        <v>2014 Philadelphia Phillies</v>
      </c>
      <c r="J442" s="60">
        <v>5603</v>
      </c>
      <c r="K442" s="60">
        <f t="shared" si="18"/>
        <v>953</v>
      </c>
      <c r="L442" s="60">
        <v>251</v>
      </c>
      <c r="M442" s="60">
        <v>27</v>
      </c>
      <c r="N442" s="60">
        <v>125</v>
      </c>
      <c r="O442" s="60">
        <v>443</v>
      </c>
      <c r="P442" s="60">
        <v>55</v>
      </c>
      <c r="Q442" s="60">
        <f t="shared" si="19"/>
        <v>3749</v>
      </c>
      <c r="R442">
        <v>584</v>
      </c>
      <c r="S442">
        <v>42</v>
      </c>
      <c r="T442">
        <v>1306</v>
      </c>
      <c r="U442">
        <v>59</v>
      </c>
      <c r="V442">
        <v>37</v>
      </c>
      <c r="W442">
        <v>1</v>
      </c>
      <c r="X442">
        <v>76</v>
      </c>
      <c r="Y442">
        <v>94</v>
      </c>
      <c r="Z442">
        <v>109</v>
      </c>
      <c r="AA442">
        <v>26</v>
      </c>
      <c r="AB442">
        <v>0.24199999999999999</v>
      </c>
      <c r="AC442">
        <v>0.30199999999999999</v>
      </c>
      <c r="AD442">
        <v>0.36299999999999999</v>
      </c>
    </row>
    <row r="443" spans="1:30" x14ac:dyDescent="0.5">
      <c r="A443" s="35">
        <v>2014</v>
      </c>
      <c r="B443" t="s">
        <v>83</v>
      </c>
      <c r="C443" t="s">
        <v>38</v>
      </c>
      <c r="D443">
        <v>162</v>
      </c>
      <c r="E443">
        <v>682</v>
      </c>
      <c r="F443">
        <v>1436</v>
      </c>
      <c r="G443" s="60">
        <v>2014</v>
      </c>
      <c r="H443" s="60" t="s">
        <v>82</v>
      </c>
      <c r="I443" s="60" t="str">
        <f t="shared" si="20"/>
        <v>2014 Pittsburgh Pirates</v>
      </c>
      <c r="J443" s="60">
        <v>5536</v>
      </c>
      <c r="K443" s="60">
        <f t="shared" si="18"/>
        <v>975</v>
      </c>
      <c r="L443" s="60">
        <v>275</v>
      </c>
      <c r="M443" s="60">
        <v>30</v>
      </c>
      <c r="N443" s="60">
        <v>156</v>
      </c>
      <c r="O443" s="60">
        <v>520</v>
      </c>
      <c r="P443" s="60">
        <v>78</v>
      </c>
      <c r="Q443" s="60">
        <f t="shared" si="19"/>
        <v>3502</v>
      </c>
      <c r="R443">
        <v>659</v>
      </c>
      <c r="S443">
        <v>46</v>
      </c>
      <c r="T443">
        <v>1244</v>
      </c>
      <c r="U443">
        <v>54</v>
      </c>
      <c r="V443">
        <v>35</v>
      </c>
      <c r="W443">
        <v>1</v>
      </c>
      <c r="X443">
        <v>63</v>
      </c>
      <c r="Y443">
        <v>127</v>
      </c>
      <c r="Z443">
        <v>104</v>
      </c>
      <c r="AA443">
        <v>47</v>
      </c>
      <c r="AB443">
        <v>0.25900000000000001</v>
      </c>
      <c r="AC443">
        <v>0.33</v>
      </c>
      <c r="AD443">
        <v>0.40400000000000003</v>
      </c>
    </row>
    <row r="444" spans="1:30" x14ac:dyDescent="0.5">
      <c r="A444" s="35">
        <v>2014</v>
      </c>
      <c r="B444" t="s">
        <v>147</v>
      </c>
      <c r="C444" t="s">
        <v>38</v>
      </c>
      <c r="D444">
        <v>162</v>
      </c>
      <c r="E444">
        <v>535</v>
      </c>
      <c r="F444">
        <v>1199</v>
      </c>
      <c r="G444" s="60">
        <v>2014</v>
      </c>
      <c r="H444" s="60" t="s">
        <v>84</v>
      </c>
      <c r="I444" s="60" t="str">
        <f t="shared" si="20"/>
        <v>2014 San Diego Padres</v>
      </c>
      <c r="J444" s="60">
        <v>5294</v>
      </c>
      <c r="K444" s="60">
        <f t="shared" si="18"/>
        <v>836</v>
      </c>
      <c r="L444" s="60">
        <v>224</v>
      </c>
      <c r="M444" s="60">
        <v>30</v>
      </c>
      <c r="N444" s="60">
        <v>109</v>
      </c>
      <c r="O444" s="60">
        <v>468</v>
      </c>
      <c r="P444" s="60">
        <v>41</v>
      </c>
      <c r="Q444" s="60">
        <f t="shared" si="19"/>
        <v>3586</v>
      </c>
      <c r="R444">
        <v>500</v>
      </c>
      <c r="S444">
        <v>27</v>
      </c>
      <c r="T444">
        <v>1294</v>
      </c>
      <c r="U444">
        <v>56</v>
      </c>
      <c r="V444">
        <v>45</v>
      </c>
      <c r="W444">
        <v>1</v>
      </c>
      <c r="X444">
        <v>62</v>
      </c>
      <c r="Y444">
        <v>118</v>
      </c>
      <c r="Z444">
        <v>91</v>
      </c>
      <c r="AA444">
        <v>34</v>
      </c>
      <c r="AB444">
        <v>0.22600000000000001</v>
      </c>
      <c r="AC444">
        <v>0.29199999999999998</v>
      </c>
      <c r="AD444">
        <v>0.34200000000000003</v>
      </c>
    </row>
    <row r="445" spans="1:30" x14ac:dyDescent="0.5">
      <c r="A445" s="35">
        <v>2014</v>
      </c>
      <c r="B445" t="s">
        <v>87</v>
      </c>
      <c r="C445" t="s">
        <v>149</v>
      </c>
      <c r="D445">
        <v>162</v>
      </c>
      <c r="E445">
        <v>634</v>
      </c>
      <c r="F445">
        <v>1328</v>
      </c>
      <c r="G445" s="60">
        <v>2014</v>
      </c>
      <c r="H445" s="60" t="s">
        <v>86</v>
      </c>
      <c r="I445" s="60" t="str">
        <f t="shared" si="20"/>
        <v>2014 Seattle Mariners</v>
      </c>
      <c r="J445" s="60">
        <v>5450</v>
      </c>
      <c r="K445" s="60">
        <f t="shared" si="18"/>
        <v>913</v>
      </c>
      <c r="L445" s="60">
        <v>247</v>
      </c>
      <c r="M445" s="60">
        <v>32</v>
      </c>
      <c r="N445" s="60">
        <v>136</v>
      </c>
      <c r="O445" s="60">
        <v>396</v>
      </c>
      <c r="P445" s="60">
        <v>60</v>
      </c>
      <c r="Q445" s="60">
        <f t="shared" si="19"/>
        <v>3666</v>
      </c>
      <c r="R445">
        <v>600</v>
      </c>
      <c r="S445">
        <v>33</v>
      </c>
      <c r="T445">
        <v>1232</v>
      </c>
      <c r="U445">
        <v>35</v>
      </c>
      <c r="V445">
        <v>34</v>
      </c>
      <c r="W445">
        <v>2</v>
      </c>
      <c r="X445">
        <v>61</v>
      </c>
      <c r="Y445">
        <v>112</v>
      </c>
      <c r="Z445">
        <v>96</v>
      </c>
      <c r="AA445">
        <v>42</v>
      </c>
      <c r="AB445">
        <v>0.24399999999999999</v>
      </c>
      <c r="AC445">
        <v>0.3</v>
      </c>
      <c r="AD445">
        <v>0.376</v>
      </c>
    </row>
    <row r="446" spans="1:30" x14ac:dyDescent="0.5">
      <c r="A446" s="35">
        <v>2014</v>
      </c>
      <c r="B446" t="s">
        <v>21</v>
      </c>
      <c r="C446" t="s">
        <v>38</v>
      </c>
      <c r="D446">
        <v>162</v>
      </c>
      <c r="E446">
        <v>665</v>
      </c>
      <c r="F446">
        <v>1407</v>
      </c>
      <c r="G446" s="60">
        <v>2014</v>
      </c>
      <c r="H446" s="60" t="s">
        <v>88</v>
      </c>
      <c r="I446" s="60" t="str">
        <f t="shared" si="20"/>
        <v>2014 San Francisco Giants</v>
      </c>
      <c r="J446" s="60">
        <v>5523</v>
      </c>
      <c r="K446" s="60">
        <f t="shared" si="18"/>
        <v>976</v>
      </c>
      <c r="L446" s="60">
        <v>257</v>
      </c>
      <c r="M446" s="60">
        <v>42</v>
      </c>
      <c r="N446" s="60">
        <v>132</v>
      </c>
      <c r="O446" s="60">
        <v>427</v>
      </c>
      <c r="P446" s="60">
        <v>43</v>
      </c>
      <c r="Q446" s="60">
        <f t="shared" si="19"/>
        <v>3646</v>
      </c>
      <c r="R446">
        <v>636</v>
      </c>
      <c r="S446">
        <v>37</v>
      </c>
      <c r="T446">
        <v>1245</v>
      </c>
      <c r="U446">
        <v>45</v>
      </c>
      <c r="V446">
        <v>49</v>
      </c>
      <c r="W446">
        <v>0</v>
      </c>
      <c r="X446">
        <v>58</v>
      </c>
      <c r="Y446">
        <v>113</v>
      </c>
      <c r="Z446">
        <v>56</v>
      </c>
      <c r="AA446">
        <v>27</v>
      </c>
      <c r="AB446">
        <v>0.255</v>
      </c>
      <c r="AC446">
        <v>0.311</v>
      </c>
      <c r="AD446">
        <v>0.38800000000000001</v>
      </c>
    </row>
    <row r="447" spans="1:30" x14ac:dyDescent="0.5">
      <c r="A447" s="35">
        <v>2014</v>
      </c>
      <c r="B447" t="s">
        <v>142</v>
      </c>
      <c r="C447" t="s">
        <v>38</v>
      </c>
      <c r="D447">
        <v>162</v>
      </c>
      <c r="E447">
        <v>619</v>
      </c>
      <c r="F447">
        <v>1371</v>
      </c>
      <c r="G447" s="60">
        <v>2014</v>
      </c>
      <c r="H447" s="60" t="s">
        <v>90</v>
      </c>
      <c r="I447" s="60" t="str">
        <f t="shared" si="20"/>
        <v>2014 St. Louis Cardinals</v>
      </c>
      <c r="J447" s="60">
        <v>5426</v>
      </c>
      <c r="K447" s="60">
        <f t="shared" si="18"/>
        <v>970</v>
      </c>
      <c r="L447" s="60">
        <v>275</v>
      </c>
      <c r="M447" s="60">
        <v>21</v>
      </c>
      <c r="N447" s="60">
        <v>105</v>
      </c>
      <c r="O447" s="60">
        <v>471</v>
      </c>
      <c r="P447" s="60">
        <v>86</v>
      </c>
      <c r="Q447" s="60">
        <f t="shared" si="19"/>
        <v>3498</v>
      </c>
      <c r="R447">
        <v>585</v>
      </c>
      <c r="S447">
        <v>28</v>
      </c>
      <c r="T447">
        <v>1133</v>
      </c>
      <c r="U447">
        <v>64</v>
      </c>
      <c r="V447">
        <v>39</v>
      </c>
      <c r="W447">
        <v>0</v>
      </c>
      <c r="X447">
        <v>62</v>
      </c>
      <c r="Y447">
        <v>140</v>
      </c>
      <c r="Z447">
        <v>57</v>
      </c>
      <c r="AA447">
        <v>32</v>
      </c>
      <c r="AB447">
        <v>0.253</v>
      </c>
      <c r="AC447">
        <v>0.32</v>
      </c>
      <c r="AD447">
        <v>0.36899999999999999</v>
      </c>
    </row>
    <row r="448" spans="1:30" x14ac:dyDescent="0.5">
      <c r="A448" s="35">
        <v>2014</v>
      </c>
      <c r="B448" t="s">
        <v>151</v>
      </c>
      <c r="C448" t="s">
        <v>149</v>
      </c>
      <c r="D448">
        <v>162</v>
      </c>
      <c r="E448">
        <v>612</v>
      </c>
      <c r="F448">
        <v>1361</v>
      </c>
      <c r="G448" s="60">
        <v>2014</v>
      </c>
      <c r="H448" s="60" t="s">
        <v>92</v>
      </c>
      <c r="I448" s="60" t="str">
        <f t="shared" si="20"/>
        <v>2014 Tampa Bay Devil Rays</v>
      </c>
      <c r="J448" s="60">
        <v>5516</v>
      </c>
      <c r="K448" s="60">
        <f t="shared" si="18"/>
        <v>957</v>
      </c>
      <c r="L448" s="60">
        <v>263</v>
      </c>
      <c r="M448" s="60">
        <v>24</v>
      </c>
      <c r="N448" s="60">
        <v>117</v>
      </c>
      <c r="O448" s="60">
        <v>527</v>
      </c>
      <c r="P448" s="60">
        <v>66</v>
      </c>
      <c r="Q448" s="60">
        <f t="shared" si="19"/>
        <v>3562</v>
      </c>
      <c r="R448">
        <v>586</v>
      </c>
      <c r="S448">
        <v>31</v>
      </c>
      <c r="T448">
        <v>1124</v>
      </c>
      <c r="U448">
        <v>43</v>
      </c>
      <c r="V448">
        <v>53</v>
      </c>
      <c r="W448">
        <v>0</v>
      </c>
      <c r="X448">
        <v>65</v>
      </c>
      <c r="Y448">
        <v>135</v>
      </c>
      <c r="Z448">
        <v>63</v>
      </c>
      <c r="AA448">
        <v>27</v>
      </c>
      <c r="AB448">
        <v>0.247</v>
      </c>
      <c r="AC448">
        <v>0.317</v>
      </c>
      <c r="AD448">
        <v>0.36699999999999999</v>
      </c>
    </row>
    <row r="449" spans="1:30" x14ac:dyDescent="0.5">
      <c r="A449" s="35">
        <v>2014</v>
      </c>
      <c r="B449" t="s">
        <v>95</v>
      </c>
      <c r="C449" t="s">
        <v>149</v>
      </c>
      <c r="D449">
        <v>162</v>
      </c>
      <c r="E449">
        <v>637</v>
      </c>
      <c r="F449">
        <v>1400</v>
      </c>
      <c r="G449" s="60">
        <v>2014</v>
      </c>
      <c r="H449" s="60" t="s">
        <v>94</v>
      </c>
      <c r="I449" s="60" t="str">
        <f t="shared" si="20"/>
        <v>2014 Texas Rangers</v>
      </c>
      <c r="J449" s="60">
        <v>5460</v>
      </c>
      <c r="K449" s="60">
        <f t="shared" si="18"/>
        <v>1001</v>
      </c>
      <c r="L449" s="60">
        <v>260</v>
      </c>
      <c r="M449" s="60">
        <v>28</v>
      </c>
      <c r="N449" s="60">
        <v>111</v>
      </c>
      <c r="O449" s="60">
        <v>417</v>
      </c>
      <c r="P449" s="60">
        <v>61</v>
      </c>
      <c r="Q449" s="60">
        <f t="shared" si="19"/>
        <v>3582</v>
      </c>
      <c r="R449">
        <v>597</v>
      </c>
      <c r="S449">
        <v>37</v>
      </c>
      <c r="T449">
        <v>1162</v>
      </c>
      <c r="U449">
        <v>41</v>
      </c>
      <c r="V449">
        <v>45</v>
      </c>
      <c r="W449">
        <v>2</v>
      </c>
      <c r="X449">
        <v>73</v>
      </c>
      <c r="Y449">
        <v>148</v>
      </c>
      <c r="Z449">
        <v>105</v>
      </c>
      <c r="AA449">
        <v>59</v>
      </c>
      <c r="AB449">
        <v>0.25600000000000001</v>
      </c>
      <c r="AC449">
        <v>0.314</v>
      </c>
      <c r="AD449">
        <v>0.375</v>
      </c>
    </row>
    <row r="450" spans="1:30" x14ac:dyDescent="0.5">
      <c r="A450" s="35">
        <v>2014</v>
      </c>
      <c r="B450" t="s">
        <v>97</v>
      </c>
      <c r="C450" t="s">
        <v>149</v>
      </c>
      <c r="D450">
        <v>162</v>
      </c>
      <c r="E450">
        <v>723</v>
      </c>
      <c r="F450">
        <v>1435</v>
      </c>
      <c r="G450" s="60">
        <v>2014</v>
      </c>
      <c r="H450" s="60" t="s">
        <v>96</v>
      </c>
      <c r="I450" s="60" t="str">
        <f t="shared" si="20"/>
        <v>2014 Toronto Blue Jays</v>
      </c>
      <c r="J450" s="60">
        <v>5549</v>
      </c>
      <c r="K450" s="60">
        <f t="shared" ref="K450:K513" si="21">F450-(L450+M450+N450)</f>
        <v>952</v>
      </c>
      <c r="L450" s="60">
        <v>282</v>
      </c>
      <c r="M450" s="60">
        <v>24</v>
      </c>
      <c r="N450" s="60">
        <v>177</v>
      </c>
      <c r="O450" s="60">
        <v>502</v>
      </c>
      <c r="P450" s="60">
        <v>41</v>
      </c>
      <c r="Q450" s="60">
        <f t="shared" ref="Q450:Q513" si="22">J450-(F450+O450+P450)</f>
        <v>3571</v>
      </c>
      <c r="R450">
        <v>690</v>
      </c>
      <c r="S450">
        <v>27</v>
      </c>
      <c r="T450">
        <v>1151</v>
      </c>
      <c r="U450">
        <v>35</v>
      </c>
      <c r="V450">
        <v>40</v>
      </c>
      <c r="W450">
        <v>0</v>
      </c>
      <c r="X450">
        <v>69</v>
      </c>
      <c r="Y450">
        <v>128</v>
      </c>
      <c r="Z450">
        <v>78</v>
      </c>
      <c r="AA450">
        <v>21</v>
      </c>
      <c r="AB450">
        <v>0.25900000000000001</v>
      </c>
      <c r="AC450">
        <v>0.32300000000000001</v>
      </c>
      <c r="AD450">
        <v>0.41399999999999998</v>
      </c>
    </row>
    <row r="451" spans="1:30" x14ac:dyDescent="0.5">
      <c r="A451" s="35">
        <v>2014</v>
      </c>
      <c r="B451" t="s">
        <v>101</v>
      </c>
      <c r="C451" t="s">
        <v>38</v>
      </c>
      <c r="D451">
        <v>162</v>
      </c>
      <c r="E451">
        <v>686</v>
      </c>
      <c r="F451">
        <v>1403</v>
      </c>
      <c r="G451" s="60">
        <v>2014</v>
      </c>
      <c r="H451" s="60" t="s">
        <v>100</v>
      </c>
      <c r="I451" s="60" t="str">
        <f t="shared" ref="I451:I514" si="23">G451&amp;" "&amp;H451</f>
        <v>2014 Washington Nationals</v>
      </c>
      <c r="J451" s="60">
        <v>5542</v>
      </c>
      <c r="K451" s="60">
        <f t="shared" si="21"/>
        <v>959</v>
      </c>
      <c r="L451" s="60">
        <v>265</v>
      </c>
      <c r="M451" s="60">
        <v>27</v>
      </c>
      <c r="N451" s="60">
        <v>152</v>
      </c>
      <c r="O451" s="60">
        <v>517</v>
      </c>
      <c r="P451" s="60">
        <v>56</v>
      </c>
      <c r="Q451" s="60">
        <f t="shared" si="22"/>
        <v>3566</v>
      </c>
      <c r="R451">
        <v>635</v>
      </c>
      <c r="S451">
        <v>29</v>
      </c>
      <c r="T451">
        <v>1304</v>
      </c>
      <c r="U451">
        <v>60</v>
      </c>
      <c r="V451">
        <v>41</v>
      </c>
      <c r="W451">
        <v>0</v>
      </c>
      <c r="X451">
        <v>57</v>
      </c>
      <c r="Y451">
        <v>115</v>
      </c>
      <c r="Z451">
        <v>101</v>
      </c>
      <c r="AA451">
        <v>23</v>
      </c>
      <c r="AB451">
        <v>0.253</v>
      </c>
      <c r="AC451">
        <v>0.32100000000000001</v>
      </c>
      <c r="AD451">
        <v>0.39300000000000002</v>
      </c>
    </row>
    <row r="452" spans="1:30" x14ac:dyDescent="0.5">
      <c r="A452" s="35">
        <v>2015</v>
      </c>
      <c r="B452" t="s">
        <v>37</v>
      </c>
      <c r="C452" t="s">
        <v>149</v>
      </c>
      <c r="D452">
        <v>162</v>
      </c>
      <c r="E452">
        <v>661</v>
      </c>
      <c r="F452">
        <v>1331</v>
      </c>
      <c r="G452" s="60">
        <v>2015</v>
      </c>
      <c r="H452" s="60" t="s">
        <v>36</v>
      </c>
      <c r="I452" s="60" t="str">
        <f t="shared" si="23"/>
        <v>2015 Anaheim Angels</v>
      </c>
      <c r="J452" s="60">
        <v>5417</v>
      </c>
      <c r="K452" s="60">
        <f t="shared" si="21"/>
        <v>891</v>
      </c>
      <c r="L452" s="60">
        <v>243</v>
      </c>
      <c r="M452" s="60">
        <v>21</v>
      </c>
      <c r="N452" s="60">
        <v>176</v>
      </c>
      <c r="O452" s="60">
        <v>435</v>
      </c>
      <c r="P452" s="60">
        <v>58</v>
      </c>
      <c r="Q452" s="60">
        <f t="shared" si="22"/>
        <v>3593</v>
      </c>
      <c r="R452">
        <v>621</v>
      </c>
      <c r="S452">
        <v>34</v>
      </c>
      <c r="T452">
        <v>1150</v>
      </c>
      <c r="U452">
        <v>37</v>
      </c>
      <c r="V452">
        <v>40</v>
      </c>
      <c r="W452">
        <v>3</v>
      </c>
      <c r="X452">
        <v>65</v>
      </c>
      <c r="Y452">
        <v>116</v>
      </c>
      <c r="Z452">
        <v>52</v>
      </c>
      <c r="AA452">
        <v>34</v>
      </c>
      <c r="AB452">
        <v>0.246</v>
      </c>
      <c r="AC452">
        <v>0.307</v>
      </c>
      <c r="AD452">
        <v>0.39600000000000002</v>
      </c>
    </row>
    <row r="453" spans="1:30" x14ac:dyDescent="0.5">
      <c r="A453" s="35">
        <v>2015</v>
      </c>
      <c r="B453" t="s">
        <v>40</v>
      </c>
      <c r="C453" t="s">
        <v>38</v>
      </c>
      <c r="D453">
        <v>162</v>
      </c>
      <c r="E453">
        <v>720</v>
      </c>
      <c r="F453">
        <v>1494</v>
      </c>
      <c r="G453" s="60">
        <v>2015</v>
      </c>
      <c r="H453" s="60" t="s">
        <v>39</v>
      </c>
      <c r="I453" s="60" t="str">
        <f t="shared" si="23"/>
        <v>2015 Arizona Diamondbacks</v>
      </c>
      <c r="J453" s="60">
        <v>5649</v>
      </c>
      <c r="K453" s="60">
        <f t="shared" si="21"/>
        <v>1003</v>
      </c>
      <c r="L453" s="60">
        <v>289</v>
      </c>
      <c r="M453" s="60">
        <v>48</v>
      </c>
      <c r="N453" s="60">
        <v>154</v>
      </c>
      <c r="O453" s="60">
        <v>490</v>
      </c>
      <c r="P453" s="60">
        <v>33</v>
      </c>
      <c r="Q453" s="60">
        <f t="shared" si="22"/>
        <v>3632</v>
      </c>
      <c r="R453">
        <v>680</v>
      </c>
      <c r="S453">
        <v>40</v>
      </c>
      <c r="T453">
        <v>1312</v>
      </c>
      <c r="U453">
        <v>46</v>
      </c>
      <c r="V453">
        <v>57</v>
      </c>
      <c r="W453">
        <v>1</v>
      </c>
      <c r="X453">
        <v>77</v>
      </c>
      <c r="Y453">
        <v>134</v>
      </c>
      <c r="Z453">
        <v>132</v>
      </c>
      <c r="AA453">
        <v>44</v>
      </c>
      <c r="AB453">
        <v>0.26400000000000001</v>
      </c>
      <c r="AC453">
        <v>0.32400000000000001</v>
      </c>
      <c r="AD453">
        <v>0.41399999999999998</v>
      </c>
    </row>
    <row r="454" spans="1:30" x14ac:dyDescent="0.5">
      <c r="A454" s="35">
        <v>2015</v>
      </c>
      <c r="B454" t="s">
        <v>42</v>
      </c>
      <c r="C454" t="s">
        <v>38</v>
      </c>
      <c r="D454">
        <v>162</v>
      </c>
      <c r="E454">
        <v>573</v>
      </c>
      <c r="F454">
        <v>1361</v>
      </c>
      <c r="G454" s="60">
        <v>2015</v>
      </c>
      <c r="H454" s="60" t="s">
        <v>41</v>
      </c>
      <c r="I454" s="60" t="str">
        <f t="shared" si="23"/>
        <v>2015 Atlanta Braves</v>
      </c>
      <c r="J454" s="60">
        <v>5420</v>
      </c>
      <c r="K454" s="60">
        <f t="shared" si="21"/>
        <v>992</v>
      </c>
      <c r="L454" s="60">
        <v>251</v>
      </c>
      <c r="M454" s="60">
        <v>18</v>
      </c>
      <c r="N454" s="60">
        <v>100</v>
      </c>
      <c r="O454" s="60">
        <v>471</v>
      </c>
      <c r="P454" s="60">
        <v>44</v>
      </c>
      <c r="Q454" s="60">
        <f t="shared" si="22"/>
        <v>3544</v>
      </c>
      <c r="R454">
        <v>548</v>
      </c>
      <c r="S454">
        <v>39</v>
      </c>
      <c r="T454">
        <v>1107</v>
      </c>
      <c r="U454">
        <v>67</v>
      </c>
      <c r="V454">
        <v>31</v>
      </c>
      <c r="W454">
        <v>1</v>
      </c>
      <c r="X454">
        <v>66</v>
      </c>
      <c r="Y454">
        <v>148</v>
      </c>
      <c r="Z454">
        <v>69</v>
      </c>
      <c r="AA454">
        <v>33</v>
      </c>
      <c r="AB454">
        <v>0.251</v>
      </c>
      <c r="AC454">
        <v>0.314</v>
      </c>
      <c r="AD454">
        <v>0.35899999999999999</v>
      </c>
    </row>
    <row r="455" spans="1:30" x14ac:dyDescent="0.5">
      <c r="A455" s="35">
        <v>2015</v>
      </c>
      <c r="B455" t="s">
        <v>45</v>
      </c>
      <c r="C455" t="s">
        <v>149</v>
      </c>
      <c r="D455">
        <v>162</v>
      </c>
      <c r="E455">
        <v>713</v>
      </c>
      <c r="F455">
        <v>1370</v>
      </c>
      <c r="G455" s="60">
        <v>2015</v>
      </c>
      <c r="H455" s="60" t="s">
        <v>44</v>
      </c>
      <c r="I455" s="60" t="str">
        <f t="shared" si="23"/>
        <v>2015 Baltimore Orioles</v>
      </c>
      <c r="J455" s="60">
        <v>5485</v>
      </c>
      <c r="K455" s="60">
        <f t="shared" si="21"/>
        <v>887</v>
      </c>
      <c r="L455" s="60">
        <v>246</v>
      </c>
      <c r="M455" s="60">
        <v>20</v>
      </c>
      <c r="N455" s="60">
        <v>217</v>
      </c>
      <c r="O455" s="60">
        <v>418</v>
      </c>
      <c r="P455" s="60">
        <v>51</v>
      </c>
      <c r="Q455" s="60">
        <f t="shared" si="22"/>
        <v>3646</v>
      </c>
      <c r="R455">
        <v>686</v>
      </c>
      <c r="S455">
        <v>23</v>
      </c>
      <c r="T455">
        <v>1331</v>
      </c>
      <c r="U455">
        <v>20</v>
      </c>
      <c r="V455">
        <v>32</v>
      </c>
      <c r="W455">
        <v>1</v>
      </c>
      <c r="X455">
        <v>63</v>
      </c>
      <c r="Y455">
        <v>127</v>
      </c>
      <c r="Z455">
        <v>44</v>
      </c>
      <c r="AA455">
        <v>25</v>
      </c>
      <c r="AB455">
        <v>0.25</v>
      </c>
      <c r="AC455">
        <v>0.307</v>
      </c>
      <c r="AD455">
        <v>0.42099999999999999</v>
      </c>
    </row>
    <row r="456" spans="1:30" x14ac:dyDescent="0.5">
      <c r="A456" s="35">
        <v>2015</v>
      </c>
      <c r="B456" t="s">
        <v>47</v>
      </c>
      <c r="C456" t="s">
        <v>149</v>
      </c>
      <c r="D456">
        <v>162</v>
      </c>
      <c r="E456">
        <v>748</v>
      </c>
      <c r="F456">
        <v>1495</v>
      </c>
      <c r="G456" s="60">
        <v>2015</v>
      </c>
      <c r="H456" s="60" t="s">
        <v>46</v>
      </c>
      <c r="I456" s="60" t="str">
        <f t="shared" si="23"/>
        <v>2015 Boston Red Sox</v>
      </c>
      <c r="J456" s="60">
        <v>5640</v>
      </c>
      <c r="K456" s="60">
        <f t="shared" si="21"/>
        <v>1007</v>
      </c>
      <c r="L456" s="60">
        <v>294</v>
      </c>
      <c r="M456" s="60">
        <v>33</v>
      </c>
      <c r="N456" s="60">
        <v>161</v>
      </c>
      <c r="O456" s="60">
        <v>478</v>
      </c>
      <c r="P456" s="60">
        <v>46</v>
      </c>
      <c r="Q456" s="60">
        <f t="shared" si="22"/>
        <v>3621</v>
      </c>
      <c r="R456">
        <v>706</v>
      </c>
      <c r="S456">
        <v>28</v>
      </c>
      <c r="T456">
        <v>1148</v>
      </c>
      <c r="U456">
        <v>30</v>
      </c>
      <c r="V456">
        <v>42</v>
      </c>
      <c r="W456">
        <v>1</v>
      </c>
      <c r="X456">
        <v>82</v>
      </c>
      <c r="Y456">
        <v>127</v>
      </c>
      <c r="Z456">
        <v>71</v>
      </c>
      <c r="AA456">
        <v>27</v>
      </c>
      <c r="AB456">
        <v>0.26500000000000001</v>
      </c>
      <c r="AC456">
        <v>0.32500000000000001</v>
      </c>
      <c r="AD456">
        <v>0.41499999999999998</v>
      </c>
    </row>
    <row r="457" spans="1:30" x14ac:dyDescent="0.5">
      <c r="A457" s="35">
        <v>2015</v>
      </c>
      <c r="B457" t="s">
        <v>143</v>
      </c>
      <c r="C457" t="s">
        <v>38</v>
      </c>
      <c r="D457">
        <v>162</v>
      </c>
      <c r="E457">
        <v>689</v>
      </c>
      <c r="F457">
        <v>1341</v>
      </c>
      <c r="G457" s="60">
        <v>2015</v>
      </c>
      <c r="H457" s="60" t="s">
        <v>50</v>
      </c>
      <c r="I457" s="60" t="str">
        <f t="shared" si="23"/>
        <v>2015 Chicago Cubs</v>
      </c>
      <c r="J457" s="60">
        <v>5491</v>
      </c>
      <c r="K457" s="60">
        <f t="shared" si="21"/>
        <v>868</v>
      </c>
      <c r="L457" s="60">
        <v>272</v>
      </c>
      <c r="M457" s="60">
        <v>30</v>
      </c>
      <c r="N457" s="60">
        <v>171</v>
      </c>
      <c r="O457" s="60">
        <v>567</v>
      </c>
      <c r="P457" s="60">
        <v>74</v>
      </c>
      <c r="Q457" s="60">
        <f t="shared" si="22"/>
        <v>3509</v>
      </c>
      <c r="R457">
        <v>657</v>
      </c>
      <c r="S457">
        <v>47</v>
      </c>
      <c r="T457">
        <v>1518</v>
      </c>
      <c r="U457">
        <v>32</v>
      </c>
      <c r="V457">
        <v>35</v>
      </c>
      <c r="W457">
        <v>1</v>
      </c>
      <c r="X457">
        <v>60</v>
      </c>
      <c r="Y457">
        <v>101</v>
      </c>
      <c r="Z457">
        <v>95</v>
      </c>
      <c r="AA457">
        <v>37</v>
      </c>
      <c r="AB457">
        <v>0.24399999999999999</v>
      </c>
      <c r="AC457">
        <v>0.32100000000000001</v>
      </c>
      <c r="AD457">
        <v>0.39800000000000002</v>
      </c>
    </row>
    <row r="458" spans="1:30" x14ac:dyDescent="0.5">
      <c r="A458" s="35">
        <v>2015</v>
      </c>
      <c r="B458" t="s">
        <v>143</v>
      </c>
      <c r="C458" t="s">
        <v>149</v>
      </c>
      <c r="D458">
        <v>162</v>
      </c>
      <c r="E458">
        <v>622</v>
      </c>
      <c r="F458">
        <v>1381</v>
      </c>
      <c r="G458" s="60">
        <v>2015</v>
      </c>
      <c r="H458" s="60" t="s">
        <v>48</v>
      </c>
      <c r="I458" s="60" t="str">
        <f t="shared" si="23"/>
        <v>2015 Chicago White Sox</v>
      </c>
      <c r="J458" s="60">
        <v>5533</v>
      </c>
      <c r="K458" s="60">
        <f t="shared" si="21"/>
        <v>958</v>
      </c>
      <c r="L458" s="60">
        <v>260</v>
      </c>
      <c r="M458" s="60">
        <v>27</v>
      </c>
      <c r="N458" s="60">
        <v>136</v>
      </c>
      <c r="O458" s="60">
        <v>404</v>
      </c>
      <c r="P458" s="60">
        <v>65</v>
      </c>
      <c r="Q458" s="60">
        <f t="shared" si="22"/>
        <v>3683</v>
      </c>
      <c r="R458">
        <v>595</v>
      </c>
      <c r="S458">
        <v>22</v>
      </c>
      <c r="T458">
        <v>1231</v>
      </c>
      <c r="U458">
        <v>30</v>
      </c>
      <c r="V458">
        <v>37</v>
      </c>
      <c r="W458">
        <v>1</v>
      </c>
      <c r="X458">
        <v>68</v>
      </c>
      <c r="Y458">
        <v>125</v>
      </c>
      <c r="Z458">
        <v>68</v>
      </c>
      <c r="AA458">
        <v>42</v>
      </c>
      <c r="AB458">
        <v>0.25</v>
      </c>
      <c r="AC458">
        <v>0.30599999999999999</v>
      </c>
      <c r="AD458">
        <v>0.38</v>
      </c>
    </row>
    <row r="459" spans="1:30" x14ac:dyDescent="0.5">
      <c r="A459" s="35">
        <v>2015</v>
      </c>
      <c r="B459" t="s">
        <v>53</v>
      </c>
      <c r="C459" t="s">
        <v>38</v>
      </c>
      <c r="D459">
        <v>162</v>
      </c>
      <c r="E459">
        <v>640</v>
      </c>
      <c r="F459">
        <v>1382</v>
      </c>
      <c r="G459" s="60">
        <v>2015</v>
      </c>
      <c r="H459" s="60" t="s">
        <v>52</v>
      </c>
      <c r="I459" s="60" t="str">
        <f t="shared" si="23"/>
        <v>2015 Cincinnati Reds</v>
      </c>
      <c r="J459" s="60">
        <v>5571</v>
      </c>
      <c r="K459" s="60">
        <f t="shared" si="21"/>
        <v>931</v>
      </c>
      <c r="L459" s="60">
        <v>257</v>
      </c>
      <c r="M459" s="60">
        <v>27</v>
      </c>
      <c r="N459" s="60">
        <v>167</v>
      </c>
      <c r="O459" s="60">
        <v>496</v>
      </c>
      <c r="P459" s="60">
        <v>42</v>
      </c>
      <c r="Q459" s="60">
        <f t="shared" si="22"/>
        <v>3651</v>
      </c>
      <c r="R459">
        <v>613</v>
      </c>
      <c r="S459">
        <v>38</v>
      </c>
      <c r="T459">
        <v>1255</v>
      </c>
      <c r="U459">
        <v>47</v>
      </c>
      <c r="V459">
        <v>40</v>
      </c>
      <c r="W459">
        <v>0</v>
      </c>
      <c r="X459">
        <v>61</v>
      </c>
      <c r="Y459">
        <v>112</v>
      </c>
      <c r="Z459">
        <v>134</v>
      </c>
      <c r="AA459">
        <v>38</v>
      </c>
      <c r="AB459">
        <v>0.248</v>
      </c>
      <c r="AC459">
        <v>0.312</v>
      </c>
      <c r="AD459">
        <v>0.39400000000000002</v>
      </c>
    </row>
    <row r="460" spans="1:30" x14ac:dyDescent="0.5">
      <c r="A460" s="35">
        <v>2015</v>
      </c>
      <c r="B460" t="s">
        <v>55</v>
      </c>
      <c r="C460" t="s">
        <v>149</v>
      </c>
      <c r="D460">
        <v>161</v>
      </c>
      <c r="E460">
        <v>669</v>
      </c>
      <c r="F460">
        <v>1395</v>
      </c>
      <c r="G460" s="60">
        <v>2015</v>
      </c>
      <c r="H460" s="60" t="s">
        <v>54</v>
      </c>
      <c r="I460" s="60" t="str">
        <f t="shared" si="23"/>
        <v>2015 Cleveland Indians</v>
      </c>
      <c r="J460" s="60">
        <v>5439</v>
      </c>
      <c r="K460" s="60">
        <f t="shared" si="21"/>
        <v>922</v>
      </c>
      <c r="L460" s="60">
        <v>303</v>
      </c>
      <c r="M460" s="60">
        <v>29</v>
      </c>
      <c r="N460" s="60">
        <v>141</v>
      </c>
      <c r="O460" s="60">
        <v>533</v>
      </c>
      <c r="P460" s="60">
        <v>39</v>
      </c>
      <c r="Q460" s="60">
        <f t="shared" si="22"/>
        <v>3472</v>
      </c>
      <c r="R460">
        <v>640</v>
      </c>
      <c r="S460">
        <v>34</v>
      </c>
      <c r="T460">
        <v>1157</v>
      </c>
      <c r="U460">
        <v>47</v>
      </c>
      <c r="V460">
        <v>50</v>
      </c>
      <c r="W460">
        <v>1</v>
      </c>
      <c r="X460">
        <v>54</v>
      </c>
      <c r="Y460">
        <v>134</v>
      </c>
      <c r="Z460">
        <v>86</v>
      </c>
      <c r="AA460">
        <v>28</v>
      </c>
      <c r="AB460">
        <v>0.25600000000000001</v>
      </c>
      <c r="AC460">
        <v>0.32500000000000001</v>
      </c>
      <c r="AD460">
        <v>0.40100000000000002</v>
      </c>
    </row>
    <row r="461" spans="1:30" x14ac:dyDescent="0.5">
      <c r="A461" s="35">
        <v>2015</v>
      </c>
      <c r="B461" t="s">
        <v>57</v>
      </c>
      <c r="C461" t="s">
        <v>38</v>
      </c>
      <c r="D461">
        <v>162</v>
      </c>
      <c r="E461">
        <v>737</v>
      </c>
      <c r="F461">
        <v>1479</v>
      </c>
      <c r="G461" s="60">
        <v>2015</v>
      </c>
      <c r="H461" s="60" t="s">
        <v>56</v>
      </c>
      <c r="I461" s="60" t="str">
        <f t="shared" si="23"/>
        <v>2015 Colorado Rockies</v>
      </c>
      <c r="J461" s="60">
        <v>5572</v>
      </c>
      <c r="K461" s="60">
        <f t="shared" si="21"/>
        <v>970</v>
      </c>
      <c r="L461" s="60">
        <v>274</v>
      </c>
      <c r="M461" s="60">
        <v>49</v>
      </c>
      <c r="N461" s="60">
        <v>186</v>
      </c>
      <c r="O461" s="60">
        <v>388</v>
      </c>
      <c r="P461" s="60">
        <v>33</v>
      </c>
      <c r="Q461" s="60">
        <f t="shared" si="22"/>
        <v>3672</v>
      </c>
      <c r="R461">
        <v>702</v>
      </c>
      <c r="S461">
        <v>47</v>
      </c>
      <c r="T461">
        <v>1283</v>
      </c>
      <c r="U461">
        <v>44</v>
      </c>
      <c r="V461">
        <v>34</v>
      </c>
      <c r="W461">
        <v>0</v>
      </c>
      <c r="X461">
        <v>64</v>
      </c>
      <c r="Y461">
        <v>114</v>
      </c>
      <c r="Z461">
        <v>97</v>
      </c>
      <c r="AA461">
        <v>43</v>
      </c>
      <c r="AB461">
        <v>0.26500000000000001</v>
      </c>
      <c r="AC461">
        <v>0.315</v>
      </c>
      <c r="AD461">
        <v>0.432</v>
      </c>
    </row>
    <row r="462" spans="1:30" x14ac:dyDescent="0.5">
      <c r="A462" s="35">
        <v>2015</v>
      </c>
      <c r="B462" t="s">
        <v>59</v>
      </c>
      <c r="C462" t="s">
        <v>149</v>
      </c>
      <c r="D462">
        <v>161</v>
      </c>
      <c r="E462">
        <v>689</v>
      </c>
      <c r="F462">
        <v>1515</v>
      </c>
      <c r="G462" s="60">
        <v>2015</v>
      </c>
      <c r="H462" s="60" t="s">
        <v>58</v>
      </c>
      <c r="I462" s="60" t="str">
        <f t="shared" si="23"/>
        <v>2015 Detroit Tigers</v>
      </c>
      <c r="J462" s="60">
        <v>5605</v>
      </c>
      <c r="K462" s="60">
        <f t="shared" si="21"/>
        <v>1026</v>
      </c>
      <c r="L462" s="60">
        <v>289</v>
      </c>
      <c r="M462" s="60">
        <v>49</v>
      </c>
      <c r="N462" s="60">
        <v>151</v>
      </c>
      <c r="O462" s="60">
        <v>455</v>
      </c>
      <c r="P462" s="60">
        <v>41</v>
      </c>
      <c r="Q462" s="60">
        <f t="shared" si="22"/>
        <v>3594</v>
      </c>
      <c r="R462">
        <v>660</v>
      </c>
      <c r="S462">
        <v>36</v>
      </c>
      <c r="T462">
        <v>1259</v>
      </c>
      <c r="U462">
        <v>23</v>
      </c>
      <c r="V462">
        <v>35</v>
      </c>
      <c r="W462">
        <v>0</v>
      </c>
      <c r="X462">
        <v>51</v>
      </c>
      <c r="Y462">
        <v>152</v>
      </c>
      <c r="Z462">
        <v>83</v>
      </c>
      <c r="AA462">
        <v>51</v>
      </c>
      <c r="AB462">
        <v>0.27</v>
      </c>
      <c r="AC462">
        <v>0.32800000000000001</v>
      </c>
      <c r="AD462">
        <v>0.42</v>
      </c>
    </row>
    <row r="463" spans="1:30" x14ac:dyDescent="0.5">
      <c r="A463" s="35">
        <v>2015</v>
      </c>
      <c r="B463" t="s">
        <v>63</v>
      </c>
      <c r="C463" t="s">
        <v>149</v>
      </c>
      <c r="D463">
        <v>162</v>
      </c>
      <c r="E463">
        <v>729</v>
      </c>
      <c r="F463">
        <v>1363</v>
      </c>
      <c r="G463" s="60">
        <v>2015</v>
      </c>
      <c r="H463" s="60" t="s">
        <v>60</v>
      </c>
      <c r="I463" s="60" t="str">
        <f t="shared" si="23"/>
        <v>2015 Florida Marlins</v>
      </c>
      <c r="J463" s="60">
        <v>5459</v>
      </c>
      <c r="K463" s="60">
        <f t="shared" si="21"/>
        <v>829</v>
      </c>
      <c r="L463" s="60">
        <v>278</v>
      </c>
      <c r="M463" s="60">
        <v>26</v>
      </c>
      <c r="N463" s="60">
        <v>230</v>
      </c>
      <c r="O463" s="60">
        <v>486</v>
      </c>
      <c r="P463" s="60">
        <v>56</v>
      </c>
      <c r="Q463" s="60">
        <f t="shared" si="22"/>
        <v>3554</v>
      </c>
      <c r="R463">
        <v>691</v>
      </c>
      <c r="S463">
        <v>22</v>
      </c>
      <c r="T463">
        <v>1392</v>
      </c>
      <c r="U463">
        <v>28</v>
      </c>
      <c r="V463">
        <v>43</v>
      </c>
      <c r="W463">
        <v>1</v>
      </c>
      <c r="X463">
        <v>64</v>
      </c>
      <c r="Y463">
        <v>102</v>
      </c>
      <c r="Z463">
        <v>121</v>
      </c>
      <c r="AA463">
        <v>48</v>
      </c>
      <c r="AB463">
        <v>0.25</v>
      </c>
      <c r="AC463">
        <v>0.315</v>
      </c>
      <c r="AD463">
        <v>0.437</v>
      </c>
    </row>
    <row r="464" spans="1:30" x14ac:dyDescent="0.5">
      <c r="A464" s="35">
        <v>2015</v>
      </c>
      <c r="B464" t="s">
        <v>150</v>
      </c>
      <c r="C464" t="s">
        <v>149</v>
      </c>
      <c r="D464">
        <v>162</v>
      </c>
      <c r="E464">
        <v>724</v>
      </c>
      <c r="F464">
        <v>1497</v>
      </c>
      <c r="G464" s="60">
        <v>2015</v>
      </c>
      <c r="H464" s="60" t="s">
        <v>62</v>
      </c>
      <c r="I464" s="60" t="str">
        <f t="shared" si="23"/>
        <v>2015 Houston Astros</v>
      </c>
      <c r="J464" s="60">
        <v>5575</v>
      </c>
      <c r="K464" s="60">
        <f t="shared" si="21"/>
        <v>1016</v>
      </c>
      <c r="L464" s="60">
        <v>300</v>
      </c>
      <c r="M464" s="60">
        <v>42</v>
      </c>
      <c r="N464" s="60">
        <v>139</v>
      </c>
      <c r="O464" s="60">
        <v>383</v>
      </c>
      <c r="P464" s="60">
        <v>77</v>
      </c>
      <c r="Q464" s="60">
        <f t="shared" si="22"/>
        <v>3618</v>
      </c>
      <c r="R464">
        <v>689</v>
      </c>
      <c r="S464">
        <v>28</v>
      </c>
      <c r="T464">
        <v>973</v>
      </c>
      <c r="U464">
        <v>34</v>
      </c>
      <c r="V464">
        <v>47</v>
      </c>
      <c r="W464">
        <v>0</v>
      </c>
      <c r="X464">
        <v>65</v>
      </c>
      <c r="Y464">
        <v>133</v>
      </c>
      <c r="Z464">
        <v>104</v>
      </c>
      <c r="AA464">
        <v>34</v>
      </c>
      <c r="AB464">
        <v>0.26900000000000002</v>
      </c>
      <c r="AC464">
        <v>0.32200000000000001</v>
      </c>
      <c r="AD464">
        <v>0.41199999999999998</v>
      </c>
    </row>
    <row r="465" spans="1:30" x14ac:dyDescent="0.5">
      <c r="A465" s="35">
        <v>2015</v>
      </c>
      <c r="B465" t="s">
        <v>145</v>
      </c>
      <c r="C465" t="s">
        <v>38</v>
      </c>
      <c r="D465">
        <v>162</v>
      </c>
      <c r="E465">
        <v>667</v>
      </c>
      <c r="F465">
        <v>1346</v>
      </c>
      <c r="G465" s="60">
        <v>2015</v>
      </c>
      <c r="H465" s="60" t="s">
        <v>64</v>
      </c>
      <c r="I465" s="60" t="str">
        <f t="shared" si="23"/>
        <v>2015 Kansas City Royals</v>
      </c>
      <c r="J465" s="60">
        <v>5385</v>
      </c>
      <c r="K465" s="60">
        <f t="shared" si="21"/>
        <v>870</v>
      </c>
      <c r="L465" s="60">
        <v>263</v>
      </c>
      <c r="M465" s="60">
        <v>26</v>
      </c>
      <c r="N465" s="60">
        <v>187</v>
      </c>
      <c r="O465" s="60">
        <v>563</v>
      </c>
      <c r="P465" s="60">
        <v>60</v>
      </c>
      <c r="Q465" s="60">
        <f t="shared" si="22"/>
        <v>3416</v>
      </c>
      <c r="R465">
        <v>638</v>
      </c>
      <c r="S465">
        <v>31</v>
      </c>
      <c r="T465">
        <v>1258</v>
      </c>
      <c r="U465">
        <v>49</v>
      </c>
      <c r="V465">
        <v>30</v>
      </c>
      <c r="W465">
        <v>3</v>
      </c>
      <c r="X465">
        <v>41</v>
      </c>
      <c r="Y465">
        <v>135</v>
      </c>
      <c r="Z465">
        <v>59</v>
      </c>
      <c r="AA465">
        <v>34</v>
      </c>
      <c r="AB465">
        <v>0.25</v>
      </c>
      <c r="AC465">
        <v>0.32600000000000001</v>
      </c>
      <c r="AD465">
        <v>0.41299999999999998</v>
      </c>
    </row>
    <row r="466" spans="1:30" x14ac:dyDescent="0.5">
      <c r="A466" s="35">
        <v>2015</v>
      </c>
      <c r="B466" t="s">
        <v>104</v>
      </c>
      <c r="C466" t="s">
        <v>38</v>
      </c>
      <c r="D466">
        <v>162</v>
      </c>
      <c r="E466">
        <v>613</v>
      </c>
      <c r="F466">
        <v>1420</v>
      </c>
      <c r="G466" s="60">
        <v>2015</v>
      </c>
      <c r="H466" s="60" t="s">
        <v>66</v>
      </c>
      <c r="I466" s="60" t="str">
        <f t="shared" si="23"/>
        <v>2015 Los Angeles Dodgers</v>
      </c>
      <c r="J466" s="60">
        <v>5463</v>
      </c>
      <c r="K466" s="60">
        <f t="shared" si="21"/>
        <v>1024</v>
      </c>
      <c r="L466" s="60">
        <v>236</v>
      </c>
      <c r="M466" s="60">
        <v>40</v>
      </c>
      <c r="N466" s="60">
        <v>120</v>
      </c>
      <c r="O466" s="60">
        <v>375</v>
      </c>
      <c r="P466" s="60">
        <v>39</v>
      </c>
      <c r="Q466" s="60">
        <f t="shared" si="22"/>
        <v>3629</v>
      </c>
      <c r="R466">
        <v>575</v>
      </c>
      <c r="S466">
        <v>30</v>
      </c>
      <c r="T466">
        <v>1150</v>
      </c>
      <c r="U466">
        <v>71</v>
      </c>
      <c r="V466">
        <v>40</v>
      </c>
      <c r="W466">
        <v>0</v>
      </c>
      <c r="X466">
        <v>60</v>
      </c>
      <c r="Y466">
        <v>133</v>
      </c>
      <c r="Z466">
        <v>112</v>
      </c>
      <c r="AA466">
        <v>45</v>
      </c>
      <c r="AB466">
        <v>0.26</v>
      </c>
      <c r="AC466">
        <v>0.31</v>
      </c>
      <c r="AD466">
        <v>0.38400000000000001</v>
      </c>
    </row>
    <row r="467" spans="1:30" x14ac:dyDescent="0.5">
      <c r="A467" s="35">
        <v>2015</v>
      </c>
      <c r="B467" t="s">
        <v>69</v>
      </c>
      <c r="C467" t="s">
        <v>38</v>
      </c>
      <c r="D467">
        <v>162</v>
      </c>
      <c r="E467">
        <v>655</v>
      </c>
      <c r="F467">
        <v>1378</v>
      </c>
      <c r="G467" s="60">
        <v>2015</v>
      </c>
      <c r="H467" s="60" t="s">
        <v>68</v>
      </c>
      <c r="I467" s="60" t="str">
        <f t="shared" si="23"/>
        <v>2015 Milwaukee Brewers</v>
      </c>
      <c r="J467" s="60">
        <v>5480</v>
      </c>
      <c r="K467" s="60">
        <f t="shared" si="21"/>
        <v>925</v>
      </c>
      <c r="L467" s="60">
        <v>274</v>
      </c>
      <c r="M467" s="60">
        <v>34</v>
      </c>
      <c r="N467" s="60">
        <v>145</v>
      </c>
      <c r="O467" s="60">
        <v>412</v>
      </c>
      <c r="P467" s="60">
        <v>41</v>
      </c>
      <c r="Q467" s="60">
        <f t="shared" si="22"/>
        <v>3649</v>
      </c>
      <c r="R467">
        <v>624</v>
      </c>
      <c r="S467">
        <v>35</v>
      </c>
      <c r="T467">
        <v>1299</v>
      </c>
      <c r="U467">
        <v>55</v>
      </c>
      <c r="V467">
        <v>34</v>
      </c>
      <c r="W467">
        <v>2</v>
      </c>
      <c r="X467">
        <v>62</v>
      </c>
      <c r="Y467">
        <v>130</v>
      </c>
      <c r="Z467">
        <v>84</v>
      </c>
      <c r="AA467">
        <v>29</v>
      </c>
      <c r="AB467">
        <v>0.251</v>
      </c>
      <c r="AC467">
        <v>0.307</v>
      </c>
      <c r="AD467">
        <v>0.39300000000000002</v>
      </c>
    </row>
    <row r="468" spans="1:30" x14ac:dyDescent="0.5">
      <c r="A468" s="35">
        <v>2015</v>
      </c>
      <c r="B468" t="s">
        <v>71</v>
      </c>
      <c r="C468" t="s">
        <v>149</v>
      </c>
      <c r="D468">
        <v>162</v>
      </c>
      <c r="E468">
        <v>696</v>
      </c>
      <c r="F468">
        <v>1349</v>
      </c>
      <c r="G468" s="60">
        <v>2015</v>
      </c>
      <c r="H468" s="60" t="s">
        <v>70</v>
      </c>
      <c r="I468" s="60" t="str">
        <f t="shared" si="23"/>
        <v>2015 Minnesota Twins</v>
      </c>
      <c r="J468" s="60">
        <v>5467</v>
      </c>
      <c r="K468" s="60">
        <f t="shared" si="21"/>
        <v>872</v>
      </c>
      <c r="L468" s="60">
        <v>277</v>
      </c>
      <c r="M468" s="60">
        <v>44</v>
      </c>
      <c r="N468" s="60">
        <v>156</v>
      </c>
      <c r="O468" s="60">
        <v>439</v>
      </c>
      <c r="P468" s="60">
        <v>40</v>
      </c>
      <c r="Q468" s="60">
        <f t="shared" si="22"/>
        <v>3639</v>
      </c>
      <c r="R468">
        <v>661</v>
      </c>
      <c r="S468">
        <v>31</v>
      </c>
      <c r="T468">
        <v>1264</v>
      </c>
      <c r="U468">
        <v>30</v>
      </c>
      <c r="V468">
        <v>41</v>
      </c>
      <c r="W468">
        <v>0</v>
      </c>
      <c r="X468">
        <v>78</v>
      </c>
      <c r="Y468">
        <v>133</v>
      </c>
      <c r="Z468">
        <v>70</v>
      </c>
      <c r="AA468">
        <v>38</v>
      </c>
      <c r="AB468">
        <v>0.247</v>
      </c>
      <c r="AC468">
        <v>0.30499999999999999</v>
      </c>
      <c r="AD468">
        <v>0.39900000000000002</v>
      </c>
    </row>
    <row r="469" spans="1:30" x14ac:dyDescent="0.5">
      <c r="A469" s="35">
        <v>2015</v>
      </c>
      <c r="B469" t="s">
        <v>144</v>
      </c>
      <c r="C469" t="s">
        <v>38</v>
      </c>
      <c r="D469">
        <v>162</v>
      </c>
      <c r="E469">
        <v>683</v>
      </c>
      <c r="F469">
        <v>1351</v>
      </c>
      <c r="G469" s="60">
        <v>2015</v>
      </c>
      <c r="H469" s="60" t="s">
        <v>76</v>
      </c>
      <c r="I469" s="60" t="str">
        <f t="shared" si="23"/>
        <v>2015 New York Mets</v>
      </c>
      <c r="J469" s="60">
        <v>5527</v>
      </c>
      <c r="K469" s="60">
        <f t="shared" si="21"/>
        <v>862</v>
      </c>
      <c r="L469" s="60">
        <v>295</v>
      </c>
      <c r="M469" s="60">
        <v>17</v>
      </c>
      <c r="N469" s="60">
        <v>177</v>
      </c>
      <c r="O469" s="60">
        <v>488</v>
      </c>
      <c r="P469" s="60">
        <v>68</v>
      </c>
      <c r="Q469" s="60">
        <f t="shared" si="22"/>
        <v>3620</v>
      </c>
      <c r="R469">
        <v>654</v>
      </c>
      <c r="S469">
        <v>42</v>
      </c>
      <c r="T469">
        <v>1290</v>
      </c>
      <c r="U469">
        <v>29</v>
      </c>
      <c r="V469">
        <v>32</v>
      </c>
      <c r="W469">
        <v>1</v>
      </c>
      <c r="X469">
        <v>67</v>
      </c>
      <c r="Y469">
        <v>130</v>
      </c>
      <c r="Z469">
        <v>51</v>
      </c>
      <c r="AA469">
        <v>25</v>
      </c>
      <c r="AB469">
        <v>0.24399999999999999</v>
      </c>
      <c r="AC469">
        <v>0.312</v>
      </c>
      <c r="AD469">
        <v>0.4</v>
      </c>
    </row>
    <row r="470" spans="1:30" x14ac:dyDescent="0.5">
      <c r="A470" s="35">
        <v>2015</v>
      </c>
      <c r="B470" t="s">
        <v>144</v>
      </c>
      <c r="C470" t="s">
        <v>149</v>
      </c>
      <c r="D470">
        <v>162</v>
      </c>
      <c r="E470">
        <v>764</v>
      </c>
      <c r="F470">
        <v>1397</v>
      </c>
      <c r="G470" s="60">
        <v>2015</v>
      </c>
      <c r="H470" s="60" t="s">
        <v>74</v>
      </c>
      <c r="I470" s="60" t="str">
        <f t="shared" si="23"/>
        <v>2015 New York Yankees</v>
      </c>
      <c r="J470" s="60">
        <v>5567</v>
      </c>
      <c r="K470" s="60">
        <f t="shared" si="21"/>
        <v>894</v>
      </c>
      <c r="L470" s="60">
        <v>272</v>
      </c>
      <c r="M470" s="60">
        <v>19</v>
      </c>
      <c r="N470" s="60">
        <v>212</v>
      </c>
      <c r="O470" s="60">
        <v>554</v>
      </c>
      <c r="P470" s="60">
        <v>63</v>
      </c>
      <c r="Q470" s="60">
        <f t="shared" si="22"/>
        <v>3553</v>
      </c>
      <c r="R470">
        <v>737</v>
      </c>
      <c r="S470">
        <v>23</v>
      </c>
      <c r="T470">
        <v>1227</v>
      </c>
      <c r="U470">
        <v>24</v>
      </c>
      <c r="V470">
        <v>54</v>
      </c>
      <c r="W470">
        <v>6</v>
      </c>
      <c r="X470">
        <v>68</v>
      </c>
      <c r="Y470">
        <v>105</v>
      </c>
      <c r="Z470">
        <v>63</v>
      </c>
      <c r="AA470">
        <v>25</v>
      </c>
      <c r="AB470">
        <v>0.251</v>
      </c>
      <c r="AC470">
        <v>0.32300000000000001</v>
      </c>
      <c r="AD470">
        <v>0.42099999999999999</v>
      </c>
    </row>
    <row r="471" spans="1:30" x14ac:dyDescent="0.5">
      <c r="A471" s="35">
        <v>2015</v>
      </c>
      <c r="B471" t="s">
        <v>79</v>
      </c>
      <c r="C471" t="s">
        <v>149</v>
      </c>
      <c r="D471">
        <v>162</v>
      </c>
      <c r="E471">
        <v>694</v>
      </c>
      <c r="F471">
        <v>1405</v>
      </c>
      <c r="G471" s="60">
        <v>2015</v>
      </c>
      <c r="H471" s="60" t="s">
        <v>78</v>
      </c>
      <c r="I471" s="60" t="str">
        <f t="shared" si="23"/>
        <v>2015 Oakland Athletics</v>
      </c>
      <c r="J471" s="60">
        <v>5600</v>
      </c>
      <c r="K471" s="60">
        <f t="shared" si="21"/>
        <v>936</v>
      </c>
      <c r="L471" s="60">
        <v>277</v>
      </c>
      <c r="M471" s="60">
        <v>46</v>
      </c>
      <c r="N471" s="60">
        <v>146</v>
      </c>
      <c r="O471" s="60">
        <v>475</v>
      </c>
      <c r="P471" s="60">
        <v>40</v>
      </c>
      <c r="Q471" s="60">
        <f t="shared" si="22"/>
        <v>3680</v>
      </c>
      <c r="R471">
        <v>661</v>
      </c>
      <c r="S471">
        <v>21</v>
      </c>
      <c r="T471">
        <v>1119</v>
      </c>
      <c r="U471">
        <v>14</v>
      </c>
      <c r="V471">
        <v>38</v>
      </c>
      <c r="W471">
        <v>4</v>
      </c>
      <c r="X471">
        <v>76</v>
      </c>
      <c r="Y471">
        <v>124</v>
      </c>
      <c r="Z471">
        <v>78</v>
      </c>
      <c r="AA471">
        <v>29</v>
      </c>
      <c r="AB471">
        <v>0.251</v>
      </c>
      <c r="AC471">
        <v>0.312</v>
      </c>
      <c r="AD471">
        <v>0.39500000000000002</v>
      </c>
    </row>
    <row r="472" spans="1:30" x14ac:dyDescent="0.5">
      <c r="A472" s="35">
        <v>2015</v>
      </c>
      <c r="B472" t="s">
        <v>81</v>
      </c>
      <c r="C472" t="s">
        <v>38</v>
      </c>
      <c r="D472">
        <v>162</v>
      </c>
      <c r="E472">
        <v>626</v>
      </c>
      <c r="F472">
        <v>1374</v>
      </c>
      <c r="G472" s="60">
        <v>2015</v>
      </c>
      <c r="H472" s="60" t="s">
        <v>80</v>
      </c>
      <c r="I472" s="60" t="str">
        <f t="shared" si="23"/>
        <v>2015 Philadelphia Phillies</v>
      </c>
      <c r="J472" s="60">
        <v>5529</v>
      </c>
      <c r="K472" s="60">
        <f t="shared" si="21"/>
        <v>935</v>
      </c>
      <c r="L472" s="60">
        <v>272</v>
      </c>
      <c r="M472" s="60">
        <v>37</v>
      </c>
      <c r="N472" s="60">
        <v>130</v>
      </c>
      <c r="O472" s="60">
        <v>387</v>
      </c>
      <c r="P472" s="60">
        <v>54</v>
      </c>
      <c r="Q472" s="60">
        <f t="shared" si="22"/>
        <v>3714</v>
      </c>
      <c r="R472">
        <v>586</v>
      </c>
      <c r="S472">
        <v>20</v>
      </c>
      <c r="T472">
        <v>1274</v>
      </c>
      <c r="U472">
        <v>53</v>
      </c>
      <c r="V472">
        <v>29</v>
      </c>
      <c r="W472">
        <v>1</v>
      </c>
      <c r="X472">
        <v>79</v>
      </c>
      <c r="Y472">
        <v>119</v>
      </c>
      <c r="Z472">
        <v>88</v>
      </c>
      <c r="AA472">
        <v>32</v>
      </c>
      <c r="AB472">
        <v>0.249</v>
      </c>
      <c r="AC472">
        <v>0.30299999999999999</v>
      </c>
      <c r="AD472">
        <v>0.38200000000000001</v>
      </c>
    </row>
    <row r="473" spans="1:30" x14ac:dyDescent="0.5">
      <c r="A473" s="35">
        <v>2015</v>
      </c>
      <c r="B473" t="s">
        <v>83</v>
      </c>
      <c r="C473" t="s">
        <v>38</v>
      </c>
      <c r="D473">
        <v>162</v>
      </c>
      <c r="E473">
        <v>697</v>
      </c>
      <c r="F473">
        <v>1462</v>
      </c>
      <c r="G473" s="60">
        <v>2015</v>
      </c>
      <c r="H473" s="60" t="s">
        <v>82</v>
      </c>
      <c r="I473" s="60" t="str">
        <f t="shared" si="23"/>
        <v>2015 Pittsburgh Pirates</v>
      </c>
      <c r="J473" s="60">
        <v>5631</v>
      </c>
      <c r="K473" s="60">
        <f t="shared" si="21"/>
        <v>1003</v>
      </c>
      <c r="L473" s="60">
        <v>292</v>
      </c>
      <c r="M473" s="60">
        <v>27</v>
      </c>
      <c r="N473" s="60">
        <v>140</v>
      </c>
      <c r="O473" s="60">
        <v>461</v>
      </c>
      <c r="P473" s="60">
        <v>89</v>
      </c>
      <c r="Q473" s="60">
        <f t="shared" si="22"/>
        <v>3619</v>
      </c>
      <c r="R473">
        <v>661</v>
      </c>
      <c r="S473">
        <v>46</v>
      </c>
      <c r="T473">
        <v>1322</v>
      </c>
      <c r="U473">
        <v>63</v>
      </c>
      <c r="V473">
        <v>41</v>
      </c>
      <c r="W473">
        <v>0</v>
      </c>
      <c r="X473">
        <v>66</v>
      </c>
      <c r="Y473">
        <v>115</v>
      </c>
      <c r="Z473">
        <v>98</v>
      </c>
      <c r="AA473">
        <v>45</v>
      </c>
      <c r="AB473">
        <v>0.26</v>
      </c>
      <c r="AC473">
        <v>0.32300000000000001</v>
      </c>
      <c r="AD473">
        <v>0.39600000000000002</v>
      </c>
    </row>
    <row r="474" spans="1:30" x14ac:dyDescent="0.5">
      <c r="A474" s="35">
        <v>2015</v>
      </c>
      <c r="B474" t="s">
        <v>147</v>
      </c>
      <c r="C474" t="s">
        <v>38</v>
      </c>
      <c r="D474">
        <v>162</v>
      </c>
      <c r="E474">
        <v>650</v>
      </c>
      <c r="F474">
        <v>1324</v>
      </c>
      <c r="G474" s="60">
        <v>2015</v>
      </c>
      <c r="H474" s="60" t="s">
        <v>84</v>
      </c>
      <c r="I474" s="60" t="str">
        <f t="shared" si="23"/>
        <v>2015 San Diego Padres</v>
      </c>
      <c r="J474" s="60">
        <v>5457</v>
      </c>
      <c r="K474" s="60">
        <f t="shared" si="21"/>
        <v>880</v>
      </c>
      <c r="L474" s="60">
        <v>260</v>
      </c>
      <c r="M474" s="60">
        <v>36</v>
      </c>
      <c r="N474" s="60">
        <v>148</v>
      </c>
      <c r="O474" s="60">
        <v>426</v>
      </c>
      <c r="P474" s="60">
        <v>40</v>
      </c>
      <c r="Q474" s="60">
        <f t="shared" si="22"/>
        <v>3667</v>
      </c>
      <c r="R474">
        <v>623</v>
      </c>
      <c r="S474">
        <v>22</v>
      </c>
      <c r="T474">
        <v>1327</v>
      </c>
      <c r="U474">
        <v>52</v>
      </c>
      <c r="V474">
        <v>42</v>
      </c>
      <c r="W474">
        <v>2</v>
      </c>
      <c r="X474">
        <v>79</v>
      </c>
      <c r="Y474">
        <v>108</v>
      </c>
      <c r="Z474">
        <v>82</v>
      </c>
      <c r="AA474">
        <v>29</v>
      </c>
      <c r="AB474">
        <v>0.24299999999999999</v>
      </c>
      <c r="AC474">
        <v>0.3</v>
      </c>
      <c r="AD474">
        <v>0.38500000000000001</v>
      </c>
    </row>
    <row r="475" spans="1:30" x14ac:dyDescent="0.5">
      <c r="A475" s="35">
        <v>2015</v>
      </c>
      <c r="B475" t="s">
        <v>87</v>
      </c>
      <c r="C475" t="s">
        <v>149</v>
      </c>
      <c r="D475">
        <v>162</v>
      </c>
      <c r="E475">
        <v>656</v>
      </c>
      <c r="F475">
        <v>1379</v>
      </c>
      <c r="G475" s="60">
        <v>2015</v>
      </c>
      <c r="H475" s="60" t="s">
        <v>86</v>
      </c>
      <c r="I475" s="60" t="str">
        <f t="shared" si="23"/>
        <v>2015 Seattle Mariners</v>
      </c>
      <c r="J475" s="60">
        <v>5544</v>
      </c>
      <c r="K475" s="60">
        <f t="shared" si="21"/>
        <v>897</v>
      </c>
      <c r="L475" s="60">
        <v>262</v>
      </c>
      <c r="M475" s="60">
        <v>22</v>
      </c>
      <c r="N475" s="60">
        <v>198</v>
      </c>
      <c r="O475" s="60">
        <v>478</v>
      </c>
      <c r="P475" s="60">
        <v>36</v>
      </c>
      <c r="Q475" s="60">
        <f t="shared" si="22"/>
        <v>3651</v>
      </c>
      <c r="R475">
        <v>624</v>
      </c>
      <c r="S475">
        <v>31</v>
      </c>
      <c r="T475">
        <v>1336</v>
      </c>
      <c r="U475">
        <v>38</v>
      </c>
      <c r="V475">
        <v>35</v>
      </c>
      <c r="W475">
        <v>0</v>
      </c>
      <c r="X475">
        <v>68</v>
      </c>
      <c r="Y475">
        <v>123</v>
      </c>
      <c r="Z475">
        <v>69</v>
      </c>
      <c r="AA475">
        <v>45</v>
      </c>
      <c r="AB475">
        <v>0.249</v>
      </c>
      <c r="AC475">
        <v>0.311</v>
      </c>
      <c r="AD475">
        <v>0.41099999999999998</v>
      </c>
    </row>
    <row r="476" spans="1:30" x14ac:dyDescent="0.5">
      <c r="A476" s="35">
        <v>2015</v>
      </c>
      <c r="B476" t="s">
        <v>21</v>
      </c>
      <c r="C476" t="s">
        <v>38</v>
      </c>
      <c r="D476">
        <v>162</v>
      </c>
      <c r="E476">
        <v>696</v>
      </c>
      <c r="F476">
        <v>1486</v>
      </c>
      <c r="G476" s="60">
        <v>2015</v>
      </c>
      <c r="H476" s="60" t="s">
        <v>88</v>
      </c>
      <c r="I476" s="60" t="str">
        <f t="shared" si="23"/>
        <v>2015 San Francisco Giants</v>
      </c>
      <c r="J476" s="60">
        <v>5565</v>
      </c>
      <c r="K476" s="60">
        <f t="shared" si="21"/>
        <v>1023</v>
      </c>
      <c r="L476" s="60">
        <v>288</v>
      </c>
      <c r="M476" s="60">
        <v>39</v>
      </c>
      <c r="N476" s="60">
        <v>136</v>
      </c>
      <c r="O476" s="60">
        <v>457</v>
      </c>
      <c r="P476" s="60">
        <v>49</v>
      </c>
      <c r="Q476" s="60">
        <f t="shared" si="22"/>
        <v>3573</v>
      </c>
      <c r="R476">
        <v>663</v>
      </c>
      <c r="S476">
        <v>30</v>
      </c>
      <c r="T476">
        <v>1159</v>
      </c>
      <c r="U476">
        <v>45</v>
      </c>
      <c r="V476">
        <v>37</v>
      </c>
      <c r="W476">
        <v>0</v>
      </c>
      <c r="X476">
        <v>58</v>
      </c>
      <c r="Y476">
        <v>142</v>
      </c>
      <c r="Z476">
        <v>93</v>
      </c>
      <c r="AA476">
        <v>36</v>
      </c>
      <c r="AB476">
        <v>0.26700000000000002</v>
      </c>
      <c r="AC476">
        <v>0.32600000000000001</v>
      </c>
      <c r="AD476">
        <v>0.40600000000000003</v>
      </c>
    </row>
    <row r="477" spans="1:30" x14ac:dyDescent="0.5">
      <c r="A477" s="35">
        <v>2015</v>
      </c>
      <c r="B477" t="s">
        <v>142</v>
      </c>
      <c r="C477" t="s">
        <v>38</v>
      </c>
      <c r="D477">
        <v>162</v>
      </c>
      <c r="E477">
        <v>647</v>
      </c>
      <c r="F477">
        <v>1386</v>
      </c>
      <c r="G477" s="60">
        <v>2015</v>
      </c>
      <c r="H477" s="60" t="s">
        <v>90</v>
      </c>
      <c r="I477" s="60" t="str">
        <f t="shared" si="23"/>
        <v>2015 St. Louis Cardinals</v>
      </c>
      <c r="J477" s="60">
        <v>5484</v>
      </c>
      <c r="K477" s="60">
        <f t="shared" si="21"/>
        <v>922</v>
      </c>
      <c r="L477" s="60">
        <v>288</v>
      </c>
      <c r="M477" s="60">
        <v>39</v>
      </c>
      <c r="N477" s="60">
        <v>137</v>
      </c>
      <c r="O477" s="60">
        <v>506</v>
      </c>
      <c r="P477" s="60">
        <v>66</v>
      </c>
      <c r="Q477" s="60">
        <f t="shared" si="22"/>
        <v>3526</v>
      </c>
      <c r="R477">
        <v>619</v>
      </c>
      <c r="S477">
        <v>47</v>
      </c>
      <c r="T477">
        <v>1267</v>
      </c>
      <c r="U477">
        <v>39</v>
      </c>
      <c r="V477">
        <v>42</v>
      </c>
      <c r="W477">
        <v>2</v>
      </c>
      <c r="X477">
        <v>64</v>
      </c>
      <c r="Y477">
        <v>128</v>
      </c>
      <c r="Z477">
        <v>69</v>
      </c>
      <c r="AA477">
        <v>38</v>
      </c>
      <c r="AB477">
        <v>0.253</v>
      </c>
      <c r="AC477">
        <v>0.32100000000000001</v>
      </c>
      <c r="AD477">
        <v>0.39400000000000002</v>
      </c>
    </row>
    <row r="478" spans="1:30" x14ac:dyDescent="0.5">
      <c r="A478" s="35">
        <v>2015</v>
      </c>
      <c r="B478" t="s">
        <v>151</v>
      </c>
      <c r="C478" t="s">
        <v>149</v>
      </c>
      <c r="D478">
        <v>162</v>
      </c>
      <c r="E478">
        <v>644</v>
      </c>
      <c r="F478">
        <v>1383</v>
      </c>
      <c r="G478" s="60">
        <v>2015</v>
      </c>
      <c r="H478" s="60" t="s">
        <v>92</v>
      </c>
      <c r="I478" s="60" t="str">
        <f t="shared" si="23"/>
        <v>2015 Tampa Bay Devil Rays</v>
      </c>
      <c r="J478" s="60">
        <v>5485</v>
      </c>
      <c r="K478" s="60">
        <f t="shared" si="21"/>
        <v>906</v>
      </c>
      <c r="L478" s="60">
        <v>278</v>
      </c>
      <c r="M478" s="60">
        <v>32</v>
      </c>
      <c r="N478" s="60">
        <v>167</v>
      </c>
      <c r="O478" s="60">
        <v>436</v>
      </c>
      <c r="P478" s="60">
        <v>84</v>
      </c>
      <c r="Q478" s="60">
        <f t="shared" si="22"/>
        <v>3582</v>
      </c>
      <c r="R478">
        <v>612</v>
      </c>
      <c r="S478">
        <v>22</v>
      </c>
      <c r="T478">
        <v>1310</v>
      </c>
      <c r="U478">
        <v>19</v>
      </c>
      <c r="V478">
        <v>47</v>
      </c>
      <c r="W478">
        <v>0</v>
      </c>
      <c r="X478">
        <v>48</v>
      </c>
      <c r="Y478">
        <v>121</v>
      </c>
      <c r="Z478">
        <v>87</v>
      </c>
      <c r="AA478">
        <v>45</v>
      </c>
      <c r="AB478">
        <v>0.252</v>
      </c>
      <c r="AC478">
        <v>0.314</v>
      </c>
      <c r="AD478">
        <v>0.40600000000000003</v>
      </c>
    </row>
    <row r="479" spans="1:30" x14ac:dyDescent="0.5">
      <c r="A479" s="35">
        <v>2015</v>
      </c>
      <c r="B479" t="s">
        <v>95</v>
      </c>
      <c r="C479" t="s">
        <v>149</v>
      </c>
      <c r="D479">
        <v>162</v>
      </c>
      <c r="E479">
        <v>751</v>
      </c>
      <c r="F479">
        <v>1419</v>
      </c>
      <c r="G479" s="60">
        <v>2015</v>
      </c>
      <c r="H479" s="60" t="s">
        <v>94</v>
      </c>
      <c r="I479" s="60" t="str">
        <f t="shared" si="23"/>
        <v>2015 Texas Rangers</v>
      </c>
      <c r="J479" s="60">
        <v>5511</v>
      </c>
      <c r="K479" s="60">
        <f t="shared" si="21"/>
        <v>936</v>
      </c>
      <c r="L479" s="60">
        <v>279</v>
      </c>
      <c r="M479" s="60">
        <v>32</v>
      </c>
      <c r="N479" s="60">
        <v>172</v>
      </c>
      <c r="O479" s="60">
        <v>503</v>
      </c>
      <c r="P479" s="60">
        <v>76</v>
      </c>
      <c r="Q479" s="60">
        <f t="shared" si="22"/>
        <v>3513</v>
      </c>
      <c r="R479">
        <v>707</v>
      </c>
      <c r="S479">
        <v>32</v>
      </c>
      <c r="T479">
        <v>1233</v>
      </c>
      <c r="U479">
        <v>43</v>
      </c>
      <c r="V479">
        <v>54</v>
      </c>
      <c r="W479">
        <v>0</v>
      </c>
      <c r="X479">
        <v>77</v>
      </c>
      <c r="Y479">
        <v>99</v>
      </c>
      <c r="Z479">
        <v>101</v>
      </c>
      <c r="AA479">
        <v>39</v>
      </c>
      <c r="AB479">
        <v>0.25700000000000001</v>
      </c>
      <c r="AC479">
        <v>0.32500000000000001</v>
      </c>
      <c r="AD479">
        <v>0.41299999999999998</v>
      </c>
    </row>
    <row r="480" spans="1:30" x14ac:dyDescent="0.5">
      <c r="A480" s="35">
        <v>2015</v>
      </c>
      <c r="B480" t="s">
        <v>97</v>
      </c>
      <c r="C480" t="s">
        <v>149</v>
      </c>
      <c r="D480">
        <v>162</v>
      </c>
      <c r="E480">
        <v>891</v>
      </c>
      <c r="F480">
        <v>1480</v>
      </c>
      <c r="G480" s="60">
        <v>2015</v>
      </c>
      <c r="H480" s="60" t="s">
        <v>96</v>
      </c>
      <c r="I480" s="60" t="str">
        <f t="shared" si="23"/>
        <v>2015 Toronto Blue Jays</v>
      </c>
      <c r="J480" s="60">
        <v>5509</v>
      </c>
      <c r="K480" s="60">
        <f t="shared" si="21"/>
        <v>923</v>
      </c>
      <c r="L480" s="60">
        <v>308</v>
      </c>
      <c r="M480" s="60">
        <v>17</v>
      </c>
      <c r="N480" s="60">
        <v>232</v>
      </c>
      <c r="O480" s="60">
        <v>570</v>
      </c>
      <c r="P480" s="60">
        <v>54</v>
      </c>
      <c r="Q480" s="60">
        <f t="shared" si="22"/>
        <v>3405</v>
      </c>
      <c r="R480">
        <v>852</v>
      </c>
      <c r="S480">
        <v>12</v>
      </c>
      <c r="T480">
        <v>1151</v>
      </c>
      <c r="U480">
        <v>36</v>
      </c>
      <c r="V480">
        <v>62</v>
      </c>
      <c r="W480">
        <v>1</v>
      </c>
      <c r="X480">
        <v>54</v>
      </c>
      <c r="Y480">
        <v>140</v>
      </c>
      <c r="Z480">
        <v>88</v>
      </c>
      <c r="AA480">
        <v>23</v>
      </c>
      <c r="AB480">
        <v>0.26900000000000002</v>
      </c>
      <c r="AC480">
        <v>0.34</v>
      </c>
      <c r="AD480">
        <v>0.45700000000000002</v>
      </c>
    </row>
    <row r="481" spans="1:30" x14ac:dyDescent="0.5">
      <c r="A481" s="35">
        <v>2015</v>
      </c>
      <c r="B481" t="s">
        <v>101</v>
      </c>
      <c r="C481" t="s">
        <v>38</v>
      </c>
      <c r="D481">
        <v>162</v>
      </c>
      <c r="E481">
        <v>703</v>
      </c>
      <c r="F481">
        <v>1363</v>
      </c>
      <c r="G481" s="60">
        <v>2015</v>
      </c>
      <c r="H481" s="60" t="s">
        <v>100</v>
      </c>
      <c r="I481" s="60" t="str">
        <f t="shared" si="23"/>
        <v>2015 Washington Nationals</v>
      </c>
      <c r="J481" s="60">
        <v>5428</v>
      </c>
      <c r="K481" s="60">
        <f t="shared" si="21"/>
        <v>908</v>
      </c>
      <c r="L481" s="60">
        <v>265</v>
      </c>
      <c r="M481" s="60">
        <v>13</v>
      </c>
      <c r="N481" s="60">
        <v>177</v>
      </c>
      <c r="O481" s="60">
        <v>539</v>
      </c>
      <c r="P481" s="60">
        <v>44</v>
      </c>
      <c r="Q481" s="60">
        <f t="shared" si="22"/>
        <v>3482</v>
      </c>
      <c r="R481">
        <v>665</v>
      </c>
      <c r="S481">
        <v>38</v>
      </c>
      <c r="T481">
        <v>1344</v>
      </c>
      <c r="U481">
        <v>55</v>
      </c>
      <c r="V481">
        <v>51</v>
      </c>
      <c r="W481">
        <v>0</v>
      </c>
      <c r="X481">
        <v>72</v>
      </c>
      <c r="Y481">
        <v>129</v>
      </c>
      <c r="Z481">
        <v>57</v>
      </c>
      <c r="AA481">
        <v>23</v>
      </c>
      <c r="AB481">
        <v>0.251</v>
      </c>
      <c r="AC481">
        <v>0.32100000000000001</v>
      </c>
      <c r="AD481">
        <v>0.40300000000000002</v>
      </c>
    </row>
    <row r="482" spans="1:30" x14ac:dyDescent="0.5">
      <c r="A482" s="35">
        <v>2016</v>
      </c>
      <c r="B482" t="s">
        <v>37</v>
      </c>
      <c r="C482" t="s">
        <v>149</v>
      </c>
      <c r="D482">
        <v>162</v>
      </c>
      <c r="E482">
        <v>717</v>
      </c>
      <c r="F482">
        <v>1410</v>
      </c>
      <c r="G482" s="60">
        <v>2016</v>
      </c>
      <c r="H482" s="60" t="s">
        <v>36</v>
      </c>
      <c r="I482" s="60" t="str">
        <f t="shared" si="23"/>
        <v>2016 Anaheim Angels</v>
      </c>
      <c r="J482" s="60">
        <v>5431</v>
      </c>
      <c r="K482" s="60">
        <f t="shared" si="21"/>
        <v>955</v>
      </c>
      <c r="L482" s="60">
        <v>279</v>
      </c>
      <c r="M482" s="60">
        <v>20</v>
      </c>
      <c r="N482" s="60">
        <v>156</v>
      </c>
      <c r="O482" s="60">
        <v>471</v>
      </c>
      <c r="P482" s="60">
        <v>51</v>
      </c>
      <c r="Q482" s="60">
        <f t="shared" si="22"/>
        <v>3499</v>
      </c>
      <c r="R482">
        <v>686</v>
      </c>
      <c r="S482">
        <v>21</v>
      </c>
      <c r="T482">
        <v>991</v>
      </c>
      <c r="U482">
        <v>36</v>
      </c>
      <c r="V482">
        <v>49</v>
      </c>
      <c r="W482">
        <v>3</v>
      </c>
      <c r="X482">
        <v>66</v>
      </c>
      <c r="Y482">
        <v>147</v>
      </c>
      <c r="Z482">
        <v>73</v>
      </c>
      <c r="AA482">
        <v>34</v>
      </c>
      <c r="AB482">
        <v>0.26</v>
      </c>
      <c r="AC482">
        <v>0.32200000000000001</v>
      </c>
      <c r="AD482">
        <v>0.40500000000000003</v>
      </c>
    </row>
    <row r="483" spans="1:30" x14ac:dyDescent="0.5">
      <c r="A483" s="35">
        <v>2016</v>
      </c>
      <c r="B483" t="s">
        <v>40</v>
      </c>
      <c r="C483" t="s">
        <v>38</v>
      </c>
      <c r="D483">
        <v>162</v>
      </c>
      <c r="E483">
        <v>752</v>
      </c>
      <c r="F483">
        <v>1479</v>
      </c>
      <c r="G483" s="60">
        <v>2016</v>
      </c>
      <c r="H483" s="60" t="s">
        <v>39</v>
      </c>
      <c r="I483" s="60" t="str">
        <f t="shared" si="23"/>
        <v>2016 Arizona Diamondbacks</v>
      </c>
      <c r="J483" s="60">
        <v>5665</v>
      </c>
      <c r="K483" s="60">
        <f t="shared" si="21"/>
        <v>948</v>
      </c>
      <c r="L483" s="60">
        <v>285</v>
      </c>
      <c r="M483" s="60">
        <v>56</v>
      </c>
      <c r="N483" s="60">
        <v>190</v>
      </c>
      <c r="O483" s="60">
        <v>463</v>
      </c>
      <c r="P483" s="60">
        <v>50</v>
      </c>
      <c r="Q483" s="60">
        <f t="shared" si="22"/>
        <v>3673</v>
      </c>
      <c r="R483">
        <v>709</v>
      </c>
      <c r="S483">
        <v>43</v>
      </c>
      <c r="T483">
        <v>1427</v>
      </c>
      <c r="U483">
        <v>43</v>
      </c>
      <c r="V483">
        <v>38</v>
      </c>
      <c r="W483">
        <v>1</v>
      </c>
      <c r="X483">
        <v>71</v>
      </c>
      <c r="Y483">
        <v>117</v>
      </c>
      <c r="Z483">
        <v>137</v>
      </c>
      <c r="AA483">
        <v>31</v>
      </c>
      <c r="AB483">
        <v>0.26100000000000001</v>
      </c>
      <c r="AC483">
        <v>0.32</v>
      </c>
      <c r="AD483">
        <v>0.432</v>
      </c>
    </row>
    <row r="484" spans="1:30" x14ac:dyDescent="0.5">
      <c r="A484" s="35">
        <v>2016</v>
      </c>
      <c r="B484" t="s">
        <v>42</v>
      </c>
      <c r="C484" t="s">
        <v>38</v>
      </c>
      <c r="D484">
        <v>161</v>
      </c>
      <c r="E484">
        <v>649</v>
      </c>
      <c r="F484">
        <v>1404</v>
      </c>
      <c r="G484" s="60">
        <v>2016</v>
      </c>
      <c r="H484" s="60" t="s">
        <v>41</v>
      </c>
      <c r="I484" s="60" t="str">
        <f t="shared" si="23"/>
        <v>2016 Atlanta Braves</v>
      </c>
      <c r="J484" s="60">
        <v>5514</v>
      </c>
      <c r="K484" s="60">
        <f t="shared" si="21"/>
        <v>960</v>
      </c>
      <c r="L484" s="60">
        <v>295</v>
      </c>
      <c r="M484" s="60">
        <v>27</v>
      </c>
      <c r="N484" s="60">
        <v>122</v>
      </c>
      <c r="O484" s="60">
        <v>502</v>
      </c>
      <c r="P484" s="60">
        <v>59</v>
      </c>
      <c r="Q484" s="60">
        <f t="shared" si="22"/>
        <v>3549</v>
      </c>
      <c r="R484">
        <v>615</v>
      </c>
      <c r="S484">
        <v>60</v>
      </c>
      <c r="T484">
        <v>1240</v>
      </c>
      <c r="U484">
        <v>64</v>
      </c>
      <c r="V484">
        <v>52</v>
      </c>
      <c r="W484">
        <v>1</v>
      </c>
      <c r="X484">
        <v>71</v>
      </c>
      <c r="Y484">
        <v>145</v>
      </c>
      <c r="Z484">
        <v>75</v>
      </c>
      <c r="AA484">
        <v>34</v>
      </c>
      <c r="AB484">
        <v>0.255</v>
      </c>
      <c r="AC484">
        <v>0.32100000000000001</v>
      </c>
      <c r="AD484">
        <v>0.38400000000000001</v>
      </c>
    </row>
    <row r="485" spans="1:30" x14ac:dyDescent="0.5">
      <c r="A485" s="35">
        <v>2016</v>
      </c>
      <c r="B485" t="s">
        <v>45</v>
      </c>
      <c r="C485" t="s">
        <v>149</v>
      </c>
      <c r="D485">
        <v>162</v>
      </c>
      <c r="E485">
        <v>744</v>
      </c>
      <c r="F485">
        <v>1413</v>
      </c>
      <c r="G485" s="60">
        <v>2016</v>
      </c>
      <c r="H485" s="60" t="s">
        <v>44</v>
      </c>
      <c r="I485" s="60" t="str">
        <f t="shared" si="23"/>
        <v>2016 Baltimore Orioles</v>
      </c>
      <c r="J485" s="60">
        <v>5524</v>
      </c>
      <c r="K485" s="60">
        <f t="shared" si="21"/>
        <v>889</v>
      </c>
      <c r="L485" s="60">
        <v>265</v>
      </c>
      <c r="M485" s="60">
        <v>6</v>
      </c>
      <c r="N485" s="60">
        <v>253</v>
      </c>
      <c r="O485" s="60">
        <v>468</v>
      </c>
      <c r="P485" s="60">
        <v>44</v>
      </c>
      <c r="Q485" s="60">
        <f t="shared" si="22"/>
        <v>3599</v>
      </c>
      <c r="R485">
        <v>710</v>
      </c>
      <c r="S485">
        <v>19</v>
      </c>
      <c r="T485">
        <v>1324</v>
      </c>
      <c r="U485">
        <v>17</v>
      </c>
      <c r="V485">
        <v>36</v>
      </c>
      <c r="W485">
        <v>0</v>
      </c>
      <c r="X485">
        <v>55</v>
      </c>
      <c r="Y485">
        <v>119</v>
      </c>
      <c r="Z485">
        <v>19</v>
      </c>
      <c r="AA485">
        <v>13</v>
      </c>
      <c r="AB485">
        <v>0.25600000000000001</v>
      </c>
      <c r="AC485">
        <v>0.317</v>
      </c>
      <c r="AD485">
        <v>0.443</v>
      </c>
    </row>
    <row r="486" spans="1:30" x14ac:dyDescent="0.5">
      <c r="A486" s="35">
        <v>2016</v>
      </c>
      <c r="B486" t="s">
        <v>47</v>
      </c>
      <c r="C486" t="s">
        <v>149</v>
      </c>
      <c r="D486">
        <v>162</v>
      </c>
      <c r="E486">
        <v>878</v>
      </c>
      <c r="F486">
        <v>1598</v>
      </c>
      <c r="G486" s="60">
        <v>2016</v>
      </c>
      <c r="H486" s="60" t="s">
        <v>46</v>
      </c>
      <c r="I486" s="60" t="str">
        <f t="shared" si="23"/>
        <v>2016 Boston Red Sox</v>
      </c>
      <c r="J486" s="60">
        <v>5670</v>
      </c>
      <c r="K486" s="60">
        <f t="shared" si="21"/>
        <v>1022</v>
      </c>
      <c r="L486" s="60">
        <v>343</v>
      </c>
      <c r="M486" s="60">
        <v>25</v>
      </c>
      <c r="N486" s="60">
        <v>208</v>
      </c>
      <c r="O486" s="60">
        <v>558</v>
      </c>
      <c r="P486" s="60">
        <v>43</v>
      </c>
      <c r="Q486" s="60">
        <f t="shared" si="22"/>
        <v>3471</v>
      </c>
      <c r="R486">
        <v>836</v>
      </c>
      <c r="S486">
        <v>34</v>
      </c>
      <c r="T486">
        <v>1160</v>
      </c>
      <c r="U486">
        <v>8</v>
      </c>
      <c r="V486">
        <v>40</v>
      </c>
      <c r="W486">
        <v>1</v>
      </c>
      <c r="X486">
        <v>62</v>
      </c>
      <c r="Y486">
        <v>137</v>
      </c>
      <c r="Z486">
        <v>83</v>
      </c>
      <c r="AA486">
        <v>24</v>
      </c>
      <c r="AB486">
        <v>0.28199999999999997</v>
      </c>
      <c r="AC486">
        <v>0.34799999999999998</v>
      </c>
      <c r="AD486">
        <v>0.46100000000000002</v>
      </c>
    </row>
    <row r="487" spans="1:30" x14ac:dyDescent="0.5">
      <c r="A487" s="35">
        <v>2016</v>
      </c>
      <c r="B487" t="s">
        <v>143</v>
      </c>
      <c r="C487" t="s">
        <v>38</v>
      </c>
      <c r="D487">
        <v>162</v>
      </c>
      <c r="E487">
        <v>808</v>
      </c>
      <c r="F487">
        <v>1409</v>
      </c>
      <c r="G487" s="60">
        <v>2016</v>
      </c>
      <c r="H487" s="60" t="s">
        <v>50</v>
      </c>
      <c r="I487" s="60" t="str">
        <f t="shared" si="23"/>
        <v>2016 Chicago Cubs</v>
      </c>
      <c r="J487" s="60">
        <v>5503</v>
      </c>
      <c r="K487" s="60">
        <f t="shared" si="21"/>
        <v>887</v>
      </c>
      <c r="L487" s="60">
        <v>293</v>
      </c>
      <c r="M487" s="60">
        <v>30</v>
      </c>
      <c r="N487" s="60">
        <v>199</v>
      </c>
      <c r="O487" s="60">
        <v>656</v>
      </c>
      <c r="P487" s="60">
        <v>96</v>
      </c>
      <c r="Q487" s="60">
        <f t="shared" si="22"/>
        <v>3342</v>
      </c>
      <c r="R487">
        <v>767</v>
      </c>
      <c r="S487">
        <v>45</v>
      </c>
      <c r="T487">
        <v>1339</v>
      </c>
      <c r="U487">
        <v>42</v>
      </c>
      <c r="V487">
        <v>37</v>
      </c>
      <c r="W487">
        <v>1</v>
      </c>
      <c r="X487">
        <v>61</v>
      </c>
      <c r="Y487">
        <v>107</v>
      </c>
      <c r="Z487">
        <v>66</v>
      </c>
      <c r="AA487">
        <v>34</v>
      </c>
      <c r="AB487">
        <v>0.25600000000000001</v>
      </c>
      <c r="AC487">
        <v>0.34300000000000003</v>
      </c>
      <c r="AD487">
        <v>0.42899999999999999</v>
      </c>
    </row>
    <row r="488" spans="1:30" x14ac:dyDescent="0.5">
      <c r="A488" s="35">
        <v>2016</v>
      </c>
      <c r="B488" t="s">
        <v>143</v>
      </c>
      <c r="C488" t="s">
        <v>149</v>
      </c>
      <c r="D488">
        <v>162</v>
      </c>
      <c r="E488">
        <v>686</v>
      </c>
      <c r="F488">
        <v>1428</v>
      </c>
      <c r="G488" s="60">
        <v>2016</v>
      </c>
      <c r="H488" s="60" t="s">
        <v>48</v>
      </c>
      <c r="I488" s="60" t="str">
        <f t="shared" si="23"/>
        <v>2016 Chicago White Sox</v>
      </c>
      <c r="J488" s="60">
        <v>5550</v>
      </c>
      <c r="K488" s="60">
        <f t="shared" si="21"/>
        <v>950</v>
      </c>
      <c r="L488" s="60">
        <v>277</v>
      </c>
      <c r="M488" s="60">
        <v>33</v>
      </c>
      <c r="N488" s="60">
        <v>168</v>
      </c>
      <c r="O488" s="60">
        <v>455</v>
      </c>
      <c r="P488" s="60">
        <v>53</v>
      </c>
      <c r="Q488" s="60">
        <f t="shared" si="22"/>
        <v>3614</v>
      </c>
      <c r="R488">
        <v>656</v>
      </c>
      <c r="S488">
        <v>16</v>
      </c>
      <c r="T488">
        <v>1285</v>
      </c>
      <c r="U488">
        <v>29</v>
      </c>
      <c r="V488">
        <v>44</v>
      </c>
      <c r="W488">
        <v>0</v>
      </c>
      <c r="X488">
        <v>65</v>
      </c>
      <c r="Y488">
        <v>122</v>
      </c>
      <c r="Z488">
        <v>77</v>
      </c>
      <c r="AA488">
        <v>36</v>
      </c>
      <c r="AB488">
        <v>0.25700000000000001</v>
      </c>
      <c r="AC488">
        <v>0.317</v>
      </c>
      <c r="AD488">
        <v>0.41</v>
      </c>
    </row>
    <row r="489" spans="1:30" x14ac:dyDescent="0.5">
      <c r="A489" s="35">
        <v>2016</v>
      </c>
      <c r="B489" t="s">
        <v>53</v>
      </c>
      <c r="C489" t="s">
        <v>38</v>
      </c>
      <c r="D489">
        <v>162</v>
      </c>
      <c r="E489">
        <v>716</v>
      </c>
      <c r="F489">
        <v>1403</v>
      </c>
      <c r="G489" s="60">
        <v>2016</v>
      </c>
      <c r="H489" s="60" t="s">
        <v>52</v>
      </c>
      <c r="I489" s="60" t="str">
        <f t="shared" si="23"/>
        <v>2016 Cincinnati Reds</v>
      </c>
      <c r="J489" s="60">
        <v>5487</v>
      </c>
      <c r="K489" s="60">
        <f t="shared" si="21"/>
        <v>929</v>
      </c>
      <c r="L489" s="60">
        <v>277</v>
      </c>
      <c r="M489" s="60">
        <v>33</v>
      </c>
      <c r="N489" s="60">
        <v>164</v>
      </c>
      <c r="O489" s="60">
        <v>452</v>
      </c>
      <c r="P489" s="60">
        <v>52</v>
      </c>
      <c r="Q489" s="60">
        <f t="shared" si="22"/>
        <v>3580</v>
      </c>
      <c r="R489">
        <v>678</v>
      </c>
      <c r="S489">
        <v>37</v>
      </c>
      <c r="T489">
        <v>1284</v>
      </c>
      <c r="U489">
        <v>58</v>
      </c>
      <c r="V489">
        <v>44</v>
      </c>
      <c r="W489">
        <v>1</v>
      </c>
      <c r="X489">
        <v>61</v>
      </c>
      <c r="Y489">
        <v>129</v>
      </c>
      <c r="Z489">
        <v>139</v>
      </c>
      <c r="AA489">
        <v>51</v>
      </c>
      <c r="AB489">
        <v>0.25600000000000001</v>
      </c>
      <c r="AC489">
        <v>0.316</v>
      </c>
      <c r="AD489">
        <v>0.40799999999999997</v>
      </c>
    </row>
    <row r="490" spans="1:30" x14ac:dyDescent="0.5">
      <c r="A490" s="35">
        <v>2016</v>
      </c>
      <c r="B490" t="s">
        <v>55</v>
      </c>
      <c r="C490" t="s">
        <v>149</v>
      </c>
      <c r="D490">
        <v>161</v>
      </c>
      <c r="E490">
        <v>777</v>
      </c>
      <c r="F490">
        <v>1435</v>
      </c>
      <c r="G490" s="60">
        <v>2016</v>
      </c>
      <c r="H490" s="60" t="s">
        <v>54</v>
      </c>
      <c r="I490" s="60" t="str">
        <f t="shared" si="23"/>
        <v>2016 Cleveland Indians</v>
      </c>
      <c r="J490" s="60">
        <v>5484</v>
      </c>
      <c r="K490" s="60">
        <f t="shared" si="21"/>
        <v>913</v>
      </c>
      <c r="L490" s="60">
        <v>308</v>
      </c>
      <c r="M490" s="60">
        <v>29</v>
      </c>
      <c r="N490" s="60">
        <v>185</v>
      </c>
      <c r="O490" s="60">
        <v>531</v>
      </c>
      <c r="P490" s="60">
        <v>49</v>
      </c>
      <c r="Q490" s="60">
        <f t="shared" si="22"/>
        <v>3469</v>
      </c>
      <c r="R490">
        <v>733</v>
      </c>
      <c r="S490">
        <v>16</v>
      </c>
      <c r="T490">
        <v>1246</v>
      </c>
      <c r="U490">
        <v>31</v>
      </c>
      <c r="V490">
        <v>60</v>
      </c>
      <c r="W490">
        <v>0</v>
      </c>
      <c r="X490">
        <v>65</v>
      </c>
      <c r="Y490">
        <v>137</v>
      </c>
      <c r="Z490">
        <v>134</v>
      </c>
      <c r="AA490">
        <v>31</v>
      </c>
      <c r="AB490">
        <v>0.26200000000000001</v>
      </c>
      <c r="AC490">
        <v>0.32900000000000001</v>
      </c>
      <c r="AD490">
        <v>0.43</v>
      </c>
    </row>
    <row r="491" spans="1:30" x14ac:dyDescent="0.5">
      <c r="A491" s="35">
        <v>2016</v>
      </c>
      <c r="B491" t="s">
        <v>57</v>
      </c>
      <c r="C491" t="s">
        <v>38</v>
      </c>
      <c r="D491">
        <v>162</v>
      </c>
      <c r="E491">
        <v>845</v>
      </c>
      <c r="F491">
        <v>1544</v>
      </c>
      <c r="G491" s="60">
        <v>2016</v>
      </c>
      <c r="H491" s="60" t="s">
        <v>56</v>
      </c>
      <c r="I491" s="60" t="str">
        <f t="shared" si="23"/>
        <v>2016 Colorado Rockies</v>
      </c>
      <c r="J491" s="60">
        <v>5614</v>
      </c>
      <c r="K491" s="60">
        <f t="shared" si="21"/>
        <v>975</v>
      </c>
      <c r="L491" s="60">
        <v>318</v>
      </c>
      <c r="M491" s="60">
        <v>47</v>
      </c>
      <c r="N491" s="60">
        <v>204</v>
      </c>
      <c r="O491" s="60">
        <v>494</v>
      </c>
      <c r="P491" s="60">
        <v>40</v>
      </c>
      <c r="Q491" s="60">
        <f t="shared" si="22"/>
        <v>3536</v>
      </c>
      <c r="R491">
        <v>805</v>
      </c>
      <c r="S491">
        <v>35</v>
      </c>
      <c r="T491">
        <v>1330</v>
      </c>
      <c r="U491">
        <v>54</v>
      </c>
      <c r="V491">
        <v>34</v>
      </c>
      <c r="W491">
        <v>0</v>
      </c>
      <c r="X491">
        <v>59</v>
      </c>
      <c r="Y491">
        <v>113</v>
      </c>
      <c r="Z491">
        <v>66</v>
      </c>
      <c r="AA491">
        <v>39</v>
      </c>
      <c r="AB491">
        <v>0.27500000000000002</v>
      </c>
      <c r="AC491">
        <v>0.33600000000000002</v>
      </c>
      <c r="AD491">
        <v>0.45700000000000002</v>
      </c>
    </row>
    <row r="492" spans="1:30" x14ac:dyDescent="0.5">
      <c r="A492" s="35">
        <v>2016</v>
      </c>
      <c r="B492" t="s">
        <v>59</v>
      </c>
      <c r="C492" t="s">
        <v>149</v>
      </c>
      <c r="D492">
        <v>161</v>
      </c>
      <c r="E492">
        <v>750</v>
      </c>
      <c r="F492">
        <v>1476</v>
      </c>
      <c r="G492" s="60">
        <v>2016</v>
      </c>
      <c r="H492" s="60" t="s">
        <v>58</v>
      </c>
      <c r="I492" s="60" t="str">
        <f t="shared" si="23"/>
        <v>2016 Detroit Tigers</v>
      </c>
      <c r="J492" s="60">
        <v>5526</v>
      </c>
      <c r="K492" s="60">
        <f t="shared" si="21"/>
        <v>983</v>
      </c>
      <c r="L492" s="60">
        <v>252</v>
      </c>
      <c r="M492" s="60">
        <v>30</v>
      </c>
      <c r="N492" s="60">
        <v>211</v>
      </c>
      <c r="O492" s="60">
        <v>493</v>
      </c>
      <c r="P492" s="60">
        <v>53</v>
      </c>
      <c r="Q492" s="60">
        <f t="shared" si="22"/>
        <v>3504</v>
      </c>
      <c r="R492">
        <v>719</v>
      </c>
      <c r="S492">
        <v>32</v>
      </c>
      <c r="T492">
        <v>1303</v>
      </c>
      <c r="U492">
        <v>17</v>
      </c>
      <c r="V492">
        <v>38</v>
      </c>
      <c r="W492">
        <v>0</v>
      </c>
      <c r="X492">
        <v>51</v>
      </c>
      <c r="Y492">
        <v>135</v>
      </c>
      <c r="Z492">
        <v>58</v>
      </c>
      <c r="AA492">
        <v>29</v>
      </c>
      <c r="AB492">
        <v>0.26700000000000002</v>
      </c>
      <c r="AC492">
        <v>0.33100000000000002</v>
      </c>
      <c r="AD492">
        <v>0.438</v>
      </c>
    </row>
    <row r="493" spans="1:30" x14ac:dyDescent="0.5">
      <c r="A493" s="35">
        <v>2016</v>
      </c>
      <c r="B493" t="s">
        <v>63</v>
      </c>
      <c r="C493" t="s">
        <v>149</v>
      </c>
      <c r="D493">
        <v>162</v>
      </c>
      <c r="E493">
        <v>724</v>
      </c>
      <c r="F493">
        <v>1367</v>
      </c>
      <c r="G493" s="60">
        <v>2016</v>
      </c>
      <c r="H493" s="60" t="s">
        <v>60</v>
      </c>
      <c r="I493" s="60" t="str">
        <f t="shared" si="23"/>
        <v>2016 Florida Marlins</v>
      </c>
      <c r="J493" s="60">
        <v>5545</v>
      </c>
      <c r="K493" s="60">
        <f t="shared" si="21"/>
        <v>849</v>
      </c>
      <c r="L493" s="60">
        <v>291</v>
      </c>
      <c r="M493" s="60">
        <v>29</v>
      </c>
      <c r="N493" s="60">
        <v>198</v>
      </c>
      <c r="O493" s="60">
        <v>554</v>
      </c>
      <c r="P493" s="60">
        <v>47</v>
      </c>
      <c r="Q493" s="60">
        <f t="shared" si="22"/>
        <v>3577</v>
      </c>
      <c r="R493">
        <v>689</v>
      </c>
      <c r="S493">
        <v>31</v>
      </c>
      <c r="T493">
        <v>1452</v>
      </c>
      <c r="U493">
        <v>27</v>
      </c>
      <c r="V493">
        <v>31</v>
      </c>
      <c r="W493">
        <v>0</v>
      </c>
      <c r="X493">
        <v>75</v>
      </c>
      <c r="Y493">
        <v>134</v>
      </c>
      <c r="Z493">
        <v>102</v>
      </c>
      <c r="AA493">
        <v>44</v>
      </c>
      <c r="AB493">
        <v>0.247</v>
      </c>
      <c r="AC493">
        <v>0.31900000000000001</v>
      </c>
      <c r="AD493">
        <v>0.41699999999999998</v>
      </c>
    </row>
    <row r="494" spans="1:30" x14ac:dyDescent="0.5">
      <c r="A494" s="35">
        <v>2016</v>
      </c>
      <c r="B494" t="s">
        <v>150</v>
      </c>
      <c r="C494" t="s">
        <v>149</v>
      </c>
      <c r="D494">
        <v>162</v>
      </c>
      <c r="E494">
        <v>675</v>
      </c>
      <c r="F494">
        <v>1450</v>
      </c>
      <c r="G494" s="60">
        <v>2016</v>
      </c>
      <c r="H494" s="60" t="s">
        <v>62</v>
      </c>
      <c r="I494" s="60" t="str">
        <f t="shared" si="23"/>
        <v>2016 Houston Astros</v>
      </c>
      <c r="J494" s="60">
        <v>5552</v>
      </c>
      <c r="K494" s="60">
        <f t="shared" si="21"/>
        <v>1006</v>
      </c>
      <c r="L494" s="60">
        <v>264</v>
      </c>
      <c r="M494" s="60">
        <v>33</v>
      </c>
      <c r="N494" s="60">
        <v>147</v>
      </c>
      <c r="O494" s="60">
        <v>382</v>
      </c>
      <c r="P494" s="60">
        <v>45</v>
      </c>
      <c r="Q494" s="60">
        <f t="shared" si="22"/>
        <v>3675</v>
      </c>
      <c r="R494">
        <v>640</v>
      </c>
      <c r="S494">
        <v>23</v>
      </c>
      <c r="T494">
        <v>1224</v>
      </c>
      <c r="U494">
        <v>38</v>
      </c>
      <c r="V494">
        <v>34</v>
      </c>
      <c r="W494">
        <v>1</v>
      </c>
      <c r="X494">
        <v>61</v>
      </c>
      <c r="Y494">
        <v>134</v>
      </c>
      <c r="Z494">
        <v>121</v>
      </c>
      <c r="AA494">
        <v>35</v>
      </c>
      <c r="AB494">
        <v>0.26100000000000001</v>
      </c>
      <c r="AC494">
        <v>0.312</v>
      </c>
      <c r="AD494">
        <v>0.4</v>
      </c>
    </row>
    <row r="495" spans="1:30" x14ac:dyDescent="0.5">
      <c r="A495" s="35">
        <v>2016</v>
      </c>
      <c r="B495" t="s">
        <v>145</v>
      </c>
      <c r="C495" t="s">
        <v>38</v>
      </c>
      <c r="D495">
        <v>162</v>
      </c>
      <c r="E495">
        <v>725</v>
      </c>
      <c r="F495">
        <v>1376</v>
      </c>
      <c r="G495" s="60">
        <v>2016</v>
      </c>
      <c r="H495" s="60" t="s">
        <v>64</v>
      </c>
      <c r="I495" s="60" t="str">
        <f t="shared" si="23"/>
        <v>2016 Kansas City Royals</v>
      </c>
      <c r="J495" s="60">
        <v>5518</v>
      </c>
      <c r="K495" s="60">
        <f t="shared" si="21"/>
        <v>894</v>
      </c>
      <c r="L495" s="60">
        <v>272</v>
      </c>
      <c r="M495" s="60">
        <v>21</v>
      </c>
      <c r="N495" s="60">
        <v>189</v>
      </c>
      <c r="O495" s="60">
        <v>525</v>
      </c>
      <c r="P495" s="60">
        <v>58</v>
      </c>
      <c r="Q495" s="60">
        <f t="shared" si="22"/>
        <v>3559</v>
      </c>
      <c r="R495">
        <v>680</v>
      </c>
      <c r="S495">
        <v>31</v>
      </c>
      <c r="T495">
        <v>1321</v>
      </c>
      <c r="U495">
        <v>30</v>
      </c>
      <c r="V495">
        <v>32</v>
      </c>
      <c r="W495">
        <v>1</v>
      </c>
      <c r="X495">
        <v>61</v>
      </c>
      <c r="Y495">
        <v>120</v>
      </c>
      <c r="Z495">
        <v>45</v>
      </c>
      <c r="AA495">
        <v>26</v>
      </c>
      <c r="AB495">
        <v>0.249</v>
      </c>
      <c r="AC495">
        <v>0.31900000000000001</v>
      </c>
      <c r="AD495">
        <v>0.40899999999999997</v>
      </c>
    </row>
    <row r="496" spans="1:30" x14ac:dyDescent="0.5">
      <c r="A496" s="35">
        <v>2016</v>
      </c>
      <c r="B496" t="s">
        <v>104</v>
      </c>
      <c r="C496" t="s">
        <v>38</v>
      </c>
      <c r="D496">
        <v>161</v>
      </c>
      <c r="E496">
        <v>655</v>
      </c>
      <c r="F496">
        <v>1460</v>
      </c>
      <c r="G496" s="60">
        <v>2016</v>
      </c>
      <c r="H496" s="60" t="s">
        <v>66</v>
      </c>
      <c r="I496" s="60" t="str">
        <f t="shared" si="23"/>
        <v>2016 Los Angeles Dodgers</v>
      </c>
      <c r="J496" s="60">
        <v>5547</v>
      </c>
      <c r="K496" s="60">
        <f t="shared" si="21"/>
        <v>1031</v>
      </c>
      <c r="L496" s="60">
        <v>259</v>
      </c>
      <c r="M496" s="60">
        <v>42</v>
      </c>
      <c r="N496" s="60">
        <v>128</v>
      </c>
      <c r="O496" s="60">
        <v>447</v>
      </c>
      <c r="P496" s="60">
        <v>54</v>
      </c>
      <c r="Q496" s="60">
        <f t="shared" si="22"/>
        <v>3586</v>
      </c>
      <c r="R496">
        <v>626</v>
      </c>
      <c r="S496">
        <v>40</v>
      </c>
      <c r="T496">
        <v>1213</v>
      </c>
      <c r="U496">
        <v>46</v>
      </c>
      <c r="V496">
        <v>38</v>
      </c>
      <c r="W496">
        <v>2</v>
      </c>
      <c r="X496">
        <v>77</v>
      </c>
      <c r="Y496">
        <v>140</v>
      </c>
      <c r="Z496">
        <v>71</v>
      </c>
      <c r="AA496">
        <v>28</v>
      </c>
      <c r="AB496">
        <v>0.26300000000000001</v>
      </c>
      <c r="AC496">
        <v>0.32200000000000001</v>
      </c>
      <c r="AD496">
        <v>0.39400000000000002</v>
      </c>
    </row>
    <row r="497" spans="1:30" x14ac:dyDescent="0.5">
      <c r="A497" s="35">
        <v>2016</v>
      </c>
      <c r="B497" t="s">
        <v>69</v>
      </c>
      <c r="C497" t="s">
        <v>38</v>
      </c>
      <c r="D497">
        <v>162</v>
      </c>
      <c r="E497">
        <v>671</v>
      </c>
      <c r="F497">
        <v>1299</v>
      </c>
      <c r="G497" s="60">
        <v>2016</v>
      </c>
      <c r="H497" s="60" t="s">
        <v>68</v>
      </c>
      <c r="I497" s="60" t="str">
        <f t="shared" si="23"/>
        <v>2016 Milwaukee Brewers</v>
      </c>
      <c r="J497" s="60">
        <v>5330</v>
      </c>
      <c r="K497" s="60">
        <f t="shared" si="21"/>
        <v>837</v>
      </c>
      <c r="L497" s="60">
        <v>249</v>
      </c>
      <c r="M497" s="60">
        <v>19</v>
      </c>
      <c r="N497" s="60">
        <v>194</v>
      </c>
      <c r="O497" s="60">
        <v>599</v>
      </c>
      <c r="P497" s="60">
        <v>37</v>
      </c>
      <c r="Q497" s="60">
        <f t="shared" si="22"/>
        <v>3395</v>
      </c>
      <c r="R497">
        <v>641</v>
      </c>
      <c r="S497">
        <v>34</v>
      </c>
      <c r="T497">
        <v>1543</v>
      </c>
      <c r="U497">
        <v>53</v>
      </c>
      <c r="V497">
        <v>39</v>
      </c>
      <c r="W497">
        <v>3</v>
      </c>
      <c r="X497">
        <v>56</v>
      </c>
      <c r="Y497">
        <v>131</v>
      </c>
      <c r="Z497">
        <v>181</v>
      </c>
      <c r="AA497">
        <v>56</v>
      </c>
      <c r="AB497">
        <v>0.24399999999999999</v>
      </c>
      <c r="AC497">
        <v>0.32200000000000001</v>
      </c>
      <c r="AD497">
        <v>0.40699999999999997</v>
      </c>
    </row>
    <row r="498" spans="1:30" x14ac:dyDescent="0.5">
      <c r="A498" s="35">
        <v>2016</v>
      </c>
      <c r="B498" t="s">
        <v>71</v>
      </c>
      <c r="C498" t="s">
        <v>149</v>
      </c>
      <c r="D498">
        <v>162</v>
      </c>
      <c r="E498">
        <v>722</v>
      </c>
      <c r="F498">
        <v>1409</v>
      </c>
      <c r="G498" s="60">
        <v>2016</v>
      </c>
      <c r="H498" s="60" t="s">
        <v>70</v>
      </c>
      <c r="I498" s="60" t="str">
        <f t="shared" si="23"/>
        <v>2016 Minnesota Twins</v>
      </c>
      <c r="J498" s="60">
        <v>5618</v>
      </c>
      <c r="K498" s="60">
        <f t="shared" si="21"/>
        <v>886</v>
      </c>
      <c r="L498" s="60">
        <v>288</v>
      </c>
      <c r="M498" s="60">
        <v>35</v>
      </c>
      <c r="N498" s="60">
        <v>200</v>
      </c>
      <c r="O498" s="60">
        <v>513</v>
      </c>
      <c r="P498" s="60">
        <v>44</v>
      </c>
      <c r="Q498" s="60">
        <f t="shared" si="22"/>
        <v>3652</v>
      </c>
      <c r="R498">
        <v>690</v>
      </c>
      <c r="S498">
        <v>24</v>
      </c>
      <c r="T498">
        <v>1426</v>
      </c>
      <c r="U498">
        <v>27</v>
      </c>
      <c r="V498">
        <v>43</v>
      </c>
      <c r="W498">
        <v>0</v>
      </c>
      <c r="X498">
        <v>54</v>
      </c>
      <c r="Y498">
        <v>96</v>
      </c>
      <c r="Z498">
        <v>91</v>
      </c>
      <c r="AA498">
        <v>32</v>
      </c>
      <c r="AB498">
        <v>0.251</v>
      </c>
      <c r="AC498">
        <v>0.316</v>
      </c>
      <c r="AD498">
        <v>0.42099999999999999</v>
      </c>
    </row>
    <row r="499" spans="1:30" x14ac:dyDescent="0.5">
      <c r="A499" s="35">
        <v>2016</v>
      </c>
      <c r="B499" t="s">
        <v>144</v>
      </c>
      <c r="C499" t="s">
        <v>38</v>
      </c>
      <c r="D499">
        <v>162</v>
      </c>
      <c r="E499">
        <v>671</v>
      </c>
      <c r="F499">
        <v>1342</v>
      </c>
      <c r="G499" s="60">
        <v>2016</v>
      </c>
      <c r="H499" s="60" t="s">
        <v>76</v>
      </c>
      <c r="I499" s="60" t="str">
        <f t="shared" si="23"/>
        <v>2016 New York Mets</v>
      </c>
      <c r="J499" s="60">
        <v>5459</v>
      </c>
      <c r="K499" s="60">
        <f t="shared" si="21"/>
        <v>865</v>
      </c>
      <c r="L499" s="60">
        <v>240</v>
      </c>
      <c r="M499" s="60">
        <v>19</v>
      </c>
      <c r="N499" s="60">
        <v>218</v>
      </c>
      <c r="O499" s="60">
        <v>517</v>
      </c>
      <c r="P499" s="60">
        <v>62</v>
      </c>
      <c r="Q499" s="60">
        <f t="shared" si="22"/>
        <v>3538</v>
      </c>
      <c r="R499">
        <v>649</v>
      </c>
      <c r="S499">
        <v>43</v>
      </c>
      <c r="T499">
        <v>1302</v>
      </c>
      <c r="U499">
        <v>35</v>
      </c>
      <c r="V499">
        <v>41</v>
      </c>
      <c r="W499">
        <v>1</v>
      </c>
      <c r="X499">
        <v>55</v>
      </c>
      <c r="Y499">
        <v>123</v>
      </c>
      <c r="Z499">
        <v>42</v>
      </c>
      <c r="AA499">
        <v>18</v>
      </c>
      <c r="AB499">
        <v>0.246</v>
      </c>
      <c r="AC499">
        <v>0.316</v>
      </c>
      <c r="AD499">
        <v>0.41699999999999998</v>
      </c>
    </row>
    <row r="500" spans="1:30" x14ac:dyDescent="0.5">
      <c r="A500" s="35">
        <v>2016</v>
      </c>
      <c r="B500" t="s">
        <v>144</v>
      </c>
      <c r="C500" t="s">
        <v>149</v>
      </c>
      <c r="D500">
        <v>162</v>
      </c>
      <c r="E500">
        <v>680</v>
      </c>
      <c r="F500">
        <v>1378</v>
      </c>
      <c r="G500" s="60">
        <v>2016</v>
      </c>
      <c r="H500" s="60" t="s">
        <v>74</v>
      </c>
      <c r="I500" s="60" t="str">
        <f t="shared" si="23"/>
        <v>2016 New York Yankees</v>
      </c>
      <c r="J500" s="60">
        <v>5458</v>
      </c>
      <c r="K500" s="60">
        <f t="shared" si="21"/>
        <v>930</v>
      </c>
      <c r="L500" s="60">
        <v>245</v>
      </c>
      <c r="M500" s="60">
        <v>20</v>
      </c>
      <c r="N500" s="60">
        <v>183</v>
      </c>
      <c r="O500" s="60">
        <v>475</v>
      </c>
      <c r="P500" s="60">
        <v>42</v>
      </c>
      <c r="Q500" s="60">
        <f t="shared" si="22"/>
        <v>3563</v>
      </c>
      <c r="R500">
        <v>647</v>
      </c>
      <c r="S500">
        <v>19</v>
      </c>
      <c r="T500">
        <v>1188</v>
      </c>
      <c r="U500">
        <v>21</v>
      </c>
      <c r="V500">
        <v>49</v>
      </c>
      <c r="W500">
        <v>14</v>
      </c>
      <c r="X500">
        <v>66</v>
      </c>
      <c r="Y500">
        <v>121</v>
      </c>
      <c r="Z500">
        <v>72</v>
      </c>
      <c r="AA500">
        <v>22</v>
      </c>
      <c r="AB500">
        <v>0.252</v>
      </c>
      <c r="AC500">
        <v>0.315</v>
      </c>
      <c r="AD500">
        <v>0.40500000000000003</v>
      </c>
    </row>
    <row r="501" spans="1:30" x14ac:dyDescent="0.5">
      <c r="A501" s="35">
        <v>2016</v>
      </c>
      <c r="B501" t="s">
        <v>79</v>
      </c>
      <c r="C501" t="s">
        <v>149</v>
      </c>
      <c r="D501">
        <v>162</v>
      </c>
      <c r="E501">
        <v>653</v>
      </c>
      <c r="F501">
        <v>1352</v>
      </c>
      <c r="G501" s="60">
        <v>2016</v>
      </c>
      <c r="H501" s="60" t="s">
        <v>78</v>
      </c>
      <c r="I501" s="60" t="str">
        <f t="shared" si="23"/>
        <v>2016 Oakland Athletics</v>
      </c>
      <c r="J501" s="60">
        <v>5500</v>
      </c>
      <c r="K501" s="60">
        <f t="shared" si="21"/>
        <v>892</v>
      </c>
      <c r="L501" s="60">
        <v>270</v>
      </c>
      <c r="M501" s="60">
        <v>21</v>
      </c>
      <c r="N501" s="60">
        <v>169</v>
      </c>
      <c r="O501" s="60">
        <v>442</v>
      </c>
      <c r="P501" s="60">
        <v>33</v>
      </c>
      <c r="Q501" s="60">
        <f t="shared" si="22"/>
        <v>3673</v>
      </c>
      <c r="R501">
        <v>634</v>
      </c>
      <c r="S501">
        <v>19</v>
      </c>
      <c r="T501">
        <v>1145</v>
      </c>
      <c r="U501">
        <v>13</v>
      </c>
      <c r="V501">
        <v>34</v>
      </c>
      <c r="W501">
        <v>0</v>
      </c>
      <c r="X501">
        <v>71</v>
      </c>
      <c r="Y501">
        <v>142</v>
      </c>
      <c r="Z501">
        <v>50</v>
      </c>
      <c r="AA501">
        <v>23</v>
      </c>
      <c r="AB501">
        <v>0.246</v>
      </c>
      <c r="AC501">
        <v>0.30399999999999999</v>
      </c>
      <c r="AD501">
        <v>0.39500000000000002</v>
      </c>
    </row>
    <row r="502" spans="1:30" x14ac:dyDescent="0.5">
      <c r="A502" s="35">
        <v>2016</v>
      </c>
      <c r="B502" t="s">
        <v>81</v>
      </c>
      <c r="C502" t="s">
        <v>38</v>
      </c>
      <c r="D502">
        <v>162</v>
      </c>
      <c r="E502">
        <v>610</v>
      </c>
      <c r="F502">
        <v>1305</v>
      </c>
      <c r="G502" s="60">
        <v>2016</v>
      </c>
      <c r="H502" s="60" t="s">
        <v>80</v>
      </c>
      <c r="I502" s="60" t="str">
        <f t="shared" si="23"/>
        <v>2016 Philadelphia Phillies</v>
      </c>
      <c r="J502" s="60">
        <v>5434</v>
      </c>
      <c r="K502" s="60">
        <f t="shared" si="21"/>
        <v>878</v>
      </c>
      <c r="L502" s="60">
        <v>231</v>
      </c>
      <c r="M502" s="60">
        <v>35</v>
      </c>
      <c r="N502" s="60">
        <v>161</v>
      </c>
      <c r="O502" s="60">
        <v>424</v>
      </c>
      <c r="P502" s="60">
        <v>58</v>
      </c>
      <c r="Q502" s="60">
        <f t="shared" si="22"/>
        <v>3647</v>
      </c>
      <c r="R502">
        <v>574</v>
      </c>
      <c r="S502">
        <v>33</v>
      </c>
      <c r="T502">
        <v>1376</v>
      </c>
      <c r="U502">
        <v>46</v>
      </c>
      <c r="V502">
        <v>30</v>
      </c>
      <c r="W502">
        <v>0</v>
      </c>
      <c r="X502">
        <v>71</v>
      </c>
      <c r="Y502">
        <v>112</v>
      </c>
      <c r="Z502">
        <v>96</v>
      </c>
      <c r="AA502">
        <v>45</v>
      </c>
      <c r="AB502">
        <v>0.24</v>
      </c>
      <c r="AC502">
        <v>0.30099999999999999</v>
      </c>
      <c r="AD502">
        <v>0.38400000000000001</v>
      </c>
    </row>
    <row r="503" spans="1:30" x14ac:dyDescent="0.5">
      <c r="A503" s="35">
        <v>2016</v>
      </c>
      <c r="B503" t="s">
        <v>83</v>
      </c>
      <c r="C503" t="s">
        <v>38</v>
      </c>
      <c r="D503">
        <v>162</v>
      </c>
      <c r="E503">
        <v>729</v>
      </c>
      <c r="F503">
        <v>1426</v>
      </c>
      <c r="G503" s="60">
        <v>2016</v>
      </c>
      <c r="H503" s="60" t="s">
        <v>82</v>
      </c>
      <c r="I503" s="60" t="str">
        <f t="shared" si="23"/>
        <v>2016 Pittsburgh Pirates</v>
      </c>
      <c r="J503" s="60">
        <v>5542</v>
      </c>
      <c r="K503" s="60">
        <f t="shared" si="21"/>
        <v>964</v>
      </c>
      <c r="L503" s="60">
        <v>277</v>
      </c>
      <c r="M503" s="60">
        <v>32</v>
      </c>
      <c r="N503" s="60">
        <v>153</v>
      </c>
      <c r="O503" s="60">
        <v>561</v>
      </c>
      <c r="P503" s="60">
        <v>81</v>
      </c>
      <c r="Q503" s="60">
        <f t="shared" si="22"/>
        <v>3474</v>
      </c>
      <c r="R503">
        <v>696</v>
      </c>
      <c r="S503">
        <v>39</v>
      </c>
      <c r="T503">
        <v>1334</v>
      </c>
      <c r="U503">
        <v>41</v>
      </c>
      <c r="V503">
        <v>36</v>
      </c>
      <c r="W503">
        <v>0</v>
      </c>
      <c r="X503">
        <v>75</v>
      </c>
      <c r="Y503">
        <v>133</v>
      </c>
      <c r="Z503">
        <v>110</v>
      </c>
      <c r="AA503">
        <v>45</v>
      </c>
      <c r="AB503">
        <v>0.25700000000000001</v>
      </c>
      <c r="AC503">
        <v>0.33200000000000002</v>
      </c>
      <c r="AD503">
        <v>0.40200000000000002</v>
      </c>
    </row>
    <row r="504" spans="1:30" x14ac:dyDescent="0.5">
      <c r="A504" s="35">
        <v>2016</v>
      </c>
      <c r="B504" t="s">
        <v>147</v>
      </c>
      <c r="C504" t="s">
        <v>38</v>
      </c>
      <c r="D504">
        <v>162</v>
      </c>
      <c r="E504">
        <v>686</v>
      </c>
      <c r="F504">
        <v>1275</v>
      </c>
      <c r="G504" s="60">
        <v>2016</v>
      </c>
      <c r="H504" s="60" t="s">
        <v>84</v>
      </c>
      <c r="I504" s="60" t="str">
        <f t="shared" si="23"/>
        <v>2016 San Diego Padres</v>
      </c>
      <c r="J504" s="60">
        <v>5419</v>
      </c>
      <c r="K504" s="60">
        <f t="shared" si="21"/>
        <v>815</v>
      </c>
      <c r="L504" s="60">
        <v>257</v>
      </c>
      <c r="M504" s="60">
        <v>26</v>
      </c>
      <c r="N504" s="60">
        <v>177</v>
      </c>
      <c r="O504" s="60">
        <v>449</v>
      </c>
      <c r="P504" s="60">
        <v>58</v>
      </c>
      <c r="Q504" s="60">
        <f t="shared" si="22"/>
        <v>3637</v>
      </c>
      <c r="R504">
        <v>654</v>
      </c>
      <c r="S504">
        <v>30</v>
      </c>
      <c r="T504">
        <v>1500</v>
      </c>
      <c r="U504">
        <v>36</v>
      </c>
      <c r="V504">
        <v>36</v>
      </c>
      <c r="W504">
        <v>3</v>
      </c>
      <c r="X504">
        <v>56</v>
      </c>
      <c r="Y504">
        <v>93</v>
      </c>
      <c r="Z504">
        <v>125</v>
      </c>
      <c r="AA504">
        <v>45</v>
      </c>
      <c r="AB504">
        <v>0.23499999999999999</v>
      </c>
      <c r="AC504">
        <v>0.29899999999999999</v>
      </c>
      <c r="AD504">
        <v>0.39</v>
      </c>
    </row>
    <row r="505" spans="1:30" x14ac:dyDescent="0.5">
      <c r="A505" s="35">
        <v>2016</v>
      </c>
      <c r="B505" t="s">
        <v>87</v>
      </c>
      <c r="C505" t="s">
        <v>149</v>
      </c>
      <c r="D505">
        <v>162</v>
      </c>
      <c r="E505">
        <v>768</v>
      </c>
      <c r="F505">
        <v>1446</v>
      </c>
      <c r="G505" s="60">
        <v>2016</v>
      </c>
      <c r="H505" s="60" t="s">
        <v>86</v>
      </c>
      <c r="I505" s="60" t="str">
        <f t="shared" si="23"/>
        <v>2016 Seattle Mariners</v>
      </c>
      <c r="J505" s="60">
        <v>5583</v>
      </c>
      <c r="K505" s="60">
        <f t="shared" si="21"/>
        <v>955</v>
      </c>
      <c r="L505" s="60">
        <v>251</v>
      </c>
      <c r="M505" s="60">
        <v>17</v>
      </c>
      <c r="N505" s="60">
        <v>223</v>
      </c>
      <c r="O505" s="60">
        <v>506</v>
      </c>
      <c r="P505" s="60">
        <v>72</v>
      </c>
      <c r="Q505" s="60">
        <f t="shared" si="22"/>
        <v>3559</v>
      </c>
      <c r="R505">
        <v>735</v>
      </c>
      <c r="S505">
        <v>29</v>
      </c>
      <c r="T505">
        <v>1288</v>
      </c>
      <c r="U505">
        <v>24</v>
      </c>
      <c r="V505">
        <v>41</v>
      </c>
      <c r="W505">
        <v>1</v>
      </c>
      <c r="X505">
        <v>61</v>
      </c>
      <c r="Y505">
        <v>138</v>
      </c>
      <c r="Z505">
        <v>56</v>
      </c>
      <c r="AA505">
        <v>28</v>
      </c>
      <c r="AB505">
        <v>0.25900000000000001</v>
      </c>
      <c r="AC505">
        <v>0.32600000000000001</v>
      </c>
      <c r="AD505">
        <v>0.43</v>
      </c>
    </row>
    <row r="506" spans="1:30" x14ac:dyDescent="0.5">
      <c r="A506" s="35">
        <v>2016</v>
      </c>
      <c r="B506" t="s">
        <v>21</v>
      </c>
      <c r="C506" t="s">
        <v>38</v>
      </c>
      <c r="D506">
        <v>162</v>
      </c>
      <c r="E506">
        <v>715</v>
      </c>
      <c r="F506">
        <v>1437</v>
      </c>
      <c r="G506" s="60">
        <v>2016</v>
      </c>
      <c r="H506" s="60" t="s">
        <v>88</v>
      </c>
      <c r="I506" s="60" t="str">
        <f t="shared" si="23"/>
        <v>2016 San Francisco Giants</v>
      </c>
      <c r="J506" s="60">
        <v>5565</v>
      </c>
      <c r="K506" s="60">
        <f t="shared" si="21"/>
        <v>973</v>
      </c>
      <c r="L506" s="60">
        <v>280</v>
      </c>
      <c r="M506" s="60">
        <v>54</v>
      </c>
      <c r="N506" s="60">
        <v>130</v>
      </c>
      <c r="O506" s="60">
        <v>572</v>
      </c>
      <c r="P506" s="60">
        <v>42</v>
      </c>
      <c r="Q506" s="60">
        <f t="shared" si="22"/>
        <v>3514</v>
      </c>
      <c r="R506">
        <v>675</v>
      </c>
      <c r="S506">
        <v>43</v>
      </c>
      <c r="T506">
        <v>1107</v>
      </c>
      <c r="U506">
        <v>42</v>
      </c>
      <c r="V506">
        <v>46</v>
      </c>
      <c r="W506">
        <v>4</v>
      </c>
      <c r="X506">
        <v>69</v>
      </c>
      <c r="Y506">
        <v>120</v>
      </c>
      <c r="Z506">
        <v>79</v>
      </c>
      <c r="AA506">
        <v>36</v>
      </c>
      <c r="AB506">
        <v>0.25800000000000001</v>
      </c>
      <c r="AC506">
        <v>0.32900000000000001</v>
      </c>
      <c r="AD506">
        <v>0.39800000000000002</v>
      </c>
    </row>
    <row r="507" spans="1:30" x14ac:dyDescent="0.5">
      <c r="A507" s="35">
        <v>2016</v>
      </c>
      <c r="B507" t="s">
        <v>142</v>
      </c>
      <c r="C507" t="s">
        <v>38</v>
      </c>
      <c r="D507">
        <v>162</v>
      </c>
      <c r="E507">
        <v>779</v>
      </c>
      <c r="F507">
        <v>1415</v>
      </c>
      <c r="G507" s="60">
        <v>2016</v>
      </c>
      <c r="H507" s="60" t="s">
        <v>90</v>
      </c>
      <c r="I507" s="60" t="str">
        <f t="shared" si="23"/>
        <v>2016 St. Louis Cardinals</v>
      </c>
      <c r="J507" s="60">
        <v>5548</v>
      </c>
      <c r="K507" s="60">
        <f t="shared" si="21"/>
        <v>859</v>
      </c>
      <c r="L507" s="60">
        <v>299</v>
      </c>
      <c r="M507" s="60">
        <v>32</v>
      </c>
      <c r="N507" s="60">
        <v>225</v>
      </c>
      <c r="O507" s="60">
        <v>526</v>
      </c>
      <c r="P507" s="60">
        <v>70</v>
      </c>
      <c r="Q507" s="60">
        <f t="shared" si="22"/>
        <v>3537</v>
      </c>
      <c r="R507">
        <v>745</v>
      </c>
      <c r="S507">
        <v>28</v>
      </c>
      <c r="T507">
        <v>1318</v>
      </c>
      <c r="U507">
        <v>37</v>
      </c>
      <c r="V507">
        <v>41</v>
      </c>
      <c r="W507">
        <v>1</v>
      </c>
      <c r="X507">
        <v>76</v>
      </c>
      <c r="Y507">
        <v>117</v>
      </c>
      <c r="Z507">
        <v>35</v>
      </c>
      <c r="AA507">
        <v>26</v>
      </c>
      <c r="AB507">
        <v>0.255</v>
      </c>
      <c r="AC507">
        <v>0.32500000000000001</v>
      </c>
      <c r="AD507">
        <v>0.442</v>
      </c>
    </row>
    <row r="508" spans="1:30" x14ac:dyDescent="0.5">
      <c r="A508" s="35">
        <v>2016</v>
      </c>
      <c r="B508" t="s">
        <v>151</v>
      </c>
      <c r="C508" t="s">
        <v>149</v>
      </c>
      <c r="D508">
        <v>162</v>
      </c>
      <c r="E508">
        <v>672</v>
      </c>
      <c r="F508">
        <v>1333</v>
      </c>
      <c r="G508" s="60">
        <v>2016</v>
      </c>
      <c r="H508" s="60" t="s">
        <v>92</v>
      </c>
      <c r="I508" s="60" t="str">
        <f t="shared" si="23"/>
        <v>2016 Tampa Bay Devil Rays</v>
      </c>
      <c r="J508" s="60">
        <v>5481</v>
      </c>
      <c r="K508" s="60">
        <f t="shared" si="21"/>
        <v>797</v>
      </c>
      <c r="L508" s="60">
        <v>288</v>
      </c>
      <c r="M508" s="60">
        <v>32</v>
      </c>
      <c r="N508" s="60">
        <v>216</v>
      </c>
      <c r="O508" s="60">
        <v>449</v>
      </c>
      <c r="P508" s="60">
        <v>69</v>
      </c>
      <c r="Q508" s="60">
        <f t="shared" si="22"/>
        <v>3630</v>
      </c>
      <c r="R508">
        <v>647</v>
      </c>
      <c r="S508">
        <v>20</v>
      </c>
      <c r="T508">
        <v>1482</v>
      </c>
      <c r="U508">
        <v>18</v>
      </c>
      <c r="V508">
        <v>28</v>
      </c>
      <c r="W508">
        <v>1</v>
      </c>
      <c r="X508">
        <v>58</v>
      </c>
      <c r="Y508">
        <v>88</v>
      </c>
      <c r="Z508">
        <v>60</v>
      </c>
      <c r="AA508">
        <v>37</v>
      </c>
      <c r="AB508">
        <v>0.24299999999999999</v>
      </c>
      <c r="AC508">
        <v>0.307</v>
      </c>
      <c r="AD508">
        <v>0.42599999999999999</v>
      </c>
    </row>
    <row r="509" spans="1:30" x14ac:dyDescent="0.5">
      <c r="A509" s="35">
        <v>2016</v>
      </c>
      <c r="B509" t="s">
        <v>95</v>
      </c>
      <c r="C509" t="s">
        <v>149</v>
      </c>
      <c r="D509">
        <v>162</v>
      </c>
      <c r="E509">
        <v>765</v>
      </c>
      <c r="F509">
        <v>1446</v>
      </c>
      <c r="G509" s="60">
        <v>2016</v>
      </c>
      <c r="H509" s="60" t="s">
        <v>94</v>
      </c>
      <c r="I509" s="60" t="str">
        <f t="shared" si="23"/>
        <v>2016 Texas Rangers</v>
      </c>
      <c r="J509" s="60">
        <v>5525</v>
      </c>
      <c r="K509" s="60">
        <f t="shared" si="21"/>
        <v>951</v>
      </c>
      <c r="L509" s="60">
        <v>257</v>
      </c>
      <c r="M509" s="60">
        <v>23</v>
      </c>
      <c r="N509" s="60">
        <v>215</v>
      </c>
      <c r="O509" s="60">
        <v>436</v>
      </c>
      <c r="P509" s="60">
        <v>70</v>
      </c>
      <c r="Q509" s="60">
        <f t="shared" si="22"/>
        <v>3573</v>
      </c>
      <c r="R509">
        <v>746</v>
      </c>
      <c r="S509">
        <v>23</v>
      </c>
      <c r="T509">
        <v>1220</v>
      </c>
      <c r="U509">
        <v>18</v>
      </c>
      <c r="V509">
        <v>40</v>
      </c>
      <c r="W509">
        <v>0</v>
      </c>
      <c r="X509">
        <v>67</v>
      </c>
      <c r="Y509">
        <v>114</v>
      </c>
      <c r="Z509">
        <v>99</v>
      </c>
      <c r="AA509">
        <v>36</v>
      </c>
      <c r="AB509">
        <v>0.26200000000000001</v>
      </c>
      <c r="AC509">
        <v>0.32200000000000001</v>
      </c>
      <c r="AD509">
        <v>0.433</v>
      </c>
    </row>
    <row r="510" spans="1:30" x14ac:dyDescent="0.5">
      <c r="A510" s="35">
        <v>2016</v>
      </c>
      <c r="B510" t="s">
        <v>97</v>
      </c>
      <c r="C510" t="s">
        <v>149</v>
      </c>
      <c r="D510">
        <v>162</v>
      </c>
      <c r="E510">
        <v>759</v>
      </c>
      <c r="F510">
        <v>1358</v>
      </c>
      <c r="G510" s="60">
        <v>2016</v>
      </c>
      <c r="H510" s="60" t="s">
        <v>96</v>
      </c>
      <c r="I510" s="60" t="str">
        <f t="shared" si="23"/>
        <v>2016 Toronto Blue Jays</v>
      </c>
      <c r="J510" s="60">
        <v>5479</v>
      </c>
      <c r="K510" s="60">
        <f t="shared" si="21"/>
        <v>843</v>
      </c>
      <c r="L510" s="60">
        <v>276</v>
      </c>
      <c r="M510" s="60">
        <v>18</v>
      </c>
      <c r="N510" s="60">
        <v>221</v>
      </c>
      <c r="O510" s="60">
        <v>632</v>
      </c>
      <c r="P510" s="60">
        <v>55</v>
      </c>
      <c r="Q510" s="60">
        <f t="shared" si="22"/>
        <v>3434</v>
      </c>
      <c r="R510">
        <v>728</v>
      </c>
      <c r="S510">
        <v>16</v>
      </c>
      <c r="T510">
        <v>1362</v>
      </c>
      <c r="U510">
        <v>26</v>
      </c>
      <c r="V510">
        <v>40</v>
      </c>
      <c r="W510">
        <v>1</v>
      </c>
      <c r="X510">
        <v>56</v>
      </c>
      <c r="Y510">
        <v>153</v>
      </c>
      <c r="Z510">
        <v>54</v>
      </c>
      <c r="AA510">
        <v>24</v>
      </c>
      <c r="AB510">
        <v>0.248</v>
      </c>
      <c r="AC510">
        <v>0.33</v>
      </c>
      <c r="AD510">
        <v>0.42599999999999999</v>
      </c>
    </row>
    <row r="511" spans="1:30" x14ac:dyDescent="0.5">
      <c r="A511" s="35">
        <v>2016</v>
      </c>
      <c r="B511" t="s">
        <v>101</v>
      </c>
      <c r="C511" t="s">
        <v>38</v>
      </c>
      <c r="D511">
        <v>162</v>
      </c>
      <c r="E511">
        <v>763</v>
      </c>
      <c r="F511">
        <v>1403</v>
      </c>
      <c r="G511" s="60">
        <v>2016</v>
      </c>
      <c r="H511" s="60" t="s">
        <v>100</v>
      </c>
      <c r="I511" s="60" t="str">
        <f t="shared" si="23"/>
        <v>2016 Washington Nationals</v>
      </c>
      <c r="J511" s="60">
        <v>5490</v>
      </c>
      <c r="K511" s="60">
        <f t="shared" si="21"/>
        <v>903</v>
      </c>
      <c r="L511" s="60">
        <v>268</v>
      </c>
      <c r="M511" s="60">
        <v>29</v>
      </c>
      <c r="N511" s="60">
        <v>203</v>
      </c>
      <c r="O511" s="60">
        <v>536</v>
      </c>
      <c r="P511" s="60">
        <v>64</v>
      </c>
      <c r="Q511" s="60">
        <f t="shared" si="22"/>
        <v>3487</v>
      </c>
      <c r="R511">
        <v>735</v>
      </c>
      <c r="S511">
        <v>49</v>
      </c>
      <c r="T511">
        <v>1252</v>
      </c>
      <c r="U511">
        <v>48</v>
      </c>
      <c r="V511">
        <v>63</v>
      </c>
      <c r="W511">
        <v>0</v>
      </c>
      <c r="X511">
        <v>56</v>
      </c>
      <c r="Y511">
        <v>102</v>
      </c>
      <c r="Z511">
        <v>121</v>
      </c>
      <c r="AA511">
        <v>39</v>
      </c>
      <c r="AB511">
        <v>0.25600000000000001</v>
      </c>
      <c r="AC511">
        <v>0.32600000000000001</v>
      </c>
      <c r="AD511">
        <v>0.42599999999999999</v>
      </c>
    </row>
    <row r="512" spans="1:30" x14ac:dyDescent="0.5">
      <c r="A512" s="35">
        <v>2017</v>
      </c>
      <c r="B512" t="s">
        <v>37</v>
      </c>
      <c r="C512" t="s">
        <v>149</v>
      </c>
      <c r="D512">
        <v>162</v>
      </c>
      <c r="E512">
        <v>710</v>
      </c>
      <c r="F512">
        <v>1314</v>
      </c>
      <c r="G512" s="60">
        <v>2017</v>
      </c>
      <c r="H512" s="60" t="s">
        <v>36</v>
      </c>
      <c r="I512" s="60" t="str">
        <f t="shared" si="23"/>
        <v>2017 Anaheim Angels</v>
      </c>
      <c r="J512" s="60">
        <v>5415</v>
      </c>
      <c r="K512" s="60">
        <f t="shared" si="21"/>
        <v>863</v>
      </c>
      <c r="L512" s="60">
        <v>251</v>
      </c>
      <c r="M512" s="60">
        <v>14</v>
      </c>
      <c r="N512" s="60">
        <v>186</v>
      </c>
      <c r="O512" s="60">
        <v>523</v>
      </c>
      <c r="P512" s="60">
        <v>70</v>
      </c>
      <c r="Q512" s="60">
        <f t="shared" si="22"/>
        <v>3508</v>
      </c>
      <c r="R512">
        <v>678</v>
      </c>
      <c r="S512">
        <v>30</v>
      </c>
      <c r="T512">
        <v>1198</v>
      </c>
      <c r="U512">
        <v>17</v>
      </c>
      <c r="V512">
        <v>46</v>
      </c>
      <c r="W512">
        <v>2</v>
      </c>
      <c r="X512">
        <v>63</v>
      </c>
      <c r="Y512">
        <v>141</v>
      </c>
      <c r="Z512">
        <v>136</v>
      </c>
      <c r="AA512">
        <v>44</v>
      </c>
      <c r="AB512">
        <v>0.24299999999999999</v>
      </c>
      <c r="AC512">
        <v>0.315</v>
      </c>
      <c r="AD512">
        <v>0.39700000000000002</v>
      </c>
    </row>
    <row r="513" spans="1:30" x14ac:dyDescent="0.5">
      <c r="A513" s="35">
        <v>2017</v>
      </c>
      <c r="B513" t="s">
        <v>40</v>
      </c>
      <c r="C513" t="s">
        <v>38</v>
      </c>
      <c r="D513">
        <v>162</v>
      </c>
      <c r="E513">
        <v>812</v>
      </c>
      <c r="F513">
        <v>1405</v>
      </c>
      <c r="G513" s="60">
        <v>2017</v>
      </c>
      <c r="H513" s="60" t="s">
        <v>39</v>
      </c>
      <c r="I513" s="60" t="str">
        <f t="shared" si="23"/>
        <v>2017 Arizona Diamondbacks</v>
      </c>
      <c r="J513" s="60">
        <v>5525</v>
      </c>
      <c r="K513" s="60">
        <f t="shared" si="21"/>
        <v>832</v>
      </c>
      <c r="L513" s="60">
        <v>314</v>
      </c>
      <c r="M513" s="60">
        <v>39</v>
      </c>
      <c r="N513" s="60">
        <v>220</v>
      </c>
      <c r="O513" s="60">
        <v>578</v>
      </c>
      <c r="P513" s="60">
        <v>54</v>
      </c>
      <c r="Q513" s="60">
        <f t="shared" si="22"/>
        <v>3488</v>
      </c>
      <c r="R513">
        <v>776</v>
      </c>
      <c r="S513">
        <v>44</v>
      </c>
      <c r="T513">
        <v>1456</v>
      </c>
      <c r="U513">
        <v>39</v>
      </c>
      <c r="V513">
        <v>27</v>
      </c>
      <c r="W513">
        <v>1</v>
      </c>
      <c r="X513">
        <v>63</v>
      </c>
      <c r="Y513">
        <v>106</v>
      </c>
      <c r="Z513">
        <v>103</v>
      </c>
      <c r="AA513">
        <v>30</v>
      </c>
      <c r="AB513">
        <v>0.254</v>
      </c>
      <c r="AC513">
        <v>0.32900000000000001</v>
      </c>
      <c r="AD513">
        <v>0.44500000000000001</v>
      </c>
    </row>
    <row r="514" spans="1:30" x14ac:dyDescent="0.5">
      <c r="A514" s="35">
        <v>2017</v>
      </c>
      <c r="B514" t="s">
        <v>42</v>
      </c>
      <c r="C514" t="s">
        <v>38</v>
      </c>
      <c r="D514">
        <v>162</v>
      </c>
      <c r="E514">
        <v>732</v>
      </c>
      <c r="F514">
        <v>1467</v>
      </c>
      <c r="G514" s="60">
        <v>2017</v>
      </c>
      <c r="H514" s="60" t="s">
        <v>41</v>
      </c>
      <c r="I514" s="60" t="str">
        <f t="shared" si="23"/>
        <v>2017 Atlanta Braves</v>
      </c>
      <c r="J514" s="60">
        <v>5584</v>
      </c>
      <c r="K514" s="60">
        <f t="shared" ref="K514:K571" si="24">F514-(L514+M514+N514)</f>
        <v>987</v>
      </c>
      <c r="L514" s="60">
        <v>289</v>
      </c>
      <c r="M514" s="60">
        <v>26</v>
      </c>
      <c r="N514" s="60">
        <v>165</v>
      </c>
      <c r="O514" s="60">
        <v>474</v>
      </c>
      <c r="P514" s="60">
        <v>66</v>
      </c>
      <c r="Q514" s="60">
        <f t="shared" ref="Q514:Q571" si="25">J514-(F514+O514+P514)</f>
        <v>3577</v>
      </c>
      <c r="R514">
        <v>706</v>
      </c>
      <c r="S514">
        <v>57</v>
      </c>
      <c r="T514">
        <v>1184</v>
      </c>
      <c r="U514">
        <v>59</v>
      </c>
      <c r="V514">
        <v>32</v>
      </c>
      <c r="W514">
        <v>1</v>
      </c>
      <c r="X514">
        <v>62</v>
      </c>
      <c r="Y514">
        <v>137</v>
      </c>
      <c r="Z514">
        <v>77</v>
      </c>
      <c r="AA514">
        <v>31</v>
      </c>
      <c r="AB514">
        <v>0.26300000000000001</v>
      </c>
      <c r="AC514">
        <v>0.32600000000000001</v>
      </c>
      <c r="AD514">
        <v>0.41199999999999998</v>
      </c>
    </row>
    <row r="515" spans="1:30" x14ac:dyDescent="0.5">
      <c r="A515" s="35">
        <v>2017</v>
      </c>
      <c r="B515" t="s">
        <v>45</v>
      </c>
      <c r="C515" t="s">
        <v>149</v>
      </c>
      <c r="D515">
        <v>162</v>
      </c>
      <c r="E515">
        <v>743</v>
      </c>
      <c r="F515">
        <v>1469</v>
      </c>
      <c r="G515" s="60">
        <v>2017</v>
      </c>
      <c r="H515" s="60" t="s">
        <v>44</v>
      </c>
      <c r="I515" s="60" t="str">
        <f t="shared" ref="I515:I571" si="26">G515&amp;" "&amp;H515</f>
        <v>2017 Baltimore Orioles</v>
      </c>
      <c r="J515" s="60">
        <v>5650</v>
      </c>
      <c r="K515" s="60">
        <f t="shared" si="24"/>
        <v>956</v>
      </c>
      <c r="L515" s="60">
        <v>269</v>
      </c>
      <c r="M515" s="60">
        <v>12</v>
      </c>
      <c r="N515" s="60">
        <v>232</v>
      </c>
      <c r="O515" s="60">
        <v>392</v>
      </c>
      <c r="P515" s="60">
        <v>50</v>
      </c>
      <c r="Q515" s="60">
        <f t="shared" si="25"/>
        <v>3739</v>
      </c>
      <c r="R515">
        <v>713</v>
      </c>
      <c r="S515">
        <v>12</v>
      </c>
      <c r="T515">
        <v>1412</v>
      </c>
      <c r="U515">
        <v>10</v>
      </c>
      <c r="V515">
        <v>37</v>
      </c>
      <c r="W515">
        <v>1</v>
      </c>
      <c r="X515">
        <v>66</v>
      </c>
      <c r="Y515">
        <v>138</v>
      </c>
      <c r="Z515">
        <v>32</v>
      </c>
      <c r="AA515">
        <v>13</v>
      </c>
      <c r="AB515">
        <v>0.26</v>
      </c>
      <c r="AC515">
        <v>0.312</v>
      </c>
      <c r="AD515">
        <v>0.435</v>
      </c>
    </row>
    <row r="516" spans="1:30" x14ac:dyDescent="0.5">
      <c r="A516" s="35">
        <v>2017</v>
      </c>
      <c r="B516" t="s">
        <v>47</v>
      </c>
      <c r="C516" t="s">
        <v>149</v>
      </c>
      <c r="D516">
        <v>162</v>
      </c>
      <c r="E516">
        <v>785</v>
      </c>
      <c r="F516">
        <v>1461</v>
      </c>
      <c r="G516" s="60">
        <v>2017</v>
      </c>
      <c r="H516" s="60" t="s">
        <v>46</v>
      </c>
      <c r="I516" s="60" t="str">
        <f t="shared" si="26"/>
        <v>2017 Boston Red Sox</v>
      </c>
      <c r="J516" s="60">
        <v>5669</v>
      </c>
      <c r="K516" s="60">
        <f t="shared" si="24"/>
        <v>972</v>
      </c>
      <c r="L516" s="60">
        <v>302</v>
      </c>
      <c r="M516" s="60">
        <v>19</v>
      </c>
      <c r="N516" s="60">
        <v>168</v>
      </c>
      <c r="O516" s="60">
        <v>571</v>
      </c>
      <c r="P516" s="60">
        <v>53</v>
      </c>
      <c r="Q516" s="60">
        <f t="shared" si="25"/>
        <v>3584</v>
      </c>
      <c r="R516">
        <v>735</v>
      </c>
      <c r="S516">
        <v>48</v>
      </c>
      <c r="T516">
        <v>1224</v>
      </c>
      <c r="U516">
        <v>9</v>
      </c>
      <c r="V516">
        <v>36</v>
      </c>
      <c r="W516">
        <v>0</v>
      </c>
      <c r="X516">
        <v>75</v>
      </c>
      <c r="Y516">
        <v>141</v>
      </c>
      <c r="Z516">
        <v>106</v>
      </c>
      <c r="AA516">
        <v>31</v>
      </c>
      <c r="AB516">
        <v>0.25800000000000001</v>
      </c>
      <c r="AC516">
        <v>0.32900000000000001</v>
      </c>
      <c r="AD516">
        <v>0.40699999999999997</v>
      </c>
    </row>
    <row r="517" spans="1:30" x14ac:dyDescent="0.5">
      <c r="A517" s="35">
        <v>2017</v>
      </c>
      <c r="B517" t="s">
        <v>143</v>
      </c>
      <c r="C517" t="s">
        <v>38</v>
      </c>
      <c r="D517">
        <v>162</v>
      </c>
      <c r="E517">
        <v>822</v>
      </c>
      <c r="F517">
        <v>1402</v>
      </c>
      <c r="G517" s="60">
        <v>2017</v>
      </c>
      <c r="H517" s="60" t="s">
        <v>50</v>
      </c>
      <c r="I517" s="60" t="str">
        <f t="shared" si="26"/>
        <v>2017 Chicago Cubs</v>
      </c>
      <c r="J517" s="60">
        <v>5496</v>
      </c>
      <c r="K517" s="60">
        <f t="shared" si="24"/>
        <v>876</v>
      </c>
      <c r="L517" s="60">
        <v>274</v>
      </c>
      <c r="M517" s="60">
        <v>29</v>
      </c>
      <c r="N517" s="60">
        <v>223</v>
      </c>
      <c r="O517" s="60">
        <v>622</v>
      </c>
      <c r="P517" s="60">
        <v>82</v>
      </c>
      <c r="Q517" s="60">
        <f t="shared" si="25"/>
        <v>3390</v>
      </c>
      <c r="R517">
        <v>785</v>
      </c>
      <c r="S517">
        <v>54</v>
      </c>
      <c r="T517">
        <v>1401</v>
      </c>
      <c r="U517">
        <v>48</v>
      </c>
      <c r="V517">
        <v>32</v>
      </c>
      <c r="W517">
        <v>3</v>
      </c>
      <c r="X517">
        <v>80</v>
      </c>
      <c r="Y517">
        <v>134</v>
      </c>
      <c r="Z517">
        <v>62</v>
      </c>
      <c r="AA517">
        <v>31</v>
      </c>
      <c r="AB517">
        <v>0.255</v>
      </c>
      <c r="AC517">
        <v>0.33800000000000002</v>
      </c>
      <c r="AD517">
        <v>0.437</v>
      </c>
    </row>
    <row r="518" spans="1:30" x14ac:dyDescent="0.5">
      <c r="A518" s="35">
        <v>2017</v>
      </c>
      <c r="B518" t="s">
        <v>143</v>
      </c>
      <c r="C518" t="s">
        <v>149</v>
      </c>
      <c r="D518">
        <v>162</v>
      </c>
      <c r="E518">
        <v>706</v>
      </c>
      <c r="F518">
        <v>1412</v>
      </c>
      <c r="G518" s="60">
        <v>2017</v>
      </c>
      <c r="H518" s="60" t="s">
        <v>48</v>
      </c>
      <c r="I518" s="60" t="str">
        <f t="shared" si="26"/>
        <v>2017 Chicago White Sox</v>
      </c>
      <c r="J518" s="60">
        <v>5513</v>
      </c>
      <c r="K518" s="60">
        <f t="shared" si="24"/>
        <v>933</v>
      </c>
      <c r="L518" s="60">
        <v>256</v>
      </c>
      <c r="M518" s="60">
        <v>37</v>
      </c>
      <c r="N518" s="60">
        <v>186</v>
      </c>
      <c r="O518" s="60">
        <v>401</v>
      </c>
      <c r="P518" s="60">
        <v>76</v>
      </c>
      <c r="Q518" s="60">
        <f t="shared" si="25"/>
        <v>3624</v>
      </c>
      <c r="R518">
        <v>670</v>
      </c>
      <c r="S518">
        <v>17</v>
      </c>
      <c r="T518">
        <v>1397</v>
      </c>
      <c r="U518">
        <v>35</v>
      </c>
      <c r="V518">
        <v>33</v>
      </c>
      <c r="W518">
        <v>1</v>
      </c>
      <c r="X518">
        <v>75</v>
      </c>
      <c r="Y518">
        <v>124</v>
      </c>
      <c r="Z518">
        <v>71</v>
      </c>
      <c r="AA518">
        <v>31</v>
      </c>
      <c r="AB518">
        <v>0.25600000000000001</v>
      </c>
      <c r="AC518">
        <v>0.314</v>
      </c>
      <c r="AD518">
        <v>0.41699999999999998</v>
      </c>
    </row>
    <row r="519" spans="1:30" x14ac:dyDescent="0.5">
      <c r="A519" s="35">
        <v>2017</v>
      </c>
      <c r="B519" t="s">
        <v>53</v>
      </c>
      <c r="C519" t="s">
        <v>38</v>
      </c>
      <c r="D519">
        <v>162</v>
      </c>
      <c r="E519">
        <v>753</v>
      </c>
      <c r="F519">
        <v>1390</v>
      </c>
      <c r="G519" s="60">
        <v>2017</v>
      </c>
      <c r="H519" s="60" t="s">
        <v>52</v>
      </c>
      <c r="I519" s="60" t="str">
        <f t="shared" si="26"/>
        <v>2017 Cincinnati Reds</v>
      </c>
      <c r="J519" s="60">
        <v>5484</v>
      </c>
      <c r="K519" s="60">
        <f t="shared" si="24"/>
        <v>884</v>
      </c>
      <c r="L519" s="60">
        <v>249</v>
      </c>
      <c r="M519" s="60">
        <v>38</v>
      </c>
      <c r="N519" s="60">
        <v>219</v>
      </c>
      <c r="O519" s="60">
        <v>565</v>
      </c>
      <c r="P519" s="60">
        <v>72</v>
      </c>
      <c r="Q519" s="60">
        <f t="shared" si="25"/>
        <v>3457</v>
      </c>
      <c r="R519">
        <v>715</v>
      </c>
      <c r="S519">
        <v>41</v>
      </c>
      <c r="T519">
        <v>1329</v>
      </c>
      <c r="U519">
        <v>50</v>
      </c>
      <c r="V519">
        <v>42</v>
      </c>
      <c r="W519">
        <v>0</v>
      </c>
      <c r="X519">
        <v>59</v>
      </c>
      <c r="Y519">
        <v>116</v>
      </c>
      <c r="Z519">
        <v>120</v>
      </c>
      <c r="AA519">
        <v>39</v>
      </c>
      <c r="AB519">
        <v>0.253</v>
      </c>
      <c r="AC519">
        <v>0.32900000000000001</v>
      </c>
      <c r="AD519">
        <v>0.433</v>
      </c>
    </row>
    <row r="520" spans="1:30" x14ac:dyDescent="0.5">
      <c r="A520" s="35">
        <v>2017</v>
      </c>
      <c r="B520" t="s">
        <v>55</v>
      </c>
      <c r="C520" t="s">
        <v>149</v>
      </c>
      <c r="D520">
        <v>162</v>
      </c>
      <c r="E520">
        <v>818</v>
      </c>
      <c r="F520">
        <v>1449</v>
      </c>
      <c r="G520" s="60">
        <v>2017</v>
      </c>
      <c r="H520" s="60" t="s">
        <v>54</v>
      </c>
      <c r="I520" s="60" t="str">
        <f t="shared" si="26"/>
        <v>2017 Cleveland Indians</v>
      </c>
      <c r="J520" s="60">
        <v>5511</v>
      </c>
      <c r="K520" s="60">
        <f t="shared" si="24"/>
        <v>875</v>
      </c>
      <c r="L520" s="60">
        <v>333</v>
      </c>
      <c r="M520" s="60">
        <v>29</v>
      </c>
      <c r="N520" s="60">
        <v>212</v>
      </c>
      <c r="O520" s="60">
        <v>604</v>
      </c>
      <c r="P520" s="60">
        <v>50</v>
      </c>
      <c r="Q520" s="60">
        <f t="shared" si="25"/>
        <v>3408</v>
      </c>
      <c r="R520">
        <v>780</v>
      </c>
      <c r="S520">
        <v>30</v>
      </c>
      <c r="T520">
        <v>1153</v>
      </c>
      <c r="U520">
        <v>23</v>
      </c>
      <c r="V520">
        <v>45</v>
      </c>
      <c r="W520">
        <v>1</v>
      </c>
      <c r="X520">
        <v>63</v>
      </c>
      <c r="Y520">
        <v>125</v>
      </c>
      <c r="Z520">
        <v>88</v>
      </c>
      <c r="AA520">
        <v>23</v>
      </c>
      <c r="AB520">
        <v>0.26300000000000001</v>
      </c>
      <c r="AC520">
        <v>0.33900000000000002</v>
      </c>
      <c r="AD520">
        <v>0.44900000000000001</v>
      </c>
    </row>
    <row r="521" spans="1:30" x14ac:dyDescent="0.5">
      <c r="A521" s="35">
        <v>2017</v>
      </c>
      <c r="B521" t="s">
        <v>57</v>
      </c>
      <c r="C521" t="s">
        <v>38</v>
      </c>
      <c r="D521">
        <v>162</v>
      </c>
      <c r="E521">
        <v>824</v>
      </c>
      <c r="F521">
        <v>1510</v>
      </c>
      <c r="G521" s="60">
        <v>2017</v>
      </c>
      <c r="H521" s="60" t="s">
        <v>56</v>
      </c>
      <c r="I521" s="60" t="str">
        <f t="shared" si="26"/>
        <v>2017 Colorado Rockies</v>
      </c>
      <c r="J521" s="60">
        <v>5534</v>
      </c>
      <c r="K521" s="60">
        <f t="shared" si="24"/>
        <v>987</v>
      </c>
      <c r="L521" s="60">
        <v>293</v>
      </c>
      <c r="M521" s="60">
        <v>38</v>
      </c>
      <c r="N521" s="60">
        <v>192</v>
      </c>
      <c r="O521" s="60">
        <v>519</v>
      </c>
      <c r="P521" s="60">
        <v>44</v>
      </c>
      <c r="Q521" s="60">
        <f t="shared" si="25"/>
        <v>3461</v>
      </c>
      <c r="R521">
        <v>793</v>
      </c>
      <c r="S521">
        <v>46</v>
      </c>
      <c r="T521">
        <v>1408</v>
      </c>
      <c r="U521">
        <v>62</v>
      </c>
      <c r="V521">
        <v>41</v>
      </c>
      <c r="W521">
        <v>1</v>
      </c>
      <c r="X521">
        <v>62</v>
      </c>
      <c r="Y521">
        <v>143</v>
      </c>
      <c r="Z521">
        <v>59</v>
      </c>
      <c r="AA521">
        <v>34</v>
      </c>
      <c r="AB521">
        <v>0.27300000000000002</v>
      </c>
      <c r="AC521">
        <v>0.33800000000000002</v>
      </c>
      <c r="AD521">
        <v>0.44400000000000001</v>
      </c>
    </row>
    <row r="522" spans="1:30" x14ac:dyDescent="0.5">
      <c r="A522" s="35">
        <v>2017</v>
      </c>
      <c r="B522" t="s">
        <v>59</v>
      </c>
      <c r="C522" t="s">
        <v>149</v>
      </c>
      <c r="D522">
        <v>162</v>
      </c>
      <c r="E522">
        <v>735</v>
      </c>
      <c r="F522">
        <v>1435</v>
      </c>
      <c r="G522" s="60">
        <v>2017</v>
      </c>
      <c r="H522" s="60" t="s">
        <v>58</v>
      </c>
      <c r="I522" s="60" t="str">
        <f t="shared" si="26"/>
        <v>2017 Detroit Tigers</v>
      </c>
      <c r="J522" s="60">
        <v>5556</v>
      </c>
      <c r="K522" s="60">
        <f t="shared" si="24"/>
        <v>924</v>
      </c>
      <c r="L522" s="60">
        <v>289</v>
      </c>
      <c r="M522" s="60">
        <v>35</v>
      </c>
      <c r="N522" s="60">
        <v>187</v>
      </c>
      <c r="O522" s="60">
        <v>503</v>
      </c>
      <c r="P522" s="60">
        <v>52</v>
      </c>
      <c r="Q522" s="60">
        <f t="shared" si="25"/>
        <v>3566</v>
      </c>
      <c r="R522">
        <v>699</v>
      </c>
      <c r="S522">
        <v>21</v>
      </c>
      <c r="T522">
        <v>1313</v>
      </c>
      <c r="U522">
        <v>11</v>
      </c>
      <c r="V522">
        <v>27</v>
      </c>
      <c r="W522">
        <v>1</v>
      </c>
      <c r="X522">
        <v>65</v>
      </c>
      <c r="Y522">
        <v>128</v>
      </c>
      <c r="Z522">
        <v>65</v>
      </c>
      <c r="AA522">
        <v>34</v>
      </c>
      <c r="AB522">
        <v>0.25800000000000001</v>
      </c>
      <c r="AC522">
        <v>0.32400000000000001</v>
      </c>
      <c r="AD522">
        <v>0.42399999999999999</v>
      </c>
    </row>
    <row r="523" spans="1:30" x14ac:dyDescent="0.5">
      <c r="A523" s="35">
        <v>2017</v>
      </c>
      <c r="B523" t="s">
        <v>63</v>
      </c>
      <c r="C523" t="s">
        <v>149</v>
      </c>
      <c r="D523">
        <v>162</v>
      </c>
      <c r="E523">
        <v>896</v>
      </c>
      <c r="F523">
        <v>1581</v>
      </c>
      <c r="G523" s="60">
        <v>2017</v>
      </c>
      <c r="H523" s="60" t="s">
        <v>60</v>
      </c>
      <c r="I523" s="60" t="str">
        <f t="shared" si="26"/>
        <v>2017 Florida Marlins</v>
      </c>
      <c r="J523" s="60">
        <v>5611</v>
      </c>
      <c r="K523" s="60">
        <f t="shared" si="24"/>
        <v>977</v>
      </c>
      <c r="L523" s="60">
        <v>346</v>
      </c>
      <c r="M523" s="60">
        <v>20</v>
      </c>
      <c r="N523" s="60">
        <v>238</v>
      </c>
      <c r="O523" s="60">
        <v>509</v>
      </c>
      <c r="P523" s="60">
        <v>70</v>
      </c>
      <c r="Q523" s="60">
        <f t="shared" si="25"/>
        <v>3451</v>
      </c>
      <c r="R523">
        <v>854</v>
      </c>
      <c r="S523">
        <v>27</v>
      </c>
      <c r="T523">
        <v>1087</v>
      </c>
      <c r="U523">
        <v>11</v>
      </c>
      <c r="V523">
        <v>61</v>
      </c>
      <c r="W523">
        <v>9</v>
      </c>
      <c r="X523">
        <v>79</v>
      </c>
      <c r="Y523">
        <v>139</v>
      </c>
      <c r="Z523">
        <v>98</v>
      </c>
      <c r="AA523">
        <v>42</v>
      </c>
      <c r="AB523">
        <v>0.28199999999999997</v>
      </c>
      <c r="AC523">
        <v>0.34599999999999997</v>
      </c>
      <c r="AD523">
        <v>0.47799999999999998</v>
      </c>
    </row>
    <row r="524" spans="1:30" x14ac:dyDescent="0.5">
      <c r="A524" s="35">
        <v>2017</v>
      </c>
      <c r="B524" t="s">
        <v>150</v>
      </c>
      <c r="C524" t="s">
        <v>149</v>
      </c>
      <c r="D524">
        <v>162</v>
      </c>
      <c r="E524">
        <v>702</v>
      </c>
      <c r="F524">
        <v>1436</v>
      </c>
      <c r="G524" s="60">
        <v>2017</v>
      </c>
      <c r="H524" s="60" t="s">
        <v>62</v>
      </c>
      <c r="I524" s="60" t="str">
        <f t="shared" si="26"/>
        <v>2017 Houston Astros</v>
      </c>
      <c r="J524" s="60">
        <v>5536</v>
      </c>
      <c r="K524" s="60">
        <f t="shared" si="24"/>
        <v>959</v>
      </c>
      <c r="L524" s="60">
        <v>260</v>
      </c>
      <c r="M524" s="60">
        <v>24</v>
      </c>
      <c r="N524" s="60">
        <v>193</v>
      </c>
      <c r="O524" s="60">
        <v>390</v>
      </c>
      <c r="P524" s="60">
        <v>45</v>
      </c>
      <c r="Q524" s="60">
        <f t="shared" si="25"/>
        <v>3665</v>
      </c>
      <c r="R524">
        <v>660</v>
      </c>
      <c r="S524">
        <v>19</v>
      </c>
      <c r="T524">
        <v>1166</v>
      </c>
      <c r="U524">
        <v>17</v>
      </c>
      <c r="V524">
        <v>37</v>
      </c>
      <c r="W524">
        <v>2</v>
      </c>
      <c r="X524">
        <v>60</v>
      </c>
      <c r="Y524">
        <v>160</v>
      </c>
      <c r="Z524">
        <v>91</v>
      </c>
      <c r="AA524">
        <v>31</v>
      </c>
      <c r="AB524">
        <v>0.25900000000000001</v>
      </c>
      <c r="AC524">
        <v>0.311</v>
      </c>
      <c r="AD524">
        <v>0.42</v>
      </c>
    </row>
    <row r="525" spans="1:30" x14ac:dyDescent="0.5">
      <c r="A525" s="35">
        <v>2017</v>
      </c>
      <c r="B525" t="s">
        <v>145</v>
      </c>
      <c r="C525" t="s">
        <v>38</v>
      </c>
      <c r="D525">
        <v>162</v>
      </c>
      <c r="E525">
        <v>770</v>
      </c>
      <c r="F525">
        <v>1347</v>
      </c>
      <c r="G525" s="60">
        <v>2017</v>
      </c>
      <c r="H525" s="60" t="s">
        <v>64</v>
      </c>
      <c r="I525" s="60" t="str">
        <f t="shared" si="26"/>
        <v>2017 Kansas City Royals</v>
      </c>
      <c r="J525" s="60">
        <v>5408</v>
      </c>
      <c r="K525" s="60">
        <f t="shared" si="24"/>
        <v>794</v>
      </c>
      <c r="L525" s="60">
        <v>312</v>
      </c>
      <c r="M525" s="60">
        <v>20</v>
      </c>
      <c r="N525" s="60">
        <v>221</v>
      </c>
      <c r="O525" s="60">
        <v>649</v>
      </c>
      <c r="P525" s="60">
        <v>64</v>
      </c>
      <c r="Q525" s="60">
        <f t="shared" si="25"/>
        <v>3348</v>
      </c>
      <c r="R525">
        <v>730</v>
      </c>
      <c r="S525">
        <v>41</v>
      </c>
      <c r="T525">
        <v>1380</v>
      </c>
      <c r="U525">
        <v>31</v>
      </c>
      <c r="V525">
        <v>38</v>
      </c>
      <c r="W525">
        <v>1</v>
      </c>
      <c r="X525">
        <v>48</v>
      </c>
      <c r="Y525">
        <v>119</v>
      </c>
      <c r="Z525">
        <v>77</v>
      </c>
      <c r="AA525">
        <v>28</v>
      </c>
      <c r="AB525">
        <v>0.249</v>
      </c>
      <c r="AC525">
        <v>0.33400000000000002</v>
      </c>
      <c r="AD525">
        <v>0.437</v>
      </c>
    </row>
    <row r="526" spans="1:30" x14ac:dyDescent="0.5">
      <c r="A526" s="35">
        <v>2017</v>
      </c>
      <c r="B526" t="s">
        <v>104</v>
      </c>
      <c r="C526" t="s">
        <v>38</v>
      </c>
      <c r="D526">
        <v>162</v>
      </c>
      <c r="E526">
        <v>778</v>
      </c>
      <c r="F526">
        <v>1497</v>
      </c>
      <c r="G526" s="60">
        <v>2017</v>
      </c>
      <c r="H526" s="60" t="s">
        <v>66</v>
      </c>
      <c r="I526" s="60" t="str">
        <f t="shared" si="26"/>
        <v>2017 Los Angeles Dodgers</v>
      </c>
      <c r="J526" s="60">
        <v>5602</v>
      </c>
      <c r="K526" s="60">
        <f t="shared" si="24"/>
        <v>1001</v>
      </c>
      <c r="L526" s="60">
        <v>271</v>
      </c>
      <c r="M526" s="60">
        <v>31</v>
      </c>
      <c r="N526" s="60">
        <v>194</v>
      </c>
      <c r="O526" s="60">
        <v>486</v>
      </c>
      <c r="P526" s="60">
        <v>67</v>
      </c>
      <c r="Q526" s="60">
        <f t="shared" si="25"/>
        <v>3552</v>
      </c>
      <c r="R526">
        <v>743</v>
      </c>
      <c r="S526">
        <v>48</v>
      </c>
      <c r="T526">
        <v>1282</v>
      </c>
      <c r="U526">
        <v>50</v>
      </c>
      <c r="V526">
        <v>41</v>
      </c>
      <c r="W526">
        <v>2</v>
      </c>
      <c r="X526">
        <v>52</v>
      </c>
      <c r="Y526">
        <v>119</v>
      </c>
      <c r="Z526">
        <v>91</v>
      </c>
      <c r="AA526">
        <v>30</v>
      </c>
      <c r="AB526">
        <v>0.26700000000000002</v>
      </c>
      <c r="AC526">
        <v>0.33100000000000002</v>
      </c>
      <c r="AD526">
        <v>0.43099999999999999</v>
      </c>
    </row>
    <row r="527" spans="1:30" x14ac:dyDescent="0.5">
      <c r="A527" s="35">
        <v>2017</v>
      </c>
      <c r="B527" t="s">
        <v>69</v>
      </c>
      <c r="C527" t="s">
        <v>38</v>
      </c>
      <c r="D527">
        <v>162</v>
      </c>
      <c r="E527">
        <v>732</v>
      </c>
      <c r="F527">
        <v>1363</v>
      </c>
      <c r="G527" s="60">
        <v>2017</v>
      </c>
      <c r="H527" s="60" t="s">
        <v>68</v>
      </c>
      <c r="I527" s="60" t="str">
        <f t="shared" si="26"/>
        <v>2017 Milwaukee Brewers</v>
      </c>
      <c r="J527" s="60">
        <v>5467</v>
      </c>
      <c r="K527" s="60">
        <f t="shared" si="24"/>
        <v>850</v>
      </c>
      <c r="L527" s="60">
        <v>267</v>
      </c>
      <c r="M527" s="60">
        <v>22</v>
      </c>
      <c r="N527" s="60">
        <v>224</v>
      </c>
      <c r="O527" s="60">
        <v>547</v>
      </c>
      <c r="P527" s="60">
        <v>53</v>
      </c>
      <c r="Q527" s="60">
        <f t="shared" si="25"/>
        <v>3504</v>
      </c>
      <c r="R527">
        <v>695</v>
      </c>
      <c r="S527">
        <v>34</v>
      </c>
      <c r="T527">
        <v>1571</v>
      </c>
      <c r="U527">
        <v>42</v>
      </c>
      <c r="V527">
        <v>26</v>
      </c>
      <c r="W527">
        <v>0</v>
      </c>
      <c r="X527">
        <v>58</v>
      </c>
      <c r="Y527">
        <v>116</v>
      </c>
      <c r="Z527">
        <v>128</v>
      </c>
      <c r="AA527">
        <v>41</v>
      </c>
      <c r="AB527">
        <v>0.249</v>
      </c>
      <c r="AC527">
        <v>0.32200000000000001</v>
      </c>
      <c r="AD527">
        <v>0.42899999999999999</v>
      </c>
    </row>
    <row r="528" spans="1:30" x14ac:dyDescent="0.5">
      <c r="A528" s="35">
        <v>2017</v>
      </c>
      <c r="B528" t="s">
        <v>71</v>
      </c>
      <c r="C528" t="s">
        <v>149</v>
      </c>
      <c r="D528">
        <v>162</v>
      </c>
      <c r="E528">
        <v>815</v>
      </c>
      <c r="F528">
        <v>1444</v>
      </c>
      <c r="G528" s="60">
        <v>2017</v>
      </c>
      <c r="H528" s="60" t="s">
        <v>70</v>
      </c>
      <c r="I528" s="60" t="str">
        <f t="shared" si="26"/>
        <v>2017 Minnesota Twins</v>
      </c>
      <c r="J528" s="60">
        <v>5557</v>
      </c>
      <c r="K528" s="60">
        <f t="shared" si="24"/>
        <v>921</v>
      </c>
      <c r="L528" s="60">
        <v>286</v>
      </c>
      <c r="M528" s="60">
        <v>31</v>
      </c>
      <c r="N528" s="60">
        <v>206</v>
      </c>
      <c r="O528" s="60">
        <v>593</v>
      </c>
      <c r="P528" s="60">
        <v>46</v>
      </c>
      <c r="Q528" s="60">
        <f t="shared" si="25"/>
        <v>3474</v>
      </c>
      <c r="R528">
        <v>781</v>
      </c>
      <c r="S528">
        <v>26</v>
      </c>
      <c r="T528">
        <v>1342</v>
      </c>
      <c r="U528">
        <v>26</v>
      </c>
      <c r="V528">
        <v>39</v>
      </c>
      <c r="W528">
        <v>0</v>
      </c>
      <c r="X528">
        <v>55</v>
      </c>
      <c r="Y528">
        <v>105</v>
      </c>
      <c r="Z528">
        <v>95</v>
      </c>
      <c r="AA528">
        <v>28</v>
      </c>
      <c r="AB528">
        <v>0.26</v>
      </c>
      <c r="AC528">
        <v>0.33400000000000002</v>
      </c>
      <c r="AD528">
        <v>0.434</v>
      </c>
    </row>
    <row r="529" spans="1:30" x14ac:dyDescent="0.5">
      <c r="A529" s="35">
        <v>2017</v>
      </c>
      <c r="B529" t="s">
        <v>144</v>
      </c>
      <c r="C529" t="s">
        <v>38</v>
      </c>
      <c r="D529">
        <v>162</v>
      </c>
      <c r="E529">
        <v>735</v>
      </c>
      <c r="F529">
        <v>1379</v>
      </c>
      <c r="G529" s="60">
        <v>2017</v>
      </c>
      <c r="H529" s="60" t="s">
        <v>76</v>
      </c>
      <c r="I529" s="60" t="str">
        <f t="shared" si="26"/>
        <v>2017 New York Mets</v>
      </c>
      <c r="J529" s="60">
        <v>5510</v>
      </c>
      <c r="K529" s="60">
        <f t="shared" si="24"/>
        <v>841</v>
      </c>
      <c r="L529" s="60">
        <v>286</v>
      </c>
      <c r="M529" s="60">
        <v>28</v>
      </c>
      <c r="N529" s="60">
        <v>224</v>
      </c>
      <c r="O529" s="60">
        <v>529</v>
      </c>
      <c r="P529" s="60">
        <v>57</v>
      </c>
      <c r="Q529" s="60">
        <f t="shared" si="25"/>
        <v>3545</v>
      </c>
      <c r="R529">
        <v>713</v>
      </c>
      <c r="S529">
        <v>31</v>
      </c>
      <c r="T529">
        <v>1291</v>
      </c>
      <c r="U529">
        <v>36</v>
      </c>
      <c r="V529">
        <v>37</v>
      </c>
      <c r="W529">
        <v>0</v>
      </c>
      <c r="X529">
        <v>57</v>
      </c>
      <c r="Y529">
        <v>118</v>
      </c>
      <c r="Z529">
        <v>58</v>
      </c>
      <c r="AA529">
        <v>23</v>
      </c>
      <c r="AB529">
        <v>0.25</v>
      </c>
      <c r="AC529">
        <v>0.32</v>
      </c>
      <c r="AD529">
        <v>0.434</v>
      </c>
    </row>
    <row r="530" spans="1:30" x14ac:dyDescent="0.5">
      <c r="A530" s="35">
        <v>2017</v>
      </c>
      <c r="B530" t="s">
        <v>144</v>
      </c>
      <c r="C530" t="s">
        <v>149</v>
      </c>
      <c r="D530">
        <v>162</v>
      </c>
      <c r="E530">
        <v>858</v>
      </c>
      <c r="F530">
        <v>1463</v>
      </c>
      <c r="G530" s="60">
        <v>2017</v>
      </c>
      <c r="H530" s="60" t="s">
        <v>74</v>
      </c>
      <c r="I530" s="60" t="str">
        <f t="shared" si="26"/>
        <v>2017 New York Yankees</v>
      </c>
      <c r="J530" s="60">
        <v>5594</v>
      </c>
      <c r="K530" s="60">
        <f t="shared" si="24"/>
        <v>933</v>
      </c>
      <c r="L530" s="60">
        <v>266</v>
      </c>
      <c r="M530" s="60">
        <v>23</v>
      </c>
      <c r="N530" s="60">
        <v>241</v>
      </c>
      <c r="O530" s="60">
        <v>616</v>
      </c>
      <c r="P530" s="60">
        <v>64</v>
      </c>
      <c r="Q530" s="60">
        <f t="shared" si="25"/>
        <v>3451</v>
      </c>
      <c r="R530">
        <v>821</v>
      </c>
      <c r="S530">
        <v>22</v>
      </c>
      <c r="T530">
        <v>1386</v>
      </c>
      <c r="U530">
        <v>18</v>
      </c>
      <c r="V530">
        <v>56</v>
      </c>
      <c r="W530">
        <v>6</v>
      </c>
      <c r="X530">
        <v>102</v>
      </c>
      <c r="Y530">
        <v>119</v>
      </c>
      <c r="Z530">
        <v>90</v>
      </c>
      <c r="AA530">
        <v>22</v>
      </c>
      <c r="AB530">
        <v>0.26200000000000001</v>
      </c>
      <c r="AC530">
        <v>0.33900000000000002</v>
      </c>
      <c r="AD530">
        <v>0.44700000000000001</v>
      </c>
    </row>
    <row r="531" spans="1:30" x14ac:dyDescent="0.5">
      <c r="A531" s="35">
        <v>2017</v>
      </c>
      <c r="B531" t="s">
        <v>79</v>
      </c>
      <c r="C531" t="s">
        <v>149</v>
      </c>
      <c r="D531">
        <v>162</v>
      </c>
      <c r="E531">
        <v>739</v>
      </c>
      <c r="F531">
        <v>1344</v>
      </c>
      <c r="G531" s="60">
        <v>2017</v>
      </c>
      <c r="H531" s="60" t="s">
        <v>78</v>
      </c>
      <c r="I531" s="60" t="str">
        <f t="shared" si="26"/>
        <v>2017 Oakland Athletics</v>
      </c>
      <c r="J531" s="60">
        <v>5464</v>
      </c>
      <c r="K531" s="60">
        <f t="shared" si="24"/>
        <v>790</v>
      </c>
      <c r="L531" s="60">
        <v>305</v>
      </c>
      <c r="M531" s="60">
        <v>15</v>
      </c>
      <c r="N531" s="60">
        <v>234</v>
      </c>
      <c r="O531" s="60">
        <v>565</v>
      </c>
      <c r="P531" s="60">
        <v>43</v>
      </c>
      <c r="Q531" s="60">
        <f t="shared" si="25"/>
        <v>3512</v>
      </c>
      <c r="R531">
        <v>708</v>
      </c>
      <c r="S531">
        <v>15</v>
      </c>
      <c r="T531">
        <v>1491</v>
      </c>
      <c r="U531">
        <v>13</v>
      </c>
      <c r="V531">
        <v>40</v>
      </c>
      <c r="W531">
        <v>1</v>
      </c>
      <c r="X531">
        <v>57</v>
      </c>
      <c r="Y531">
        <v>129</v>
      </c>
      <c r="Z531">
        <v>57</v>
      </c>
      <c r="AA531">
        <v>22</v>
      </c>
      <c r="AB531">
        <v>0.246</v>
      </c>
      <c r="AC531">
        <v>0.31900000000000001</v>
      </c>
      <c r="AD531">
        <v>0.436</v>
      </c>
    </row>
    <row r="532" spans="1:30" x14ac:dyDescent="0.5">
      <c r="A532" s="35">
        <v>2017</v>
      </c>
      <c r="B532" t="s">
        <v>81</v>
      </c>
      <c r="C532" t="s">
        <v>38</v>
      </c>
      <c r="D532">
        <v>162</v>
      </c>
      <c r="E532">
        <v>690</v>
      </c>
      <c r="F532">
        <v>1382</v>
      </c>
      <c r="G532" s="60">
        <v>2017</v>
      </c>
      <c r="H532" s="60" t="s">
        <v>80</v>
      </c>
      <c r="I532" s="60" t="str">
        <f t="shared" si="26"/>
        <v>2017 Philadelphia Phillies</v>
      </c>
      <c r="J532" s="60">
        <v>5535</v>
      </c>
      <c r="K532" s="60">
        <f t="shared" si="24"/>
        <v>885</v>
      </c>
      <c r="L532" s="60">
        <v>287</v>
      </c>
      <c r="M532" s="60">
        <v>36</v>
      </c>
      <c r="N532" s="60">
        <v>174</v>
      </c>
      <c r="O532" s="60">
        <v>494</v>
      </c>
      <c r="P532" s="60">
        <v>47</v>
      </c>
      <c r="Q532" s="60">
        <f t="shared" si="25"/>
        <v>3612</v>
      </c>
      <c r="R532">
        <v>654</v>
      </c>
      <c r="S532">
        <v>25</v>
      </c>
      <c r="T532">
        <v>1417</v>
      </c>
      <c r="U532">
        <v>21</v>
      </c>
      <c r="V532">
        <v>36</v>
      </c>
      <c r="W532">
        <v>0</v>
      </c>
      <c r="X532">
        <v>66</v>
      </c>
      <c r="Y532">
        <v>128</v>
      </c>
      <c r="Z532">
        <v>59</v>
      </c>
      <c r="AA532">
        <v>25</v>
      </c>
      <c r="AB532">
        <v>0.25</v>
      </c>
      <c r="AC532">
        <v>0.315</v>
      </c>
      <c r="AD532">
        <v>0.40899999999999997</v>
      </c>
    </row>
    <row r="533" spans="1:30" x14ac:dyDescent="0.5">
      <c r="A533" s="35">
        <v>2017</v>
      </c>
      <c r="B533" t="s">
        <v>83</v>
      </c>
      <c r="C533" t="s">
        <v>38</v>
      </c>
      <c r="D533">
        <v>162</v>
      </c>
      <c r="E533">
        <v>668</v>
      </c>
      <c r="F533">
        <v>1331</v>
      </c>
      <c r="G533" s="60">
        <v>2017</v>
      </c>
      <c r="H533" s="60" t="s">
        <v>82</v>
      </c>
      <c r="I533" s="60" t="str">
        <f t="shared" si="26"/>
        <v>2017 Pittsburgh Pirates</v>
      </c>
      <c r="J533" s="60">
        <v>5458</v>
      </c>
      <c r="K533" s="60">
        <f t="shared" si="24"/>
        <v>895</v>
      </c>
      <c r="L533" s="60">
        <v>249</v>
      </c>
      <c r="M533" s="60">
        <v>36</v>
      </c>
      <c r="N533" s="60">
        <v>151</v>
      </c>
      <c r="O533" s="60">
        <v>519</v>
      </c>
      <c r="P533" s="60">
        <v>88</v>
      </c>
      <c r="Q533" s="60">
        <f t="shared" si="25"/>
        <v>3520</v>
      </c>
      <c r="R533">
        <v>635</v>
      </c>
      <c r="S533">
        <v>39</v>
      </c>
      <c r="T533">
        <v>1213</v>
      </c>
      <c r="U533">
        <v>42</v>
      </c>
      <c r="V533">
        <v>28</v>
      </c>
      <c r="W533">
        <v>1</v>
      </c>
      <c r="X533">
        <v>61</v>
      </c>
      <c r="Y533">
        <v>120</v>
      </c>
      <c r="Z533">
        <v>67</v>
      </c>
      <c r="AA533">
        <v>36</v>
      </c>
      <c r="AB533">
        <v>0.24399999999999999</v>
      </c>
      <c r="AC533">
        <v>0.318</v>
      </c>
      <c r="AD533">
        <v>0.38600000000000001</v>
      </c>
    </row>
    <row r="534" spans="1:30" x14ac:dyDescent="0.5">
      <c r="A534" s="35">
        <v>2017</v>
      </c>
      <c r="B534" t="s">
        <v>147</v>
      </c>
      <c r="C534" t="s">
        <v>38</v>
      </c>
      <c r="D534">
        <v>162</v>
      </c>
      <c r="E534">
        <v>604</v>
      </c>
      <c r="F534">
        <v>1251</v>
      </c>
      <c r="G534" s="60">
        <v>2017</v>
      </c>
      <c r="H534" s="60" t="s">
        <v>84</v>
      </c>
      <c r="I534" s="60" t="str">
        <f t="shared" si="26"/>
        <v>2017 San Diego Padres</v>
      </c>
      <c r="J534" s="60">
        <v>5356</v>
      </c>
      <c r="K534" s="60">
        <f t="shared" si="24"/>
        <v>804</v>
      </c>
      <c r="L534" s="60">
        <v>227</v>
      </c>
      <c r="M534" s="60">
        <v>31</v>
      </c>
      <c r="N534" s="60">
        <v>189</v>
      </c>
      <c r="O534" s="60">
        <v>460</v>
      </c>
      <c r="P534" s="60">
        <v>53</v>
      </c>
      <c r="Q534" s="60">
        <f t="shared" si="25"/>
        <v>3592</v>
      </c>
      <c r="R534">
        <v>576</v>
      </c>
      <c r="S534">
        <v>20</v>
      </c>
      <c r="T534">
        <v>1499</v>
      </c>
      <c r="U534">
        <v>52</v>
      </c>
      <c r="V534">
        <v>33</v>
      </c>
      <c r="W534">
        <v>0</v>
      </c>
      <c r="X534">
        <v>59</v>
      </c>
      <c r="Y534">
        <v>99</v>
      </c>
      <c r="Z534">
        <v>89</v>
      </c>
      <c r="AA534">
        <v>33</v>
      </c>
      <c r="AB534">
        <v>0.23400000000000001</v>
      </c>
      <c r="AC534">
        <v>0.29899999999999999</v>
      </c>
      <c r="AD534">
        <v>0.39300000000000002</v>
      </c>
    </row>
    <row r="535" spans="1:30" x14ac:dyDescent="0.5">
      <c r="A535" s="35">
        <v>2017</v>
      </c>
      <c r="B535" t="s">
        <v>87</v>
      </c>
      <c r="C535" t="s">
        <v>149</v>
      </c>
      <c r="D535">
        <v>162</v>
      </c>
      <c r="E535">
        <v>750</v>
      </c>
      <c r="F535">
        <v>1436</v>
      </c>
      <c r="G535" s="60">
        <v>2017</v>
      </c>
      <c r="H535" s="60" t="s">
        <v>86</v>
      </c>
      <c r="I535" s="60" t="str">
        <f t="shared" si="26"/>
        <v>2017 Seattle Mariners</v>
      </c>
      <c r="J535" s="60">
        <v>5551</v>
      </c>
      <c r="K535" s="60">
        <f t="shared" si="24"/>
        <v>938</v>
      </c>
      <c r="L535" s="60">
        <v>281</v>
      </c>
      <c r="M535" s="60">
        <v>17</v>
      </c>
      <c r="N535" s="60">
        <v>200</v>
      </c>
      <c r="O535" s="60">
        <v>487</v>
      </c>
      <c r="P535" s="60">
        <v>78</v>
      </c>
      <c r="Q535" s="60">
        <f t="shared" si="25"/>
        <v>3550</v>
      </c>
      <c r="R535">
        <v>714</v>
      </c>
      <c r="S535">
        <v>31</v>
      </c>
      <c r="T535">
        <v>1267</v>
      </c>
      <c r="U535">
        <v>14</v>
      </c>
      <c r="V535">
        <v>35</v>
      </c>
      <c r="W535">
        <v>1</v>
      </c>
      <c r="X535">
        <v>51</v>
      </c>
      <c r="Y535">
        <v>131</v>
      </c>
      <c r="Z535">
        <v>89</v>
      </c>
      <c r="AA535">
        <v>35</v>
      </c>
      <c r="AB535">
        <v>0.25900000000000001</v>
      </c>
      <c r="AC535">
        <v>0.32500000000000001</v>
      </c>
      <c r="AD535">
        <v>0.42399999999999999</v>
      </c>
    </row>
    <row r="536" spans="1:30" x14ac:dyDescent="0.5">
      <c r="A536" s="35">
        <v>2017</v>
      </c>
      <c r="B536" t="s">
        <v>21</v>
      </c>
      <c r="C536" t="s">
        <v>38</v>
      </c>
      <c r="D536">
        <v>162</v>
      </c>
      <c r="E536">
        <v>639</v>
      </c>
      <c r="F536">
        <v>1382</v>
      </c>
      <c r="G536" s="60">
        <v>2017</v>
      </c>
      <c r="H536" s="60" t="s">
        <v>88</v>
      </c>
      <c r="I536" s="60" t="str">
        <f t="shared" si="26"/>
        <v>2017 San Francisco Giants</v>
      </c>
      <c r="J536" s="60">
        <v>5551</v>
      </c>
      <c r="K536" s="60">
        <f t="shared" si="24"/>
        <v>936</v>
      </c>
      <c r="L536" s="60">
        <v>290</v>
      </c>
      <c r="M536" s="60">
        <v>28</v>
      </c>
      <c r="N536" s="60">
        <v>128</v>
      </c>
      <c r="O536" s="60">
        <v>467</v>
      </c>
      <c r="P536" s="60">
        <v>36</v>
      </c>
      <c r="Q536" s="60">
        <f t="shared" si="25"/>
        <v>3666</v>
      </c>
      <c r="R536">
        <v>612</v>
      </c>
      <c r="S536">
        <v>37</v>
      </c>
      <c r="T536">
        <v>1204</v>
      </c>
      <c r="U536">
        <v>31</v>
      </c>
      <c r="V536">
        <v>52</v>
      </c>
      <c r="W536">
        <v>0</v>
      </c>
      <c r="X536">
        <v>60</v>
      </c>
      <c r="Y536">
        <v>136</v>
      </c>
      <c r="Z536">
        <v>76</v>
      </c>
      <c r="AA536">
        <v>34</v>
      </c>
      <c r="AB536">
        <v>0.249</v>
      </c>
      <c r="AC536">
        <v>0.309</v>
      </c>
      <c r="AD536">
        <v>0.38</v>
      </c>
    </row>
    <row r="537" spans="1:30" x14ac:dyDescent="0.5">
      <c r="A537" s="35">
        <v>2017</v>
      </c>
      <c r="B537" t="s">
        <v>142</v>
      </c>
      <c r="C537" t="s">
        <v>38</v>
      </c>
      <c r="D537">
        <v>162</v>
      </c>
      <c r="E537">
        <v>761</v>
      </c>
      <c r="F537">
        <v>1402</v>
      </c>
      <c r="G537" s="60">
        <v>2017</v>
      </c>
      <c r="H537" s="60" t="s">
        <v>90</v>
      </c>
      <c r="I537" s="60" t="str">
        <f t="shared" si="26"/>
        <v>2017 St. Louis Cardinals</v>
      </c>
      <c r="J537" s="60">
        <v>5470</v>
      </c>
      <c r="K537" s="60">
        <f t="shared" si="24"/>
        <v>894</v>
      </c>
      <c r="L537" s="60">
        <v>284</v>
      </c>
      <c r="M537" s="60">
        <v>28</v>
      </c>
      <c r="N537" s="60">
        <v>196</v>
      </c>
      <c r="O537" s="60">
        <v>593</v>
      </c>
      <c r="P537" s="60">
        <v>65</v>
      </c>
      <c r="Q537" s="60">
        <f t="shared" si="25"/>
        <v>3410</v>
      </c>
      <c r="R537">
        <v>728</v>
      </c>
      <c r="S537">
        <v>36</v>
      </c>
      <c r="T537">
        <v>1348</v>
      </c>
      <c r="U537">
        <v>47</v>
      </c>
      <c r="V537">
        <v>44</v>
      </c>
      <c r="W537">
        <v>0</v>
      </c>
      <c r="X537">
        <v>58</v>
      </c>
      <c r="Y537">
        <v>139</v>
      </c>
      <c r="Z537">
        <v>81</v>
      </c>
      <c r="AA537">
        <v>31</v>
      </c>
      <c r="AB537">
        <v>0.25600000000000001</v>
      </c>
      <c r="AC537">
        <v>0.33400000000000002</v>
      </c>
      <c r="AD537">
        <v>0.42599999999999999</v>
      </c>
    </row>
    <row r="538" spans="1:30" x14ac:dyDescent="0.5">
      <c r="A538" s="35">
        <v>2017</v>
      </c>
      <c r="B538" t="s">
        <v>151</v>
      </c>
      <c r="C538" t="s">
        <v>149</v>
      </c>
      <c r="D538">
        <v>162</v>
      </c>
      <c r="E538">
        <v>694</v>
      </c>
      <c r="F538">
        <v>1340</v>
      </c>
      <c r="G538" s="60">
        <v>2017</v>
      </c>
      <c r="H538" s="60" t="s">
        <v>92</v>
      </c>
      <c r="I538" s="60" t="str">
        <f t="shared" si="26"/>
        <v>2017 Tampa Bay Devil Rays</v>
      </c>
      <c r="J538" s="60">
        <v>5478</v>
      </c>
      <c r="K538" s="60">
        <f t="shared" si="24"/>
        <v>854</v>
      </c>
      <c r="L538" s="60">
        <v>226</v>
      </c>
      <c r="M538" s="60">
        <v>32</v>
      </c>
      <c r="N538" s="60">
        <v>228</v>
      </c>
      <c r="O538" s="60">
        <v>545</v>
      </c>
      <c r="P538" s="60">
        <v>55</v>
      </c>
      <c r="Q538" s="60">
        <f t="shared" si="25"/>
        <v>3538</v>
      </c>
      <c r="R538">
        <v>671</v>
      </c>
      <c r="S538">
        <v>33</v>
      </c>
      <c r="T538">
        <v>1538</v>
      </c>
      <c r="U538">
        <v>16</v>
      </c>
      <c r="V538">
        <v>48</v>
      </c>
      <c r="W538">
        <v>5</v>
      </c>
      <c r="X538">
        <v>57</v>
      </c>
      <c r="Y538">
        <v>115</v>
      </c>
      <c r="Z538">
        <v>88</v>
      </c>
      <c r="AA538">
        <v>34</v>
      </c>
      <c r="AB538">
        <v>0.245</v>
      </c>
      <c r="AC538">
        <v>0.317</v>
      </c>
      <c r="AD538">
        <v>0.42199999999999999</v>
      </c>
    </row>
    <row r="539" spans="1:30" x14ac:dyDescent="0.5">
      <c r="A539" s="35">
        <v>2017</v>
      </c>
      <c r="B539" t="s">
        <v>95</v>
      </c>
      <c r="C539" t="s">
        <v>149</v>
      </c>
      <c r="D539">
        <v>162</v>
      </c>
      <c r="E539">
        <v>799</v>
      </c>
      <c r="F539">
        <v>1326</v>
      </c>
      <c r="G539" s="60">
        <v>2017</v>
      </c>
      <c r="H539" s="60" t="s">
        <v>94</v>
      </c>
      <c r="I539" s="60" t="str">
        <f t="shared" si="26"/>
        <v>2017 Texas Rangers</v>
      </c>
      <c r="J539" s="60">
        <v>5430</v>
      </c>
      <c r="K539" s="60">
        <f t="shared" si="24"/>
        <v>813</v>
      </c>
      <c r="L539" s="60">
        <v>255</v>
      </c>
      <c r="M539" s="60">
        <v>21</v>
      </c>
      <c r="N539" s="60">
        <v>237</v>
      </c>
      <c r="O539" s="60">
        <v>544</v>
      </c>
      <c r="P539" s="60">
        <v>81</v>
      </c>
      <c r="Q539" s="60">
        <f t="shared" si="25"/>
        <v>3479</v>
      </c>
      <c r="R539">
        <v>756</v>
      </c>
      <c r="S539">
        <v>18</v>
      </c>
      <c r="T539">
        <v>1493</v>
      </c>
      <c r="U539">
        <v>27</v>
      </c>
      <c r="V539">
        <v>39</v>
      </c>
      <c r="W539">
        <v>1</v>
      </c>
      <c r="X539">
        <v>74</v>
      </c>
      <c r="Y539">
        <v>110</v>
      </c>
      <c r="Z539">
        <v>113</v>
      </c>
      <c r="AA539">
        <v>44</v>
      </c>
      <c r="AB539">
        <v>0.24399999999999999</v>
      </c>
      <c r="AC539">
        <v>0.32</v>
      </c>
      <c r="AD539">
        <v>0.43</v>
      </c>
    </row>
    <row r="540" spans="1:30" x14ac:dyDescent="0.5">
      <c r="A540" s="35">
        <v>2017</v>
      </c>
      <c r="B540" t="s">
        <v>97</v>
      </c>
      <c r="C540" t="s">
        <v>149</v>
      </c>
      <c r="D540">
        <v>162</v>
      </c>
      <c r="E540">
        <v>693</v>
      </c>
      <c r="F540">
        <v>1320</v>
      </c>
      <c r="G540" s="60">
        <v>2017</v>
      </c>
      <c r="H540" s="60" t="s">
        <v>96</v>
      </c>
      <c r="I540" s="60" t="str">
        <f t="shared" si="26"/>
        <v>2017 Toronto Blue Jays</v>
      </c>
      <c r="J540" s="60">
        <v>5499</v>
      </c>
      <c r="K540" s="60">
        <f t="shared" si="24"/>
        <v>824</v>
      </c>
      <c r="L540" s="60">
        <v>269</v>
      </c>
      <c r="M540" s="60">
        <v>5</v>
      </c>
      <c r="N540" s="60">
        <v>222</v>
      </c>
      <c r="O540" s="60">
        <v>542</v>
      </c>
      <c r="P540" s="60">
        <v>51</v>
      </c>
      <c r="Q540" s="60">
        <f t="shared" si="25"/>
        <v>3586</v>
      </c>
      <c r="R540">
        <v>661</v>
      </c>
      <c r="S540">
        <v>12</v>
      </c>
      <c r="T540">
        <v>1327</v>
      </c>
      <c r="U540">
        <v>25</v>
      </c>
      <c r="V540">
        <v>35</v>
      </c>
      <c r="W540">
        <v>2</v>
      </c>
      <c r="X540">
        <v>66</v>
      </c>
      <c r="Y540">
        <v>153</v>
      </c>
      <c r="Z540">
        <v>53</v>
      </c>
      <c r="AA540">
        <v>24</v>
      </c>
      <c r="AB540">
        <v>0.24</v>
      </c>
      <c r="AC540">
        <v>0.312</v>
      </c>
      <c r="AD540">
        <v>0.41199999999999998</v>
      </c>
    </row>
    <row r="541" spans="1:30" x14ac:dyDescent="0.5">
      <c r="A541" s="35">
        <v>2017</v>
      </c>
      <c r="B541" t="s">
        <v>101</v>
      </c>
      <c r="C541" t="s">
        <v>38</v>
      </c>
      <c r="D541">
        <v>162</v>
      </c>
      <c r="E541">
        <v>819</v>
      </c>
      <c r="F541">
        <v>1477</v>
      </c>
      <c r="G541" s="60">
        <v>2017</v>
      </c>
      <c r="H541" s="60" t="s">
        <v>100</v>
      </c>
      <c r="I541" s="60" t="str">
        <f t="shared" si="26"/>
        <v>2017 Washington Nationals</v>
      </c>
      <c r="J541" s="60">
        <v>5553</v>
      </c>
      <c r="K541" s="60">
        <f t="shared" si="24"/>
        <v>920</v>
      </c>
      <c r="L541" s="60">
        <v>311</v>
      </c>
      <c r="M541" s="60">
        <v>31</v>
      </c>
      <c r="N541" s="60">
        <v>215</v>
      </c>
      <c r="O541" s="60">
        <v>542</v>
      </c>
      <c r="P541" s="60">
        <v>31</v>
      </c>
      <c r="Q541" s="60">
        <f t="shared" si="25"/>
        <v>3503</v>
      </c>
      <c r="R541">
        <v>796</v>
      </c>
      <c r="S541">
        <v>56</v>
      </c>
      <c r="T541">
        <v>1327</v>
      </c>
      <c r="U541">
        <v>43</v>
      </c>
      <c r="V541">
        <v>45</v>
      </c>
      <c r="W541">
        <v>0</v>
      </c>
      <c r="X541">
        <v>62</v>
      </c>
      <c r="Y541">
        <v>116</v>
      </c>
      <c r="Z541">
        <v>108</v>
      </c>
      <c r="AA541">
        <v>30</v>
      </c>
      <c r="AB541">
        <v>0.26600000000000001</v>
      </c>
      <c r="AC541">
        <v>0.33200000000000002</v>
      </c>
      <c r="AD541">
        <v>0.44900000000000001</v>
      </c>
    </row>
    <row r="542" spans="1:30" x14ac:dyDescent="0.5">
      <c r="A542" s="35">
        <v>2018</v>
      </c>
      <c r="B542" t="s">
        <v>37</v>
      </c>
      <c r="C542" t="s">
        <v>149</v>
      </c>
      <c r="D542">
        <v>162</v>
      </c>
      <c r="E542">
        <v>721</v>
      </c>
      <c r="F542">
        <v>1323</v>
      </c>
      <c r="G542" s="60">
        <v>2018</v>
      </c>
      <c r="H542" s="60" t="s">
        <v>36</v>
      </c>
      <c r="I542" s="60" t="str">
        <f t="shared" si="26"/>
        <v>2018 Anaheim Angels</v>
      </c>
      <c r="J542" s="60">
        <v>5472</v>
      </c>
      <c r="K542" s="60">
        <f t="shared" si="24"/>
        <v>837</v>
      </c>
      <c r="L542" s="60">
        <v>249</v>
      </c>
      <c r="M542" s="60">
        <v>23</v>
      </c>
      <c r="N542" s="60">
        <v>214</v>
      </c>
      <c r="O542" s="60">
        <v>514</v>
      </c>
      <c r="P542" s="60">
        <v>73</v>
      </c>
      <c r="Q542" s="60">
        <f t="shared" si="25"/>
        <v>3562</v>
      </c>
      <c r="R542">
        <v>690</v>
      </c>
      <c r="S542">
        <v>38</v>
      </c>
      <c r="T542">
        <v>1300</v>
      </c>
      <c r="U542">
        <v>7</v>
      </c>
      <c r="V542">
        <v>39</v>
      </c>
      <c r="W542">
        <v>3</v>
      </c>
      <c r="X542">
        <v>64</v>
      </c>
      <c r="Y542">
        <v>111</v>
      </c>
      <c r="Z542">
        <v>89</v>
      </c>
      <c r="AA542">
        <v>22</v>
      </c>
      <c r="AB542">
        <v>0.24199999999999999</v>
      </c>
      <c r="AC542">
        <v>0.313</v>
      </c>
      <c r="AD542">
        <v>0.41299999999999998</v>
      </c>
    </row>
    <row r="543" spans="1:30" x14ac:dyDescent="0.5">
      <c r="A543" s="35">
        <v>2018</v>
      </c>
      <c r="B543" t="s">
        <v>40</v>
      </c>
      <c r="C543" t="s">
        <v>38</v>
      </c>
      <c r="D543">
        <v>162</v>
      </c>
      <c r="E543">
        <v>693</v>
      </c>
      <c r="F543">
        <v>1283</v>
      </c>
      <c r="G543" s="60">
        <v>2018</v>
      </c>
      <c r="H543" s="60" t="s">
        <v>39</v>
      </c>
      <c r="I543" s="60" t="str">
        <f t="shared" si="26"/>
        <v>2018 Arizona Diamondbacks</v>
      </c>
      <c r="J543" s="60">
        <v>5460</v>
      </c>
      <c r="K543" s="60">
        <f t="shared" si="24"/>
        <v>798</v>
      </c>
      <c r="L543" s="60">
        <v>259</v>
      </c>
      <c r="M543" s="60">
        <v>50</v>
      </c>
      <c r="N543" s="60">
        <v>176</v>
      </c>
      <c r="O543" s="60">
        <v>560</v>
      </c>
      <c r="P543" s="60">
        <v>52</v>
      </c>
      <c r="Q543" s="60">
        <f t="shared" si="25"/>
        <v>3565</v>
      </c>
      <c r="R543">
        <v>658</v>
      </c>
      <c r="S543">
        <v>36</v>
      </c>
      <c r="T543">
        <v>1460</v>
      </c>
      <c r="U543">
        <v>38</v>
      </c>
      <c r="V543">
        <v>45</v>
      </c>
      <c r="W543">
        <v>2</v>
      </c>
      <c r="X543">
        <v>65</v>
      </c>
      <c r="Y543">
        <v>110</v>
      </c>
      <c r="Z543">
        <v>79</v>
      </c>
      <c r="AA543">
        <v>25</v>
      </c>
      <c r="AB543">
        <v>0.23499999999999999</v>
      </c>
      <c r="AC543">
        <v>0.31</v>
      </c>
      <c r="AD543">
        <v>0.39700000000000002</v>
      </c>
    </row>
    <row r="544" spans="1:30" x14ac:dyDescent="0.5">
      <c r="A544" s="35">
        <v>2018</v>
      </c>
      <c r="B544" t="s">
        <v>42</v>
      </c>
      <c r="C544" t="s">
        <v>38</v>
      </c>
      <c r="D544">
        <v>162</v>
      </c>
      <c r="E544">
        <v>759</v>
      </c>
      <c r="F544">
        <v>1433</v>
      </c>
      <c r="G544" s="60">
        <v>2018</v>
      </c>
      <c r="H544" s="60" t="s">
        <v>41</v>
      </c>
      <c r="I544" s="60" t="str">
        <f t="shared" si="26"/>
        <v>2018 Atlanta Braves</v>
      </c>
      <c r="J544" s="60">
        <v>5582</v>
      </c>
      <c r="K544" s="60">
        <f t="shared" si="24"/>
        <v>915</v>
      </c>
      <c r="L544" s="60">
        <v>314</v>
      </c>
      <c r="M544" s="60">
        <v>29</v>
      </c>
      <c r="N544" s="60">
        <v>175</v>
      </c>
      <c r="O544" s="60">
        <v>511</v>
      </c>
      <c r="P544" s="60">
        <v>66</v>
      </c>
      <c r="Q544" s="60">
        <f t="shared" si="25"/>
        <v>3572</v>
      </c>
      <c r="R544">
        <v>717</v>
      </c>
      <c r="S544">
        <v>53</v>
      </c>
      <c r="T544">
        <v>1290</v>
      </c>
      <c r="U544">
        <v>49</v>
      </c>
      <c r="V544">
        <v>43</v>
      </c>
      <c r="W544">
        <v>0</v>
      </c>
      <c r="X544">
        <v>69</v>
      </c>
      <c r="Y544">
        <v>99</v>
      </c>
      <c r="Z544">
        <v>90</v>
      </c>
      <c r="AA544">
        <v>36</v>
      </c>
      <c r="AB544">
        <v>0.25700000000000001</v>
      </c>
      <c r="AC544">
        <v>0.32400000000000001</v>
      </c>
      <c r="AD544">
        <v>0.41699999999999998</v>
      </c>
    </row>
    <row r="545" spans="1:30" x14ac:dyDescent="0.5">
      <c r="A545" s="35">
        <v>2018</v>
      </c>
      <c r="B545" t="s">
        <v>45</v>
      </c>
      <c r="C545" t="s">
        <v>149</v>
      </c>
      <c r="D545">
        <v>162</v>
      </c>
      <c r="E545">
        <v>622</v>
      </c>
      <c r="F545">
        <v>1317</v>
      </c>
      <c r="G545" s="60">
        <v>2018</v>
      </c>
      <c r="H545" s="60" t="s">
        <v>44</v>
      </c>
      <c r="I545" s="60" t="str">
        <f t="shared" si="26"/>
        <v>2018 Baltimore Orioles</v>
      </c>
      <c r="J545" s="60">
        <v>5507</v>
      </c>
      <c r="K545" s="60">
        <f t="shared" si="24"/>
        <v>872</v>
      </c>
      <c r="L545" s="60">
        <v>242</v>
      </c>
      <c r="M545" s="60">
        <v>15</v>
      </c>
      <c r="N545" s="60">
        <v>188</v>
      </c>
      <c r="O545" s="60">
        <v>422</v>
      </c>
      <c r="P545" s="60">
        <v>57</v>
      </c>
      <c r="Q545" s="60">
        <f t="shared" si="25"/>
        <v>3711</v>
      </c>
      <c r="R545">
        <v>593</v>
      </c>
      <c r="S545">
        <v>19</v>
      </c>
      <c r="T545">
        <v>1412</v>
      </c>
      <c r="U545">
        <v>13</v>
      </c>
      <c r="V545">
        <v>35</v>
      </c>
      <c r="W545">
        <v>0</v>
      </c>
      <c r="X545">
        <v>50</v>
      </c>
      <c r="Y545">
        <v>132</v>
      </c>
      <c r="Z545">
        <v>81</v>
      </c>
      <c r="AA545">
        <v>22</v>
      </c>
      <c r="AB545">
        <v>0.23899999999999999</v>
      </c>
      <c r="AC545">
        <v>0.29799999999999999</v>
      </c>
      <c r="AD545">
        <v>0.39100000000000001</v>
      </c>
    </row>
    <row r="546" spans="1:30" x14ac:dyDescent="0.5">
      <c r="A546" s="35">
        <v>2018</v>
      </c>
      <c r="B546" t="s">
        <v>47</v>
      </c>
      <c r="C546" t="s">
        <v>149</v>
      </c>
      <c r="D546">
        <v>162</v>
      </c>
      <c r="E546">
        <v>876</v>
      </c>
      <c r="F546">
        <v>1509</v>
      </c>
      <c r="G546" s="60">
        <v>2018</v>
      </c>
      <c r="H546" s="60" t="s">
        <v>46</v>
      </c>
      <c r="I546" s="60" t="str">
        <f t="shared" si="26"/>
        <v>2018 Boston Red Sox</v>
      </c>
      <c r="J546" s="60">
        <v>5623</v>
      </c>
      <c r="K546" s="60">
        <f t="shared" si="24"/>
        <v>915</v>
      </c>
      <c r="L546" s="60">
        <v>355</v>
      </c>
      <c r="M546" s="60">
        <v>31</v>
      </c>
      <c r="N546" s="60">
        <v>208</v>
      </c>
      <c r="O546" s="60">
        <v>569</v>
      </c>
      <c r="P546" s="60">
        <v>55</v>
      </c>
      <c r="Q546" s="60">
        <f t="shared" si="25"/>
        <v>3490</v>
      </c>
      <c r="R546">
        <v>829</v>
      </c>
      <c r="S546">
        <v>38</v>
      </c>
      <c r="T546">
        <v>1253</v>
      </c>
      <c r="U546">
        <v>7</v>
      </c>
      <c r="V546">
        <v>48</v>
      </c>
      <c r="W546">
        <v>0</v>
      </c>
      <c r="X546">
        <v>81</v>
      </c>
      <c r="Y546">
        <v>130</v>
      </c>
      <c r="Z546">
        <v>125</v>
      </c>
      <c r="AA546">
        <v>31</v>
      </c>
      <c r="AB546">
        <v>0.26800000000000002</v>
      </c>
      <c r="AC546">
        <v>0.33900000000000002</v>
      </c>
      <c r="AD546">
        <v>0.45300000000000001</v>
      </c>
    </row>
    <row r="547" spans="1:30" x14ac:dyDescent="0.5">
      <c r="A547" s="35">
        <v>2018</v>
      </c>
      <c r="B547" t="s">
        <v>143</v>
      </c>
      <c r="C547" t="s">
        <v>38</v>
      </c>
      <c r="D547">
        <v>163</v>
      </c>
      <c r="E547">
        <v>761</v>
      </c>
      <c r="F547">
        <v>1453</v>
      </c>
      <c r="G547" s="60">
        <v>2018</v>
      </c>
      <c r="H547" s="60" t="s">
        <v>50</v>
      </c>
      <c r="I547" s="60" t="str">
        <f t="shared" si="26"/>
        <v>2018 Chicago Cubs</v>
      </c>
      <c r="J547" s="60">
        <v>5624</v>
      </c>
      <c r="K547" s="60">
        <f t="shared" si="24"/>
        <v>966</v>
      </c>
      <c r="L547" s="60">
        <v>286</v>
      </c>
      <c r="M547" s="60">
        <v>34</v>
      </c>
      <c r="N547" s="60">
        <v>167</v>
      </c>
      <c r="O547" s="60">
        <v>576</v>
      </c>
      <c r="P547" s="60">
        <v>78</v>
      </c>
      <c r="Q547" s="60">
        <f t="shared" si="25"/>
        <v>3517</v>
      </c>
      <c r="R547">
        <v>722</v>
      </c>
      <c r="S547">
        <v>67</v>
      </c>
      <c r="T547">
        <v>1388</v>
      </c>
      <c r="U547">
        <v>40</v>
      </c>
      <c r="V547">
        <v>46</v>
      </c>
      <c r="W547">
        <v>5</v>
      </c>
      <c r="X547">
        <v>79</v>
      </c>
      <c r="Y547">
        <v>107</v>
      </c>
      <c r="Z547">
        <v>66</v>
      </c>
      <c r="AA547">
        <v>38</v>
      </c>
      <c r="AB547">
        <v>0.25800000000000001</v>
      </c>
      <c r="AC547">
        <v>0.33300000000000002</v>
      </c>
      <c r="AD547">
        <v>0.41</v>
      </c>
    </row>
    <row r="548" spans="1:30" x14ac:dyDescent="0.5">
      <c r="A548" s="35">
        <v>2018</v>
      </c>
      <c r="B548" t="s">
        <v>143</v>
      </c>
      <c r="C548" t="s">
        <v>149</v>
      </c>
      <c r="D548">
        <v>162</v>
      </c>
      <c r="E548">
        <v>656</v>
      </c>
      <c r="F548">
        <v>1332</v>
      </c>
      <c r="G548" s="60">
        <v>2018</v>
      </c>
      <c r="H548" s="60" t="s">
        <v>48</v>
      </c>
      <c r="I548" s="60" t="str">
        <f t="shared" si="26"/>
        <v>2018 Chicago White Sox</v>
      </c>
      <c r="J548" s="60">
        <v>5523</v>
      </c>
      <c r="K548" s="60">
        <f t="shared" si="24"/>
        <v>851</v>
      </c>
      <c r="L548" s="60">
        <v>259</v>
      </c>
      <c r="M548" s="60">
        <v>40</v>
      </c>
      <c r="N548" s="60">
        <v>182</v>
      </c>
      <c r="O548" s="60">
        <v>425</v>
      </c>
      <c r="P548" s="60">
        <v>66</v>
      </c>
      <c r="Q548" s="60">
        <f t="shared" si="25"/>
        <v>3700</v>
      </c>
      <c r="R548">
        <v>639</v>
      </c>
      <c r="S548">
        <v>18</v>
      </c>
      <c r="T548">
        <v>1594</v>
      </c>
      <c r="U548">
        <v>24</v>
      </c>
      <c r="V548">
        <v>32</v>
      </c>
      <c r="W548">
        <v>1</v>
      </c>
      <c r="X548">
        <v>71</v>
      </c>
      <c r="Y548">
        <v>99</v>
      </c>
      <c r="Z548">
        <v>98</v>
      </c>
      <c r="AA548">
        <v>41</v>
      </c>
      <c r="AB548">
        <v>0.24099999999999999</v>
      </c>
      <c r="AC548">
        <v>0.30199999999999999</v>
      </c>
      <c r="AD548">
        <v>0.40100000000000002</v>
      </c>
    </row>
    <row r="549" spans="1:30" x14ac:dyDescent="0.5">
      <c r="A549" s="35">
        <v>2018</v>
      </c>
      <c r="B549" t="s">
        <v>53</v>
      </c>
      <c r="C549" t="s">
        <v>38</v>
      </c>
      <c r="D549">
        <v>162</v>
      </c>
      <c r="E549">
        <v>696</v>
      </c>
      <c r="F549">
        <v>1404</v>
      </c>
      <c r="G549" s="60">
        <v>2018</v>
      </c>
      <c r="H549" s="60" t="s">
        <v>52</v>
      </c>
      <c r="I549" s="60" t="str">
        <f t="shared" si="26"/>
        <v>2018 Cincinnati Reds</v>
      </c>
      <c r="J549" s="60">
        <v>5532</v>
      </c>
      <c r="K549" s="60">
        <f t="shared" si="24"/>
        <v>956</v>
      </c>
      <c r="L549" s="60">
        <v>251</v>
      </c>
      <c r="M549" s="60">
        <v>25</v>
      </c>
      <c r="N549" s="60">
        <v>172</v>
      </c>
      <c r="O549" s="60">
        <v>559</v>
      </c>
      <c r="P549" s="60">
        <v>65</v>
      </c>
      <c r="Q549" s="60">
        <f t="shared" si="25"/>
        <v>3504</v>
      </c>
      <c r="R549">
        <v>665</v>
      </c>
      <c r="S549">
        <v>35</v>
      </c>
      <c r="T549">
        <v>1376</v>
      </c>
      <c r="U549">
        <v>49</v>
      </c>
      <c r="V549">
        <v>35</v>
      </c>
      <c r="W549">
        <v>0</v>
      </c>
      <c r="X549">
        <v>46</v>
      </c>
      <c r="Y549">
        <v>128</v>
      </c>
      <c r="Z549">
        <v>77</v>
      </c>
      <c r="AA549">
        <v>33</v>
      </c>
      <c r="AB549">
        <v>0.254</v>
      </c>
      <c r="AC549">
        <v>0.32800000000000001</v>
      </c>
      <c r="AD549">
        <v>0.40100000000000002</v>
      </c>
    </row>
    <row r="550" spans="1:30" x14ac:dyDescent="0.5">
      <c r="A550" s="35">
        <v>2018</v>
      </c>
      <c r="B550" t="s">
        <v>55</v>
      </c>
      <c r="C550" t="s">
        <v>149</v>
      </c>
      <c r="D550">
        <v>162</v>
      </c>
      <c r="E550">
        <v>818</v>
      </c>
      <c r="F550">
        <v>1447</v>
      </c>
      <c r="G550" s="60">
        <v>2018</v>
      </c>
      <c r="H550" s="60" t="s">
        <v>54</v>
      </c>
      <c r="I550" s="60" t="str">
        <f t="shared" si="26"/>
        <v>2018 Cleveland Indians</v>
      </c>
      <c r="J550" s="60">
        <v>5595</v>
      </c>
      <c r="K550" s="60">
        <f t="shared" si="24"/>
        <v>915</v>
      </c>
      <c r="L550" s="60">
        <v>297</v>
      </c>
      <c r="M550" s="60">
        <v>19</v>
      </c>
      <c r="N550" s="60">
        <v>216</v>
      </c>
      <c r="O550" s="60">
        <v>554</v>
      </c>
      <c r="P550" s="60">
        <v>80</v>
      </c>
      <c r="Q550" s="60">
        <f t="shared" si="25"/>
        <v>3514</v>
      </c>
      <c r="R550">
        <v>786</v>
      </c>
      <c r="S550">
        <v>32</v>
      </c>
      <c r="T550">
        <v>1189</v>
      </c>
      <c r="U550">
        <v>25</v>
      </c>
      <c r="V550">
        <v>44</v>
      </c>
      <c r="W550">
        <v>2</v>
      </c>
      <c r="X550">
        <v>68</v>
      </c>
      <c r="Y550">
        <v>98</v>
      </c>
      <c r="Z550">
        <v>135</v>
      </c>
      <c r="AA550">
        <v>36</v>
      </c>
      <c r="AB550">
        <v>0.25900000000000001</v>
      </c>
      <c r="AC550">
        <v>0.33200000000000002</v>
      </c>
      <c r="AD550">
        <v>0.434</v>
      </c>
    </row>
    <row r="551" spans="1:30" x14ac:dyDescent="0.5">
      <c r="A551" s="35">
        <v>2018</v>
      </c>
      <c r="B551" t="s">
        <v>57</v>
      </c>
      <c r="C551" t="s">
        <v>38</v>
      </c>
      <c r="D551">
        <v>163</v>
      </c>
      <c r="E551">
        <v>780</v>
      </c>
      <c r="F551">
        <v>1418</v>
      </c>
      <c r="G551" s="60">
        <v>2018</v>
      </c>
      <c r="H551" s="60" t="s">
        <v>56</v>
      </c>
      <c r="I551" s="60" t="str">
        <f t="shared" si="26"/>
        <v>2018 Colorado Rockies</v>
      </c>
      <c r="J551" s="60">
        <v>5541</v>
      </c>
      <c r="K551" s="60">
        <f t="shared" si="24"/>
        <v>886</v>
      </c>
      <c r="L551" s="60">
        <v>280</v>
      </c>
      <c r="M551" s="60">
        <v>42</v>
      </c>
      <c r="N551" s="60">
        <v>210</v>
      </c>
      <c r="O551" s="60">
        <v>507</v>
      </c>
      <c r="P551" s="60">
        <v>51</v>
      </c>
      <c r="Q551" s="60">
        <f t="shared" si="25"/>
        <v>3565</v>
      </c>
      <c r="R551">
        <v>748</v>
      </c>
      <c r="S551">
        <v>38</v>
      </c>
      <c r="T551">
        <v>1397</v>
      </c>
      <c r="U551">
        <v>42</v>
      </c>
      <c r="V551">
        <v>37</v>
      </c>
      <c r="W551">
        <v>0</v>
      </c>
      <c r="X551">
        <v>68</v>
      </c>
      <c r="Y551">
        <v>114</v>
      </c>
      <c r="Z551">
        <v>95</v>
      </c>
      <c r="AA551">
        <v>33</v>
      </c>
      <c r="AB551">
        <v>0.25600000000000001</v>
      </c>
      <c r="AC551">
        <v>0.32200000000000001</v>
      </c>
      <c r="AD551">
        <v>0.435</v>
      </c>
    </row>
    <row r="552" spans="1:30" x14ac:dyDescent="0.5">
      <c r="A552" s="35">
        <v>2018</v>
      </c>
      <c r="B552" t="s">
        <v>59</v>
      </c>
      <c r="C552" t="s">
        <v>149</v>
      </c>
      <c r="D552">
        <v>162</v>
      </c>
      <c r="E552">
        <v>630</v>
      </c>
      <c r="F552">
        <v>1326</v>
      </c>
      <c r="G552" s="60">
        <v>2018</v>
      </c>
      <c r="H552" s="60" t="s">
        <v>58</v>
      </c>
      <c r="I552" s="60" t="str">
        <f t="shared" si="26"/>
        <v>2018 Detroit Tigers</v>
      </c>
      <c r="J552" s="60">
        <v>5494</v>
      </c>
      <c r="K552" s="60">
        <f t="shared" si="24"/>
        <v>872</v>
      </c>
      <c r="L552" s="60">
        <v>284</v>
      </c>
      <c r="M552" s="60">
        <v>35</v>
      </c>
      <c r="N552" s="60">
        <v>135</v>
      </c>
      <c r="O552" s="60">
        <v>428</v>
      </c>
      <c r="P552" s="60">
        <v>52</v>
      </c>
      <c r="Q552" s="60">
        <f t="shared" si="25"/>
        <v>3688</v>
      </c>
      <c r="R552">
        <v>597</v>
      </c>
      <c r="S552">
        <v>18</v>
      </c>
      <c r="T552">
        <v>1341</v>
      </c>
      <c r="U552">
        <v>15</v>
      </c>
      <c r="V552">
        <v>40</v>
      </c>
      <c r="W552">
        <v>0</v>
      </c>
      <c r="X552">
        <v>81</v>
      </c>
      <c r="Y552">
        <v>110</v>
      </c>
      <c r="Z552">
        <v>70</v>
      </c>
      <c r="AA552">
        <v>30</v>
      </c>
      <c r="AB552">
        <v>0.24099999999999999</v>
      </c>
      <c r="AC552">
        <v>0.3</v>
      </c>
      <c r="AD552">
        <v>0.38</v>
      </c>
    </row>
    <row r="553" spans="1:30" x14ac:dyDescent="0.5">
      <c r="A553" s="35">
        <v>2018</v>
      </c>
      <c r="B553" t="s">
        <v>63</v>
      </c>
      <c r="C553" t="s">
        <v>149</v>
      </c>
      <c r="D553">
        <v>162</v>
      </c>
      <c r="E553">
        <v>797</v>
      </c>
      <c r="F553">
        <v>1390</v>
      </c>
      <c r="G553" s="60">
        <v>2018</v>
      </c>
      <c r="H553" s="60" t="s">
        <v>60</v>
      </c>
      <c r="I553" s="60" t="str">
        <f t="shared" si="26"/>
        <v>2018 Florida Marlins</v>
      </c>
      <c r="J553" s="60">
        <v>5453</v>
      </c>
      <c r="K553" s="60">
        <f t="shared" si="24"/>
        <v>889</v>
      </c>
      <c r="L553" s="60">
        <v>278</v>
      </c>
      <c r="M553" s="60">
        <v>18</v>
      </c>
      <c r="N553" s="60">
        <v>205</v>
      </c>
      <c r="O553" s="60">
        <v>565</v>
      </c>
      <c r="P553" s="60">
        <v>61</v>
      </c>
      <c r="Q553" s="60">
        <f t="shared" si="25"/>
        <v>3437</v>
      </c>
      <c r="R553">
        <v>763</v>
      </c>
      <c r="S553">
        <v>19</v>
      </c>
      <c r="T553">
        <v>1197</v>
      </c>
      <c r="U553">
        <v>14</v>
      </c>
      <c r="V553">
        <v>45</v>
      </c>
      <c r="W553">
        <v>8</v>
      </c>
      <c r="X553">
        <v>69</v>
      </c>
      <c r="Y553">
        <v>156</v>
      </c>
      <c r="Z553">
        <v>71</v>
      </c>
      <c r="AA553">
        <v>26</v>
      </c>
      <c r="AB553">
        <v>0.255</v>
      </c>
      <c r="AC553">
        <v>0.32900000000000001</v>
      </c>
      <c r="AD553">
        <v>0.42499999999999999</v>
      </c>
    </row>
    <row r="554" spans="1:30" x14ac:dyDescent="0.5">
      <c r="A554" s="35">
        <v>2018</v>
      </c>
      <c r="B554" t="s">
        <v>150</v>
      </c>
      <c r="C554" t="s">
        <v>149</v>
      </c>
      <c r="D554">
        <v>162</v>
      </c>
      <c r="E554">
        <v>638</v>
      </c>
      <c r="F554">
        <v>1350</v>
      </c>
      <c r="G554" s="60">
        <v>2018</v>
      </c>
      <c r="H554" s="60" t="s">
        <v>62</v>
      </c>
      <c r="I554" s="60" t="str">
        <f t="shared" si="26"/>
        <v>2018 Houston Astros</v>
      </c>
      <c r="J554" s="60">
        <v>5505</v>
      </c>
      <c r="K554" s="60">
        <f t="shared" si="24"/>
        <v>883</v>
      </c>
      <c r="L554" s="60">
        <v>283</v>
      </c>
      <c r="M554" s="60">
        <v>29</v>
      </c>
      <c r="N554" s="60">
        <v>155</v>
      </c>
      <c r="O554" s="60">
        <v>427</v>
      </c>
      <c r="P554" s="60">
        <v>67</v>
      </c>
      <c r="Q554" s="60">
        <f t="shared" si="25"/>
        <v>3661</v>
      </c>
      <c r="R554">
        <v>606</v>
      </c>
      <c r="S554">
        <v>13</v>
      </c>
      <c r="T554">
        <v>1310</v>
      </c>
      <c r="U554">
        <v>24</v>
      </c>
      <c r="V554">
        <v>40</v>
      </c>
      <c r="W554">
        <v>0</v>
      </c>
      <c r="X554">
        <v>60</v>
      </c>
      <c r="Y554">
        <v>123</v>
      </c>
      <c r="Z554">
        <v>117</v>
      </c>
      <c r="AA554">
        <v>38</v>
      </c>
      <c r="AB554">
        <v>0.245</v>
      </c>
      <c r="AC554">
        <v>0.30499999999999999</v>
      </c>
      <c r="AD554">
        <v>0.39200000000000002</v>
      </c>
    </row>
    <row r="555" spans="1:30" x14ac:dyDescent="0.5">
      <c r="A555" s="35">
        <v>2018</v>
      </c>
      <c r="B555" t="s">
        <v>145</v>
      </c>
      <c r="C555" t="s">
        <v>38</v>
      </c>
      <c r="D555">
        <v>163</v>
      </c>
      <c r="E555">
        <v>804</v>
      </c>
      <c r="F555">
        <v>1394</v>
      </c>
      <c r="G555" s="60">
        <v>2018</v>
      </c>
      <c r="H555" s="60" t="s">
        <v>64</v>
      </c>
      <c r="I555" s="60" t="str">
        <f t="shared" si="26"/>
        <v>2018 Kansas City Royals</v>
      </c>
      <c r="J555" s="60">
        <v>5572</v>
      </c>
      <c r="K555" s="60">
        <f t="shared" si="24"/>
        <v>830</v>
      </c>
      <c r="L555" s="60">
        <v>296</v>
      </c>
      <c r="M555" s="60">
        <v>33</v>
      </c>
      <c r="N555" s="60">
        <v>235</v>
      </c>
      <c r="O555" s="60">
        <v>647</v>
      </c>
      <c r="P555" s="60">
        <v>61</v>
      </c>
      <c r="Q555" s="60">
        <f t="shared" si="25"/>
        <v>3470</v>
      </c>
      <c r="R555">
        <v>756</v>
      </c>
      <c r="S555">
        <v>47</v>
      </c>
      <c r="T555">
        <v>1436</v>
      </c>
      <c r="U555">
        <v>39</v>
      </c>
      <c r="V555">
        <v>39</v>
      </c>
      <c r="W555">
        <v>0</v>
      </c>
      <c r="X555">
        <v>65</v>
      </c>
      <c r="Y555">
        <v>119</v>
      </c>
      <c r="Z555">
        <v>75</v>
      </c>
      <c r="AA555">
        <v>24</v>
      </c>
      <c r="AB555">
        <v>0.25</v>
      </c>
      <c r="AC555">
        <v>0.33300000000000002</v>
      </c>
      <c r="AD555">
        <v>0.442</v>
      </c>
    </row>
    <row r="556" spans="1:30" x14ac:dyDescent="0.5">
      <c r="A556" s="35">
        <v>2018</v>
      </c>
      <c r="B556" t="s">
        <v>104</v>
      </c>
      <c r="C556" t="s">
        <v>38</v>
      </c>
      <c r="D556">
        <v>161</v>
      </c>
      <c r="E556">
        <v>589</v>
      </c>
      <c r="F556">
        <v>1303</v>
      </c>
      <c r="G556" s="60">
        <v>2018</v>
      </c>
      <c r="H556" s="60" t="s">
        <v>66</v>
      </c>
      <c r="I556" s="60" t="str">
        <f t="shared" si="26"/>
        <v>2018 Los Angeles Dodgers</v>
      </c>
      <c r="J556" s="60">
        <v>5488</v>
      </c>
      <c r="K556" s="60">
        <f t="shared" si="24"/>
        <v>929</v>
      </c>
      <c r="L556" s="60">
        <v>222</v>
      </c>
      <c r="M556" s="60">
        <v>24</v>
      </c>
      <c r="N556" s="60">
        <v>128</v>
      </c>
      <c r="O556" s="60">
        <v>455</v>
      </c>
      <c r="P556" s="60">
        <v>73</v>
      </c>
      <c r="Q556" s="60">
        <f t="shared" si="25"/>
        <v>3657</v>
      </c>
      <c r="R556">
        <v>554</v>
      </c>
      <c r="S556">
        <v>26</v>
      </c>
      <c r="T556">
        <v>1384</v>
      </c>
      <c r="U556">
        <v>32</v>
      </c>
      <c r="V556">
        <v>31</v>
      </c>
      <c r="W556">
        <v>4</v>
      </c>
      <c r="X556">
        <v>82</v>
      </c>
      <c r="Y556">
        <v>119</v>
      </c>
      <c r="Z556">
        <v>45</v>
      </c>
      <c r="AA556">
        <v>31</v>
      </c>
      <c r="AB556">
        <v>0.23699999999999999</v>
      </c>
      <c r="AC556">
        <v>0.30299999999999999</v>
      </c>
      <c r="AD556">
        <v>0.35699999999999998</v>
      </c>
    </row>
    <row r="557" spans="1:30" x14ac:dyDescent="0.5">
      <c r="A557" s="35">
        <v>2018</v>
      </c>
      <c r="B557" t="s">
        <v>69</v>
      </c>
      <c r="C557" t="s">
        <v>38</v>
      </c>
      <c r="D557">
        <v>163</v>
      </c>
      <c r="E557">
        <v>754</v>
      </c>
      <c r="F557">
        <v>1398</v>
      </c>
      <c r="G557" s="60">
        <v>2018</v>
      </c>
      <c r="H557" s="60" t="s">
        <v>68</v>
      </c>
      <c r="I557" s="60" t="str">
        <f t="shared" si="26"/>
        <v>2018 Milwaukee Brewers</v>
      </c>
      <c r="J557" s="60">
        <v>5542</v>
      </c>
      <c r="K557" s="60">
        <f t="shared" si="24"/>
        <v>904</v>
      </c>
      <c r="L557" s="60">
        <v>252</v>
      </c>
      <c r="M557" s="60">
        <v>24</v>
      </c>
      <c r="N557" s="60">
        <v>218</v>
      </c>
      <c r="O557" s="60">
        <v>537</v>
      </c>
      <c r="P557" s="60">
        <v>58</v>
      </c>
      <c r="Q557" s="60">
        <f t="shared" si="25"/>
        <v>3549</v>
      </c>
      <c r="R557">
        <v>711</v>
      </c>
      <c r="S557">
        <v>32</v>
      </c>
      <c r="T557">
        <v>1458</v>
      </c>
      <c r="U557">
        <v>29</v>
      </c>
      <c r="V557">
        <v>41</v>
      </c>
      <c r="W557">
        <v>3</v>
      </c>
      <c r="X557">
        <v>76</v>
      </c>
      <c r="Y557">
        <v>128</v>
      </c>
      <c r="Z557">
        <v>124</v>
      </c>
      <c r="AA557">
        <v>32</v>
      </c>
      <c r="AB557">
        <v>0.252</v>
      </c>
      <c r="AC557">
        <v>0.32300000000000001</v>
      </c>
      <c r="AD557">
        <v>0.42399999999999999</v>
      </c>
    </row>
    <row r="558" spans="1:30" x14ac:dyDescent="0.5">
      <c r="A558" s="35">
        <v>2018</v>
      </c>
      <c r="B558" t="s">
        <v>71</v>
      </c>
      <c r="C558" t="s">
        <v>149</v>
      </c>
      <c r="D558">
        <v>162</v>
      </c>
      <c r="E558">
        <v>738</v>
      </c>
      <c r="F558">
        <v>1380</v>
      </c>
      <c r="G558" s="60">
        <v>2018</v>
      </c>
      <c r="H558" s="60" t="s">
        <v>70</v>
      </c>
      <c r="I558" s="60" t="str">
        <f t="shared" si="26"/>
        <v>2018 Minnesota Twins</v>
      </c>
      <c r="J558" s="60">
        <v>5526</v>
      </c>
      <c r="K558" s="60">
        <f t="shared" si="24"/>
        <v>874</v>
      </c>
      <c r="L558" s="60">
        <v>318</v>
      </c>
      <c r="M558" s="60">
        <v>22</v>
      </c>
      <c r="N558" s="60">
        <v>166</v>
      </c>
      <c r="O558" s="60">
        <v>534</v>
      </c>
      <c r="P558" s="60">
        <v>37</v>
      </c>
      <c r="Q558" s="60">
        <f t="shared" si="25"/>
        <v>3575</v>
      </c>
      <c r="R558">
        <v>704</v>
      </c>
      <c r="S558">
        <v>25</v>
      </c>
      <c r="T558">
        <v>1328</v>
      </c>
      <c r="U558">
        <v>19</v>
      </c>
      <c r="V558">
        <v>38</v>
      </c>
      <c r="W558">
        <v>0</v>
      </c>
      <c r="X558">
        <v>49</v>
      </c>
      <c r="Y558">
        <v>89</v>
      </c>
      <c r="Z558">
        <v>47</v>
      </c>
      <c r="AA558">
        <v>27</v>
      </c>
      <c r="AB558">
        <v>0.25</v>
      </c>
      <c r="AC558">
        <v>0.318</v>
      </c>
      <c r="AD558">
        <v>0.40500000000000003</v>
      </c>
    </row>
    <row r="559" spans="1:30" x14ac:dyDescent="0.5">
      <c r="A559" s="35">
        <v>2018</v>
      </c>
      <c r="B559" t="s">
        <v>144</v>
      </c>
      <c r="C559" t="s">
        <v>38</v>
      </c>
      <c r="D559">
        <v>162</v>
      </c>
      <c r="E559">
        <v>676</v>
      </c>
      <c r="F559">
        <v>1282</v>
      </c>
      <c r="G559" s="60">
        <v>2018</v>
      </c>
      <c r="H559" s="60" t="s">
        <v>76</v>
      </c>
      <c r="I559" s="60" t="str">
        <f t="shared" si="26"/>
        <v>2018 New York Mets</v>
      </c>
      <c r="J559" s="60">
        <v>5468</v>
      </c>
      <c r="K559" s="60">
        <f t="shared" si="24"/>
        <v>813</v>
      </c>
      <c r="L559" s="60">
        <v>265</v>
      </c>
      <c r="M559" s="60">
        <v>34</v>
      </c>
      <c r="N559" s="60">
        <v>170</v>
      </c>
      <c r="O559" s="60">
        <v>566</v>
      </c>
      <c r="P559" s="60">
        <v>73</v>
      </c>
      <c r="Q559" s="60">
        <f t="shared" si="25"/>
        <v>3547</v>
      </c>
      <c r="R559">
        <v>649</v>
      </c>
      <c r="S559">
        <v>36</v>
      </c>
      <c r="T559">
        <v>1404</v>
      </c>
      <c r="U559">
        <v>28</v>
      </c>
      <c r="V559">
        <v>42</v>
      </c>
      <c r="W559">
        <v>0</v>
      </c>
      <c r="X559">
        <v>61</v>
      </c>
      <c r="Y559">
        <v>116</v>
      </c>
      <c r="Z559">
        <v>71</v>
      </c>
      <c r="AA559">
        <v>39</v>
      </c>
      <c r="AB559">
        <v>0.23400000000000001</v>
      </c>
      <c r="AC559">
        <v>0.312</v>
      </c>
      <c r="AD559">
        <v>0.38900000000000001</v>
      </c>
    </row>
    <row r="560" spans="1:30" x14ac:dyDescent="0.5">
      <c r="A560" s="35">
        <v>2018</v>
      </c>
      <c r="B560" t="s">
        <v>144</v>
      </c>
      <c r="C560" t="s">
        <v>149</v>
      </c>
      <c r="D560">
        <v>162</v>
      </c>
      <c r="E560">
        <v>851</v>
      </c>
      <c r="F560">
        <v>1374</v>
      </c>
      <c r="G560" s="60">
        <v>2018</v>
      </c>
      <c r="H560" s="60" t="s">
        <v>74</v>
      </c>
      <c r="I560" s="60" t="str">
        <f t="shared" si="26"/>
        <v>2018 New York Yankees</v>
      </c>
      <c r="J560" s="60">
        <v>5515</v>
      </c>
      <c r="K560" s="60">
        <f t="shared" si="24"/>
        <v>815</v>
      </c>
      <c r="L560" s="60">
        <v>269</v>
      </c>
      <c r="M560" s="60">
        <v>23</v>
      </c>
      <c r="N560" s="60">
        <v>267</v>
      </c>
      <c r="O560" s="60">
        <v>625</v>
      </c>
      <c r="P560" s="60">
        <v>62</v>
      </c>
      <c r="Q560" s="60">
        <f t="shared" si="25"/>
        <v>3454</v>
      </c>
      <c r="R560">
        <v>821</v>
      </c>
      <c r="S560">
        <v>21</v>
      </c>
      <c r="T560">
        <v>1421</v>
      </c>
      <c r="U560">
        <v>10</v>
      </c>
      <c r="V560">
        <v>59</v>
      </c>
      <c r="W560">
        <v>0</v>
      </c>
      <c r="X560">
        <v>62</v>
      </c>
      <c r="Y560">
        <v>107</v>
      </c>
      <c r="Z560">
        <v>63</v>
      </c>
      <c r="AA560">
        <v>21</v>
      </c>
      <c r="AB560">
        <v>0.249</v>
      </c>
      <c r="AC560">
        <v>0.32900000000000001</v>
      </c>
      <c r="AD560">
        <v>0.45100000000000001</v>
      </c>
    </row>
    <row r="561" spans="1:30" x14ac:dyDescent="0.5">
      <c r="A561" s="35">
        <v>2018</v>
      </c>
      <c r="B561" t="s">
        <v>79</v>
      </c>
      <c r="C561" t="s">
        <v>149</v>
      </c>
      <c r="D561">
        <v>162</v>
      </c>
      <c r="E561">
        <v>813</v>
      </c>
      <c r="F561">
        <v>1407</v>
      </c>
      <c r="G561" s="60">
        <v>2018</v>
      </c>
      <c r="H561" s="60" t="s">
        <v>78</v>
      </c>
      <c r="I561" s="60" t="str">
        <f t="shared" si="26"/>
        <v>2018 Oakland Athletics</v>
      </c>
      <c r="J561" s="60">
        <v>5579</v>
      </c>
      <c r="K561" s="60">
        <f t="shared" si="24"/>
        <v>838</v>
      </c>
      <c r="L561" s="60">
        <v>322</v>
      </c>
      <c r="M561" s="60">
        <v>20</v>
      </c>
      <c r="N561" s="60">
        <v>227</v>
      </c>
      <c r="O561" s="60">
        <v>550</v>
      </c>
      <c r="P561" s="60">
        <v>76</v>
      </c>
      <c r="Q561" s="60">
        <f t="shared" si="25"/>
        <v>3546</v>
      </c>
      <c r="R561">
        <v>778</v>
      </c>
      <c r="S561">
        <v>18</v>
      </c>
      <c r="T561">
        <v>1381</v>
      </c>
      <c r="U561">
        <v>6</v>
      </c>
      <c r="V561">
        <v>44</v>
      </c>
      <c r="W561">
        <v>0</v>
      </c>
      <c r="X561">
        <v>62</v>
      </c>
      <c r="Y561">
        <v>136</v>
      </c>
      <c r="Z561">
        <v>35</v>
      </c>
      <c r="AA561">
        <v>21</v>
      </c>
      <c r="AB561">
        <v>0.252</v>
      </c>
      <c r="AC561">
        <v>0.32500000000000001</v>
      </c>
      <c r="AD561">
        <v>0.439</v>
      </c>
    </row>
    <row r="562" spans="1:30" x14ac:dyDescent="0.5">
      <c r="A562" s="35">
        <v>2018</v>
      </c>
      <c r="B562" t="s">
        <v>81</v>
      </c>
      <c r="C562" t="s">
        <v>38</v>
      </c>
      <c r="D562">
        <v>162</v>
      </c>
      <c r="E562">
        <v>677</v>
      </c>
      <c r="F562">
        <v>1271</v>
      </c>
      <c r="G562" s="60">
        <v>2018</v>
      </c>
      <c r="H562" s="60" t="s">
        <v>80</v>
      </c>
      <c r="I562" s="60" t="str">
        <f t="shared" si="26"/>
        <v>2018 Philadelphia Phillies</v>
      </c>
      <c r="J562" s="60">
        <v>5424</v>
      </c>
      <c r="K562" s="60">
        <f t="shared" si="24"/>
        <v>814</v>
      </c>
      <c r="L562" s="60">
        <v>241</v>
      </c>
      <c r="M562" s="60">
        <v>30</v>
      </c>
      <c r="N562" s="60">
        <v>186</v>
      </c>
      <c r="O562" s="60">
        <v>582</v>
      </c>
      <c r="P562" s="60">
        <v>64</v>
      </c>
      <c r="Q562" s="60">
        <f t="shared" si="25"/>
        <v>3507</v>
      </c>
      <c r="R562">
        <v>653</v>
      </c>
      <c r="S562">
        <v>33</v>
      </c>
      <c r="T562">
        <v>1520</v>
      </c>
      <c r="U562">
        <v>32</v>
      </c>
      <c r="V562">
        <v>32</v>
      </c>
      <c r="W562">
        <v>2</v>
      </c>
      <c r="X562">
        <v>53</v>
      </c>
      <c r="Y562">
        <v>102</v>
      </c>
      <c r="Z562">
        <v>69</v>
      </c>
      <c r="AA562">
        <v>26</v>
      </c>
      <c r="AB562">
        <v>0.23400000000000001</v>
      </c>
      <c r="AC562">
        <v>0.314</v>
      </c>
      <c r="AD562">
        <v>0.39300000000000002</v>
      </c>
    </row>
    <row r="563" spans="1:30" x14ac:dyDescent="0.5">
      <c r="A563" s="35">
        <v>2018</v>
      </c>
      <c r="B563" t="s">
        <v>83</v>
      </c>
      <c r="C563" t="s">
        <v>38</v>
      </c>
      <c r="D563">
        <v>161</v>
      </c>
      <c r="E563">
        <v>692</v>
      </c>
      <c r="F563">
        <v>1381</v>
      </c>
      <c r="G563" s="60">
        <v>2018</v>
      </c>
      <c r="H563" s="60" t="s">
        <v>82</v>
      </c>
      <c r="I563" s="60" t="str">
        <f t="shared" si="26"/>
        <v>2018 Pittsburgh Pirates</v>
      </c>
      <c r="J563" s="60">
        <v>5447</v>
      </c>
      <c r="K563" s="60">
        <f t="shared" si="24"/>
        <v>896</v>
      </c>
      <c r="L563" s="60">
        <v>290</v>
      </c>
      <c r="M563" s="60">
        <v>38</v>
      </c>
      <c r="N563" s="60">
        <v>157</v>
      </c>
      <c r="O563" s="60">
        <v>474</v>
      </c>
      <c r="P563" s="60">
        <v>59</v>
      </c>
      <c r="Q563" s="60">
        <f t="shared" si="25"/>
        <v>3533</v>
      </c>
      <c r="R563">
        <v>665</v>
      </c>
      <c r="S563">
        <v>38</v>
      </c>
      <c r="T563">
        <v>1229</v>
      </c>
      <c r="U563">
        <v>31</v>
      </c>
      <c r="V563">
        <v>52</v>
      </c>
      <c r="W563">
        <v>3</v>
      </c>
      <c r="X563">
        <v>58</v>
      </c>
      <c r="Y563">
        <v>121</v>
      </c>
      <c r="Z563">
        <v>70</v>
      </c>
      <c r="AA563">
        <v>38</v>
      </c>
      <c r="AB563">
        <v>0.254</v>
      </c>
      <c r="AC563">
        <v>0.317</v>
      </c>
      <c r="AD563">
        <v>0.40699999999999997</v>
      </c>
    </row>
    <row r="564" spans="1:30" x14ac:dyDescent="0.5">
      <c r="A564" s="35">
        <v>2018</v>
      </c>
      <c r="B564" t="s">
        <v>147</v>
      </c>
      <c r="C564" t="s">
        <v>38</v>
      </c>
      <c r="D564">
        <v>162</v>
      </c>
      <c r="E564">
        <v>617</v>
      </c>
      <c r="F564">
        <v>1289</v>
      </c>
      <c r="G564" s="60">
        <v>2018</v>
      </c>
      <c r="H564" s="60" t="s">
        <v>84</v>
      </c>
      <c r="I564" s="60" t="str">
        <f t="shared" si="26"/>
        <v>2018 San Diego Padres</v>
      </c>
      <c r="J564" s="60">
        <v>5486</v>
      </c>
      <c r="K564" s="60">
        <f t="shared" si="24"/>
        <v>847</v>
      </c>
      <c r="L564" s="60">
        <v>250</v>
      </c>
      <c r="M564" s="60">
        <v>30</v>
      </c>
      <c r="N564" s="60">
        <v>162</v>
      </c>
      <c r="O564" s="60">
        <v>471</v>
      </c>
      <c r="P564" s="60">
        <v>31</v>
      </c>
      <c r="Q564" s="60">
        <f t="shared" si="25"/>
        <v>3695</v>
      </c>
      <c r="R564">
        <v>583</v>
      </c>
      <c r="S564">
        <v>28</v>
      </c>
      <c r="T564">
        <v>1523</v>
      </c>
      <c r="U564">
        <v>35</v>
      </c>
      <c r="V564">
        <v>36</v>
      </c>
      <c r="W564">
        <v>0</v>
      </c>
      <c r="X564">
        <v>57</v>
      </c>
      <c r="Y564">
        <v>122</v>
      </c>
      <c r="Z564">
        <v>95</v>
      </c>
      <c r="AA564">
        <v>36</v>
      </c>
      <c r="AB564">
        <v>0.23499999999999999</v>
      </c>
      <c r="AC564">
        <v>0.29699999999999999</v>
      </c>
      <c r="AD564">
        <v>0.38</v>
      </c>
    </row>
    <row r="565" spans="1:30" x14ac:dyDescent="0.5">
      <c r="A565" s="35">
        <v>2018</v>
      </c>
      <c r="B565" t="s">
        <v>87</v>
      </c>
      <c r="C565" t="s">
        <v>149</v>
      </c>
      <c r="D565">
        <v>162</v>
      </c>
      <c r="E565">
        <v>677</v>
      </c>
      <c r="F565">
        <v>1402</v>
      </c>
      <c r="G565" s="60">
        <v>2018</v>
      </c>
      <c r="H565" s="60" t="s">
        <v>86</v>
      </c>
      <c r="I565" s="60" t="str">
        <f t="shared" si="26"/>
        <v>2018 Seattle Mariners</v>
      </c>
      <c r="J565" s="60">
        <v>5513</v>
      </c>
      <c r="K565" s="60">
        <f t="shared" si="24"/>
        <v>938</v>
      </c>
      <c r="L565" s="60">
        <v>256</v>
      </c>
      <c r="M565" s="60">
        <v>32</v>
      </c>
      <c r="N565" s="60">
        <v>176</v>
      </c>
      <c r="O565" s="60">
        <v>430</v>
      </c>
      <c r="P565" s="60">
        <v>70</v>
      </c>
      <c r="Q565" s="60">
        <f t="shared" si="25"/>
        <v>3611</v>
      </c>
      <c r="R565">
        <v>644</v>
      </c>
      <c r="S565">
        <v>17</v>
      </c>
      <c r="T565">
        <v>1221</v>
      </c>
      <c r="U565">
        <v>29</v>
      </c>
      <c r="V565">
        <v>41</v>
      </c>
      <c r="W565">
        <v>4</v>
      </c>
      <c r="X565">
        <v>56</v>
      </c>
      <c r="Y565">
        <v>128</v>
      </c>
      <c r="Z565">
        <v>79</v>
      </c>
      <c r="AA565">
        <v>37</v>
      </c>
      <c r="AB565">
        <v>0.254</v>
      </c>
      <c r="AC565">
        <v>0.314</v>
      </c>
      <c r="AD565">
        <v>0.40799999999999997</v>
      </c>
    </row>
    <row r="566" spans="1:30" x14ac:dyDescent="0.5">
      <c r="A566" s="35">
        <v>2018</v>
      </c>
      <c r="B566" t="s">
        <v>21</v>
      </c>
      <c r="C566" t="s">
        <v>38</v>
      </c>
      <c r="D566">
        <v>162</v>
      </c>
      <c r="E566">
        <v>603</v>
      </c>
      <c r="F566">
        <v>1324</v>
      </c>
      <c r="G566" s="60">
        <v>2018</v>
      </c>
      <c r="H566" s="60" t="s">
        <v>88</v>
      </c>
      <c r="I566" s="60" t="str">
        <f t="shared" si="26"/>
        <v>2018 San Francisco Giants</v>
      </c>
      <c r="J566" s="60">
        <v>5541</v>
      </c>
      <c r="K566" s="60">
        <f t="shared" si="24"/>
        <v>906</v>
      </c>
      <c r="L566" s="60">
        <v>255</v>
      </c>
      <c r="M566" s="60">
        <v>30</v>
      </c>
      <c r="N566" s="60">
        <v>133</v>
      </c>
      <c r="O566" s="60">
        <v>448</v>
      </c>
      <c r="P566" s="60">
        <v>49</v>
      </c>
      <c r="Q566" s="60">
        <f t="shared" si="25"/>
        <v>3720</v>
      </c>
      <c r="R566">
        <v>573</v>
      </c>
      <c r="S566">
        <v>40</v>
      </c>
      <c r="T566">
        <v>1467</v>
      </c>
      <c r="U566">
        <v>33</v>
      </c>
      <c r="V566">
        <v>42</v>
      </c>
      <c r="W566">
        <v>0</v>
      </c>
      <c r="X566">
        <v>61</v>
      </c>
      <c r="Y566">
        <v>113</v>
      </c>
      <c r="Z566">
        <v>77</v>
      </c>
      <c r="AA566">
        <v>34</v>
      </c>
      <c r="AB566">
        <v>0.23899999999999999</v>
      </c>
      <c r="AC566">
        <v>0.3</v>
      </c>
      <c r="AD566">
        <v>0.36799999999999999</v>
      </c>
    </row>
    <row r="567" spans="1:30" x14ac:dyDescent="0.5">
      <c r="A567" s="35">
        <v>2018</v>
      </c>
      <c r="B567" t="s">
        <v>142</v>
      </c>
      <c r="C567" t="s">
        <v>38</v>
      </c>
      <c r="D567">
        <v>162</v>
      </c>
      <c r="E567">
        <v>759</v>
      </c>
      <c r="F567">
        <v>1369</v>
      </c>
      <c r="G567" s="60">
        <v>2018</v>
      </c>
      <c r="H567" s="60" t="s">
        <v>90</v>
      </c>
      <c r="I567" s="60" t="str">
        <f t="shared" si="26"/>
        <v>2018 St. Louis Cardinals</v>
      </c>
      <c r="J567" s="60">
        <v>5498</v>
      </c>
      <c r="K567" s="60">
        <f t="shared" si="24"/>
        <v>907</v>
      </c>
      <c r="L567" s="60">
        <v>248</v>
      </c>
      <c r="M567" s="60">
        <v>9</v>
      </c>
      <c r="N567" s="60">
        <v>205</v>
      </c>
      <c r="O567" s="60">
        <v>525</v>
      </c>
      <c r="P567" s="60">
        <v>80</v>
      </c>
      <c r="Q567" s="60">
        <f t="shared" si="25"/>
        <v>3524</v>
      </c>
      <c r="R567">
        <v>725</v>
      </c>
      <c r="S567">
        <v>40</v>
      </c>
      <c r="T567">
        <v>1380</v>
      </c>
      <c r="U567">
        <v>46</v>
      </c>
      <c r="V567">
        <v>48</v>
      </c>
      <c r="W567">
        <v>3</v>
      </c>
      <c r="X567">
        <v>57</v>
      </c>
      <c r="Y567">
        <v>92</v>
      </c>
      <c r="Z567">
        <v>63</v>
      </c>
      <c r="AA567">
        <v>32</v>
      </c>
      <c r="AB567">
        <v>0.249</v>
      </c>
      <c r="AC567">
        <v>0.32100000000000001</v>
      </c>
      <c r="AD567">
        <v>0.40899999999999997</v>
      </c>
    </row>
    <row r="568" spans="1:30" x14ac:dyDescent="0.5">
      <c r="A568" s="35">
        <v>2018</v>
      </c>
      <c r="B568" t="s">
        <v>151</v>
      </c>
      <c r="C568" t="s">
        <v>149</v>
      </c>
      <c r="D568">
        <v>162</v>
      </c>
      <c r="E568">
        <v>716</v>
      </c>
      <c r="F568">
        <v>1415</v>
      </c>
      <c r="G568" s="60">
        <v>2018</v>
      </c>
      <c r="H568" s="60" t="s">
        <v>92</v>
      </c>
      <c r="I568" s="60" t="str">
        <f t="shared" si="26"/>
        <v>2018 Tampa Bay Devil Rays</v>
      </c>
      <c r="J568" s="60">
        <v>5475</v>
      </c>
      <c r="K568" s="60">
        <f t="shared" si="24"/>
        <v>948</v>
      </c>
      <c r="L568" s="60">
        <v>274</v>
      </c>
      <c r="M568" s="60">
        <v>43</v>
      </c>
      <c r="N568" s="60">
        <v>150</v>
      </c>
      <c r="O568" s="60">
        <v>540</v>
      </c>
      <c r="P568" s="60">
        <v>101</v>
      </c>
      <c r="Q568" s="60">
        <f t="shared" si="25"/>
        <v>3419</v>
      </c>
      <c r="R568">
        <v>664</v>
      </c>
      <c r="S568">
        <v>17</v>
      </c>
      <c r="T568">
        <v>1388</v>
      </c>
      <c r="U568">
        <v>28</v>
      </c>
      <c r="V568">
        <v>50</v>
      </c>
      <c r="W568">
        <v>1</v>
      </c>
      <c r="X568">
        <v>55</v>
      </c>
      <c r="Y568">
        <v>122</v>
      </c>
      <c r="Z568">
        <v>128</v>
      </c>
      <c r="AA568">
        <v>51</v>
      </c>
      <c r="AB568">
        <v>0.25800000000000001</v>
      </c>
      <c r="AC568">
        <v>0.33300000000000002</v>
      </c>
      <c r="AD568">
        <v>0.40600000000000003</v>
      </c>
    </row>
    <row r="569" spans="1:30" x14ac:dyDescent="0.5">
      <c r="A569" s="35">
        <v>2018</v>
      </c>
      <c r="B569" t="s">
        <v>95</v>
      </c>
      <c r="C569" t="s">
        <v>149</v>
      </c>
      <c r="D569">
        <v>162</v>
      </c>
      <c r="E569">
        <v>737</v>
      </c>
      <c r="F569">
        <v>1308</v>
      </c>
      <c r="G569" s="60">
        <v>2018</v>
      </c>
      <c r="H569" s="60" t="s">
        <v>94</v>
      </c>
      <c r="I569" s="60" t="str">
        <f t="shared" si="26"/>
        <v>2018 Texas Rangers</v>
      </c>
      <c r="J569" s="60">
        <v>5453</v>
      </c>
      <c r="K569" s="60">
        <f t="shared" si="24"/>
        <v>824</v>
      </c>
      <c r="L569" s="60">
        <v>266</v>
      </c>
      <c r="M569" s="60">
        <v>24</v>
      </c>
      <c r="N569" s="60">
        <v>194</v>
      </c>
      <c r="O569" s="60">
        <v>555</v>
      </c>
      <c r="P569" s="60">
        <v>88</v>
      </c>
      <c r="Q569" s="60">
        <f t="shared" si="25"/>
        <v>3502</v>
      </c>
      <c r="R569">
        <v>696</v>
      </c>
      <c r="S569">
        <v>16</v>
      </c>
      <c r="T569">
        <v>1484</v>
      </c>
      <c r="U569">
        <v>33</v>
      </c>
      <c r="V569">
        <v>34</v>
      </c>
      <c r="W569">
        <v>0</v>
      </c>
      <c r="X569">
        <v>67</v>
      </c>
      <c r="Y569">
        <v>104</v>
      </c>
      <c r="Z569">
        <v>74</v>
      </c>
      <c r="AA569">
        <v>35</v>
      </c>
      <c r="AB569">
        <v>0.24</v>
      </c>
      <c r="AC569">
        <v>0.318</v>
      </c>
      <c r="AD569">
        <v>0.40400000000000003</v>
      </c>
    </row>
    <row r="570" spans="1:30" x14ac:dyDescent="0.5">
      <c r="A570" s="35">
        <v>2018</v>
      </c>
      <c r="B570" t="s">
        <v>97</v>
      </c>
      <c r="C570" t="s">
        <v>149</v>
      </c>
      <c r="D570">
        <v>162</v>
      </c>
      <c r="E570">
        <v>709</v>
      </c>
      <c r="F570">
        <v>1336</v>
      </c>
      <c r="G570" s="60">
        <v>2018</v>
      </c>
      <c r="H570" s="60" t="s">
        <v>96</v>
      </c>
      <c r="I570" s="60" t="str">
        <f t="shared" si="26"/>
        <v>2018 Toronto Blue Jays</v>
      </c>
      <c r="J570" s="60">
        <v>5477</v>
      </c>
      <c r="K570" s="60">
        <f t="shared" si="24"/>
        <v>783</v>
      </c>
      <c r="L570" s="60">
        <v>320</v>
      </c>
      <c r="M570" s="60">
        <v>16</v>
      </c>
      <c r="N570" s="60">
        <v>217</v>
      </c>
      <c r="O570" s="60">
        <v>499</v>
      </c>
      <c r="P570" s="60">
        <v>58</v>
      </c>
      <c r="Q570" s="60">
        <f t="shared" si="25"/>
        <v>3584</v>
      </c>
      <c r="R570">
        <v>680</v>
      </c>
      <c r="S570">
        <v>15</v>
      </c>
      <c r="T570">
        <v>1387</v>
      </c>
      <c r="U570">
        <v>5</v>
      </c>
      <c r="V570">
        <v>37</v>
      </c>
      <c r="W570">
        <v>0</v>
      </c>
      <c r="X570">
        <v>60</v>
      </c>
      <c r="Y570">
        <v>118</v>
      </c>
      <c r="Z570">
        <v>47</v>
      </c>
      <c r="AA570">
        <v>30</v>
      </c>
      <c r="AB570">
        <v>0.24399999999999999</v>
      </c>
      <c r="AC570">
        <v>0.312</v>
      </c>
      <c r="AD570">
        <v>0.42699999999999999</v>
      </c>
    </row>
    <row r="571" spans="1:30" x14ac:dyDescent="0.5">
      <c r="A571" s="35">
        <v>2018</v>
      </c>
      <c r="B571" t="s">
        <v>101</v>
      </c>
      <c r="C571" t="s">
        <v>38</v>
      </c>
      <c r="D571">
        <v>162</v>
      </c>
      <c r="E571">
        <v>771</v>
      </c>
      <c r="F571">
        <v>1402</v>
      </c>
      <c r="G571" s="60">
        <v>2018</v>
      </c>
      <c r="H571" s="60" t="s">
        <v>100</v>
      </c>
      <c r="I571" s="60" t="str">
        <f t="shared" si="26"/>
        <v>2018 Washington Nationals</v>
      </c>
      <c r="J571" s="60">
        <v>5517</v>
      </c>
      <c r="K571" s="60">
        <f t="shared" si="24"/>
        <v>902</v>
      </c>
      <c r="L571" s="60">
        <v>284</v>
      </c>
      <c r="M571" s="60">
        <v>25</v>
      </c>
      <c r="N571" s="60">
        <v>191</v>
      </c>
      <c r="O571" s="60">
        <v>631</v>
      </c>
      <c r="P571" s="60">
        <v>59</v>
      </c>
      <c r="Q571" s="60">
        <f t="shared" si="25"/>
        <v>3425</v>
      </c>
      <c r="R571">
        <v>737</v>
      </c>
      <c r="S571">
        <v>56</v>
      </c>
      <c r="T571">
        <v>1289</v>
      </c>
      <c r="U571">
        <v>41</v>
      </c>
      <c r="V571">
        <v>40</v>
      </c>
      <c r="W571">
        <v>0</v>
      </c>
      <c r="X571">
        <v>49</v>
      </c>
      <c r="Y571">
        <v>104</v>
      </c>
      <c r="Z571">
        <v>119</v>
      </c>
      <c r="AA571">
        <v>33</v>
      </c>
      <c r="AB571">
        <v>0.254</v>
      </c>
      <c r="AC571">
        <v>0.33500000000000002</v>
      </c>
      <c r="AD571">
        <v>0.41899999999999998</v>
      </c>
    </row>
    <row r="572" spans="1:30" x14ac:dyDescent="0.5">
      <c r="C572" s="35"/>
    </row>
    <row r="573" spans="1:30" x14ac:dyDescent="0.5">
      <c r="C573" s="35"/>
    </row>
    <row r="574" spans="1:30" x14ac:dyDescent="0.5">
      <c r="C574" s="35"/>
    </row>
    <row r="575" spans="1:30" x14ac:dyDescent="0.5">
      <c r="C575" s="35"/>
    </row>
    <row r="576" spans="1:30" x14ac:dyDescent="0.5">
      <c r="C576" s="35"/>
    </row>
    <row r="577" spans="3:3" x14ac:dyDescent="0.5">
      <c r="C577" s="35"/>
    </row>
    <row r="578" spans="3:3" x14ac:dyDescent="0.5">
      <c r="C578" s="35"/>
    </row>
    <row r="579" spans="3:3" x14ac:dyDescent="0.5">
      <c r="C579" s="35"/>
    </row>
    <row r="580" spans="3:3" x14ac:dyDescent="0.5">
      <c r="C580" s="35"/>
    </row>
    <row r="581" spans="3:3" x14ac:dyDescent="0.5">
      <c r="C581" s="35"/>
    </row>
    <row r="582" spans="3:3" x14ac:dyDescent="0.5">
      <c r="C582" s="35"/>
    </row>
    <row r="583" spans="3:3" x14ac:dyDescent="0.5">
      <c r="C583" s="35"/>
    </row>
    <row r="584" spans="3:3" x14ac:dyDescent="0.5">
      <c r="C584" s="35"/>
    </row>
    <row r="585" spans="3:3" x14ac:dyDescent="0.5">
      <c r="C585" s="35"/>
    </row>
    <row r="586" spans="3:3" x14ac:dyDescent="0.5">
      <c r="C586" s="35"/>
    </row>
    <row r="587" spans="3:3" x14ac:dyDescent="0.5">
      <c r="C587" s="35"/>
    </row>
    <row r="588" spans="3:3" x14ac:dyDescent="0.5">
      <c r="C588" s="35"/>
    </row>
    <row r="589" spans="3:3" x14ac:dyDescent="0.5">
      <c r="C589" s="35"/>
    </row>
    <row r="590" spans="3:3" x14ac:dyDescent="0.5">
      <c r="C590" s="35"/>
    </row>
    <row r="591" spans="3:3" x14ac:dyDescent="0.5">
      <c r="C591" s="35"/>
    </row>
    <row r="592" spans="3:3" x14ac:dyDescent="0.5">
      <c r="C592" s="35"/>
    </row>
    <row r="593" spans="3:3" x14ac:dyDescent="0.5">
      <c r="C593" s="35"/>
    </row>
    <row r="594" spans="3:3" x14ac:dyDescent="0.5">
      <c r="C594" s="35"/>
    </row>
    <row r="595" spans="3:3" x14ac:dyDescent="0.5">
      <c r="C595" s="35"/>
    </row>
    <row r="596" spans="3:3" x14ac:dyDescent="0.5">
      <c r="C596" s="35"/>
    </row>
    <row r="597" spans="3:3" x14ac:dyDescent="0.5">
      <c r="C597" s="35"/>
    </row>
    <row r="598" spans="3:3" x14ac:dyDescent="0.5">
      <c r="C598" s="35"/>
    </row>
    <row r="599" spans="3:3" x14ac:dyDescent="0.5">
      <c r="C599" s="35"/>
    </row>
    <row r="600" spans="3:3" x14ac:dyDescent="0.5">
      <c r="C600" s="35"/>
    </row>
    <row r="601" spans="3:3" x14ac:dyDescent="0.5">
      <c r="C601" s="35"/>
    </row>
  </sheetData>
  <sortState xmlns:xlrd2="http://schemas.microsoft.com/office/spreadsheetml/2017/richdata2" ref="A543:AF571">
    <sortCondition ref="B542:B57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ACAEF-573D-4273-9EE0-3AEC4A01899A}">
  <sheetPr codeName="Sheet5"/>
  <dimension ref="A1:BK571"/>
  <sheetViews>
    <sheetView zoomScale="79" workbookViewId="0">
      <pane ySplit="1" topLeftCell="A2" activePane="bottomLeft" state="frozen"/>
      <selection pane="bottomLeft" activeCell="F26" sqref="F26"/>
    </sheetView>
  </sheetViews>
  <sheetFormatPr defaultRowHeight="15.75" x14ac:dyDescent="0.5"/>
  <cols>
    <col min="1" max="1" width="9" style="35"/>
    <col min="3" max="3" width="11.875" customWidth="1"/>
    <col min="14" max="14" width="26.25" bestFit="1" customWidth="1"/>
    <col min="15" max="15" width="24.125" bestFit="1" customWidth="1"/>
    <col min="16" max="16" width="11.75" customWidth="1"/>
  </cols>
  <sheetData>
    <row r="1" spans="1:63" s="38" customFormat="1" ht="18" x14ac:dyDescent="0.55000000000000004">
      <c r="A1" s="37" t="s">
        <v>106</v>
      </c>
      <c r="B1" s="37" t="s">
        <v>152</v>
      </c>
      <c r="C1" s="37" t="s">
        <v>169</v>
      </c>
      <c r="D1" s="37" t="s">
        <v>153</v>
      </c>
      <c r="E1" s="37" t="s">
        <v>154</v>
      </c>
      <c r="F1" s="37" t="s">
        <v>25</v>
      </c>
      <c r="G1" s="37" t="s">
        <v>26</v>
      </c>
      <c r="H1" s="37" t="s">
        <v>155</v>
      </c>
      <c r="I1" s="37" t="s">
        <v>27</v>
      </c>
      <c r="J1" s="37" t="s">
        <v>156</v>
      </c>
      <c r="K1" s="37" t="s">
        <v>12</v>
      </c>
      <c r="L1" s="37" t="s">
        <v>10</v>
      </c>
      <c r="M1" s="57" t="s">
        <v>176</v>
      </c>
      <c r="N1" s="57" t="s">
        <v>175</v>
      </c>
      <c r="O1" s="57" t="s">
        <v>200</v>
      </c>
      <c r="P1" s="57" t="s">
        <v>123</v>
      </c>
      <c r="Q1" s="57" t="s">
        <v>122</v>
      </c>
      <c r="R1" s="57" t="s">
        <v>13</v>
      </c>
      <c r="S1" s="57" t="s">
        <v>14</v>
      </c>
      <c r="T1" s="57" t="s">
        <v>15</v>
      </c>
      <c r="U1" s="57" t="s">
        <v>16</v>
      </c>
      <c r="V1" s="57" t="s">
        <v>20</v>
      </c>
      <c r="W1" s="57" t="s">
        <v>131</v>
      </c>
      <c r="X1" s="37" t="s">
        <v>23</v>
      </c>
      <c r="Y1" s="37" t="s">
        <v>157</v>
      </c>
      <c r="Z1" s="37" t="s">
        <v>17</v>
      </c>
      <c r="AA1" s="37" t="s">
        <v>158</v>
      </c>
      <c r="AB1" s="37" t="s">
        <v>21</v>
      </c>
      <c r="AC1" s="37" t="s">
        <v>162</v>
      </c>
      <c r="AD1" s="37" t="s">
        <v>159</v>
      </c>
      <c r="AE1" s="37" t="s">
        <v>160</v>
      </c>
      <c r="AF1" s="37" t="s">
        <v>161</v>
      </c>
      <c r="AG1" s="37" t="s">
        <v>8</v>
      </c>
      <c r="AH1" s="37" t="s">
        <v>9</v>
      </c>
      <c r="AI1" s="37" t="s">
        <v>24</v>
      </c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</row>
    <row r="2" spans="1:63" x14ac:dyDescent="0.5">
      <c r="A2" s="35">
        <v>2000</v>
      </c>
      <c r="B2" t="s">
        <v>37</v>
      </c>
      <c r="C2" t="s">
        <v>149</v>
      </c>
      <c r="D2">
        <v>603</v>
      </c>
      <c r="E2">
        <v>162</v>
      </c>
      <c r="F2">
        <v>5</v>
      </c>
      <c r="G2" s="56">
        <v>3</v>
      </c>
      <c r="H2">
        <v>157</v>
      </c>
      <c r="I2">
        <v>46</v>
      </c>
      <c r="J2">
        <v>1448</v>
      </c>
      <c r="K2">
        <v>1534</v>
      </c>
      <c r="L2">
        <v>869</v>
      </c>
      <c r="M2" s="58">
        <f t="shared" ref="M2:M65" si="0">A2</f>
        <v>2000</v>
      </c>
      <c r="N2" s="58" t="s">
        <v>36</v>
      </c>
      <c r="O2" s="58" t="str">
        <f>M2&amp;" "&amp;N2</f>
        <v>2000 Anaheim Angels</v>
      </c>
      <c r="P2" s="58">
        <v>6401</v>
      </c>
      <c r="Q2" s="58">
        <f t="shared" ref="Q2:Q65" si="1">K2-(R2+S2+T2)</f>
        <v>1007</v>
      </c>
      <c r="R2" s="58">
        <v>276</v>
      </c>
      <c r="S2" s="58">
        <v>23</v>
      </c>
      <c r="T2" s="58">
        <v>228</v>
      </c>
      <c r="U2" s="58">
        <v>662</v>
      </c>
      <c r="V2" s="58">
        <v>36</v>
      </c>
      <c r="W2" s="58">
        <f t="shared" ref="W2:W65" si="2">P2-(K2+U2+V2)</f>
        <v>4169</v>
      </c>
      <c r="X2">
        <v>805</v>
      </c>
      <c r="Y2">
        <v>44</v>
      </c>
      <c r="Z2">
        <v>846</v>
      </c>
      <c r="AA2">
        <v>40</v>
      </c>
      <c r="AB2">
        <v>53</v>
      </c>
      <c r="AC2">
        <v>47</v>
      </c>
      <c r="AD2">
        <v>10</v>
      </c>
      <c r="AE2">
        <v>159</v>
      </c>
      <c r="AF2">
        <v>96</v>
      </c>
      <c r="AG2">
        <v>82</v>
      </c>
      <c r="AH2">
        <v>80</v>
      </c>
      <c r="AI2">
        <v>5</v>
      </c>
    </row>
    <row r="3" spans="1:63" x14ac:dyDescent="0.5">
      <c r="A3" s="35">
        <v>2000</v>
      </c>
      <c r="B3" t="s">
        <v>40</v>
      </c>
      <c r="C3" t="s">
        <v>38</v>
      </c>
      <c r="D3">
        <v>552</v>
      </c>
      <c r="E3">
        <v>162</v>
      </c>
      <c r="F3">
        <v>16</v>
      </c>
      <c r="G3" s="56">
        <v>8</v>
      </c>
      <c r="H3">
        <v>146</v>
      </c>
      <c r="I3">
        <v>38</v>
      </c>
      <c r="J3">
        <v>1443.2</v>
      </c>
      <c r="K3">
        <v>1441</v>
      </c>
      <c r="L3">
        <v>754</v>
      </c>
      <c r="M3" s="58">
        <f t="shared" si="0"/>
        <v>2000</v>
      </c>
      <c r="N3" s="58" t="s">
        <v>39</v>
      </c>
      <c r="O3" s="58" t="str">
        <f t="shared" ref="O3:O66" si="3">M3&amp;" "&amp;N3</f>
        <v>2000 Arizona Diamondbacks</v>
      </c>
      <c r="P3" s="58">
        <v>6158</v>
      </c>
      <c r="Q3" s="58">
        <f t="shared" si="1"/>
        <v>960</v>
      </c>
      <c r="R3" s="58">
        <v>261</v>
      </c>
      <c r="S3" s="58">
        <v>30</v>
      </c>
      <c r="T3" s="58">
        <v>190</v>
      </c>
      <c r="U3" s="58">
        <v>500</v>
      </c>
      <c r="V3" s="58">
        <v>42</v>
      </c>
      <c r="W3" s="58">
        <f t="shared" si="2"/>
        <v>4175</v>
      </c>
      <c r="X3">
        <v>699</v>
      </c>
      <c r="Y3">
        <v>53</v>
      </c>
      <c r="Z3">
        <v>1220</v>
      </c>
      <c r="AA3">
        <v>72</v>
      </c>
      <c r="AB3">
        <v>45</v>
      </c>
      <c r="AC3">
        <v>30</v>
      </c>
      <c r="AD3">
        <v>10</v>
      </c>
      <c r="AE3">
        <v>111</v>
      </c>
      <c r="AF3">
        <v>71</v>
      </c>
      <c r="AG3">
        <v>85</v>
      </c>
      <c r="AH3">
        <v>77</v>
      </c>
      <c r="AI3">
        <v>4.3600000000000003</v>
      </c>
    </row>
    <row r="4" spans="1:63" x14ac:dyDescent="0.5">
      <c r="A4" s="35">
        <v>2000</v>
      </c>
      <c r="B4" t="s">
        <v>42</v>
      </c>
      <c r="C4" t="s">
        <v>38</v>
      </c>
      <c r="D4">
        <v>538</v>
      </c>
      <c r="E4">
        <v>162</v>
      </c>
      <c r="F4">
        <v>13</v>
      </c>
      <c r="G4" s="56">
        <v>9</v>
      </c>
      <c r="H4">
        <v>149</v>
      </c>
      <c r="I4">
        <v>53</v>
      </c>
      <c r="J4">
        <v>1440.1</v>
      </c>
      <c r="K4">
        <v>1428</v>
      </c>
      <c r="L4">
        <v>714</v>
      </c>
      <c r="M4" s="58">
        <f t="shared" si="0"/>
        <v>2000</v>
      </c>
      <c r="N4" s="58" t="s">
        <v>41</v>
      </c>
      <c r="O4" s="58" t="str">
        <f t="shared" si="3"/>
        <v>2000 Atlanta Braves</v>
      </c>
      <c r="P4" s="58">
        <v>6165</v>
      </c>
      <c r="Q4" s="58">
        <f t="shared" si="1"/>
        <v>979</v>
      </c>
      <c r="R4" s="58">
        <v>263</v>
      </c>
      <c r="S4" s="58">
        <v>21</v>
      </c>
      <c r="T4" s="58">
        <v>165</v>
      </c>
      <c r="U4" s="58">
        <v>484</v>
      </c>
      <c r="V4" s="58">
        <v>37</v>
      </c>
      <c r="W4" s="58">
        <f t="shared" si="2"/>
        <v>4216</v>
      </c>
      <c r="X4">
        <v>648</v>
      </c>
      <c r="Y4">
        <v>52</v>
      </c>
      <c r="Z4">
        <v>1093</v>
      </c>
      <c r="AA4">
        <v>64</v>
      </c>
      <c r="AB4">
        <v>37</v>
      </c>
      <c r="AC4">
        <v>23</v>
      </c>
      <c r="AD4">
        <v>6</v>
      </c>
      <c r="AE4">
        <v>121</v>
      </c>
      <c r="AF4">
        <v>92</v>
      </c>
      <c r="AG4">
        <v>95</v>
      </c>
      <c r="AH4">
        <v>67</v>
      </c>
      <c r="AI4">
        <v>4.05</v>
      </c>
    </row>
    <row r="5" spans="1:63" x14ac:dyDescent="0.5">
      <c r="A5" s="35">
        <v>2000</v>
      </c>
      <c r="B5" t="s">
        <v>45</v>
      </c>
      <c r="C5" t="s">
        <v>149</v>
      </c>
      <c r="D5">
        <v>558</v>
      </c>
      <c r="E5">
        <v>162</v>
      </c>
      <c r="F5">
        <v>14</v>
      </c>
      <c r="G5" s="56">
        <v>6</v>
      </c>
      <c r="H5">
        <v>148</v>
      </c>
      <c r="I5">
        <v>33</v>
      </c>
      <c r="J5">
        <v>1433.1</v>
      </c>
      <c r="K5">
        <v>1547</v>
      </c>
      <c r="L5">
        <v>913</v>
      </c>
      <c r="M5" s="58">
        <f t="shared" si="0"/>
        <v>2000</v>
      </c>
      <c r="N5" s="58" t="s">
        <v>44</v>
      </c>
      <c r="O5" s="58" t="str">
        <f t="shared" si="3"/>
        <v>2000 Baltimore Orioles</v>
      </c>
      <c r="P5" s="58">
        <v>6433</v>
      </c>
      <c r="Q5" s="58">
        <f t="shared" si="1"/>
        <v>1010</v>
      </c>
      <c r="R5" s="58">
        <v>296</v>
      </c>
      <c r="S5" s="58">
        <v>39</v>
      </c>
      <c r="T5" s="58">
        <v>202</v>
      </c>
      <c r="U5" s="58">
        <v>665</v>
      </c>
      <c r="V5" s="58">
        <v>36</v>
      </c>
      <c r="W5" s="58">
        <f t="shared" si="2"/>
        <v>4185</v>
      </c>
      <c r="X5">
        <v>855</v>
      </c>
      <c r="Y5">
        <v>32</v>
      </c>
      <c r="Z5">
        <v>1017</v>
      </c>
      <c r="AA5">
        <v>48</v>
      </c>
      <c r="AB5">
        <v>57</v>
      </c>
      <c r="AC5">
        <v>51</v>
      </c>
      <c r="AD5">
        <v>1</v>
      </c>
      <c r="AE5">
        <v>127</v>
      </c>
      <c r="AF5">
        <v>89</v>
      </c>
      <c r="AG5">
        <v>74</v>
      </c>
      <c r="AH5">
        <v>88</v>
      </c>
      <c r="AI5">
        <v>5.37</v>
      </c>
    </row>
    <row r="6" spans="1:63" x14ac:dyDescent="0.5">
      <c r="A6" s="35">
        <v>2000</v>
      </c>
      <c r="B6" t="s">
        <v>47</v>
      </c>
      <c r="C6" t="s">
        <v>149</v>
      </c>
      <c r="D6">
        <v>587</v>
      </c>
      <c r="E6">
        <v>162</v>
      </c>
      <c r="F6">
        <v>7</v>
      </c>
      <c r="G6" s="56">
        <v>12</v>
      </c>
      <c r="H6">
        <v>155</v>
      </c>
      <c r="I6">
        <v>46</v>
      </c>
      <c r="J6">
        <v>1452.2</v>
      </c>
      <c r="K6">
        <v>1433</v>
      </c>
      <c r="L6">
        <v>745</v>
      </c>
      <c r="M6" s="58">
        <f t="shared" si="0"/>
        <v>2000</v>
      </c>
      <c r="N6" s="58" t="s">
        <v>46</v>
      </c>
      <c r="O6" s="58" t="str">
        <f t="shared" si="3"/>
        <v>2000 Boston Red Sox</v>
      </c>
      <c r="P6" s="58">
        <v>6225</v>
      </c>
      <c r="Q6" s="58">
        <f t="shared" si="1"/>
        <v>952</v>
      </c>
      <c r="R6" s="58">
        <v>279</v>
      </c>
      <c r="S6" s="58">
        <v>29</v>
      </c>
      <c r="T6" s="58">
        <v>173</v>
      </c>
      <c r="U6" s="58">
        <v>498</v>
      </c>
      <c r="V6" s="58">
        <v>58</v>
      </c>
      <c r="W6" s="58">
        <f t="shared" si="2"/>
        <v>4236</v>
      </c>
      <c r="X6">
        <v>683</v>
      </c>
      <c r="Y6">
        <v>40</v>
      </c>
      <c r="Z6">
        <v>1121</v>
      </c>
      <c r="AA6">
        <v>46</v>
      </c>
      <c r="AB6">
        <v>49</v>
      </c>
      <c r="AC6">
        <v>33</v>
      </c>
      <c r="AD6">
        <v>2</v>
      </c>
      <c r="AE6">
        <v>98</v>
      </c>
      <c r="AF6">
        <v>75</v>
      </c>
      <c r="AG6">
        <v>85</v>
      </c>
      <c r="AH6">
        <v>77</v>
      </c>
      <c r="AI6">
        <v>4.2300000000000004</v>
      </c>
    </row>
    <row r="7" spans="1:63" x14ac:dyDescent="0.5">
      <c r="A7" s="35">
        <v>2000</v>
      </c>
      <c r="B7" t="s">
        <v>143</v>
      </c>
      <c r="C7" t="s">
        <v>38</v>
      </c>
      <c r="D7">
        <v>583</v>
      </c>
      <c r="E7">
        <v>162</v>
      </c>
      <c r="F7">
        <v>10</v>
      </c>
      <c r="G7" s="56">
        <v>5</v>
      </c>
      <c r="H7">
        <v>152</v>
      </c>
      <c r="I7">
        <v>39</v>
      </c>
      <c r="J7">
        <v>1454.2</v>
      </c>
      <c r="K7">
        <v>1505</v>
      </c>
      <c r="L7">
        <v>904</v>
      </c>
      <c r="M7" s="58">
        <f t="shared" si="0"/>
        <v>2000</v>
      </c>
      <c r="N7" s="58" t="s">
        <v>50</v>
      </c>
      <c r="O7" s="58" t="str">
        <f t="shared" si="3"/>
        <v>2000 Chicago Cubs</v>
      </c>
      <c r="P7" s="58">
        <v>6451</v>
      </c>
      <c r="Q7" s="58">
        <f t="shared" si="1"/>
        <v>965</v>
      </c>
      <c r="R7" s="58">
        <v>280</v>
      </c>
      <c r="S7" s="58">
        <v>29</v>
      </c>
      <c r="T7" s="58">
        <v>231</v>
      </c>
      <c r="U7" s="58">
        <v>658</v>
      </c>
      <c r="V7" s="58">
        <v>62</v>
      </c>
      <c r="W7" s="58">
        <f t="shared" si="2"/>
        <v>4226</v>
      </c>
      <c r="X7">
        <v>849</v>
      </c>
      <c r="Y7">
        <v>45</v>
      </c>
      <c r="Z7">
        <v>1143</v>
      </c>
      <c r="AA7">
        <v>62</v>
      </c>
      <c r="AB7">
        <v>54</v>
      </c>
      <c r="AC7">
        <v>45</v>
      </c>
      <c r="AD7">
        <v>4</v>
      </c>
      <c r="AE7">
        <v>106</v>
      </c>
      <c r="AF7">
        <v>71</v>
      </c>
      <c r="AG7">
        <v>65</v>
      </c>
      <c r="AH7">
        <v>97</v>
      </c>
      <c r="AI7">
        <v>5.25</v>
      </c>
    </row>
    <row r="8" spans="1:63" x14ac:dyDescent="0.5">
      <c r="A8" s="35">
        <v>2000</v>
      </c>
      <c r="B8" t="s">
        <v>143</v>
      </c>
      <c r="C8" t="s">
        <v>149</v>
      </c>
      <c r="D8">
        <v>628</v>
      </c>
      <c r="E8">
        <v>162</v>
      </c>
      <c r="F8">
        <v>5</v>
      </c>
      <c r="G8" s="56">
        <v>7</v>
      </c>
      <c r="H8">
        <v>157</v>
      </c>
      <c r="I8">
        <v>43</v>
      </c>
      <c r="J8">
        <v>1450.1</v>
      </c>
      <c r="K8">
        <v>1509</v>
      </c>
      <c r="L8">
        <v>839</v>
      </c>
      <c r="M8" s="58">
        <f t="shared" si="0"/>
        <v>2000</v>
      </c>
      <c r="N8" s="58" t="s">
        <v>48</v>
      </c>
      <c r="O8" s="58" t="str">
        <f t="shared" si="3"/>
        <v>2000 Chicago White Sox</v>
      </c>
      <c r="P8" s="58">
        <v>6337</v>
      </c>
      <c r="Q8" s="58">
        <f t="shared" si="1"/>
        <v>1018</v>
      </c>
      <c r="R8" s="58">
        <v>263</v>
      </c>
      <c r="S8" s="58">
        <v>33</v>
      </c>
      <c r="T8" s="58">
        <v>195</v>
      </c>
      <c r="U8" s="58">
        <v>614</v>
      </c>
      <c r="V8" s="58">
        <v>54</v>
      </c>
      <c r="W8" s="58">
        <f t="shared" si="2"/>
        <v>4160</v>
      </c>
      <c r="X8">
        <v>752</v>
      </c>
      <c r="Y8">
        <v>27</v>
      </c>
      <c r="Z8">
        <v>1037</v>
      </c>
      <c r="AA8">
        <v>39</v>
      </c>
      <c r="AB8">
        <v>49</v>
      </c>
      <c r="AC8">
        <v>43</v>
      </c>
      <c r="AD8">
        <v>8</v>
      </c>
      <c r="AE8">
        <v>156</v>
      </c>
      <c r="AF8">
        <v>91</v>
      </c>
      <c r="AG8">
        <v>95</v>
      </c>
      <c r="AH8">
        <v>67</v>
      </c>
      <c r="AI8">
        <v>4.67</v>
      </c>
    </row>
    <row r="9" spans="1:63" x14ac:dyDescent="0.5">
      <c r="A9" s="35">
        <v>2000</v>
      </c>
      <c r="B9" t="s">
        <v>53</v>
      </c>
      <c r="C9" t="s">
        <v>38</v>
      </c>
      <c r="D9">
        <v>550</v>
      </c>
      <c r="E9">
        <v>163</v>
      </c>
      <c r="F9">
        <v>8</v>
      </c>
      <c r="G9" s="56">
        <v>7</v>
      </c>
      <c r="H9">
        <v>155</v>
      </c>
      <c r="I9">
        <v>42</v>
      </c>
      <c r="J9">
        <v>1456.1</v>
      </c>
      <c r="K9">
        <v>1446</v>
      </c>
      <c r="L9">
        <v>765</v>
      </c>
      <c r="M9" s="58">
        <f t="shared" si="0"/>
        <v>2000</v>
      </c>
      <c r="N9" s="58" t="s">
        <v>52</v>
      </c>
      <c r="O9" s="58" t="str">
        <f t="shared" si="3"/>
        <v>2000 Cincinnati Reds</v>
      </c>
      <c r="P9" s="58">
        <v>6362</v>
      </c>
      <c r="Q9" s="58">
        <f t="shared" si="1"/>
        <v>884</v>
      </c>
      <c r="R9" s="58">
        <v>334</v>
      </c>
      <c r="S9" s="58">
        <v>38</v>
      </c>
      <c r="T9" s="58">
        <v>190</v>
      </c>
      <c r="U9" s="58">
        <v>659</v>
      </c>
      <c r="V9" s="58">
        <v>43</v>
      </c>
      <c r="W9" s="58">
        <f t="shared" si="2"/>
        <v>4214</v>
      </c>
      <c r="X9">
        <v>700</v>
      </c>
      <c r="Y9">
        <v>53</v>
      </c>
      <c r="Z9">
        <v>1015</v>
      </c>
      <c r="AA9">
        <v>68</v>
      </c>
      <c r="AB9">
        <v>48</v>
      </c>
      <c r="AC9">
        <v>96</v>
      </c>
      <c r="AD9">
        <v>5</v>
      </c>
      <c r="AE9">
        <v>130</v>
      </c>
      <c r="AF9">
        <v>73</v>
      </c>
      <c r="AG9">
        <v>85</v>
      </c>
      <c r="AH9">
        <v>77</v>
      </c>
      <c r="AI9">
        <v>4.33</v>
      </c>
    </row>
    <row r="10" spans="1:63" x14ac:dyDescent="0.5">
      <c r="A10" s="35">
        <v>2000</v>
      </c>
      <c r="B10" t="s">
        <v>55</v>
      </c>
      <c r="C10" t="s">
        <v>149</v>
      </c>
      <c r="D10">
        <v>624</v>
      </c>
      <c r="E10">
        <v>162</v>
      </c>
      <c r="F10">
        <v>6</v>
      </c>
      <c r="G10" s="56">
        <v>5</v>
      </c>
      <c r="H10">
        <v>156</v>
      </c>
      <c r="I10">
        <v>34</v>
      </c>
      <c r="J10">
        <v>1442.1</v>
      </c>
      <c r="K10">
        <v>1511</v>
      </c>
      <c r="L10">
        <v>816</v>
      </c>
      <c r="M10" s="58">
        <f t="shared" si="0"/>
        <v>2000</v>
      </c>
      <c r="N10" s="58" t="s">
        <v>54</v>
      </c>
      <c r="O10" s="58" t="str">
        <f t="shared" si="3"/>
        <v>2000 Cleveland Indians</v>
      </c>
      <c r="P10" s="58">
        <v>6380</v>
      </c>
      <c r="Q10" s="58">
        <f t="shared" si="1"/>
        <v>1021</v>
      </c>
      <c r="R10" s="58">
        <v>288</v>
      </c>
      <c r="S10" s="58">
        <v>29</v>
      </c>
      <c r="T10" s="58">
        <v>173</v>
      </c>
      <c r="U10" s="58">
        <v>666</v>
      </c>
      <c r="V10" s="58">
        <v>42</v>
      </c>
      <c r="W10" s="58">
        <f t="shared" si="2"/>
        <v>4161</v>
      </c>
      <c r="X10">
        <v>775</v>
      </c>
      <c r="Y10">
        <v>45</v>
      </c>
      <c r="Z10">
        <v>1213</v>
      </c>
      <c r="AA10">
        <v>34</v>
      </c>
      <c r="AB10">
        <v>42</v>
      </c>
      <c r="AC10">
        <v>50</v>
      </c>
      <c r="AD10">
        <v>3</v>
      </c>
      <c r="AE10">
        <v>128</v>
      </c>
      <c r="AF10">
        <v>42</v>
      </c>
      <c r="AG10">
        <v>90</v>
      </c>
      <c r="AH10">
        <v>72</v>
      </c>
      <c r="AI10">
        <v>4.84</v>
      </c>
    </row>
    <row r="11" spans="1:63" x14ac:dyDescent="0.5">
      <c r="A11" s="35">
        <v>2000</v>
      </c>
      <c r="B11" t="s">
        <v>57</v>
      </c>
      <c r="C11" t="s">
        <v>38</v>
      </c>
      <c r="D11">
        <v>641</v>
      </c>
      <c r="E11">
        <v>162</v>
      </c>
      <c r="F11">
        <v>7</v>
      </c>
      <c r="G11" s="56">
        <v>2</v>
      </c>
      <c r="H11">
        <v>155</v>
      </c>
      <c r="I11">
        <v>33</v>
      </c>
      <c r="J11">
        <v>1430</v>
      </c>
      <c r="K11">
        <v>1568</v>
      </c>
      <c r="L11">
        <v>897</v>
      </c>
      <c r="M11" s="58">
        <f t="shared" si="0"/>
        <v>2000</v>
      </c>
      <c r="N11" s="58" t="s">
        <v>56</v>
      </c>
      <c r="O11" s="58" t="str">
        <f t="shared" si="3"/>
        <v>2000 Colorado Rockies</v>
      </c>
      <c r="P11" s="58">
        <v>6340</v>
      </c>
      <c r="Q11" s="58">
        <f t="shared" si="1"/>
        <v>990</v>
      </c>
      <c r="R11" s="58">
        <v>319</v>
      </c>
      <c r="S11" s="58">
        <v>38</v>
      </c>
      <c r="T11" s="58">
        <v>221</v>
      </c>
      <c r="U11" s="58">
        <v>588</v>
      </c>
      <c r="V11" s="58">
        <v>72</v>
      </c>
      <c r="W11" s="58">
        <f t="shared" si="2"/>
        <v>4112</v>
      </c>
      <c r="X11">
        <v>836</v>
      </c>
      <c r="Y11">
        <v>72</v>
      </c>
      <c r="Z11">
        <v>1001</v>
      </c>
      <c r="AA11">
        <v>53</v>
      </c>
      <c r="AB11">
        <v>52</v>
      </c>
      <c r="AC11">
        <v>40</v>
      </c>
      <c r="AD11">
        <v>5</v>
      </c>
      <c r="AE11">
        <v>142</v>
      </c>
      <c r="AF11">
        <v>65</v>
      </c>
      <c r="AG11">
        <v>82</v>
      </c>
      <c r="AH11">
        <v>80</v>
      </c>
      <c r="AI11">
        <v>5.26</v>
      </c>
    </row>
    <row r="12" spans="1:63" x14ac:dyDescent="0.5">
      <c r="A12" s="35">
        <v>2000</v>
      </c>
      <c r="B12" t="s">
        <v>59</v>
      </c>
      <c r="C12" t="s">
        <v>149</v>
      </c>
      <c r="D12">
        <v>591</v>
      </c>
      <c r="E12">
        <v>162</v>
      </c>
      <c r="F12">
        <v>6</v>
      </c>
      <c r="G12" s="56">
        <v>6</v>
      </c>
      <c r="H12">
        <v>156</v>
      </c>
      <c r="I12">
        <v>44</v>
      </c>
      <c r="J12">
        <v>1443.1</v>
      </c>
      <c r="K12">
        <v>1583</v>
      </c>
      <c r="L12">
        <v>827</v>
      </c>
      <c r="M12" s="58">
        <f t="shared" si="0"/>
        <v>2000</v>
      </c>
      <c r="N12" s="58" t="s">
        <v>58</v>
      </c>
      <c r="O12" s="58" t="str">
        <f t="shared" si="3"/>
        <v>2000 Detroit Tigers</v>
      </c>
      <c r="P12" s="58">
        <v>6295</v>
      </c>
      <c r="Q12" s="58">
        <f t="shared" si="1"/>
        <v>1059</v>
      </c>
      <c r="R12" s="58">
        <v>304</v>
      </c>
      <c r="S12" s="58">
        <v>43</v>
      </c>
      <c r="T12" s="58">
        <v>177</v>
      </c>
      <c r="U12" s="58">
        <v>496</v>
      </c>
      <c r="V12" s="58">
        <v>47</v>
      </c>
      <c r="W12" s="58">
        <f t="shared" si="2"/>
        <v>4169</v>
      </c>
      <c r="X12">
        <v>756</v>
      </c>
      <c r="Y12">
        <v>22</v>
      </c>
      <c r="Z12">
        <v>978</v>
      </c>
      <c r="AA12">
        <v>33</v>
      </c>
      <c r="AB12">
        <v>63</v>
      </c>
      <c r="AC12">
        <v>51</v>
      </c>
      <c r="AD12">
        <v>5</v>
      </c>
      <c r="AE12">
        <v>144</v>
      </c>
      <c r="AF12">
        <v>80</v>
      </c>
      <c r="AG12">
        <v>79</v>
      </c>
      <c r="AH12">
        <v>83</v>
      </c>
      <c r="AI12">
        <v>4.71</v>
      </c>
    </row>
    <row r="13" spans="1:63" x14ac:dyDescent="0.5">
      <c r="A13" s="35">
        <v>2000</v>
      </c>
      <c r="B13" t="s">
        <v>146</v>
      </c>
      <c r="C13" t="s">
        <v>38</v>
      </c>
      <c r="D13">
        <v>590</v>
      </c>
      <c r="E13">
        <v>161</v>
      </c>
      <c r="F13">
        <v>5</v>
      </c>
      <c r="G13" s="56">
        <v>4</v>
      </c>
      <c r="H13">
        <v>156</v>
      </c>
      <c r="I13">
        <v>48</v>
      </c>
      <c r="J13">
        <v>1429.2</v>
      </c>
      <c r="K13">
        <v>1477</v>
      </c>
      <c r="L13">
        <v>797</v>
      </c>
      <c r="M13" s="58">
        <f t="shared" si="0"/>
        <v>2000</v>
      </c>
      <c r="N13" s="58" t="s">
        <v>60</v>
      </c>
      <c r="O13" s="58" t="str">
        <f t="shared" si="3"/>
        <v>2000 Florida Marlins</v>
      </c>
      <c r="P13" s="58">
        <v>6307</v>
      </c>
      <c r="Q13" s="58">
        <f t="shared" si="1"/>
        <v>980</v>
      </c>
      <c r="R13" s="58">
        <v>284</v>
      </c>
      <c r="S13" s="58">
        <v>44</v>
      </c>
      <c r="T13" s="58">
        <v>169</v>
      </c>
      <c r="U13" s="58">
        <v>650</v>
      </c>
      <c r="V13" s="58">
        <v>43</v>
      </c>
      <c r="W13" s="58">
        <f t="shared" si="2"/>
        <v>4137</v>
      </c>
      <c r="X13">
        <v>729</v>
      </c>
      <c r="Y13">
        <v>56</v>
      </c>
      <c r="Z13">
        <v>1051</v>
      </c>
      <c r="AA13">
        <v>68</v>
      </c>
      <c r="AB13">
        <v>59</v>
      </c>
      <c r="AC13">
        <v>49</v>
      </c>
      <c r="AD13">
        <v>10</v>
      </c>
      <c r="AE13">
        <v>112</v>
      </c>
      <c r="AF13">
        <v>81</v>
      </c>
      <c r="AG13">
        <v>79</v>
      </c>
      <c r="AH13">
        <v>82</v>
      </c>
      <c r="AI13">
        <v>4.59</v>
      </c>
    </row>
    <row r="14" spans="1:63" x14ac:dyDescent="0.5">
      <c r="A14" s="35">
        <v>2000</v>
      </c>
      <c r="B14" t="s">
        <v>63</v>
      </c>
      <c r="C14" t="s">
        <v>38</v>
      </c>
      <c r="D14">
        <v>572</v>
      </c>
      <c r="E14">
        <v>162</v>
      </c>
      <c r="F14">
        <v>8</v>
      </c>
      <c r="G14" s="56">
        <v>2</v>
      </c>
      <c r="H14">
        <v>154</v>
      </c>
      <c r="I14">
        <v>30</v>
      </c>
      <c r="J14">
        <v>1437.2</v>
      </c>
      <c r="K14">
        <v>1596</v>
      </c>
      <c r="L14">
        <v>944</v>
      </c>
      <c r="M14" s="58">
        <f t="shared" si="0"/>
        <v>2000</v>
      </c>
      <c r="N14" s="58" t="s">
        <v>62</v>
      </c>
      <c r="O14" s="58" t="str">
        <f t="shared" si="3"/>
        <v>2000 Houston Astros</v>
      </c>
      <c r="P14" s="58">
        <v>6455</v>
      </c>
      <c r="Q14" s="58">
        <f t="shared" si="1"/>
        <v>1005</v>
      </c>
      <c r="R14" s="58">
        <v>312</v>
      </c>
      <c r="S14" s="58">
        <v>45</v>
      </c>
      <c r="T14" s="58">
        <v>234</v>
      </c>
      <c r="U14" s="58">
        <v>598</v>
      </c>
      <c r="V14" s="58">
        <v>60</v>
      </c>
      <c r="W14" s="58">
        <f t="shared" si="2"/>
        <v>4201</v>
      </c>
      <c r="X14">
        <v>865</v>
      </c>
      <c r="Y14">
        <v>25</v>
      </c>
      <c r="Z14">
        <v>1064</v>
      </c>
      <c r="AA14">
        <v>60</v>
      </c>
      <c r="AB14">
        <v>64</v>
      </c>
      <c r="AC14">
        <v>55</v>
      </c>
      <c r="AD14">
        <v>3</v>
      </c>
      <c r="AE14">
        <v>123</v>
      </c>
      <c r="AF14">
        <v>93</v>
      </c>
      <c r="AG14">
        <v>72</v>
      </c>
      <c r="AH14">
        <v>90</v>
      </c>
      <c r="AI14">
        <v>5.42</v>
      </c>
    </row>
    <row r="15" spans="1:63" x14ac:dyDescent="0.5">
      <c r="A15" s="35">
        <v>2000</v>
      </c>
      <c r="B15" t="s">
        <v>150</v>
      </c>
      <c r="C15" t="s">
        <v>149</v>
      </c>
      <c r="D15">
        <v>491</v>
      </c>
      <c r="E15">
        <v>162</v>
      </c>
      <c r="F15">
        <v>10</v>
      </c>
      <c r="G15">
        <v>6</v>
      </c>
      <c r="H15">
        <v>152</v>
      </c>
      <c r="I15">
        <v>29</v>
      </c>
      <c r="J15">
        <v>1439.1</v>
      </c>
      <c r="K15">
        <v>1585</v>
      </c>
      <c r="L15">
        <v>930</v>
      </c>
      <c r="M15" s="58">
        <f t="shared" si="0"/>
        <v>2000</v>
      </c>
      <c r="N15" s="58" t="s">
        <v>64</v>
      </c>
      <c r="O15" s="58" t="str">
        <f t="shared" si="3"/>
        <v>2000 Kansas City Royals</v>
      </c>
      <c r="P15" s="58">
        <v>6443</v>
      </c>
      <c r="Q15" s="58">
        <f t="shared" si="1"/>
        <v>1010</v>
      </c>
      <c r="R15" s="58">
        <v>309</v>
      </c>
      <c r="S15" s="58">
        <v>27</v>
      </c>
      <c r="T15" s="58">
        <v>239</v>
      </c>
      <c r="U15" s="58">
        <v>693</v>
      </c>
      <c r="V15" s="58">
        <v>42</v>
      </c>
      <c r="W15" s="58">
        <f t="shared" si="2"/>
        <v>4123</v>
      </c>
      <c r="X15">
        <v>876</v>
      </c>
      <c r="Y15">
        <v>35</v>
      </c>
      <c r="Z15">
        <v>927</v>
      </c>
      <c r="AA15">
        <v>39</v>
      </c>
      <c r="AB15">
        <v>45</v>
      </c>
      <c r="AC15">
        <v>77</v>
      </c>
      <c r="AD15">
        <v>5</v>
      </c>
      <c r="AE15">
        <v>159</v>
      </c>
      <c r="AF15">
        <v>67</v>
      </c>
      <c r="AG15">
        <v>77</v>
      </c>
      <c r="AH15">
        <v>85</v>
      </c>
      <c r="AI15">
        <v>5.48</v>
      </c>
    </row>
    <row r="16" spans="1:63" x14ac:dyDescent="0.5">
      <c r="A16" s="35">
        <v>2000</v>
      </c>
      <c r="B16" t="s">
        <v>145</v>
      </c>
      <c r="C16" t="s">
        <v>38</v>
      </c>
      <c r="D16">
        <v>533</v>
      </c>
      <c r="E16">
        <v>162</v>
      </c>
      <c r="F16">
        <v>9</v>
      </c>
      <c r="G16">
        <v>11</v>
      </c>
      <c r="H16">
        <v>153</v>
      </c>
      <c r="I16">
        <v>36</v>
      </c>
      <c r="J16">
        <v>1445</v>
      </c>
      <c r="K16">
        <v>1379</v>
      </c>
      <c r="L16">
        <v>729</v>
      </c>
      <c r="M16" s="58">
        <f t="shared" si="0"/>
        <v>2000</v>
      </c>
      <c r="N16" s="58" t="s">
        <v>66</v>
      </c>
      <c r="O16" s="58" t="str">
        <f t="shared" si="3"/>
        <v>2000 Los Angeles Dodgers</v>
      </c>
      <c r="P16" s="58">
        <v>6249</v>
      </c>
      <c r="Q16" s="58">
        <f t="shared" si="1"/>
        <v>901</v>
      </c>
      <c r="R16" s="58">
        <v>283</v>
      </c>
      <c r="S16" s="58">
        <v>19</v>
      </c>
      <c r="T16" s="58">
        <v>176</v>
      </c>
      <c r="U16" s="58">
        <v>600</v>
      </c>
      <c r="V16" s="58">
        <v>75</v>
      </c>
      <c r="W16" s="58">
        <f t="shared" si="2"/>
        <v>4195</v>
      </c>
      <c r="X16">
        <v>659</v>
      </c>
      <c r="Y16">
        <v>22</v>
      </c>
      <c r="Z16">
        <v>1154</v>
      </c>
      <c r="AA16">
        <v>68</v>
      </c>
      <c r="AB16">
        <v>30</v>
      </c>
      <c r="AC16">
        <v>60</v>
      </c>
      <c r="AD16">
        <v>6</v>
      </c>
      <c r="AE16">
        <v>125</v>
      </c>
      <c r="AF16">
        <v>90</v>
      </c>
      <c r="AG16">
        <v>86</v>
      </c>
      <c r="AH16">
        <v>76</v>
      </c>
      <c r="AI16">
        <v>4.0999999999999996</v>
      </c>
    </row>
    <row r="17" spans="1:35" x14ac:dyDescent="0.5">
      <c r="A17" s="35">
        <v>2000</v>
      </c>
      <c r="B17" t="s">
        <v>69</v>
      </c>
      <c r="C17" t="s">
        <v>38</v>
      </c>
      <c r="D17">
        <v>596</v>
      </c>
      <c r="E17">
        <v>163</v>
      </c>
      <c r="F17">
        <v>2</v>
      </c>
      <c r="G17">
        <v>7</v>
      </c>
      <c r="H17">
        <v>161</v>
      </c>
      <c r="I17">
        <v>29</v>
      </c>
      <c r="J17">
        <v>1466.1</v>
      </c>
      <c r="K17">
        <v>1501</v>
      </c>
      <c r="L17">
        <v>826</v>
      </c>
      <c r="M17" s="58">
        <f t="shared" si="0"/>
        <v>2000</v>
      </c>
      <c r="N17" s="58" t="s">
        <v>68</v>
      </c>
      <c r="O17" s="58" t="str">
        <f t="shared" si="3"/>
        <v>2000 Milwaukee Brewers</v>
      </c>
      <c r="P17" s="58">
        <v>6497</v>
      </c>
      <c r="Q17" s="58">
        <f t="shared" si="1"/>
        <v>1040</v>
      </c>
      <c r="R17" s="58">
        <v>254</v>
      </c>
      <c r="S17" s="58">
        <v>33</v>
      </c>
      <c r="T17" s="58">
        <v>174</v>
      </c>
      <c r="U17" s="58">
        <v>728</v>
      </c>
      <c r="V17" s="58">
        <v>65</v>
      </c>
      <c r="W17" s="58">
        <f t="shared" si="2"/>
        <v>4203</v>
      </c>
      <c r="X17">
        <v>755</v>
      </c>
      <c r="Y17">
        <v>87</v>
      </c>
      <c r="Z17">
        <v>967</v>
      </c>
      <c r="AA17">
        <v>67</v>
      </c>
      <c r="AB17">
        <v>52</v>
      </c>
      <c r="AC17">
        <v>60</v>
      </c>
      <c r="AD17">
        <v>6</v>
      </c>
      <c r="AE17">
        <v>156</v>
      </c>
      <c r="AF17">
        <v>81</v>
      </c>
      <c r="AG17">
        <v>73</v>
      </c>
      <c r="AH17">
        <v>89</v>
      </c>
      <c r="AI17">
        <v>4.63</v>
      </c>
    </row>
    <row r="18" spans="1:35" x14ac:dyDescent="0.5">
      <c r="A18" s="35">
        <v>2000</v>
      </c>
      <c r="B18" t="s">
        <v>71</v>
      </c>
      <c r="C18" t="s">
        <v>149</v>
      </c>
      <c r="D18">
        <v>574</v>
      </c>
      <c r="E18">
        <v>162</v>
      </c>
      <c r="F18">
        <v>6</v>
      </c>
      <c r="G18">
        <v>4</v>
      </c>
      <c r="H18">
        <v>156</v>
      </c>
      <c r="I18">
        <v>35</v>
      </c>
      <c r="J18">
        <v>1432.2</v>
      </c>
      <c r="K18">
        <v>1634</v>
      </c>
      <c r="L18">
        <v>880</v>
      </c>
      <c r="M18" s="58">
        <f t="shared" si="0"/>
        <v>2000</v>
      </c>
      <c r="N18" s="58" t="s">
        <v>70</v>
      </c>
      <c r="O18" s="58" t="str">
        <f t="shared" si="3"/>
        <v>2000 Minnesota Twins</v>
      </c>
      <c r="P18" s="58">
        <v>6336</v>
      </c>
      <c r="Q18" s="58">
        <f t="shared" si="1"/>
        <v>1070</v>
      </c>
      <c r="R18" s="58">
        <v>319</v>
      </c>
      <c r="S18" s="58">
        <v>33</v>
      </c>
      <c r="T18" s="58">
        <v>212</v>
      </c>
      <c r="U18" s="58">
        <v>516</v>
      </c>
      <c r="V18" s="58">
        <v>35</v>
      </c>
      <c r="W18" s="58">
        <f t="shared" si="2"/>
        <v>4151</v>
      </c>
      <c r="X18">
        <v>821</v>
      </c>
      <c r="Y18">
        <v>12</v>
      </c>
      <c r="Z18">
        <v>1042</v>
      </c>
      <c r="AA18">
        <v>41</v>
      </c>
      <c r="AB18">
        <v>46</v>
      </c>
      <c r="AC18">
        <v>68</v>
      </c>
      <c r="AD18">
        <v>4</v>
      </c>
      <c r="AE18">
        <v>121</v>
      </c>
      <c r="AF18">
        <v>63</v>
      </c>
      <c r="AG18">
        <v>69</v>
      </c>
      <c r="AH18">
        <v>93</v>
      </c>
      <c r="AI18">
        <v>5.16</v>
      </c>
    </row>
    <row r="19" spans="1:35" x14ac:dyDescent="0.5">
      <c r="A19" s="35">
        <v>2000</v>
      </c>
      <c r="B19" t="s">
        <v>73</v>
      </c>
      <c r="C19" t="s">
        <v>38</v>
      </c>
      <c r="D19">
        <v>614</v>
      </c>
      <c r="E19">
        <v>162</v>
      </c>
      <c r="F19">
        <v>4</v>
      </c>
      <c r="G19">
        <v>7</v>
      </c>
      <c r="H19">
        <v>158</v>
      </c>
      <c r="I19">
        <v>39</v>
      </c>
      <c r="J19">
        <v>1424.2</v>
      </c>
      <c r="K19">
        <v>1575</v>
      </c>
      <c r="L19">
        <v>902</v>
      </c>
      <c r="M19" s="58">
        <f t="shared" si="0"/>
        <v>2000</v>
      </c>
      <c r="N19" s="58" t="s">
        <v>72</v>
      </c>
      <c r="O19" s="58" t="str">
        <f t="shared" si="3"/>
        <v>2000 Montreal Expos</v>
      </c>
      <c r="P19" s="58">
        <v>6340</v>
      </c>
      <c r="Q19" s="58">
        <f t="shared" si="1"/>
        <v>1047</v>
      </c>
      <c r="R19" s="58">
        <v>309</v>
      </c>
      <c r="S19" s="58">
        <v>38</v>
      </c>
      <c r="T19" s="58">
        <v>181</v>
      </c>
      <c r="U19" s="58">
        <v>579</v>
      </c>
      <c r="V19" s="58">
        <v>60</v>
      </c>
      <c r="W19" s="58">
        <f t="shared" si="2"/>
        <v>4126</v>
      </c>
      <c r="X19">
        <v>813</v>
      </c>
      <c r="Y19">
        <v>40</v>
      </c>
      <c r="Z19">
        <v>1011</v>
      </c>
      <c r="AA19">
        <v>66</v>
      </c>
      <c r="AB19">
        <v>58</v>
      </c>
      <c r="AC19">
        <v>55</v>
      </c>
      <c r="AD19">
        <v>7</v>
      </c>
      <c r="AE19">
        <v>128</v>
      </c>
      <c r="AF19">
        <v>86</v>
      </c>
      <c r="AG19">
        <v>67</v>
      </c>
      <c r="AH19">
        <v>95</v>
      </c>
      <c r="AI19">
        <v>5.14</v>
      </c>
    </row>
    <row r="20" spans="1:35" x14ac:dyDescent="0.5">
      <c r="A20" s="35">
        <v>2000</v>
      </c>
      <c r="B20" t="s">
        <v>144</v>
      </c>
      <c r="C20" t="s">
        <v>38</v>
      </c>
      <c r="D20">
        <v>573</v>
      </c>
      <c r="E20">
        <v>162</v>
      </c>
      <c r="F20">
        <v>8</v>
      </c>
      <c r="G20">
        <v>10</v>
      </c>
      <c r="H20">
        <v>154</v>
      </c>
      <c r="I20">
        <v>49</v>
      </c>
      <c r="J20">
        <v>1450</v>
      </c>
      <c r="K20">
        <v>1398</v>
      </c>
      <c r="L20">
        <v>738</v>
      </c>
      <c r="M20" s="58">
        <f t="shared" si="0"/>
        <v>2000</v>
      </c>
      <c r="N20" s="58" t="s">
        <v>76</v>
      </c>
      <c r="O20" s="58" t="str">
        <f t="shared" si="3"/>
        <v>2000 New York Mets</v>
      </c>
      <c r="P20" s="58">
        <v>6276</v>
      </c>
      <c r="Q20" s="58">
        <f t="shared" si="1"/>
        <v>919</v>
      </c>
      <c r="R20" s="58">
        <v>286</v>
      </c>
      <c r="S20" s="58">
        <v>29</v>
      </c>
      <c r="T20" s="58">
        <v>164</v>
      </c>
      <c r="U20" s="58">
        <v>574</v>
      </c>
      <c r="V20" s="58">
        <v>60</v>
      </c>
      <c r="W20" s="58">
        <f t="shared" si="2"/>
        <v>4244</v>
      </c>
      <c r="X20">
        <v>670</v>
      </c>
      <c r="Y20">
        <v>42</v>
      </c>
      <c r="Z20">
        <v>1164</v>
      </c>
      <c r="AA20">
        <v>56</v>
      </c>
      <c r="AB20">
        <v>46</v>
      </c>
      <c r="AC20">
        <v>34</v>
      </c>
      <c r="AD20">
        <v>7</v>
      </c>
      <c r="AE20">
        <v>97</v>
      </c>
      <c r="AF20">
        <v>80</v>
      </c>
      <c r="AG20">
        <v>94</v>
      </c>
      <c r="AH20">
        <v>68</v>
      </c>
      <c r="AI20">
        <v>4.16</v>
      </c>
    </row>
    <row r="21" spans="1:35" x14ac:dyDescent="0.5">
      <c r="A21" s="35">
        <v>2000</v>
      </c>
      <c r="B21" t="s">
        <v>144</v>
      </c>
      <c r="C21" t="s">
        <v>149</v>
      </c>
      <c r="D21">
        <v>543</v>
      </c>
      <c r="E21">
        <v>161</v>
      </c>
      <c r="F21">
        <v>9</v>
      </c>
      <c r="G21">
        <v>6</v>
      </c>
      <c r="H21">
        <v>152</v>
      </c>
      <c r="I21">
        <v>40</v>
      </c>
      <c r="J21">
        <v>1424.1</v>
      </c>
      <c r="K21">
        <v>1458</v>
      </c>
      <c r="L21">
        <v>814</v>
      </c>
      <c r="M21" s="58">
        <f t="shared" si="0"/>
        <v>2000</v>
      </c>
      <c r="N21" s="58" t="s">
        <v>74</v>
      </c>
      <c r="O21" s="58" t="str">
        <f t="shared" si="3"/>
        <v>2000 New York Yankees</v>
      </c>
      <c r="P21" s="58">
        <v>6256</v>
      </c>
      <c r="Q21" s="58">
        <f t="shared" si="1"/>
        <v>960</v>
      </c>
      <c r="R21" s="58">
        <v>296</v>
      </c>
      <c r="S21" s="58">
        <v>25</v>
      </c>
      <c r="T21" s="58">
        <v>177</v>
      </c>
      <c r="U21" s="58">
        <v>577</v>
      </c>
      <c r="V21" s="58">
        <v>52</v>
      </c>
      <c r="W21" s="58">
        <f t="shared" si="2"/>
        <v>4169</v>
      </c>
      <c r="X21">
        <v>753</v>
      </c>
      <c r="Y21">
        <v>23</v>
      </c>
      <c r="Z21">
        <v>1040</v>
      </c>
      <c r="AA21">
        <v>45</v>
      </c>
      <c r="AB21">
        <v>48</v>
      </c>
      <c r="AC21">
        <v>49</v>
      </c>
      <c r="AD21">
        <v>6</v>
      </c>
      <c r="AE21">
        <v>109</v>
      </c>
      <c r="AF21">
        <v>85</v>
      </c>
      <c r="AG21">
        <v>87</v>
      </c>
      <c r="AH21">
        <v>74</v>
      </c>
      <c r="AI21">
        <v>4.76</v>
      </c>
    </row>
    <row r="22" spans="1:35" x14ac:dyDescent="0.5">
      <c r="A22" s="35">
        <v>2000</v>
      </c>
      <c r="B22" t="s">
        <v>79</v>
      </c>
      <c r="C22" t="s">
        <v>149</v>
      </c>
      <c r="D22">
        <v>542</v>
      </c>
      <c r="E22">
        <v>161</v>
      </c>
      <c r="F22">
        <v>7</v>
      </c>
      <c r="G22">
        <v>11</v>
      </c>
      <c r="H22">
        <v>154</v>
      </c>
      <c r="I22">
        <v>43</v>
      </c>
      <c r="J22">
        <v>1435.1</v>
      </c>
      <c r="K22">
        <v>1535</v>
      </c>
      <c r="L22">
        <v>813</v>
      </c>
      <c r="M22" s="58">
        <f t="shared" si="0"/>
        <v>2000</v>
      </c>
      <c r="N22" s="58" t="s">
        <v>78</v>
      </c>
      <c r="O22" s="58" t="str">
        <f t="shared" si="3"/>
        <v>2000 Oakland Athletics</v>
      </c>
      <c r="P22" s="58">
        <v>6355</v>
      </c>
      <c r="Q22" s="58">
        <f t="shared" si="1"/>
        <v>1043</v>
      </c>
      <c r="R22" s="58">
        <v>308</v>
      </c>
      <c r="S22" s="58">
        <v>26</v>
      </c>
      <c r="T22" s="58">
        <v>158</v>
      </c>
      <c r="U22" s="58">
        <v>615</v>
      </c>
      <c r="V22" s="58">
        <v>48</v>
      </c>
      <c r="W22" s="58">
        <f t="shared" si="2"/>
        <v>4157</v>
      </c>
      <c r="X22">
        <v>730</v>
      </c>
      <c r="Y22">
        <v>57</v>
      </c>
      <c r="Z22">
        <v>963</v>
      </c>
      <c r="AA22">
        <v>35</v>
      </c>
      <c r="AB22">
        <v>51</v>
      </c>
      <c r="AC22">
        <v>46</v>
      </c>
      <c r="AD22">
        <v>1</v>
      </c>
      <c r="AE22">
        <v>139</v>
      </c>
      <c r="AF22">
        <v>74</v>
      </c>
      <c r="AG22">
        <v>91</v>
      </c>
      <c r="AH22">
        <v>70</v>
      </c>
      <c r="AI22">
        <v>4.58</v>
      </c>
    </row>
    <row r="23" spans="1:35" x14ac:dyDescent="0.5">
      <c r="A23" s="35">
        <v>2000</v>
      </c>
      <c r="B23" t="s">
        <v>81</v>
      </c>
      <c r="C23" t="s">
        <v>38</v>
      </c>
      <c r="D23">
        <v>576</v>
      </c>
      <c r="E23">
        <v>162</v>
      </c>
      <c r="F23">
        <v>8</v>
      </c>
      <c r="G23">
        <v>6</v>
      </c>
      <c r="H23">
        <v>154</v>
      </c>
      <c r="I23">
        <v>34</v>
      </c>
      <c r="J23">
        <v>1438.2</v>
      </c>
      <c r="K23">
        <v>1458</v>
      </c>
      <c r="L23">
        <v>830</v>
      </c>
      <c r="M23" s="58">
        <f t="shared" si="0"/>
        <v>2000</v>
      </c>
      <c r="N23" s="58" t="s">
        <v>80</v>
      </c>
      <c r="O23" s="58" t="str">
        <f t="shared" si="3"/>
        <v>2000 Philadelphia Phillies</v>
      </c>
      <c r="P23" s="58">
        <v>6314</v>
      </c>
      <c r="Q23" s="58">
        <f t="shared" si="1"/>
        <v>887</v>
      </c>
      <c r="R23" s="58">
        <v>337</v>
      </c>
      <c r="S23" s="58">
        <v>33</v>
      </c>
      <c r="T23" s="58">
        <v>201</v>
      </c>
      <c r="U23" s="58">
        <v>640</v>
      </c>
      <c r="V23" s="58">
        <v>42</v>
      </c>
      <c r="W23" s="58">
        <f t="shared" si="2"/>
        <v>4174</v>
      </c>
      <c r="X23">
        <v>763</v>
      </c>
      <c r="Y23">
        <v>32</v>
      </c>
      <c r="Z23">
        <v>1123</v>
      </c>
      <c r="AA23">
        <v>74</v>
      </c>
      <c r="AB23">
        <v>53</v>
      </c>
      <c r="AC23">
        <v>54</v>
      </c>
      <c r="AD23">
        <v>3</v>
      </c>
      <c r="AE23">
        <v>111</v>
      </c>
      <c r="AF23">
        <v>67</v>
      </c>
      <c r="AG23">
        <v>65</v>
      </c>
      <c r="AH23">
        <v>97</v>
      </c>
      <c r="AI23">
        <v>4.7699999999999996</v>
      </c>
    </row>
    <row r="24" spans="1:35" x14ac:dyDescent="0.5">
      <c r="A24" s="35">
        <v>2000</v>
      </c>
      <c r="B24" t="s">
        <v>83</v>
      </c>
      <c r="C24" t="s">
        <v>38</v>
      </c>
      <c r="D24">
        <v>628</v>
      </c>
      <c r="E24">
        <v>162</v>
      </c>
      <c r="F24">
        <v>5</v>
      </c>
      <c r="G24">
        <v>7</v>
      </c>
      <c r="H24">
        <v>157</v>
      </c>
      <c r="I24">
        <v>27</v>
      </c>
      <c r="J24">
        <v>1449</v>
      </c>
      <c r="K24">
        <v>1554</v>
      </c>
      <c r="L24">
        <v>888</v>
      </c>
      <c r="M24" s="58">
        <f t="shared" si="0"/>
        <v>2000</v>
      </c>
      <c r="N24" s="58" t="s">
        <v>82</v>
      </c>
      <c r="O24" s="58" t="str">
        <f t="shared" si="3"/>
        <v>2000 Pittsburgh Pirates</v>
      </c>
      <c r="P24" s="58">
        <v>6514</v>
      </c>
      <c r="Q24" s="58">
        <f t="shared" si="1"/>
        <v>1043</v>
      </c>
      <c r="R24" s="58">
        <v>313</v>
      </c>
      <c r="S24" s="58">
        <v>35</v>
      </c>
      <c r="T24" s="58">
        <v>163</v>
      </c>
      <c r="U24" s="58">
        <v>711</v>
      </c>
      <c r="V24" s="58">
        <v>60</v>
      </c>
      <c r="W24" s="58">
        <f t="shared" si="2"/>
        <v>4189</v>
      </c>
      <c r="X24">
        <v>795</v>
      </c>
      <c r="Y24">
        <v>61</v>
      </c>
      <c r="Z24">
        <v>1070</v>
      </c>
      <c r="AA24">
        <v>70</v>
      </c>
      <c r="AB24">
        <v>55</v>
      </c>
      <c r="AC24">
        <v>67</v>
      </c>
      <c r="AD24">
        <v>6</v>
      </c>
      <c r="AE24">
        <v>146</v>
      </c>
      <c r="AF24">
        <v>91</v>
      </c>
      <c r="AG24">
        <v>69</v>
      </c>
      <c r="AH24">
        <v>93</v>
      </c>
      <c r="AI24">
        <v>4.9400000000000004</v>
      </c>
    </row>
    <row r="25" spans="1:35" x14ac:dyDescent="0.5">
      <c r="A25" s="35">
        <v>2000</v>
      </c>
      <c r="B25" t="s">
        <v>147</v>
      </c>
      <c r="C25" t="s">
        <v>38</v>
      </c>
      <c r="D25">
        <v>605</v>
      </c>
      <c r="E25">
        <v>162</v>
      </c>
      <c r="F25">
        <v>5</v>
      </c>
      <c r="G25">
        <v>5</v>
      </c>
      <c r="H25">
        <v>157</v>
      </c>
      <c r="I25">
        <v>46</v>
      </c>
      <c r="J25">
        <v>1459.1</v>
      </c>
      <c r="K25">
        <v>1443</v>
      </c>
      <c r="L25">
        <v>815</v>
      </c>
      <c r="M25" s="58">
        <f t="shared" si="0"/>
        <v>2000</v>
      </c>
      <c r="N25" s="58" t="s">
        <v>84</v>
      </c>
      <c r="O25" s="58" t="str">
        <f t="shared" si="3"/>
        <v>2000 San Diego Padres</v>
      </c>
      <c r="P25" s="58">
        <v>6414</v>
      </c>
      <c r="Q25" s="58">
        <f t="shared" si="1"/>
        <v>965</v>
      </c>
      <c r="R25" s="58">
        <v>260</v>
      </c>
      <c r="S25" s="58">
        <v>27</v>
      </c>
      <c r="T25" s="58">
        <v>191</v>
      </c>
      <c r="U25" s="58">
        <v>649</v>
      </c>
      <c r="V25" s="58">
        <v>68</v>
      </c>
      <c r="W25" s="58">
        <f t="shared" si="2"/>
        <v>4254</v>
      </c>
      <c r="X25">
        <v>733</v>
      </c>
      <c r="Y25">
        <v>50</v>
      </c>
      <c r="Z25">
        <v>1071</v>
      </c>
      <c r="AA25">
        <v>59</v>
      </c>
      <c r="AB25">
        <v>41</v>
      </c>
      <c r="AC25">
        <v>66</v>
      </c>
      <c r="AD25">
        <v>7</v>
      </c>
      <c r="AE25">
        <v>124</v>
      </c>
      <c r="AF25">
        <v>108</v>
      </c>
      <c r="AG25">
        <v>76</v>
      </c>
      <c r="AH25">
        <v>86</v>
      </c>
      <c r="AI25">
        <v>4.5199999999999996</v>
      </c>
    </row>
    <row r="26" spans="1:35" x14ac:dyDescent="0.5">
      <c r="A26" s="35">
        <v>2000</v>
      </c>
      <c r="B26" t="s">
        <v>87</v>
      </c>
      <c r="C26" t="s">
        <v>149</v>
      </c>
      <c r="D26">
        <v>545</v>
      </c>
      <c r="E26">
        <v>162</v>
      </c>
      <c r="F26">
        <v>4</v>
      </c>
      <c r="G26">
        <v>10</v>
      </c>
      <c r="H26">
        <v>158</v>
      </c>
      <c r="I26">
        <v>44</v>
      </c>
      <c r="J26">
        <v>1441.2</v>
      </c>
      <c r="K26">
        <v>1442</v>
      </c>
      <c r="L26">
        <v>780</v>
      </c>
      <c r="M26" s="58">
        <f t="shared" si="0"/>
        <v>2000</v>
      </c>
      <c r="N26" s="58" t="s">
        <v>86</v>
      </c>
      <c r="O26" s="58" t="str">
        <f t="shared" si="3"/>
        <v>2000 Seattle Mariners</v>
      </c>
      <c r="P26" s="58">
        <v>6269</v>
      </c>
      <c r="Q26" s="58">
        <f t="shared" si="1"/>
        <v>957</v>
      </c>
      <c r="R26" s="58">
        <v>292</v>
      </c>
      <c r="S26" s="58">
        <v>26</v>
      </c>
      <c r="T26" s="58">
        <v>167</v>
      </c>
      <c r="U26" s="58">
        <v>634</v>
      </c>
      <c r="V26" s="58">
        <v>38</v>
      </c>
      <c r="W26" s="58">
        <f t="shared" si="2"/>
        <v>4155</v>
      </c>
      <c r="X26">
        <v>720</v>
      </c>
      <c r="Y26">
        <v>37</v>
      </c>
      <c r="Z26">
        <v>998</v>
      </c>
      <c r="AA26">
        <v>39</v>
      </c>
      <c r="AB26">
        <v>55</v>
      </c>
      <c r="AC26">
        <v>43</v>
      </c>
      <c r="AD26">
        <v>6</v>
      </c>
      <c r="AE26">
        <v>154</v>
      </c>
      <c r="AF26">
        <v>64</v>
      </c>
      <c r="AG26">
        <v>91</v>
      </c>
      <c r="AH26">
        <v>71</v>
      </c>
      <c r="AI26">
        <v>4.49</v>
      </c>
    </row>
    <row r="27" spans="1:35" x14ac:dyDescent="0.5">
      <c r="A27" s="35">
        <v>2000</v>
      </c>
      <c r="B27" t="s">
        <v>21</v>
      </c>
      <c r="C27" t="s">
        <v>38</v>
      </c>
      <c r="D27">
        <v>546</v>
      </c>
      <c r="E27">
        <v>162</v>
      </c>
      <c r="F27">
        <v>9</v>
      </c>
      <c r="G27">
        <v>15</v>
      </c>
      <c r="H27">
        <v>153</v>
      </c>
      <c r="I27">
        <v>47</v>
      </c>
      <c r="J27">
        <v>1444.1</v>
      </c>
      <c r="K27">
        <v>1452</v>
      </c>
      <c r="L27">
        <v>747</v>
      </c>
      <c r="M27" s="58">
        <f t="shared" si="0"/>
        <v>2000</v>
      </c>
      <c r="N27" s="58" t="s">
        <v>88</v>
      </c>
      <c r="O27" s="58" t="str">
        <f t="shared" si="3"/>
        <v>2000 San Francisco Giants</v>
      </c>
      <c r="P27" s="58">
        <v>6270</v>
      </c>
      <c r="Q27" s="58">
        <f t="shared" si="1"/>
        <v>997</v>
      </c>
      <c r="R27" s="58">
        <v>265</v>
      </c>
      <c r="S27" s="58">
        <v>39</v>
      </c>
      <c r="T27" s="58">
        <v>151</v>
      </c>
      <c r="U27" s="58">
        <v>623</v>
      </c>
      <c r="V27" s="58">
        <v>41</v>
      </c>
      <c r="W27" s="58">
        <f t="shared" si="2"/>
        <v>4154</v>
      </c>
      <c r="X27">
        <v>675</v>
      </c>
      <c r="Y27">
        <v>26</v>
      </c>
      <c r="Z27">
        <v>1076</v>
      </c>
      <c r="AA27">
        <v>85</v>
      </c>
      <c r="AB27">
        <v>63</v>
      </c>
      <c r="AC27">
        <v>43</v>
      </c>
      <c r="AD27">
        <v>4</v>
      </c>
      <c r="AE27">
        <v>138</v>
      </c>
      <c r="AF27">
        <v>58</v>
      </c>
      <c r="AG27">
        <v>97</v>
      </c>
      <c r="AH27">
        <v>65</v>
      </c>
      <c r="AI27">
        <v>4.21</v>
      </c>
    </row>
    <row r="28" spans="1:35" x14ac:dyDescent="0.5">
      <c r="A28" s="35">
        <v>2000</v>
      </c>
      <c r="B28" t="s">
        <v>142</v>
      </c>
      <c r="C28" t="s">
        <v>38</v>
      </c>
      <c r="D28">
        <v>548</v>
      </c>
      <c r="E28">
        <v>162</v>
      </c>
      <c r="F28">
        <v>10</v>
      </c>
      <c r="G28">
        <v>7</v>
      </c>
      <c r="H28">
        <v>152</v>
      </c>
      <c r="I28">
        <v>37</v>
      </c>
      <c r="J28">
        <v>1433.2</v>
      </c>
      <c r="K28">
        <v>1403</v>
      </c>
      <c r="L28">
        <v>771</v>
      </c>
      <c r="M28" s="58">
        <f t="shared" si="0"/>
        <v>2000</v>
      </c>
      <c r="N28" s="58" t="s">
        <v>90</v>
      </c>
      <c r="O28" s="58" t="str">
        <f t="shared" si="3"/>
        <v>2000 St. Louis Cardinals</v>
      </c>
      <c r="P28" s="58">
        <v>6200</v>
      </c>
      <c r="Q28" s="58">
        <f t="shared" si="1"/>
        <v>880</v>
      </c>
      <c r="R28" s="58">
        <v>299</v>
      </c>
      <c r="S28" s="58">
        <v>28</v>
      </c>
      <c r="T28" s="58">
        <v>196</v>
      </c>
      <c r="U28" s="58">
        <v>606</v>
      </c>
      <c r="V28" s="58">
        <v>62</v>
      </c>
      <c r="W28" s="58">
        <f t="shared" si="2"/>
        <v>4129</v>
      </c>
      <c r="X28">
        <v>698</v>
      </c>
      <c r="Y28">
        <v>28</v>
      </c>
      <c r="Z28">
        <v>1100</v>
      </c>
      <c r="AA28">
        <v>69</v>
      </c>
      <c r="AB28">
        <v>52</v>
      </c>
      <c r="AC28">
        <v>49</v>
      </c>
      <c r="AD28">
        <v>9</v>
      </c>
      <c r="AE28">
        <v>120</v>
      </c>
      <c r="AF28">
        <v>63</v>
      </c>
      <c r="AG28">
        <v>95</v>
      </c>
      <c r="AH28">
        <v>67</v>
      </c>
      <c r="AI28">
        <v>4.38</v>
      </c>
    </row>
    <row r="29" spans="1:35" x14ac:dyDescent="0.5">
      <c r="A29" s="35">
        <v>2000</v>
      </c>
      <c r="B29" t="s">
        <v>151</v>
      </c>
      <c r="C29" t="s">
        <v>149</v>
      </c>
      <c r="D29">
        <v>562</v>
      </c>
      <c r="E29">
        <v>161</v>
      </c>
      <c r="F29">
        <v>10</v>
      </c>
      <c r="G29">
        <v>8</v>
      </c>
      <c r="H29">
        <v>151</v>
      </c>
      <c r="I29">
        <v>38</v>
      </c>
      <c r="J29">
        <v>1431.1</v>
      </c>
      <c r="K29">
        <v>1553</v>
      </c>
      <c r="L29">
        <v>842</v>
      </c>
      <c r="M29" s="58">
        <f t="shared" si="0"/>
        <v>2000</v>
      </c>
      <c r="N29" s="58" t="s">
        <v>92</v>
      </c>
      <c r="O29" s="58" t="str">
        <f t="shared" si="3"/>
        <v>2000 Tampa Bay Devil Rays</v>
      </c>
      <c r="P29" s="58">
        <v>6283</v>
      </c>
      <c r="Q29" s="58">
        <f t="shared" si="1"/>
        <v>1012</v>
      </c>
      <c r="R29" s="58">
        <v>307</v>
      </c>
      <c r="S29" s="58">
        <v>36</v>
      </c>
      <c r="T29" s="58">
        <v>198</v>
      </c>
      <c r="U29" s="58">
        <v>533</v>
      </c>
      <c r="V29" s="58">
        <v>66</v>
      </c>
      <c r="W29" s="58">
        <f t="shared" si="2"/>
        <v>4131</v>
      </c>
      <c r="X29">
        <v>773</v>
      </c>
      <c r="Y29">
        <v>33</v>
      </c>
      <c r="Z29">
        <v>955</v>
      </c>
      <c r="AA29">
        <v>42</v>
      </c>
      <c r="AB29">
        <v>45</v>
      </c>
      <c r="AC29">
        <v>57</v>
      </c>
      <c r="AD29">
        <v>3</v>
      </c>
      <c r="AE29">
        <v>136</v>
      </c>
      <c r="AF29">
        <v>80</v>
      </c>
      <c r="AG29">
        <v>69</v>
      </c>
      <c r="AH29">
        <v>92</v>
      </c>
      <c r="AI29">
        <v>4.8600000000000003</v>
      </c>
    </row>
    <row r="30" spans="1:35" x14ac:dyDescent="0.5">
      <c r="A30" s="35">
        <v>2000</v>
      </c>
      <c r="B30" t="s">
        <v>95</v>
      </c>
      <c r="C30" t="s">
        <v>149</v>
      </c>
      <c r="D30">
        <v>577</v>
      </c>
      <c r="E30">
        <v>162</v>
      </c>
      <c r="F30">
        <v>3</v>
      </c>
      <c r="G30">
        <v>4</v>
      </c>
      <c r="H30">
        <v>159</v>
      </c>
      <c r="I30">
        <v>39</v>
      </c>
      <c r="J30">
        <v>1429</v>
      </c>
      <c r="K30">
        <v>1683</v>
      </c>
      <c r="L30">
        <v>974</v>
      </c>
      <c r="M30" s="58">
        <f t="shared" si="0"/>
        <v>2000</v>
      </c>
      <c r="N30" s="58" t="s">
        <v>94</v>
      </c>
      <c r="O30" s="58" t="str">
        <f t="shared" si="3"/>
        <v>2000 Texas Rangers</v>
      </c>
      <c r="P30" s="58">
        <v>6559</v>
      </c>
      <c r="Q30" s="58">
        <f t="shared" si="1"/>
        <v>1080</v>
      </c>
      <c r="R30" s="58">
        <v>367</v>
      </c>
      <c r="S30" s="58">
        <v>34</v>
      </c>
      <c r="T30" s="58">
        <v>202</v>
      </c>
      <c r="U30" s="58">
        <v>661</v>
      </c>
      <c r="V30" s="58">
        <v>63</v>
      </c>
      <c r="W30" s="58">
        <f t="shared" si="2"/>
        <v>4152</v>
      </c>
      <c r="X30">
        <v>876</v>
      </c>
      <c r="Y30">
        <v>40</v>
      </c>
      <c r="Z30">
        <v>918</v>
      </c>
      <c r="AA30">
        <v>42</v>
      </c>
      <c r="AB30">
        <v>62</v>
      </c>
      <c r="AC30">
        <v>40</v>
      </c>
      <c r="AD30">
        <v>6</v>
      </c>
      <c r="AE30">
        <v>132</v>
      </c>
      <c r="AF30">
        <v>91</v>
      </c>
      <c r="AG30">
        <v>71</v>
      </c>
      <c r="AH30">
        <v>91</v>
      </c>
      <c r="AI30">
        <v>5.52</v>
      </c>
    </row>
    <row r="31" spans="1:35" x14ac:dyDescent="0.5">
      <c r="A31" s="35">
        <v>2000</v>
      </c>
      <c r="B31" t="s">
        <v>97</v>
      </c>
      <c r="C31" t="s">
        <v>149</v>
      </c>
      <c r="D31">
        <v>550</v>
      </c>
      <c r="E31">
        <v>162</v>
      </c>
      <c r="F31">
        <v>15</v>
      </c>
      <c r="G31">
        <v>4</v>
      </c>
      <c r="H31">
        <v>147</v>
      </c>
      <c r="I31">
        <v>37</v>
      </c>
      <c r="J31">
        <v>1437.1</v>
      </c>
      <c r="K31">
        <v>1615</v>
      </c>
      <c r="L31">
        <v>908</v>
      </c>
      <c r="M31" s="58">
        <f t="shared" si="0"/>
        <v>2000</v>
      </c>
      <c r="N31" s="58" t="s">
        <v>96</v>
      </c>
      <c r="O31" s="58" t="str">
        <f t="shared" si="3"/>
        <v>2000 Toronto Blue Jays</v>
      </c>
      <c r="P31" s="58">
        <v>6377</v>
      </c>
      <c r="Q31" s="58">
        <f t="shared" si="1"/>
        <v>1059</v>
      </c>
      <c r="R31" s="58">
        <v>338</v>
      </c>
      <c r="S31" s="58">
        <v>23</v>
      </c>
      <c r="T31" s="58">
        <v>195</v>
      </c>
      <c r="U31" s="58">
        <v>560</v>
      </c>
      <c r="V31" s="58">
        <v>64</v>
      </c>
      <c r="W31" s="58">
        <f t="shared" si="2"/>
        <v>4138</v>
      </c>
      <c r="X31">
        <v>823</v>
      </c>
      <c r="Y31">
        <v>19</v>
      </c>
      <c r="Z31">
        <v>978</v>
      </c>
      <c r="AA31">
        <v>44</v>
      </c>
      <c r="AB31">
        <v>40</v>
      </c>
      <c r="AC31">
        <v>37</v>
      </c>
      <c r="AD31">
        <v>3</v>
      </c>
      <c r="AE31">
        <v>142</v>
      </c>
      <c r="AF31">
        <v>66</v>
      </c>
      <c r="AG31">
        <v>83</v>
      </c>
      <c r="AH31">
        <v>79</v>
      </c>
      <c r="AI31">
        <v>5.15</v>
      </c>
    </row>
    <row r="32" spans="1:35" x14ac:dyDescent="0.5">
      <c r="A32" s="35">
        <v>2001</v>
      </c>
      <c r="B32" t="s">
        <v>37</v>
      </c>
      <c r="C32" t="s">
        <v>149</v>
      </c>
      <c r="D32">
        <v>546</v>
      </c>
      <c r="E32">
        <v>162</v>
      </c>
      <c r="F32">
        <v>6</v>
      </c>
      <c r="G32">
        <v>1</v>
      </c>
      <c r="H32">
        <v>156</v>
      </c>
      <c r="I32">
        <v>43</v>
      </c>
      <c r="J32">
        <v>1437.2</v>
      </c>
      <c r="K32">
        <v>1452</v>
      </c>
      <c r="L32">
        <v>730</v>
      </c>
      <c r="M32" s="58">
        <f t="shared" si="0"/>
        <v>2001</v>
      </c>
      <c r="N32" s="58" t="s">
        <v>36</v>
      </c>
      <c r="O32" s="58" t="str">
        <f t="shared" si="3"/>
        <v>2001 Anaheim Angels</v>
      </c>
      <c r="P32" s="58">
        <v>6195</v>
      </c>
      <c r="Q32" s="58">
        <f t="shared" si="1"/>
        <v>980</v>
      </c>
      <c r="R32" s="58">
        <v>285</v>
      </c>
      <c r="S32" s="58">
        <v>19</v>
      </c>
      <c r="T32" s="58">
        <v>168</v>
      </c>
      <c r="U32" s="58">
        <v>525</v>
      </c>
      <c r="V32" s="58">
        <v>64</v>
      </c>
      <c r="W32" s="58">
        <f t="shared" si="2"/>
        <v>4154</v>
      </c>
      <c r="X32">
        <v>671</v>
      </c>
      <c r="Y32">
        <v>47</v>
      </c>
      <c r="Z32">
        <v>947</v>
      </c>
      <c r="AA32">
        <v>37</v>
      </c>
      <c r="AB32">
        <v>39</v>
      </c>
      <c r="AC32">
        <v>46</v>
      </c>
      <c r="AD32">
        <v>2</v>
      </c>
      <c r="AE32">
        <v>112</v>
      </c>
      <c r="AF32">
        <v>76</v>
      </c>
      <c r="AG32">
        <v>75</v>
      </c>
      <c r="AH32">
        <v>87</v>
      </c>
      <c r="AI32">
        <v>4.2</v>
      </c>
    </row>
    <row r="33" spans="1:35" x14ac:dyDescent="0.5">
      <c r="A33" s="35">
        <v>2001</v>
      </c>
      <c r="B33" t="s">
        <v>40</v>
      </c>
      <c r="C33" t="s">
        <v>38</v>
      </c>
      <c r="D33">
        <v>583</v>
      </c>
      <c r="E33">
        <v>162</v>
      </c>
      <c r="F33">
        <v>12</v>
      </c>
      <c r="G33">
        <v>13</v>
      </c>
      <c r="H33">
        <v>150</v>
      </c>
      <c r="I33">
        <v>34</v>
      </c>
      <c r="J33">
        <v>1459.2</v>
      </c>
      <c r="K33">
        <v>1352</v>
      </c>
      <c r="L33">
        <v>677</v>
      </c>
      <c r="M33" s="58">
        <f t="shared" si="0"/>
        <v>2001</v>
      </c>
      <c r="N33" s="58" t="s">
        <v>39</v>
      </c>
      <c r="O33" s="58" t="str">
        <f t="shared" si="3"/>
        <v>2001 Arizona Diamondbacks</v>
      </c>
      <c r="P33" s="58">
        <v>6090</v>
      </c>
      <c r="Q33" s="58">
        <f t="shared" si="1"/>
        <v>907</v>
      </c>
      <c r="R33" s="58">
        <v>228</v>
      </c>
      <c r="S33" s="58">
        <v>22</v>
      </c>
      <c r="T33" s="58">
        <v>195</v>
      </c>
      <c r="U33" s="58">
        <v>461</v>
      </c>
      <c r="V33" s="58">
        <v>59</v>
      </c>
      <c r="W33" s="58">
        <f t="shared" si="2"/>
        <v>4218</v>
      </c>
      <c r="X33">
        <v>627</v>
      </c>
      <c r="Y33">
        <v>30</v>
      </c>
      <c r="Z33">
        <v>1297</v>
      </c>
      <c r="AA33">
        <v>64</v>
      </c>
      <c r="AB33">
        <v>41</v>
      </c>
      <c r="AC33">
        <v>45</v>
      </c>
      <c r="AD33">
        <v>6</v>
      </c>
      <c r="AE33">
        <v>120</v>
      </c>
      <c r="AF33">
        <v>62</v>
      </c>
      <c r="AG33">
        <v>92</v>
      </c>
      <c r="AH33">
        <v>70</v>
      </c>
      <c r="AI33">
        <v>3.87</v>
      </c>
    </row>
    <row r="34" spans="1:35" x14ac:dyDescent="0.5">
      <c r="A34" s="35">
        <v>2001</v>
      </c>
      <c r="B34" s="36" t="s">
        <v>42</v>
      </c>
      <c r="C34" t="s">
        <v>38</v>
      </c>
      <c r="D34">
        <v>573</v>
      </c>
      <c r="E34">
        <v>162</v>
      </c>
      <c r="F34">
        <v>5</v>
      </c>
      <c r="G34">
        <v>13</v>
      </c>
      <c r="H34">
        <v>157</v>
      </c>
      <c r="I34">
        <v>41</v>
      </c>
      <c r="J34">
        <v>1447.1</v>
      </c>
      <c r="K34">
        <v>1363</v>
      </c>
      <c r="L34">
        <v>643</v>
      </c>
      <c r="M34" s="58">
        <f t="shared" si="0"/>
        <v>2001</v>
      </c>
      <c r="N34" s="58" t="s">
        <v>41</v>
      </c>
      <c r="O34" s="58" t="str">
        <f t="shared" si="3"/>
        <v>2001 Atlanta Braves</v>
      </c>
      <c r="P34" s="58">
        <v>6089</v>
      </c>
      <c r="Q34" s="58">
        <f t="shared" si="1"/>
        <v>960</v>
      </c>
      <c r="R34" s="58">
        <v>228</v>
      </c>
      <c r="S34" s="58">
        <v>22</v>
      </c>
      <c r="T34" s="58">
        <v>153</v>
      </c>
      <c r="U34" s="58">
        <v>499</v>
      </c>
      <c r="V34" s="58">
        <v>33</v>
      </c>
      <c r="W34" s="58">
        <f t="shared" si="2"/>
        <v>4194</v>
      </c>
      <c r="X34">
        <v>578</v>
      </c>
      <c r="Y34">
        <v>77</v>
      </c>
      <c r="Z34">
        <v>1133</v>
      </c>
      <c r="AA34">
        <v>53</v>
      </c>
      <c r="AB34">
        <v>54</v>
      </c>
      <c r="AC34">
        <v>41</v>
      </c>
      <c r="AD34">
        <v>8</v>
      </c>
      <c r="AE34">
        <v>107</v>
      </c>
      <c r="AF34">
        <v>65</v>
      </c>
      <c r="AG34">
        <v>88</v>
      </c>
      <c r="AH34">
        <v>74</v>
      </c>
      <c r="AI34">
        <v>3.59</v>
      </c>
    </row>
    <row r="35" spans="1:35" x14ac:dyDescent="0.5">
      <c r="A35" s="35">
        <v>2001</v>
      </c>
      <c r="B35" t="s">
        <v>45</v>
      </c>
      <c r="C35" t="s">
        <v>149</v>
      </c>
      <c r="D35">
        <v>554</v>
      </c>
      <c r="E35">
        <v>162</v>
      </c>
      <c r="F35">
        <v>10</v>
      </c>
      <c r="G35">
        <v>6</v>
      </c>
      <c r="H35">
        <v>152</v>
      </c>
      <c r="I35">
        <v>31</v>
      </c>
      <c r="J35">
        <v>1432.1</v>
      </c>
      <c r="K35">
        <v>1504</v>
      </c>
      <c r="L35">
        <v>829</v>
      </c>
      <c r="M35" s="58">
        <f t="shared" si="0"/>
        <v>2001</v>
      </c>
      <c r="N35" s="58" t="s">
        <v>44</v>
      </c>
      <c r="O35" s="58" t="str">
        <f t="shared" si="3"/>
        <v>2001 Baltimore Orioles</v>
      </c>
      <c r="P35" s="58">
        <v>6273</v>
      </c>
      <c r="Q35" s="58">
        <f t="shared" si="1"/>
        <v>965</v>
      </c>
      <c r="R35" s="58">
        <v>316</v>
      </c>
      <c r="S35" s="58">
        <v>29</v>
      </c>
      <c r="T35" s="58">
        <v>194</v>
      </c>
      <c r="U35" s="58">
        <v>528</v>
      </c>
      <c r="V35" s="58">
        <v>74</v>
      </c>
      <c r="W35" s="58">
        <f t="shared" si="2"/>
        <v>4167</v>
      </c>
      <c r="X35">
        <v>744</v>
      </c>
      <c r="Y35">
        <v>28</v>
      </c>
      <c r="Z35">
        <v>938</v>
      </c>
      <c r="AA35">
        <v>31</v>
      </c>
      <c r="AB35">
        <v>41</v>
      </c>
      <c r="AC35">
        <v>37</v>
      </c>
      <c r="AD35">
        <v>5</v>
      </c>
      <c r="AE35">
        <v>110</v>
      </c>
      <c r="AF35">
        <v>83</v>
      </c>
      <c r="AG35">
        <v>63</v>
      </c>
      <c r="AH35">
        <v>98</v>
      </c>
      <c r="AI35">
        <v>4.67</v>
      </c>
    </row>
    <row r="36" spans="1:35" x14ac:dyDescent="0.5">
      <c r="A36" s="35">
        <v>2001</v>
      </c>
      <c r="B36" t="s">
        <v>47</v>
      </c>
      <c r="C36" t="s">
        <v>149</v>
      </c>
      <c r="D36">
        <v>585</v>
      </c>
      <c r="E36">
        <v>161</v>
      </c>
      <c r="F36">
        <v>3</v>
      </c>
      <c r="G36">
        <v>9</v>
      </c>
      <c r="H36">
        <v>158</v>
      </c>
      <c r="I36">
        <v>48</v>
      </c>
      <c r="J36">
        <v>1448</v>
      </c>
      <c r="K36">
        <v>1412</v>
      </c>
      <c r="L36">
        <v>745</v>
      </c>
      <c r="M36" s="58">
        <f t="shared" si="0"/>
        <v>2001</v>
      </c>
      <c r="N36" s="58" t="s">
        <v>46</v>
      </c>
      <c r="O36" s="58" t="str">
        <f t="shared" si="3"/>
        <v>2001 Boston Red Sox</v>
      </c>
      <c r="P36" s="58">
        <v>6272</v>
      </c>
      <c r="Q36" s="58">
        <f t="shared" si="1"/>
        <v>959</v>
      </c>
      <c r="R36" s="58">
        <v>280</v>
      </c>
      <c r="S36" s="58">
        <v>27</v>
      </c>
      <c r="T36" s="58">
        <v>146</v>
      </c>
      <c r="U36" s="58">
        <v>544</v>
      </c>
      <c r="V36" s="58">
        <v>93</v>
      </c>
      <c r="W36" s="58">
        <f t="shared" si="2"/>
        <v>4223</v>
      </c>
      <c r="X36">
        <v>667</v>
      </c>
      <c r="Y36">
        <v>50</v>
      </c>
      <c r="Z36">
        <v>1259</v>
      </c>
      <c r="AA36">
        <v>39</v>
      </c>
      <c r="AB36">
        <v>45</v>
      </c>
      <c r="AC36">
        <v>54</v>
      </c>
      <c r="AD36">
        <v>7</v>
      </c>
      <c r="AE36">
        <v>101</v>
      </c>
      <c r="AF36">
        <v>79</v>
      </c>
      <c r="AG36">
        <v>82</v>
      </c>
      <c r="AH36">
        <v>79</v>
      </c>
      <c r="AI36">
        <v>4.1500000000000004</v>
      </c>
    </row>
    <row r="37" spans="1:35" x14ac:dyDescent="0.5">
      <c r="A37" s="35">
        <v>2001</v>
      </c>
      <c r="B37" t="s">
        <v>143</v>
      </c>
      <c r="C37" t="s">
        <v>38</v>
      </c>
      <c r="D37">
        <v>614</v>
      </c>
      <c r="E37">
        <v>162</v>
      </c>
      <c r="F37">
        <v>8</v>
      </c>
      <c r="G37">
        <v>6</v>
      </c>
      <c r="H37">
        <v>154</v>
      </c>
      <c r="I37">
        <v>41</v>
      </c>
      <c r="J37">
        <v>1437</v>
      </c>
      <c r="K37">
        <v>1357</v>
      </c>
      <c r="L37">
        <v>701</v>
      </c>
      <c r="M37" s="58">
        <f t="shared" si="0"/>
        <v>2001</v>
      </c>
      <c r="N37" s="58" t="s">
        <v>50</v>
      </c>
      <c r="O37" s="58" t="str">
        <f t="shared" si="3"/>
        <v>2001 Chicago Cubs</v>
      </c>
      <c r="P37" s="58">
        <v>6159</v>
      </c>
      <c r="Q37" s="58">
        <f t="shared" si="1"/>
        <v>892</v>
      </c>
      <c r="R37" s="58">
        <v>276</v>
      </c>
      <c r="S37" s="58">
        <v>25</v>
      </c>
      <c r="T37" s="58">
        <v>164</v>
      </c>
      <c r="U37" s="58">
        <v>550</v>
      </c>
      <c r="V37" s="58">
        <v>50</v>
      </c>
      <c r="W37" s="58">
        <f t="shared" si="2"/>
        <v>4202</v>
      </c>
      <c r="X37">
        <v>643</v>
      </c>
      <c r="Y37">
        <v>43</v>
      </c>
      <c r="Z37">
        <v>1344</v>
      </c>
      <c r="AA37">
        <v>60</v>
      </c>
      <c r="AB37">
        <v>41</v>
      </c>
      <c r="AC37">
        <v>48</v>
      </c>
      <c r="AD37">
        <v>5</v>
      </c>
      <c r="AE37">
        <v>91</v>
      </c>
      <c r="AF37">
        <v>77</v>
      </c>
      <c r="AG37">
        <v>88</v>
      </c>
      <c r="AH37">
        <v>74</v>
      </c>
      <c r="AI37">
        <v>4.03</v>
      </c>
    </row>
    <row r="38" spans="1:35" x14ac:dyDescent="0.5">
      <c r="A38" s="35">
        <v>2001</v>
      </c>
      <c r="B38" t="s">
        <v>143</v>
      </c>
      <c r="C38" t="s">
        <v>149</v>
      </c>
      <c r="D38">
        <v>568</v>
      </c>
      <c r="E38">
        <v>162</v>
      </c>
      <c r="F38">
        <v>8</v>
      </c>
      <c r="G38">
        <v>7</v>
      </c>
      <c r="H38">
        <v>154</v>
      </c>
      <c r="I38">
        <v>51</v>
      </c>
      <c r="J38">
        <v>1433.1</v>
      </c>
      <c r="K38">
        <v>1465</v>
      </c>
      <c r="L38">
        <v>795</v>
      </c>
      <c r="M38" s="58">
        <f t="shared" si="0"/>
        <v>2001</v>
      </c>
      <c r="N38" s="58" t="s">
        <v>48</v>
      </c>
      <c r="O38" s="58" t="str">
        <f t="shared" si="3"/>
        <v>2001 Chicago White Sox</v>
      </c>
      <c r="P38" s="58">
        <v>6200</v>
      </c>
      <c r="Q38" s="58">
        <f t="shared" si="1"/>
        <v>968</v>
      </c>
      <c r="R38" s="58">
        <v>289</v>
      </c>
      <c r="S38" s="58">
        <v>27</v>
      </c>
      <c r="T38" s="58">
        <v>181</v>
      </c>
      <c r="U38" s="58">
        <v>500</v>
      </c>
      <c r="V38" s="58">
        <v>88</v>
      </c>
      <c r="W38" s="58">
        <f t="shared" si="2"/>
        <v>4147</v>
      </c>
      <c r="X38">
        <v>725</v>
      </c>
      <c r="Y38">
        <v>38</v>
      </c>
      <c r="Z38">
        <v>921</v>
      </c>
      <c r="AA38">
        <v>48</v>
      </c>
      <c r="AB38">
        <v>56</v>
      </c>
      <c r="AC38">
        <v>57</v>
      </c>
      <c r="AD38">
        <v>5</v>
      </c>
      <c r="AE38">
        <v>130</v>
      </c>
      <c r="AF38">
        <v>81</v>
      </c>
      <c r="AG38">
        <v>83</v>
      </c>
      <c r="AH38">
        <v>79</v>
      </c>
      <c r="AI38">
        <v>4.55</v>
      </c>
    </row>
    <row r="39" spans="1:35" x14ac:dyDescent="0.5">
      <c r="A39" s="35">
        <v>2001</v>
      </c>
      <c r="B39" t="s">
        <v>53</v>
      </c>
      <c r="C39" t="s">
        <v>38</v>
      </c>
      <c r="D39">
        <v>623</v>
      </c>
      <c r="E39">
        <v>162</v>
      </c>
      <c r="F39">
        <v>2</v>
      </c>
      <c r="G39">
        <v>2</v>
      </c>
      <c r="H39">
        <v>160</v>
      </c>
      <c r="I39">
        <v>35</v>
      </c>
      <c r="J39">
        <v>1442.2</v>
      </c>
      <c r="K39">
        <v>1572</v>
      </c>
      <c r="L39">
        <v>850</v>
      </c>
      <c r="M39" s="58">
        <f t="shared" si="0"/>
        <v>2001</v>
      </c>
      <c r="N39" s="58" t="s">
        <v>52</v>
      </c>
      <c r="O39" s="58" t="str">
        <f t="shared" si="3"/>
        <v>2001 Cincinnati Reds</v>
      </c>
      <c r="P39" s="58">
        <v>6324</v>
      </c>
      <c r="Q39" s="58">
        <f t="shared" si="1"/>
        <v>1002</v>
      </c>
      <c r="R39" s="58">
        <v>344</v>
      </c>
      <c r="S39" s="58">
        <v>28</v>
      </c>
      <c r="T39" s="58">
        <v>198</v>
      </c>
      <c r="U39" s="58">
        <v>515</v>
      </c>
      <c r="V39" s="58">
        <v>48</v>
      </c>
      <c r="W39" s="58">
        <f t="shared" si="2"/>
        <v>4189</v>
      </c>
      <c r="X39">
        <v>765</v>
      </c>
      <c r="Y39">
        <v>46</v>
      </c>
      <c r="Z39">
        <v>943</v>
      </c>
      <c r="AA39">
        <v>69</v>
      </c>
      <c r="AB39">
        <v>50</v>
      </c>
      <c r="AC39">
        <v>53</v>
      </c>
      <c r="AD39">
        <v>4</v>
      </c>
      <c r="AE39">
        <v>108</v>
      </c>
      <c r="AF39">
        <v>91</v>
      </c>
      <c r="AG39">
        <v>66</v>
      </c>
      <c r="AH39">
        <v>96</v>
      </c>
      <c r="AI39">
        <v>4.7699999999999996</v>
      </c>
    </row>
    <row r="40" spans="1:35" x14ac:dyDescent="0.5">
      <c r="A40" s="35">
        <v>2001</v>
      </c>
      <c r="B40" t="s">
        <v>55</v>
      </c>
      <c r="C40" t="s">
        <v>149</v>
      </c>
      <c r="D40">
        <v>645</v>
      </c>
      <c r="E40">
        <v>162</v>
      </c>
      <c r="F40">
        <v>3</v>
      </c>
      <c r="G40">
        <v>4</v>
      </c>
      <c r="H40">
        <v>159</v>
      </c>
      <c r="I40">
        <v>42</v>
      </c>
      <c r="J40">
        <v>1446.2</v>
      </c>
      <c r="K40">
        <v>1512</v>
      </c>
      <c r="L40">
        <v>821</v>
      </c>
      <c r="M40" s="58">
        <f t="shared" si="0"/>
        <v>2001</v>
      </c>
      <c r="N40" s="58" t="s">
        <v>54</v>
      </c>
      <c r="O40" s="58" t="str">
        <f t="shared" si="3"/>
        <v>2001 Cleveland Indians</v>
      </c>
      <c r="P40" s="58">
        <v>6312</v>
      </c>
      <c r="Q40" s="58">
        <f t="shared" si="1"/>
        <v>1017</v>
      </c>
      <c r="R40" s="58">
        <v>320</v>
      </c>
      <c r="S40" s="58">
        <v>27</v>
      </c>
      <c r="T40" s="58">
        <v>148</v>
      </c>
      <c r="U40" s="58">
        <v>573</v>
      </c>
      <c r="V40" s="58">
        <v>49</v>
      </c>
      <c r="W40" s="58">
        <f t="shared" si="2"/>
        <v>4178</v>
      </c>
      <c r="X40">
        <v>746</v>
      </c>
      <c r="Y40">
        <v>44</v>
      </c>
      <c r="Z40">
        <v>1218</v>
      </c>
      <c r="AA40">
        <v>48</v>
      </c>
      <c r="AB40">
        <v>50</v>
      </c>
      <c r="AC40">
        <v>58</v>
      </c>
      <c r="AD40">
        <v>11</v>
      </c>
      <c r="AE40">
        <v>115</v>
      </c>
      <c r="AF40">
        <v>59</v>
      </c>
      <c r="AG40">
        <v>91</v>
      </c>
      <c r="AH40">
        <v>71</v>
      </c>
      <c r="AI40">
        <v>4.6399999999999997</v>
      </c>
    </row>
    <row r="41" spans="1:35" x14ac:dyDescent="0.5">
      <c r="A41" s="35">
        <v>2001</v>
      </c>
      <c r="B41" t="s">
        <v>57</v>
      </c>
      <c r="C41" t="s">
        <v>38</v>
      </c>
      <c r="D41">
        <v>638</v>
      </c>
      <c r="E41">
        <v>162</v>
      </c>
      <c r="F41">
        <v>8</v>
      </c>
      <c r="G41">
        <v>8</v>
      </c>
      <c r="H41">
        <v>154</v>
      </c>
      <c r="I41">
        <v>26</v>
      </c>
      <c r="J41">
        <v>1430</v>
      </c>
      <c r="K41">
        <v>1522</v>
      </c>
      <c r="L41">
        <v>906</v>
      </c>
      <c r="M41" s="58">
        <f t="shared" si="0"/>
        <v>2001</v>
      </c>
      <c r="N41" s="58" t="s">
        <v>56</v>
      </c>
      <c r="O41" s="58" t="str">
        <f t="shared" si="3"/>
        <v>2001 Colorado Rockies</v>
      </c>
      <c r="P41" s="58">
        <v>6306</v>
      </c>
      <c r="Q41" s="58">
        <f t="shared" si="1"/>
        <v>897</v>
      </c>
      <c r="R41" s="58">
        <v>351</v>
      </c>
      <c r="S41" s="58">
        <v>35</v>
      </c>
      <c r="T41" s="58">
        <v>239</v>
      </c>
      <c r="U41" s="58">
        <v>598</v>
      </c>
      <c r="V41" s="58">
        <v>64</v>
      </c>
      <c r="W41" s="58">
        <f t="shared" si="2"/>
        <v>4122</v>
      </c>
      <c r="X41">
        <v>841</v>
      </c>
      <c r="Y41">
        <v>71</v>
      </c>
      <c r="Z41">
        <v>1058</v>
      </c>
      <c r="AA41">
        <v>60</v>
      </c>
      <c r="AB41">
        <v>43</v>
      </c>
      <c r="AC41">
        <v>38</v>
      </c>
      <c r="AD41">
        <v>1</v>
      </c>
      <c r="AE41">
        <v>135</v>
      </c>
      <c r="AF41">
        <v>59</v>
      </c>
      <c r="AG41">
        <v>73</v>
      </c>
      <c r="AH41">
        <v>89</v>
      </c>
      <c r="AI41">
        <v>5.29</v>
      </c>
    </row>
    <row r="42" spans="1:35" x14ac:dyDescent="0.5">
      <c r="A42" s="35">
        <v>2001</v>
      </c>
      <c r="B42" t="s">
        <v>59</v>
      </c>
      <c r="C42" t="s">
        <v>149</v>
      </c>
      <c r="D42">
        <v>553</v>
      </c>
      <c r="E42">
        <v>162</v>
      </c>
      <c r="F42">
        <v>16</v>
      </c>
      <c r="G42">
        <v>2</v>
      </c>
      <c r="H42">
        <v>146</v>
      </c>
      <c r="I42">
        <v>34</v>
      </c>
      <c r="J42">
        <v>1429.1</v>
      </c>
      <c r="K42">
        <v>1624</v>
      </c>
      <c r="L42">
        <v>876</v>
      </c>
      <c r="M42" s="58">
        <f t="shared" si="0"/>
        <v>2001</v>
      </c>
      <c r="N42" s="58" t="s">
        <v>58</v>
      </c>
      <c r="O42" s="58" t="str">
        <f t="shared" si="3"/>
        <v>2001 Detroit Tigers</v>
      </c>
      <c r="P42" s="58">
        <v>6361</v>
      </c>
      <c r="Q42" s="58">
        <f t="shared" si="1"/>
        <v>1062</v>
      </c>
      <c r="R42" s="58">
        <v>333</v>
      </c>
      <c r="S42" s="58">
        <v>49</v>
      </c>
      <c r="T42" s="58">
        <v>180</v>
      </c>
      <c r="U42" s="58">
        <v>553</v>
      </c>
      <c r="V42" s="58">
        <v>73</v>
      </c>
      <c r="W42" s="58">
        <f t="shared" si="2"/>
        <v>4111</v>
      </c>
      <c r="X42">
        <v>795</v>
      </c>
      <c r="Y42">
        <v>56</v>
      </c>
      <c r="Z42">
        <v>859</v>
      </c>
      <c r="AA42">
        <v>51</v>
      </c>
      <c r="AB42">
        <v>52</v>
      </c>
      <c r="AC42">
        <v>40</v>
      </c>
      <c r="AD42">
        <v>4</v>
      </c>
      <c r="AE42">
        <v>145</v>
      </c>
      <c r="AF42">
        <v>82</v>
      </c>
      <c r="AG42">
        <v>66</v>
      </c>
      <c r="AH42">
        <v>96</v>
      </c>
      <c r="AI42">
        <v>5.01</v>
      </c>
    </row>
    <row r="43" spans="1:35" x14ac:dyDescent="0.5">
      <c r="A43" s="35">
        <v>2001</v>
      </c>
      <c r="B43" t="s">
        <v>146</v>
      </c>
      <c r="C43" t="s">
        <v>38</v>
      </c>
      <c r="D43">
        <v>592</v>
      </c>
      <c r="E43">
        <v>162</v>
      </c>
      <c r="F43">
        <v>5</v>
      </c>
      <c r="G43">
        <v>11</v>
      </c>
      <c r="H43">
        <v>157</v>
      </c>
      <c r="I43">
        <v>32</v>
      </c>
      <c r="J43">
        <v>1438</v>
      </c>
      <c r="K43">
        <v>1397</v>
      </c>
      <c r="L43">
        <v>744</v>
      </c>
      <c r="M43" s="58">
        <f t="shared" si="0"/>
        <v>2001</v>
      </c>
      <c r="N43" s="58" t="s">
        <v>60</v>
      </c>
      <c r="O43" s="58" t="str">
        <f t="shared" si="3"/>
        <v>2001 Florida Marlins</v>
      </c>
      <c r="P43" s="58">
        <v>6227</v>
      </c>
      <c r="Q43" s="58">
        <f t="shared" si="1"/>
        <v>911</v>
      </c>
      <c r="R43" s="58">
        <v>289</v>
      </c>
      <c r="S43" s="58">
        <v>46</v>
      </c>
      <c r="T43" s="58">
        <v>151</v>
      </c>
      <c r="U43" s="58">
        <v>617</v>
      </c>
      <c r="V43" s="58">
        <v>70</v>
      </c>
      <c r="W43" s="58">
        <f t="shared" si="2"/>
        <v>4143</v>
      </c>
      <c r="X43">
        <v>691</v>
      </c>
      <c r="Y43">
        <v>53</v>
      </c>
      <c r="Z43">
        <v>1119</v>
      </c>
      <c r="AA43">
        <v>63</v>
      </c>
      <c r="AB43">
        <v>44</v>
      </c>
      <c r="AC43">
        <v>40</v>
      </c>
      <c r="AD43">
        <v>3</v>
      </c>
      <c r="AE43">
        <v>144</v>
      </c>
      <c r="AF43">
        <v>77</v>
      </c>
      <c r="AG43">
        <v>76</v>
      </c>
      <c r="AH43">
        <v>86</v>
      </c>
      <c r="AI43">
        <v>4.32</v>
      </c>
    </row>
    <row r="44" spans="1:35" x14ac:dyDescent="0.5">
      <c r="A44" s="35">
        <v>2001</v>
      </c>
      <c r="B44" t="s">
        <v>63</v>
      </c>
      <c r="C44" t="s">
        <v>38</v>
      </c>
      <c r="D44">
        <v>567</v>
      </c>
      <c r="E44">
        <v>162</v>
      </c>
      <c r="F44">
        <v>7</v>
      </c>
      <c r="G44">
        <v>6</v>
      </c>
      <c r="H44">
        <v>155</v>
      </c>
      <c r="I44">
        <v>48</v>
      </c>
      <c r="J44">
        <v>1454.2</v>
      </c>
      <c r="K44">
        <v>1453</v>
      </c>
      <c r="L44">
        <v>769</v>
      </c>
      <c r="M44" s="58">
        <f t="shared" si="0"/>
        <v>2001</v>
      </c>
      <c r="N44" s="58" t="s">
        <v>62</v>
      </c>
      <c r="O44" s="58" t="str">
        <f t="shared" si="3"/>
        <v>2001 Houston Astros</v>
      </c>
      <c r="P44" s="58">
        <v>6236</v>
      </c>
      <c r="Q44" s="58">
        <f t="shared" si="1"/>
        <v>942</v>
      </c>
      <c r="R44" s="58">
        <v>262</v>
      </c>
      <c r="S44" s="58">
        <v>28</v>
      </c>
      <c r="T44" s="58">
        <v>221</v>
      </c>
      <c r="U44" s="58">
        <v>486</v>
      </c>
      <c r="V44" s="58">
        <v>70</v>
      </c>
      <c r="W44" s="58">
        <f t="shared" si="2"/>
        <v>4227</v>
      </c>
      <c r="X44">
        <v>709</v>
      </c>
      <c r="Y44">
        <v>22</v>
      </c>
      <c r="Z44">
        <v>1228</v>
      </c>
      <c r="AA44">
        <v>62</v>
      </c>
      <c r="AB44">
        <v>44</v>
      </c>
      <c r="AC44">
        <v>42</v>
      </c>
      <c r="AD44">
        <v>3</v>
      </c>
      <c r="AE44">
        <v>113</v>
      </c>
      <c r="AF44">
        <v>77</v>
      </c>
      <c r="AG44">
        <v>93</v>
      </c>
      <c r="AH44">
        <v>69</v>
      </c>
      <c r="AI44">
        <v>4.3899999999999997</v>
      </c>
    </row>
    <row r="45" spans="1:35" x14ac:dyDescent="0.5">
      <c r="A45" s="35">
        <v>2001</v>
      </c>
      <c r="B45" t="s">
        <v>150</v>
      </c>
      <c r="C45" t="s">
        <v>149</v>
      </c>
      <c r="D45">
        <v>558</v>
      </c>
      <c r="E45">
        <v>162</v>
      </c>
      <c r="F45">
        <v>5</v>
      </c>
      <c r="G45">
        <v>1</v>
      </c>
      <c r="H45">
        <v>157</v>
      </c>
      <c r="I45">
        <v>30</v>
      </c>
      <c r="J45">
        <v>1440</v>
      </c>
      <c r="K45">
        <v>1537</v>
      </c>
      <c r="L45">
        <v>858</v>
      </c>
      <c r="M45" s="58">
        <f t="shared" si="0"/>
        <v>2001</v>
      </c>
      <c r="N45" s="58" t="s">
        <v>64</v>
      </c>
      <c r="O45" s="58" t="str">
        <f t="shared" si="3"/>
        <v>2001 Kansas City Royals</v>
      </c>
      <c r="P45" s="58">
        <v>6289</v>
      </c>
      <c r="Q45" s="58">
        <f t="shared" si="1"/>
        <v>1028</v>
      </c>
      <c r="R45" s="58">
        <v>261</v>
      </c>
      <c r="S45" s="58">
        <v>39</v>
      </c>
      <c r="T45" s="58">
        <v>209</v>
      </c>
      <c r="U45" s="58">
        <v>576</v>
      </c>
      <c r="V45" s="58">
        <v>61</v>
      </c>
      <c r="W45" s="58">
        <f t="shared" si="2"/>
        <v>4115</v>
      </c>
      <c r="X45">
        <v>779</v>
      </c>
      <c r="Y45">
        <v>26</v>
      </c>
      <c r="Z45">
        <v>911</v>
      </c>
      <c r="AA45">
        <v>33</v>
      </c>
      <c r="AB45">
        <v>51</v>
      </c>
      <c r="AC45">
        <v>73</v>
      </c>
      <c r="AD45">
        <v>2</v>
      </c>
      <c r="AE45">
        <v>180</v>
      </c>
      <c r="AF45">
        <v>79</v>
      </c>
      <c r="AG45">
        <v>65</v>
      </c>
      <c r="AH45">
        <v>97</v>
      </c>
      <c r="AI45">
        <v>4.87</v>
      </c>
    </row>
    <row r="46" spans="1:35" x14ac:dyDescent="0.5">
      <c r="A46" s="35">
        <v>2001</v>
      </c>
      <c r="B46" t="s">
        <v>145</v>
      </c>
      <c r="C46" t="s">
        <v>38</v>
      </c>
      <c r="D46">
        <v>570</v>
      </c>
      <c r="E46">
        <v>162</v>
      </c>
      <c r="F46">
        <v>3</v>
      </c>
      <c r="G46">
        <v>5</v>
      </c>
      <c r="H46">
        <v>159</v>
      </c>
      <c r="I46">
        <v>46</v>
      </c>
      <c r="J46">
        <v>1450.2</v>
      </c>
      <c r="K46">
        <v>1387</v>
      </c>
      <c r="L46">
        <v>744</v>
      </c>
      <c r="M46" s="58">
        <f t="shared" si="0"/>
        <v>2001</v>
      </c>
      <c r="N46" s="58" t="s">
        <v>66</v>
      </c>
      <c r="O46" s="58" t="str">
        <f t="shared" si="3"/>
        <v>2001 Los Angeles Dodgers</v>
      </c>
      <c r="P46" s="58">
        <v>6201</v>
      </c>
      <c r="Q46" s="58">
        <f t="shared" si="1"/>
        <v>909</v>
      </c>
      <c r="R46" s="58">
        <v>268</v>
      </c>
      <c r="S46" s="58">
        <v>26</v>
      </c>
      <c r="T46" s="58">
        <v>184</v>
      </c>
      <c r="U46" s="58">
        <v>524</v>
      </c>
      <c r="V46" s="58">
        <v>72</v>
      </c>
      <c r="W46" s="58">
        <f t="shared" si="2"/>
        <v>4218</v>
      </c>
      <c r="X46">
        <v>685</v>
      </c>
      <c r="Y46">
        <v>37</v>
      </c>
      <c r="Z46">
        <v>1212</v>
      </c>
      <c r="AA46">
        <v>69</v>
      </c>
      <c r="AB46">
        <v>39</v>
      </c>
      <c r="AC46">
        <v>44</v>
      </c>
      <c r="AD46">
        <v>11</v>
      </c>
      <c r="AE46">
        <v>111</v>
      </c>
      <c r="AF46">
        <v>85</v>
      </c>
      <c r="AG46">
        <v>86</v>
      </c>
      <c r="AH46">
        <v>76</v>
      </c>
      <c r="AI46">
        <v>4.25</v>
      </c>
    </row>
    <row r="47" spans="1:35" x14ac:dyDescent="0.5">
      <c r="A47" s="35">
        <v>2001</v>
      </c>
      <c r="B47" t="s">
        <v>69</v>
      </c>
      <c r="C47" t="s">
        <v>38</v>
      </c>
      <c r="D47">
        <v>651</v>
      </c>
      <c r="E47">
        <v>162</v>
      </c>
      <c r="F47">
        <v>3</v>
      </c>
      <c r="G47">
        <v>8</v>
      </c>
      <c r="H47">
        <v>159</v>
      </c>
      <c r="I47">
        <v>28</v>
      </c>
      <c r="J47">
        <v>1436.1</v>
      </c>
      <c r="K47">
        <v>1452</v>
      </c>
      <c r="L47">
        <v>806</v>
      </c>
      <c r="M47" s="58">
        <f t="shared" si="0"/>
        <v>2001</v>
      </c>
      <c r="N47" s="58" t="s">
        <v>68</v>
      </c>
      <c r="O47" s="58" t="str">
        <f t="shared" si="3"/>
        <v>2001 Milwaukee Brewers</v>
      </c>
      <c r="P47" s="58">
        <v>6338</v>
      </c>
      <c r="Q47" s="58">
        <f t="shared" si="1"/>
        <v>924</v>
      </c>
      <c r="R47" s="58">
        <v>293</v>
      </c>
      <c r="S47" s="58">
        <v>38</v>
      </c>
      <c r="T47" s="58">
        <v>197</v>
      </c>
      <c r="U47" s="58">
        <v>667</v>
      </c>
      <c r="V47" s="58">
        <v>72</v>
      </c>
      <c r="W47" s="58">
        <f t="shared" si="2"/>
        <v>4147</v>
      </c>
      <c r="X47">
        <v>740</v>
      </c>
      <c r="Y47">
        <v>107</v>
      </c>
      <c r="Z47">
        <v>1057</v>
      </c>
      <c r="AA47">
        <v>81</v>
      </c>
      <c r="AB47">
        <v>40</v>
      </c>
      <c r="AC47">
        <v>58</v>
      </c>
      <c r="AD47">
        <v>3</v>
      </c>
      <c r="AE47">
        <v>126</v>
      </c>
      <c r="AF47">
        <v>66</v>
      </c>
      <c r="AG47">
        <v>68</v>
      </c>
      <c r="AH47">
        <v>94</v>
      </c>
      <c r="AI47">
        <v>4.6399999999999997</v>
      </c>
    </row>
    <row r="48" spans="1:35" x14ac:dyDescent="0.5">
      <c r="A48" s="35">
        <v>2001</v>
      </c>
      <c r="B48" t="s">
        <v>71</v>
      </c>
      <c r="C48" t="s">
        <v>149</v>
      </c>
      <c r="D48">
        <v>564</v>
      </c>
      <c r="E48">
        <v>162</v>
      </c>
      <c r="F48">
        <v>12</v>
      </c>
      <c r="G48">
        <v>8</v>
      </c>
      <c r="H48">
        <v>150</v>
      </c>
      <c r="I48">
        <v>45</v>
      </c>
      <c r="J48">
        <v>1441.1</v>
      </c>
      <c r="K48">
        <v>1494</v>
      </c>
      <c r="L48">
        <v>766</v>
      </c>
      <c r="M48" s="58">
        <f t="shared" si="0"/>
        <v>2001</v>
      </c>
      <c r="N48" s="58" t="s">
        <v>70</v>
      </c>
      <c r="O48" s="58" t="str">
        <f t="shared" si="3"/>
        <v>2001 Minnesota Twins</v>
      </c>
      <c r="P48" s="58">
        <v>6187</v>
      </c>
      <c r="Q48" s="58">
        <f t="shared" si="1"/>
        <v>967</v>
      </c>
      <c r="R48" s="58">
        <v>302</v>
      </c>
      <c r="S48" s="58">
        <v>33</v>
      </c>
      <c r="T48" s="58">
        <v>192</v>
      </c>
      <c r="U48" s="58">
        <v>445</v>
      </c>
      <c r="V48" s="58">
        <v>56</v>
      </c>
      <c r="W48" s="58">
        <f t="shared" si="2"/>
        <v>4192</v>
      </c>
      <c r="X48">
        <v>722</v>
      </c>
      <c r="Y48">
        <v>16</v>
      </c>
      <c r="Z48">
        <v>965</v>
      </c>
      <c r="AA48">
        <v>55</v>
      </c>
      <c r="AB48">
        <v>55</v>
      </c>
      <c r="AC48">
        <v>58</v>
      </c>
      <c r="AD48">
        <v>2</v>
      </c>
      <c r="AE48">
        <v>93</v>
      </c>
      <c r="AF48">
        <v>59</v>
      </c>
      <c r="AG48">
        <v>85</v>
      </c>
      <c r="AH48">
        <v>77</v>
      </c>
      <c r="AI48">
        <v>4.51</v>
      </c>
    </row>
    <row r="49" spans="1:35" x14ac:dyDescent="0.5">
      <c r="A49" s="35">
        <v>2001</v>
      </c>
      <c r="B49" t="s">
        <v>73</v>
      </c>
      <c r="C49" t="s">
        <v>38</v>
      </c>
      <c r="D49">
        <v>653</v>
      </c>
      <c r="E49">
        <v>162</v>
      </c>
      <c r="F49">
        <v>5</v>
      </c>
      <c r="G49">
        <v>11</v>
      </c>
      <c r="H49">
        <v>157</v>
      </c>
      <c r="I49">
        <v>28</v>
      </c>
      <c r="J49">
        <v>1431.1</v>
      </c>
      <c r="K49">
        <v>1509</v>
      </c>
      <c r="L49">
        <v>812</v>
      </c>
      <c r="M49" s="58">
        <f t="shared" si="0"/>
        <v>2001</v>
      </c>
      <c r="N49" s="58" t="s">
        <v>72</v>
      </c>
      <c r="O49" s="58" t="str">
        <f t="shared" si="3"/>
        <v>2001 Montreal Expos</v>
      </c>
      <c r="P49" s="58">
        <v>6250</v>
      </c>
      <c r="Q49" s="58">
        <f t="shared" si="1"/>
        <v>983</v>
      </c>
      <c r="R49" s="58">
        <v>306</v>
      </c>
      <c r="S49" s="58">
        <v>30</v>
      </c>
      <c r="T49" s="58">
        <v>190</v>
      </c>
      <c r="U49" s="58">
        <v>525</v>
      </c>
      <c r="V49" s="58">
        <v>61</v>
      </c>
      <c r="W49" s="58">
        <f t="shared" si="2"/>
        <v>4155</v>
      </c>
      <c r="X49">
        <v>745</v>
      </c>
      <c r="Y49">
        <v>40</v>
      </c>
      <c r="Z49">
        <v>1103</v>
      </c>
      <c r="AA49">
        <v>74</v>
      </c>
      <c r="AB49">
        <v>43</v>
      </c>
      <c r="AC49">
        <v>55</v>
      </c>
      <c r="AD49">
        <v>4</v>
      </c>
      <c r="AE49">
        <v>116</v>
      </c>
      <c r="AF49">
        <v>68</v>
      </c>
      <c r="AG49">
        <v>68</v>
      </c>
      <c r="AH49">
        <v>94</v>
      </c>
      <c r="AI49">
        <v>4.68</v>
      </c>
    </row>
    <row r="50" spans="1:35" x14ac:dyDescent="0.5">
      <c r="A50" s="35">
        <v>2001</v>
      </c>
      <c r="B50" t="s">
        <v>144</v>
      </c>
      <c r="C50" t="s">
        <v>38</v>
      </c>
      <c r="D50">
        <v>559</v>
      </c>
      <c r="E50">
        <v>162</v>
      </c>
      <c r="F50">
        <v>6</v>
      </c>
      <c r="G50">
        <v>14</v>
      </c>
      <c r="H50">
        <v>156</v>
      </c>
      <c r="I50">
        <v>48</v>
      </c>
      <c r="J50">
        <v>1445.2</v>
      </c>
      <c r="K50">
        <v>1418</v>
      </c>
      <c r="L50">
        <v>713</v>
      </c>
      <c r="M50" s="58">
        <f t="shared" si="0"/>
        <v>2001</v>
      </c>
      <c r="N50" s="58" t="s">
        <v>76</v>
      </c>
      <c r="O50" s="58" t="str">
        <f t="shared" si="3"/>
        <v>2001 New York Mets</v>
      </c>
      <c r="P50" s="58">
        <v>6107</v>
      </c>
      <c r="Q50" s="58">
        <f t="shared" si="1"/>
        <v>933</v>
      </c>
      <c r="R50" s="58">
        <v>266</v>
      </c>
      <c r="S50" s="58">
        <v>33</v>
      </c>
      <c r="T50" s="58">
        <v>186</v>
      </c>
      <c r="U50" s="58">
        <v>438</v>
      </c>
      <c r="V50" s="58">
        <v>43</v>
      </c>
      <c r="W50" s="58">
        <f t="shared" si="2"/>
        <v>4208</v>
      </c>
      <c r="X50">
        <v>654</v>
      </c>
      <c r="Y50">
        <v>60</v>
      </c>
      <c r="Z50">
        <v>1191</v>
      </c>
      <c r="AA50">
        <v>63</v>
      </c>
      <c r="AB50">
        <v>50</v>
      </c>
      <c r="AC50">
        <v>53</v>
      </c>
      <c r="AD50">
        <v>7</v>
      </c>
      <c r="AE50">
        <v>105</v>
      </c>
      <c r="AF50">
        <v>75</v>
      </c>
      <c r="AG50">
        <v>82</v>
      </c>
      <c r="AH50">
        <v>80</v>
      </c>
      <c r="AI50">
        <v>4.07</v>
      </c>
    </row>
    <row r="51" spans="1:35" x14ac:dyDescent="0.5">
      <c r="A51" s="35">
        <v>2001</v>
      </c>
      <c r="B51" t="s">
        <v>144</v>
      </c>
      <c r="C51" t="s">
        <v>149</v>
      </c>
      <c r="D51">
        <v>523</v>
      </c>
      <c r="E51">
        <v>161</v>
      </c>
      <c r="F51">
        <v>7</v>
      </c>
      <c r="G51">
        <v>9</v>
      </c>
      <c r="H51">
        <v>154</v>
      </c>
      <c r="I51">
        <v>57</v>
      </c>
      <c r="J51">
        <v>1451.1</v>
      </c>
      <c r="K51">
        <v>1429</v>
      </c>
      <c r="L51">
        <v>713</v>
      </c>
      <c r="M51" s="58">
        <f t="shared" si="0"/>
        <v>2001</v>
      </c>
      <c r="N51" s="58" t="s">
        <v>74</v>
      </c>
      <c r="O51" s="58" t="str">
        <f t="shared" si="3"/>
        <v>2001 New York Yankees</v>
      </c>
      <c r="P51" s="58">
        <v>6174</v>
      </c>
      <c r="Q51" s="58">
        <f t="shared" si="1"/>
        <v>980</v>
      </c>
      <c r="R51" s="58">
        <v>266</v>
      </c>
      <c r="S51" s="58">
        <v>25</v>
      </c>
      <c r="T51" s="58">
        <v>158</v>
      </c>
      <c r="U51" s="58">
        <v>465</v>
      </c>
      <c r="V51" s="58">
        <v>55</v>
      </c>
      <c r="W51" s="58">
        <f t="shared" si="2"/>
        <v>4225</v>
      </c>
      <c r="X51">
        <v>649</v>
      </c>
      <c r="Y51">
        <v>29</v>
      </c>
      <c r="Z51">
        <v>1266</v>
      </c>
      <c r="AA51">
        <v>37</v>
      </c>
      <c r="AB51">
        <v>47</v>
      </c>
      <c r="AC51">
        <v>54</v>
      </c>
      <c r="AD51">
        <v>6</v>
      </c>
      <c r="AE51">
        <v>105</v>
      </c>
      <c r="AF51">
        <v>79</v>
      </c>
      <c r="AG51">
        <v>95</v>
      </c>
      <c r="AH51">
        <v>65</v>
      </c>
      <c r="AI51">
        <v>4.0199999999999996</v>
      </c>
    </row>
    <row r="52" spans="1:35" x14ac:dyDescent="0.5">
      <c r="A52" s="35">
        <v>2001</v>
      </c>
      <c r="B52" t="s">
        <v>79</v>
      </c>
      <c r="C52" t="s">
        <v>149</v>
      </c>
      <c r="D52">
        <v>578</v>
      </c>
      <c r="E52">
        <v>162</v>
      </c>
      <c r="F52">
        <v>13</v>
      </c>
      <c r="G52">
        <v>9</v>
      </c>
      <c r="H52">
        <v>149</v>
      </c>
      <c r="I52">
        <v>44</v>
      </c>
      <c r="J52">
        <v>1463.1</v>
      </c>
      <c r="K52">
        <v>1384</v>
      </c>
      <c r="L52">
        <v>645</v>
      </c>
      <c r="M52" s="58">
        <f t="shared" si="0"/>
        <v>2001</v>
      </c>
      <c r="N52" s="58" t="s">
        <v>78</v>
      </c>
      <c r="O52" s="58" t="str">
        <f t="shared" si="3"/>
        <v>2001 Oakland Athletics</v>
      </c>
      <c r="P52" s="58">
        <v>6115</v>
      </c>
      <c r="Q52" s="58">
        <f t="shared" si="1"/>
        <v>986</v>
      </c>
      <c r="R52" s="58">
        <v>223</v>
      </c>
      <c r="S52" s="58">
        <v>22</v>
      </c>
      <c r="T52" s="58">
        <v>153</v>
      </c>
      <c r="U52" s="58">
        <v>440</v>
      </c>
      <c r="V52" s="58">
        <v>46</v>
      </c>
      <c r="W52" s="58">
        <f t="shared" si="2"/>
        <v>4245</v>
      </c>
      <c r="X52">
        <v>583</v>
      </c>
      <c r="Y52">
        <v>49</v>
      </c>
      <c r="Z52">
        <v>1117</v>
      </c>
      <c r="AA52">
        <v>45</v>
      </c>
      <c r="AB52">
        <v>33</v>
      </c>
      <c r="AC52">
        <v>42</v>
      </c>
      <c r="AD52">
        <v>3</v>
      </c>
      <c r="AE52">
        <v>119</v>
      </c>
      <c r="AF52">
        <v>75</v>
      </c>
      <c r="AG52">
        <v>102</v>
      </c>
      <c r="AH52">
        <v>60</v>
      </c>
      <c r="AI52">
        <v>3.59</v>
      </c>
    </row>
    <row r="53" spans="1:35" x14ac:dyDescent="0.5">
      <c r="A53" s="35">
        <v>2001</v>
      </c>
      <c r="B53" t="s">
        <v>81</v>
      </c>
      <c r="C53" t="s">
        <v>38</v>
      </c>
      <c r="D53">
        <v>635</v>
      </c>
      <c r="E53">
        <v>162</v>
      </c>
      <c r="F53">
        <v>8</v>
      </c>
      <c r="G53">
        <v>7</v>
      </c>
      <c r="H53">
        <v>154</v>
      </c>
      <c r="I53">
        <v>47</v>
      </c>
      <c r="J53">
        <v>1445.1</v>
      </c>
      <c r="K53">
        <v>1417</v>
      </c>
      <c r="L53">
        <v>719</v>
      </c>
      <c r="M53" s="58">
        <f t="shared" si="0"/>
        <v>2001</v>
      </c>
      <c r="N53" s="58" t="s">
        <v>80</v>
      </c>
      <c r="O53" s="58" t="str">
        <f t="shared" si="3"/>
        <v>2001 Philadelphia Phillies</v>
      </c>
      <c r="P53" s="58">
        <v>6198</v>
      </c>
      <c r="Q53" s="58">
        <f t="shared" si="1"/>
        <v>887</v>
      </c>
      <c r="R53" s="58">
        <v>322</v>
      </c>
      <c r="S53" s="58">
        <v>38</v>
      </c>
      <c r="T53" s="58">
        <v>170</v>
      </c>
      <c r="U53" s="58">
        <v>527</v>
      </c>
      <c r="V53" s="58">
        <v>70</v>
      </c>
      <c r="W53" s="58">
        <f t="shared" si="2"/>
        <v>4184</v>
      </c>
      <c r="X53">
        <v>667</v>
      </c>
      <c r="Y53">
        <v>60</v>
      </c>
      <c r="Z53">
        <v>1086</v>
      </c>
      <c r="AA53">
        <v>73</v>
      </c>
      <c r="AB53">
        <v>49</v>
      </c>
      <c r="AC53">
        <v>40</v>
      </c>
      <c r="AD53">
        <v>6</v>
      </c>
      <c r="AE53">
        <v>120</v>
      </c>
      <c r="AF53">
        <v>61</v>
      </c>
      <c r="AG53">
        <v>86</v>
      </c>
      <c r="AH53">
        <v>76</v>
      </c>
      <c r="AI53">
        <v>4.1500000000000004</v>
      </c>
    </row>
    <row r="54" spans="1:35" x14ac:dyDescent="0.5">
      <c r="A54" s="35">
        <v>2001</v>
      </c>
      <c r="B54" t="s">
        <v>83</v>
      </c>
      <c r="C54" t="s">
        <v>38</v>
      </c>
      <c r="D54">
        <v>572</v>
      </c>
      <c r="E54">
        <v>162</v>
      </c>
      <c r="F54">
        <v>8</v>
      </c>
      <c r="G54">
        <v>9</v>
      </c>
      <c r="H54">
        <v>154</v>
      </c>
      <c r="I54">
        <v>36</v>
      </c>
      <c r="J54">
        <v>1416.1</v>
      </c>
      <c r="K54">
        <v>1493</v>
      </c>
      <c r="L54">
        <v>858</v>
      </c>
      <c r="M54" s="58">
        <f t="shared" si="0"/>
        <v>2001</v>
      </c>
      <c r="N54" s="58" t="s">
        <v>82</v>
      </c>
      <c r="O54" s="58" t="str">
        <f t="shared" si="3"/>
        <v>2001 Pittsburgh Pirates</v>
      </c>
      <c r="P54" s="58">
        <v>6222</v>
      </c>
      <c r="Q54" s="58">
        <f t="shared" si="1"/>
        <v>980</v>
      </c>
      <c r="R54" s="58">
        <v>310</v>
      </c>
      <c r="S54" s="58">
        <v>36</v>
      </c>
      <c r="T54" s="58">
        <v>167</v>
      </c>
      <c r="U54" s="58">
        <v>549</v>
      </c>
      <c r="V54" s="58">
        <v>80</v>
      </c>
      <c r="W54" s="58">
        <f t="shared" si="2"/>
        <v>4100</v>
      </c>
      <c r="X54">
        <v>794</v>
      </c>
      <c r="Y54">
        <v>74</v>
      </c>
      <c r="Z54">
        <v>908</v>
      </c>
      <c r="AA54">
        <v>58</v>
      </c>
      <c r="AB54">
        <v>50</v>
      </c>
      <c r="AC54">
        <v>49</v>
      </c>
      <c r="AD54">
        <v>4</v>
      </c>
      <c r="AE54">
        <v>141</v>
      </c>
      <c r="AF54">
        <v>86</v>
      </c>
      <c r="AG54">
        <v>62</v>
      </c>
      <c r="AH54">
        <v>100</v>
      </c>
      <c r="AI54">
        <v>5.05</v>
      </c>
    </row>
    <row r="55" spans="1:35" x14ac:dyDescent="0.5">
      <c r="A55" s="35">
        <v>2001</v>
      </c>
      <c r="B55" t="s">
        <v>147</v>
      </c>
      <c r="C55" t="s">
        <v>38</v>
      </c>
      <c r="D55">
        <v>584</v>
      </c>
      <c r="E55">
        <v>162</v>
      </c>
      <c r="F55">
        <v>5</v>
      </c>
      <c r="G55">
        <v>6</v>
      </c>
      <c r="H55">
        <v>157</v>
      </c>
      <c r="I55">
        <v>46</v>
      </c>
      <c r="J55">
        <v>1440.2</v>
      </c>
      <c r="K55">
        <v>1519</v>
      </c>
      <c r="L55">
        <v>812</v>
      </c>
      <c r="M55" s="58">
        <f t="shared" si="0"/>
        <v>2001</v>
      </c>
      <c r="N55" s="58" t="s">
        <v>84</v>
      </c>
      <c r="O55" s="58" t="str">
        <f t="shared" si="3"/>
        <v>2001 San Diego Padres</v>
      </c>
      <c r="P55" s="58">
        <v>6278</v>
      </c>
      <c r="Q55" s="58">
        <f t="shared" si="1"/>
        <v>972</v>
      </c>
      <c r="R55" s="58">
        <v>294</v>
      </c>
      <c r="S55" s="58">
        <v>34</v>
      </c>
      <c r="T55" s="58">
        <v>219</v>
      </c>
      <c r="U55" s="58">
        <v>476</v>
      </c>
      <c r="V55" s="58">
        <v>56</v>
      </c>
      <c r="W55" s="58">
        <f t="shared" si="2"/>
        <v>4227</v>
      </c>
      <c r="X55">
        <v>724</v>
      </c>
      <c r="Y55">
        <v>54</v>
      </c>
      <c r="Z55">
        <v>1088</v>
      </c>
      <c r="AA55">
        <v>58</v>
      </c>
      <c r="AB55">
        <v>47</v>
      </c>
      <c r="AC55">
        <v>46</v>
      </c>
      <c r="AD55">
        <v>5</v>
      </c>
      <c r="AE55">
        <v>99</v>
      </c>
      <c r="AF55">
        <v>100</v>
      </c>
      <c r="AG55">
        <v>79</v>
      </c>
      <c r="AH55">
        <v>83</v>
      </c>
      <c r="AI55">
        <v>4.5199999999999996</v>
      </c>
    </row>
    <row r="56" spans="1:35" x14ac:dyDescent="0.5">
      <c r="A56" s="35">
        <v>2001</v>
      </c>
      <c r="B56" t="s">
        <v>87</v>
      </c>
      <c r="C56" t="s">
        <v>149</v>
      </c>
      <c r="D56">
        <v>553</v>
      </c>
      <c r="E56">
        <v>162</v>
      </c>
      <c r="F56">
        <v>8</v>
      </c>
      <c r="G56">
        <v>14</v>
      </c>
      <c r="H56">
        <v>154</v>
      </c>
      <c r="I56">
        <v>56</v>
      </c>
      <c r="J56">
        <v>1465</v>
      </c>
      <c r="K56">
        <v>1293</v>
      </c>
      <c r="L56">
        <v>627</v>
      </c>
      <c r="M56" s="58">
        <f t="shared" si="0"/>
        <v>2001</v>
      </c>
      <c r="N56" s="58" t="s">
        <v>86</v>
      </c>
      <c r="O56" s="58" t="str">
        <f t="shared" si="3"/>
        <v>2001 Seattle Mariners</v>
      </c>
      <c r="P56" s="58">
        <v>6096</v>
      </c>
      <c r="Q56" s="58">
        <f t="shared" si="1"/>
        <v>852</v>
      </c>
      <c r="R56" s="58">
        <v>259</v>
      </c>
      <c r="S56" s="58">
        <v>22</v>
      </c>
      <c r="T56" s="58">
        <v>160</v>
      </c>
      <c r="U56" s="58">
        <v>465</v>
      </c>
      <c r="V56" s="58">
        <v>64</v>
      </c>
      <c r="W56" s="58">
        <f t="shared" si="2"/>
        <v>4274</v>
      </c>
      <c r="X56">
        <v>576</v>
      </c>
      <c r="Y56">
        <v>28</v>
      </c>
      <c r="Z56">
        <v>1051</v>
      </c>
      <c r="AA56">
        <v>33</v>
      </c>
      <c r="AB56">
        <v>44</v>
      </c>
      <c r="AC56">
        <v>40</v>
      </c>
      <c r="AD56">
        <v>1</v>
      </c>
      <c r="AE56">
        <v>115</v>
      </c>
      <c r="AF56">
        <v>64</v>
      </c>
      <c r="AG56">
        <v>116</v>
      </c>
      <c r="AH56">
        <v>46</v>
      </c>
      <c r="AI56">
        <v>3.54</v>
      </c>
    </row>
    <row r="57" spans="1:35" x14ac:dyDescent="0.5">
      <c r="A57" s="35">
        <v>2001</v>
      </c>
      <c r="B57" t="s">
        <v>21</v>
      </c>
      <c r="C57" t="s">
        <v>38</v>
      </c>
      <c r="D57">
        <v>601</v>
      </c>
      <c r="E57">
        <v>162</v>
      </c>
      <c r="F57">
        <v>3</v>
      </c>
      <c r="G57">
        <v>8</v>
      </c>
      <c r="H57">
        <v>159</v>
      </c>
      <c r="I57">
        <v>47</v>
      </c>
      <c r="J57">
        <v>1463.1</v>
      </c>
      <c r="K57">
        <v>1437</v>
      </c>
      <c r="L57">
        <v>748</v>
      </c>
      <c r="M57" s="58">
        <f t="shared" si="0"/>
        <v>2001</v>
      </c>
      <c r="N57" s="58" t="s">
        <v>88</v>
      </c>
      <c r="O57" s="58" t="str">
        <f t="shared" si="3"/>
        <v>2001 San Francisco Giants</v>
      </c>
      <c r="P57" s="58">
        <v>6294</v>
      </c>
      <c r="Q57" s="58">
        <f t="shared" si="1"/>
        <v>963</v>
      </c>
      <c r="R57" s="58">
        <v>286</v>
      </c>
      <c r="S57" s="58">
        <v>43</v>
      </c>
      <c r="T57" s="58">
        <v>145</v>
      </c>
      <c r="U57" s="58">
        <v>579</v>
      </c>
      <c r="V57" s="58">
        <v>33</v>
      </c>
      <c r="W57" s="58">
        <f t="shared" si="2"/>
        <v>4245</v>
      </c>
      <c r="X57">
        <v>680</v>
      </c>
      <c r="Y57">
        <v>49</v>
      </c>
      <c r="Z57">
        <v>1080</v>
      </c>
      <c r="AA57">
        <v>58</v>
      </c>
      <c r="AB57">
        <v>61</v>
      </c>
      <c r="AC57">
        <v>50</v>
      </c>
      <c r="AD57">
        <v>3</v>
      </c>
      <c r="AE57">
        <v>136</v>
      </c>
      <c r="AF57">
        <v>87</v>
      </c>
      <c r="AG57">
        <v>90</v>
      </c>
      <c r="AH57">
        <v>72</v>
      </c>
      <c r="AI57">
        <v>4.18</v>
      </c>
    </row>
    <row r="58" spans="1:35" x14ac:dyDescent="0.5">
      <c r="A58" s="35">
        <v>2001</v>
      </c>
      <c r="B58" t="s">
        <v>142</v>
      </c>
      <c r="C58" t="s">
        <v>38</v>
      </c>
      <c r="D58">
        <v>646</v>
      </c>
      <c r="E58">
        <v>162</v>
      </c>
      <c r="F58">
        <v>8</v>
      </c>
      <c r="G58">
        <v>11</v>
      </c>
      <c r="H58">
        <v>154</v>
      </c>
      <c r="I58">
        <v>38</v>
      </c>
      <c r="J58">
        <v>1435.1</v>
      </c>
      <c r="K58">
        <v>1389</v>
      </c>
      <c r="L58">
        <v>684</v>
      </c>
      <c r="M58" s="58">
        <f t="shared" si="0"/>
        <v>2001</v>
      </c>
      <c r="N58" s="58" t="s">
        <v>90</v>
      </c>
      <c r="O58" s="58" t="str">
        <f t="shared" si="3"/>
        <v>2001 St. Louis Cardinals</v>
      </c>
      <c r="P58" s="58">
        <v>6121</v>
      </c>
      <c r="Q58" s="58">
        <f t="shared" si="1"/>
        <v>874</v>
      </c>
      <c r="R58" s="58">
        <v>296</v>
      </c>
      <c r="S58" s="58">
        <v>23</v>
      </c>
      <c r="T58" s="58">
        <v>196</v>
      </c>
      <c r="U58" s="58">
        <v>526</v>
      </c>
      <c r="V58" s="58">
        <v>72</v>
      </c>
      <c r="W58" s="58">
        <f t="shared" si="2"/>
        <v>4134</v>
      </c>
      <c r="X58">
        <v>627</v>
      </c>
      <c r="Y58">
        <v>36</v>
      </c>
      <c r="Z58">
        <v>1083</v>
      </c>
      <c r="AA58">
        <v>72</v>
      </c>
      <c r="AB58">
        <v>35</v>
      </c>
      <c r="AC58">
        <v>45</v>
      </c>
      <c r="AD58">
        <v>6</v>
      </c>
      <c r="AE58">
        <v>136</v>
      </c>
      <c r="AF58">
        <v>68</v>
      </c>
      <c r="AG58">
        <v>93</v>
      </c>
      <c r="AH58">
        <v>69</v>
      </c>
      <c r="AI58">
        <v>3.93</v>
      </c>
    </row>
    <row r="59" spans="1:35" x14ac:dyDescent="0.5">
      <c r="A59" s="35">
        <v>2001</v>
      </c>
      <c r="B59" t="s">
        <v>151</v>
      </c>
      <c r="C59" t="s">
        <v>149</v>
      </c>
      <c r="D59">
        <v>532</v>
      </c>
      <c r="E59">
        <v>162</v>
      </c>
      <c r="F59">
        <v>1</v>
      </c>
      <c r="G59">
        <v>6</v>
      </c>
      <c r="H59">
        <v>161</v>
      </c>
      <c r="I59">
        <v>30</v>
      </c>
      <c r="J59">
        <v>1423.2</v>
      </c>
      <c r="K59">
        <v>1513</v>
      </c>
      <c r="L59">
        <v>887</v>
      </c>
      <c r="M59" s="58">
        <f t="shared" si="0"/>
        <v>2001</v>
      </c>
      <c r="N59" s="58" t="s">
        <v>92</v>
      </c>
      <c r="O59" s="58" t="str">
        <f t="shared" si="3"/>
        <v>2001 Tampa Bay Devil Rays</v>
      </c>
      <c r="P59" s="58">
        <v>6288</v>
      </c>
      <c r="Q59" s="58">
        <f t="shared" si="1"/>
        <v>965</v>
      </c>
      <c r="R59" s="58">
        <v>312</v>
      </c>
      <c r="S59" s="58">
        <v>29</v>
      </c>
      <c r="T59" s="58">
        <v>207</v>
      </c>
      <c r="U59" s="58">
        <v>569</v>
      </c>
      <c r="V59" s="58">
        <v>75</v>
      </c>
      <c r="W59" s="58">
        <f t="shared" si="2"/>
        <v>4131</v>
      </c>
      <c r="X59">
        <v>780</v>
      </c>
      <c r="Y59">
        <v>21</v>
      </c>
      <c r="Z59">
        <v>1030</v>
      </c>
      <c r="AA59">
        <v>36</v>
      </c>
      <c r="AB59">
        <v>64</v>
      </c>
      <c r="AC59">
        <v>75</v>
      </c>
      <c r="AD59">
        <v>7</v>
      </c>
      <c r="AE59">
        <v>115</v>
      </c>
      <c r="AF59">
        <v>93</v>
      </c>
      <c r="AG59">
        <v>62</v>
      </c>
      <c r="AH59">
        <v>100</v>
      </c>
      <c r="AI59">
        <v>4.93</v>
      </c>
    </row>
    <row r="60" spans="1:35" x14ac:dyDescent="0.5">
      <c r="A60" s="35">
        <v>2001</v>
      </c>
      <c r="B60" t="s">
        <v>95</v>
      </c>
      <c r="C60" t="s">
        <v>149</v>
      </c>
      <c r="D60">
        <v>572</v>
      </c>
      <c r="E60">
        <v>162</v>
      </c>
      <c r="F60">
        <v>4</v>
      </c>
      <c r="G60">
        <v>3</v>
      </c>
      <c r="H60">
        <v>158</v>
      </c>
      <c r="I60">
        <v>37</v>
      </c>
      <c r="J60">
        <v>1438.1</v>
      </c>
      <c r="K60">
        <v>1670</v>
      </c>
      <c r="L60">
        <v>968</v>
      </c>
      <c r="M60" s="58">
        <f t="shared" si="0"/>
        <v>2001</v>
      </c>
      <c r="N60" s="58" t="s">
        <v>94</v>
      </c>
      <c r="O60" s="58" t="str">
        <f t="shared" si="3"/>
        <v>2001 Texas Rangers</v>
      </c>
      <c r="P60" s="58">
        <v>6469</v>
      </c>
      <c r="Q60" s="58">
        <f t="shared" si="1"/>
        <v>1010</v>
      </c>
      <c r="R60" s="58">
        <v>391</v>
      </c>
      <c r="S60" s="58">
        <v>47</v>
      </c>
      <c r="T60" s="58">
        <v>222</v>
      </c>
      <c r="U60" s="58">
        <v>596</v>
      </c>
      <c r="V60" s="58">
        <v>63</v>
      </c>
      <c r="W60" s="58">
        <f t="shared" si="2"/>
        <v>4140</v>
      </c>
      <c r="X60">
        <v>913</v>
      </c>
      <c r="Y60">
        <v>33</v>
      </c>
      <c r="Z60">
        <v>951</v>
      </c>
      <c r="AA60">
        <v>30</v>
      </c>
      <c r="AB60">
        <v>73</v>
      </c>
      <c r="AC60">
        <v>70</v>
      </c>
      <c r="AD60">
        <v>9</v>
      </c>
      <c r="AE60">
        <v>146</v>
      </c>
      <c r="AF60">
        <v>78</v>
      </c>
      <c r="AG60">
        <v>73</v>
      </c>
      <c r="AH60">
        <v>89</v>
      </c>
      <c r="AI60">
        <v>5.71</v>
      </c>
    </row>
    <row r="61" spans="1:35" x14ac:dyDescent="0.5">
      <c r="A61" s="35">
        <v>2001</v>
      </c>
      <c r="B61" t="s">
        <v>97</v>
      </c>
      <c r="C61" t="s">
        <v>149</v>
      </c>
      <c r="D61">
        <v>633</v>
      </c>
      <c r="E61">
        <v>162</v>
      </c>
      <c r="F61">
        <v>7</v>
      </c>
      <c r="G61">
        <v>10</v>
      </c>
      <c r="H61">
        <v>155</v>
      </c>
      <c r="I61">
        <v>41</v>
      </c>
      <c r="J61">
        <v>1462.2</v>
      </c>
      <c r="K61">
        <v>1553</v>
      </c>
      <c r="L61">
        <v>753</v>
      </c>
      <c r="M61" s="58">
        <f t="shared" si="0"/>
        <v>2001</v>
      </c>
      <c r="N61" s="58" t="s">
        <v>96</v>
      </c>
      <c r="O61" s="58" t="str">
        <f t="shared" si="3"/>
        <v>2001 Toronto Blue Jays</v>
      </c>
      <c r="P61" s="58">
        <v>6305</v>
      </c>
      <c r="Q61" s="58">
        <f t="shared" si="1"/>
        <v>1005</v>
      </c>
      <c r="R61" s="58">
        <v>357</v>
      </c>
      <c r="S61" s="58">
        <v>26</v>
      </c>
      <c r="T61" s="58">
        <v>165</v>
      </c>
      <c r="U61" s="58">
        <v>490</v>
      </c>
      <c r="V61" s="58">
        <v>76</v>
      </c>
      <c r="W61" s="58">
        <f t="shared" si="2"/>
        <v>4186</v>
      </c>
      <c r="X61">
        <v>696</v>
      </c>
      <c r="Y61">
        <v>60</v>
      </c>
      <c r="Z61">
        <v>1041</v>
      </c>
      <c r="AA61">
        <v>47</v>
      </c>
      <c r="AB61">
        <v>43</v>
      </c>
      <c r="AC61">
        <v>33</v>
      </c>
      <c r="AD61">
        <v>8</v>
      </c>
      <c r="AE61">
        <v>159</v>
      </c>
      <c r="AF61">
        <v>65</v>
      </c>
      <c r="AG61">
        <v>80</v>
      </c>
      <c r="AH61">
        <v>82</v>
      </c>
      <c r="AI61">
        <v>4.28</v>
      </c>
    </row>
    <row r="62" spans="1:35" x14ac:dyDescent="0.5">
      <c r="A62" s="35">
        <v>2002</v>
      </c>
      <c r="B62" t="s">
        <v>37</v>
      </c>
      <c r="C62" t="s">
        <v>149</v>
      </c>
      <c r="D62">
        <v>562</v>
      </c>
      <c r="E62">
        <v>162</v>
      </c>
      <c r="F62">
        <v>7</v>
      </c>
      <c r="G62">
        <v>14</v>
      </c>
      <c r="H62">
        <v>155</v>
      </c>
      <c r="I62">
        <v>54</v>
      </c>
      <c r="J62">
        <v>1452.1</v>
      </c>
      <c r="K62">
        <v>1345</v>
      </c>
      <c r="L62">
        <v>644</v>
      </c>
      <c r="M62" s="58">
        <f t="shared" si="0"/>
        <v>2002</v>
      </c>
      <c r="N62" s="58" t="s">
        <v>36</v>
      </c>
      <c r="O62" s="58" t="str">
        <f t="shared" si="3"/>
        <v>2002 Anaheim Angels</v>
      </c>
      <c r="P62" s="58">
        <v>6097</v>
      </c>
      <c r="Q62" s="58">
        <f t="shared" si="1"/>
        <v>909</v>
      </c>
      <c r="R62" s="58">
        <v>248</v>
      </c>
      <c r="S62" s="58">
        <v>19</v>
      </c>
      <c r="T62" s="58">
        <v>169</v>
      </c>
      <c r="U62" s="58">
        <v>509</v>
      </c>
      <c r="V62" s="58">
        <v>49</v>
      </c>
      <c r="W62" s="58">
        <f t="shared" si="2"/>
        <v>4194</v>
      </c>
      <c r="X62">
        <v>595</v>
      </c>
      <c r="Y62">
        <v>24</v>
      </c>
      <c r="Z62">
        <v>999</v>
      </c>
      <c r="AA62">
        <v>27</v>
      </c>
      <c r="AB62">
        <v>59</v>
      </c>
      <c r="AC62">
        <v>52</v>
      </c>
      <c r="AD62">
        <v>7</v>
      </c>
      <c r="AE62">
        <v>126</v>
      </c>
      <c r="AF62">
        <v>61</v>
      </c>
      <c r="AG62">
        <v>99</v>
      </c>
      <c r="AH62">
        <v>63</v>
      </c>
      <c r="AI62">
        <v>3.69</v>
      </c>
    </row>
    <row r="63" spans="1:35" x14ac:dyDescent="0.5">
      <c r="A63" s="35">
        <v>2002</v>
      </c>
      <c r="B63" t="s">
        <v>40</v>
      </c>
      <c r="C63" t="s">
        <v>38</v>
      </c>
      <c r="D63">
        <v>584</v>
      </c>
      <c r="E63">
        <v>162</v>
      </c>
      <c r="F63">
        <v>14</v>
      </c>
      <c r="G63">
        <v>10</v>
      </c>
      <c r="H63">
        <v>148</v>
      </c>
      <c r="I63">
        <v>40</v>
      </c>
      <c r="J63">
        <v>1446.2</v>
      </c>
      <c r="K63">
        <v>1361</v>
      </c>
      <c r="L63">
        <v>674</v>
      </c>
      <c r="M63" s="58">
        <f t="shared" si="0"/>
        <v>2002</v>
      </c>
      <c r="N63" s="58" t="s">
        <v>39</v>
      </c>
      <c r="O63" s="58" t="str">
        <f t="shared" si="3"/>
        <v>2002 Arizona Diamondbacks</v>
      </c>
      <c r="P63" s="58">
        <v>6067</v>
      </c>
      <c r="Q63" s="58">
        <f t="shared" si="1"/>
        <v>907</v>
      </c>
      <c r="R63" s="58">
        <v>252</v>
      </c>
      <c r="S63" s="58">
        <v>32</v>
      </c>
      <c r="T63" s="58">
        <v>170</v>
      </c>
      <c r="U63" s="58">
        <v>421</v>
      </c>
      <c r="V63" s="58">
        <v>54</v>
      </c>
      <c r="W63" s="58">
        <f t="shared" si="2"/>
        <v>4231</v>
      </c>
      <c r="X63">
        <v>631</v>
      </c>
      <c r="Y63">
        <v>30</v>
      </c>
      <c r="Z63">
        <v>1303</v>
      </c>
      <c r="AA63">
        <v>45</v>
      </c>
      <c r="AB63">
        <v>36</v>
      </c>
      <c r="AC63">
        <v>48</v>
      </c>
      <c r="AD63">
        <v>11</v>
      </c>
      <c r="AE63">
        <v>97</v>
      </c>
      <c r="AF63">
        <v>63</v>
      </c>
      <c r="AG63">
        <v>98</v>
      </c>
      <c r="AH63">
        <v>64</v>
      </c>
      <c r="AI63">
        <v>3.93</v>
      </c>
    </row>
    <row r="64" spans="1:35" x14ac:dyDescent="0.5">
      <c r="A64" s="35">
        <v>2002</v>
      </c>
      <c r="B64" t="s">
        <v>42</v>
      </c>
      <c r="C64" t="s">
        <v>38</v>
      </c>
      <c r="D64">
        <v>630</v>
      </c>
      <c r="E64">
        <v>161</v>
      </c>
      <c r="F64">
        <v>3</v>
      </c>
      <c r="G64">
        <v>15</v>
      </c>
      <c r="H64">
        <v>158</v>
      </c>
      <c r="I64">
        <v>57</v>
      </c>
      <c r="J64">
        <v>1467.1</v>
      </c>
      <c r="K64">
        <v>1302</v>
      </c>
      <c r="L64">
        <v>565</v>
      </c>
      <c r="M64" s="58">
        <f t="shared" si="0"/>
        <v>2002</v>
      </c>
      <c r="N64" s="58" t="s">
        <v>41</v>
      </c>
      <c r="O64" s="58" t="str">
        <f t="shared" si="3"/>
        <v>2002 Atlanta Braves</v>
      </c>
      <c r="P64" s="58">
        <v>6131</v>
      </c>
      <c r="Q64" s="58">
        <f t="shared" si="1"/>
        <v>907</v>
      </c>
      <c r="R64" s="58">
        <v>240</v>
      </c>
      <c r="S64" s="58">
        <v>32</v>
      </c>
      <c r="T64" s="58">
        <v>123</v>
      </c>
      <c r="U64" s="58">
        <v>554</v>
      </c>
      <c r="V64" s="58">
        <v>42</v>
      </c>
      <c r="W64" s="58">
        <f t="shared" si="2"/>
        <v>4233</v>
      </c>
      <c r="X64">
        <v>511</v>
      </c>
      <c r="Y64">
        <v>63</v>
      </c>
      <c r="Z64">
        <v>1058</v>
      </c>
      <c r="AA64">
        <v>74</v>
      </c>
      <c r="AB64">
        <v>32</v>
      </c>
      <c r="AC64">
        <v>40</v>
      </c>
      <c r="AD64">
        <v>4</v>
      </c>
      <c r="AE64">
        <v>155</v>
      </c>
      <c r="AF64">
        <v>80</v>
      </c>
      <c r="AG64">
        <v>101</v>
      </c>
      <c r="AH64">
        <v>59</v>
      </c>
      <c r="AI64">
        <v>3.13</v>
      </c>
    </row>
    <row r="65" spans="1:35" x14ac:dyDescent="0.5">
      <c r="A65" s="35">
        <v>2002</v>
      </c>
      <c r="B65" t="s">
        <v>45</v>
      </c>
      <c r="C65" t="s">
        <v>149</v>
      </c>
      <c r="D65">
        <v>569</v>
      </c>
      <c r="E65">
        <v>162</v>
      </c>
      <c r="F65">
        <v>8</v>
      </c>
      <c r="G65">
        <v>3</v>
      </c>
      <c r="H65">
        <v>154</v>
      </c>
      <c r="I65">
        <v>31</v>
      </c>
      <c r="J65">
        <v>1450.2</v>
      </c>
      <c r="K65">
        <v>1491</v>
      </c>
      <c r="L65">
        <v>773</v>
      </c>
      <c r="M65" s="58">
        <f t="shared" si="0"/>
        <v>2002</v>
      </c>
      <c r="N65" s="58" t="s">
        <v>44</v>
      </c>
      <c r="O65" s="58" t="str">
        <f t="shared" si="3"/>
        <v>2002 Baltimore Orioles</v>
      </c>
      <c r="P65" s="58">
        <v>6258</v>
      </c>
      <c r="Q65" s="58">
        <f t="shared" si="1"/>
        <v>992</v>
      </c>
      <c r="R65" s="58">
        <v>265</v>
      </c>
      <c r="S65" s="58">
        <v>26</v>
      </c>
      <c r="T65" s="58">
        <v>208</v>
      </c>
      <c r="U65" s="58">
        <v>549</v>
      </c>
      <c r="V65" s="58">
        <v>54</v>
      </c>
      <c r="W65" s="58">
        <f t="shared" si="2"/>
        <v>4164</v>
      </c>
      <c r="X65">
        <v>719</v>
      </c>
      <c r="Y65">
        <v>34</v>
      </c>
      <c r="Z65">
        <v>967</v>
      </c>
      <c r="AA65">
        <v>20</v>
      </c>
      <c r="AB65">
        <v>38</v>
      </c>
      <c r="AC65">
        <v>54</v>
      </c>
      <c r="AD65">
        <v>1</v>
      </c>
      <c r="AE65">
        <v>145</v>
      </c>
      <c r="AF65">
        <v>49</v>
      </c>
      <c r="AG65">
        <v>67</v>
      </c>
      <c r="AH65">
        <v>95</v>
      </c>
      <c r="AI65">
        <v>4.46</v>
      </c>
    </row>
    <row r="66" spans="1:35" x14ac:dyDescent="0.5">
      <c r="A66" s="35">
        <v>2002</v>
      </c>
      <c r="B66" t="s">
        <v>47</v>
      </c>
      <c r="C66" t="s">
        <v>149</v>
      </c>
      <c r="D66">
        <v>500</v>
      </c>
      <c r="E66">
        <v>162</v>
      </c>
      <c r="F66">
        <v>5</v>
      </c>
      <c r="G66">
        <v>17</v>
      </c>
      <c r="H66">
        <v>157</v>
      </c>
      <c r="I66">
        <v>51</v>
      </c>
      <c r="J66">
        <v>1446</v>
      </c>
      <c r="K66">
        <v>1339</v>
      </c>
      <c r="L66">
        <v>665</v>
      </c>
      <c r="M66" s="58">
        <f t="shared" ref="M66:M129" si="4">A66</f>
        <v>2002</v>
      </c>
      <c r="N66" s="58" t="s">
        <v>46</v>
      </c>
      <c r="O66" s="58" t="str">
        <f t="shared" si="3"/>
        <v>2002 Boston Red Sox</v>
      </c>
      <c r="P66" s="58">
        <v>6049</v>
      </c>
      <c r="Q66" s="58">
        <f t="shared" ref="Q66:Q129" si="5">K66-(R66+S66+T66)</f>
        <v>892</v>
      </c>
      <c r="R66" s="58">
        <v>277</v>
      </c>
      <c r="S66" s="58">
        <v>24</v>
      </c>
      <c r="T66" s="58">
        <v>146</v>
      </c>
      <c r="U66" s="58">
        <v>430</v>
      </c>
      <c r="V66" s="58">
        <v>84</v>
      </c>
      <c r="W66" s="58">
        <f t="shared" ref="W66:W129" si="6">P66-(K66+U66+V66)</f>
        <v>4196</v>
      </c>
      <c r="X66">
        <v>603</v>
      </c>
      <c r="Y66">
        <v>29</v>
      </c>
      <c r="Z66">
        <v>1157</v>
      </c>
      <c r="AA66">
        <v>30</v>
      </c>
      <c r="AB66">
        <v>52</v>
      </c>
      <c r="AC66">
        <v>31</v>
      </c>
      <c r="AD66">
        <v>6</v>
      </c>
      <c r="AE66">
        <v>119</v>
      </c>
      <c r="AF66">
        <v>69</v>
      </c>
      <c r="AG66">
        <v>93</v>
      </c>
      <c r="AH66">
        <v>69</v>
      </c>
      <c r="AI66">
        <v>3.75</v>
      </c>
    </row>
    <row r="67" spans="1:35" x14ac:dyDescent="0.5">
      <c r="A67" s="35">
        <v>2002</v>
      </c>
      <c r="B67" t="s">
        <v>143</v>
      </c>
      <c r="C67" t="s">
        <v>38</v>
      </c>
      <c r="D67">
        <v>552</v>
      </c>
      <c r="E67">
        <v>162</v>
      </c>
      <c r="F67">
        <v>11</v>
      </c>
      <c r="G67">
        <v>9</v>
      </c>
      <c r="H67">
        <v>151</v>
      </c>
      <c r="I67">
        <v>23</v>
      </c>
      <c r="J67">
        <v>1441.1</v>
      </c>
      <c r="K67">
        <v>1373</v>
      </c>
      <c r="L67">
        <v>759</v>
      </c>
      <c r="M67" s="58">
        <f t="shared" si="4"/>
        <v>2002</v>
      </c>
      <c r="N67" s="58" t="s">
        <v>50</v>
      </c>
      <c r="O67" s="58" t="str">
        <f t="shared" ref="O67:O130" si="7">M67&amp;" "&amp;N67</f>
        <v>2002 Chicago Cubs</v>
      </c>
      <c r="P67" s="58">
        <v>6236</v>
      </c>
      <c r="Q67" s="58">
        <f t="shared" si="5"/>
        <v>902</v>
      </c>
      <c r="R67" s="58">
        <v>274</v>
      </c>
      <c r="S67" s="58">
        <v>30</v>
      </c>
      <c r="T67" s="58">
        <v>167</v>
      </c>
      <c r="U67" s="58">
        <v>606</v>
      </c>
      <c r="V67" s="58">
        <v>58</v>
      </c>
      <c r="W67" s="58">
        <f t="shared" si="6"/>
        <v>4199</v>
      </c>
      <c r="X67">
        <v>687</v>
      </c>
      <c r="Y67">
        <v>53</v>
      </c>
      <c r="Z67">
        <v>1333</v>
      </c>
      <c r="AA67">
        <v>85</v>
      </c>
      <c r="AB67">
        <v>57</v>
      </c>
      <c r="AC67">
        <v>44</v>
      </c>
      <c r="AD67">
        <v>2</v>
      </c>
      <c r="AE67">
        <v>117</v>
      </c>
      <c r="AF67">
        <v>87</v>
      </c>
      <c r="AG67">
        <v>67</v>
      </c>
      <c r="AH67">
        <v>95</v>
      </c>
      <c r="AI67">
        <v>4.29</v>
      </c>
    </row>
    <row r="68" spans="1:35" x14ac:dyDescent="0.5">
      <c r="A68" s="35">
        <v>2002</v>
      </c>
      <c r="B68" t="s">
        <v>143</v>
      </c>
      <c r="C68" t="s">
        <v>149</v>
      </c>
      <c r="D68">
        <v>585</v>
      </c>
      <c r="E68">
        <v>162</v>
      </c>
      <c r="F68">
        <v>7</v>
      </c>
      <c r="G68">
        <v>7</v>
      </c>
      <c r="H68">
        <v>155</v>
      </c>
      <c r="I68">
        <v>35</v>
      </c>
      <c r="J68">
        <v>1423</v>
      </c>
      <c r="K68">
        <v>1422</v>
      </c>
      <c r="L68">
        <v>798</v>
      </c>
      <c r="M68" s="58">
        <f t="shared" si="4"/>
        <v>2002</v>
      </c>
      <c r="N68" s="58" t="s">
        <v>48</v>
      </c>
      <c r="O68" s="58" t="str">
        <f t="shared" si="7"/>
        <v>2002 Chicago White Sox</v>
      </c>
      <c r="P68" s="58">
        <v>6131</v>
      </c>
      <c r="Q68" s="58">
        <f t="shared" si="5"/>
        <v>929</v>
      </c>
      <c r="R68" s="58">
        <v>287</v>
      </c>
      <c r="S68" s="58">
        <v>16</v>
      </c>
      <c r="T68" s="58">
        <v>190</v>
      </c>
      <c r="U68" s="58">
        <v>528</v>
      </c>
      <c r="V68" s="58">
        <v>60</v>
      </c>
      <c r="W68" s="58">
        <f t="shared" si="6"/>
        <v>4121</v>
      </c>
      <c r="X68">
        <v>716</v>
      </c>
      <c r="Y68">
        <v>31</v>
      </c>
      <c r="Z68">
        <v>945</v>
      </c>
      <c r="AA68">
        <v>41</v>
      </c>
      <c r="AB68">
        <v>43</v>
      </c>
      <c r="AC68">
        <v>54</v>
      </c>
      <c r="AD68">
        <v>6</v>
      </c>
      <c r="AE68">
        <v>137</v>
      </c>
      <c r="AF68">
        <v>74</v>
      </c>
      <c r="AG68">
        <v>81</v>
      </c>
      <c r="AH68">
        <v>81</v>
      </c>
      <c r="AI68">
        <v>4.53</v>
      </c>
    </row>
    <row r="69" spans="1:35" x14ac:dyDescent="0.5">
      <c r="A69" s="35">
        <v>2002</v>
      </c>
      <c r="B69" t="s">
        <v>53</v>
      </c>
      <c r="C69" t="s">
        <v>38</v>
      </c>
      <c r="D69">
        <v>624</v>
      </c>
      <c r="E69">
        <v>162</v>
      </c>
      <c r="F69">
        <v>2</v>
      </c>
      <c r="G69">
        <v>8</v>
      </c>
      <c r="H69">
        <v>160</v>
      </c>
      <c r="I69">
        <v>42</v>
      </c>
      <c r="J69">
        <v>1453.2</v>
      </c>
      <c r="K69">
        <v>1502</v>
      </c>
      <c r="L69">
        <v>774</v>
      </c>
      <c r="M69" s="58">
        <f t="shared" si="4"/>
        <v>2002</v>
      </c>
      <c r="N69" s="58" t="s">
        <v>52</v>
      </c>
      <c r="O69" s="58" t="str">
        <f t="shared" si="7"/>
        <v>2002 Cincinnati Reds</v>
      </c>
      <c r="P69" s="58">
        <v>6296</v>
      </c>
      <c r="Q69" s="58">
        <f t="shared" si="5"/>
        <v>1000</v>
      </c>
      <c r="R69" s="58">
        <v>301</v>
      </c>
      <c r="S69" s="58">
        <v>28</v>
      </c>
      <c r="T69" s="58">
        <v>173</v>
      </c>
      <c r="U69" s="58">
        <v>550</v>
      </c>
      <c r="V69" s="58">
        <v>56</v>
      </c>
      <c r="W69" s="58">
        <f t="shared" si="6"/>
        <v>4188</v>
      </c>
      <c r="X69">
        <v>690</v>
      </c>
      <c r="Y69">
        <v>63</v>
      </c>
      <c r="Z69">
        <v>980</v>
      </c>
      <c r="AA69">
        <v>62</v>
      </c>
      <c r="AB69">
        <v>43</v>
      </c>
      <c r="AC69">
        <v>52</v>
      </c>
      <c r="AD69">
        <v>2</v>
      </c>
      <c r="AE69">
        <v>140</v>
      </c>
      <c r="AF69">
        <v>76</v>
      </c>
      <c r="AG69">
        <v>78</v>
      </c>
      <c r="AH69">
        <v>84</v>
      </c>
      <c r="AI69">
        <v>4.2699999999999996</v>
      </c>
    </row>
    <row r="70" spans="1:35" x14ac:dyDescent="0.5">
      <c r="A70" s="35">
        <v>2002</v>
      </c>
      <c r="B70" t="s">
        <v>55</v>
      </c>
      <c r="C70" t="s">
        <v>149</v>
      </c>
      <c r="D70">
        <v>583</v>
      </c>
      <c r="E70">
        <v>162</v>
      </c>
      <c r="F70">
        <v>9</v>
      </c>
      <c r="G70">
        <v>4</v>
      </c>
      <c r="H70">
        <v>153</v>
      </c>
      <c r="I70">
        <v>34</v>
      </c>
      <c r="J70">
        <v>1424.2</v>
      </c>
      <c r="K70">
        <v>1508</v>
      </c>
      <c r="L70">
        <v>837</v>
      </c>
      <c r="M70" s="58">
        <f t="shared" si="4"/>
        <v>2002</v>
      </c>
      <c r="N70" s="58" t="s">
        <v>54</v>
      </c>
      <c r="O70" s="58" t="str">
        <f t="shared" si="7"/>
        <v>2002 Cleveland Indians</v>
      </c>
      <c r="P70" s="58">
        <v>6271</v>
      </c>
      <c r="Q70" s="58">
        <f t="shared" si="5"/>
        <v>1014</v>
      </c>
      <c r="R70" s="58">
        <v>311</v>
      </c>
      <c r="S70" s="58">
        <v>41</v>
      </c>
      <c r="T70" s="58">
        <v>142</v>
      </c>
      <c r="U70" s="58">
        <v>603</v>
      </c>
      <c r="V70" s="58">
        <v>57</v>
      </c>
      <c r="W70" s="58">
        <f t="shared" si="6"/>
        <v>4103</v>
      </c>
      <c r="X70">
        <v>777</v>
      </c>
      <c r="Y70">
        <v>38</v>
      </c>
      <c r="Z70">
        <v>1058</v>
      </c>
      <c r="AA70">
        <v>39</v>
      </c>
      <c r="AB70">
        <v>66</v>
      </c>
      <c r="AC70">
        <v>52</v>
      </c>
      <c r="AD70">
        <v>8</v>
      </c>
      <c r="AE70">
        <v>131</v>
      </c>
      <c r="AF70">
        <v>67</v>
      </c>
      <c r="AG70">
        <v>74</v>
      </c>
      <c r="AH70">
        <v>88</v>
      </c>
      <c r="AI70">
        <v>4.91</v>
      </c>
    </row>
    <row r="71" spans="1:35" x14ac:dyDescent="0.5">
      <c r="A71" s="35">
        <v>2002</v>
      </c>
      <c r="B71" t="s">
        <v>57</v>
      </c>
      <c r="C71" t="s">
        <v>38</v>
      </c>
      <c r="D71">
        <v>668</v>
      </c>
      <c r="E71">
        <v>162</v>
      </c>
      <c r="F71">
        <v>1</v>
      </c>
      <c r="G71">
        <v>8</v>
      </c>
      <c r="H71">
        <v>161</v>
      </c>
      <c r="I71">
        <v>43</v>
      </c>
      <c r="J71">
        <v>1426.2</v>
      </c>
      <c r="K71">
        <v>1554</v>
      </c>
      <c r="L71">
        <v>898</v>
      </c>
      <c r="M71" s="58">
        <f t="shared" si="4"/>
        <v>2002</v>
      </c>
      <c r="N71" s="58" t="s">
        <v>56</v>
      </c>
      <c r="O71" s="58" t="str">
        <f t="shared" si="7"/>
        <v>2002 Colorado Rockies</v>
      </c>
      <c r="P71" s="58">
        <v>6345</v>
      </c>
      <c r="Q71" s="58">
        <f t="shared" si="5"/>
        <v>984</v>
      </c>
      <c r="R71" s="58">
        <v>306</v>
      </c>
      <c r="S71" s="58">
        <v>39</v>
      </c>
      <c r="T71" s="58">
        <v>225</v>
      </c>
      <c r="U71" s="58">
        <v>582</v>
      </c>
      <c r="V71" s="58">
        <v>64</v>
      </c>
      <c r="W71" s="58">
        <f t="shared" si="6"/>
        <v>4145</v>
      </c>
      <c r="X71">
        <v>825</v>
      </c>
      <c r="Y71">
        <v>49</v>
      </c>
      <c r="Z71">
        <v>920</v>
      </c>
      <c r="AA71">
        <v>49</v>
      </c>
      <c r="AB71">
        <v>47</v>
      </c>
      <c r="AC71">
        <v>42</v>
      </c>
      <c r="AD71">
        <v>6</v>
      </c>
      <c r="AE71">
        <v>136</v>
      </c>
      <c r="AF71">
        <v>79</v>
      </c>
      <c r="AG71">
        <v>73</v>
      </c>
      <c r="AH71">
        <v>89</v>
      </c>
      <c r="AI71">
        <v>5.2</v>
      </c>
    </row>
    <row r="72" spans="1:35" x14ac:dyDescent="0.5">
      <c r="A72" s="35">
        <v>2002</v>
      </c>
      <c r="B72" t="s">
        <v>59</v>
      </c>
      <c r="C72" t="s">
        <v>149</v>
      </c>
      <c r="D72">
        <v>533</v>
      </c>
      <c r="E72">
        <v>161</v>
      </c>
      <c r="F72">
        <v>11</v>
      </c>
      <c r="G72">
        <v>7</v>
      </c>
      <c r="H72">
        <v>150</v>
      </c>
      <c r="I72">
        <v>33</v>
      </c>
      <c r="J72">
        <v>1414</v>
      </c>
      <c r="K72">
        <v>1593</v>
      </c>
      <c r="L72">
        <v>864</v>
      </c>
      <c r="M72" s="58">
        <f t="shared" si="4"/>
        <v>2002</v>
      </c>
      <c r="N72" s="58" t="s">
        <v>58</v>
      </c>
      <c r="O72" s="58" t="str">
        <f t="shared" si="7"/>
        <v>2002 Detroit Tigers</v>
      </c>
      <c r="P72" s="58">
        <v>6215</v>
      </c>
      <c r="Q72" s="58">
        <f t="shared" si="5"/>
        <v>1027</v>
      </c>
      <c r="R72" s="58">
        <v>345</v>
      </c>
      <c r="S72" s="58">
        <v>58</v>
      </c>
      <c r="T72" s="58">
        <v>163</v>
      </c>
      <c r="U72" s="58">
        <v>463</v>
      </c>
      <c r="V72" s="58">
        <v>62</v>
      </c>
      <c r="W72" s="58">
        <f t="shared" si="6"/>
        <v>4097</v>
      </c>
      <c r="X72">
        <v>773</v>
      </c>
      <c r="Y72">
        <v>34</v>
      </c>
      <c r="Z72">
        <v>794</v>
      </c>
      <c r="AA72">
        <v>44</v>
      </c>
      <c r="AB72">
        <v>53</v>
      </c>
      <c r="AC72">
        <v>59</v>
      </c>
      <c r="AD72">
        <v>8</v>
      </c>
      <c r="AE72">
        <v>119</v>
      </c>
      <c r="AF72">
        <v>84</v>
      </c>
      <c r="AG72">
        <v>55</v>
      </c>
      <c r="AH72">
        <v>106</v>
      </c>
      <c r="AI72">
        <v>4.92</v>
      </c>
    </row>
    <row r="73" spans="1:35" x14ac:dyDescent="0.5">
      <c r="A73" s="35">
        <v>2002</v>
      </c>
      <c r="B73" t="s">
        <v>146</v>
      </c>
      <c r="C73" t="s">
        <v>38</v>
      </c>
      <c r="D73">
        <v>623</v>
      </c>
      <c r="E73">
        <v>162</v>
      </c>
      <c r="F73">
        <v>11</v>
      </c>
      <c r="G73">
        <v>12</v>
      </c>
      <c r="H73">
        <v>151</v>
      </c>
      <c r="I73">
        <v>36</v>
      </c>
      <c r="J73">
        <v>1456.1</v>
      </c>
      <c r="K73">
        <v>1449</v>
      </c>
      <c r="L73">
        <v>763</v>
      </c>
      <c r="M73" s="58">
        <f t="shared" si="4"/>
        <v>2002</v>
      </c>
      <c r="N73" s="58" t="s">
        <v>60</v>
      </c>
      <c r="O73" s="58" t="str">
        <f t="shared" si="7"/>
        <v>2002 Florida Marlins</v>
      </c>
      <c r="P73" s="58">
        <v>6340</v>
      </c>
      <c r="Q73" s="58">
        <f t="shared" si="5"/>
        <v>947</v>
      </c>
      <c r="R73" s="58">
        <v>308</v>
      </c>
      <c r="S73" s="58">
        <v>43</v>
      </c>
      <c r="T73" s="58">
        <v>151</v>
      </c>
      <c r="U73" s="58">
        <v>631</v>
      </c>
      <c r="V73" s="58">
        <v>58</v>
      </c>
      <c r="W73" s="58">
        <f t="shared" si="6"/>
        <v>4202</v>
      </c>
      <c r="X73">
        <v>706</v>
      </c>
      <c r="Y73">
        <v>46</v>
      </c>
      <c r="Z73">
        <v>1104</v>
      </c>
      <c r="AA73">
        <v>73</v>
      </c>
      <c r="AB73">
        <v>45</v>
      </c>
      <c r="AC73">
        <v>55</v>
      </c>
      <c r="AD73">
        <v>7</v>
      </c>
      <c r="AE73">
        <v>134</v>
      </c>
      <c r="AF73">
        <v>77</v>
      </c>
      <c r="AG73">
        <v>79</v>
      </c>
      <c r="AH73">
        <v>83</v>
      </c>
      <c r="AI73">
        <v>4.3600000000000003</v>
      </c>
    </row>
    <row r="74" spans="1:35" x14ac:dyDescent="0.5">
      <c r="A74" s="35">
        <v>2002</v>
      </c>
      <c r="B74" t="s">
        <v>63</v>
      </c>
      <c r="C74" t="s">
        <v>38</v>
      </c>
      <c r="D74">
        <v>642</v>
      </c>
      <c r="E74">
        <v>162</v>
      </c>
      <c r="F74">
        <v>2</v>
      </c>
      <c r="G74">
        <v>11</v>
      </c>
      <c r="H74">
        <v>160</v>
      </c>
      <c r="I74">
        <v>43</v>
      </c>
      <c r="J74">
        <v>1445</v>
      </c>
      <c r="K74">
        <v>1423</v>
      </c>
      <c r="L74">
        <v>695</v>
      </c>
      <c r="M74" s="58">
        <f t="shared" si="4"/>
        <v>2002</v>
      </c>
      <c r="N74" s="58" t="s">
        <v>62</v>
      </c>
      <c r="O74" s="58" t="str">
        <f t="shared" si="7"/>
        <v>2002 Houston Astros</v>
      </c>
      <c r="P74" s="58">
        <v>6205</v>
      </c>
      <c r="Q74" s="58">
        <f t="shared" si="5"/>
        <v>934</v>
      </c>
      <c r="R74" s="58">
        <v>305</v>
      </c>
      <c r="S74" s="58">
        <v>33</v>
      </c>
      <c r="T74" s="58">
        <v>151</v>
      </c>
      <c r="U74" s="58">
        <v>546</v>
      </c>
      <c r="V74" s="58">
        <v>55</v>
      </c>
      <c r="W74" s="58">
        <f t="shared" si="6"/>
        <v>4181</v>
      </c>
      <c r="X74">
        <v>642</v>
      </c>
      <c r="Y74">
        <v>78</v>
      </c>
      <c r="Z74">
        <v>1219</v>
      </c>
      <c r="AA74">
        <v>76</v>
      </c>
      <c r="AB74">
        <v>48</v>
      </c>
      <c r="AC74">
        <v>38</v>
      </c>
      <c r="AD74">
        <v>3</v>
      </c>
      <c r="AE74">
        <v>115</v>
      </c>
      <c r="AF74">
        <v>60</v>
      </c>
      <c r="AG74">
        <v>84</v>
      </c>
      <c r="AH74">
        <v>78</v>
      </c>
      <c r="AI74">
        <v>4</v>
      </c>
    </row>
    <row r="75" spans="1:35" x14ac:dyDescent="0.5">
      <c r="A75" s="35">
        <v>2002</v>
      </c>
      <c r="B75" t="s">
        <v>150</v>
      </c>
      <c r="C75" t="s">
        <v>149</v>
      </c>
      <c r="D75">
        <v>583</v>
      </c>
      <c r="E75">
        <v>162</v>
      </c>
      <c r="F75">
        <v>12</v>
      </c>
      <c r="G75">
        <v>6</v>
      </c>
      <c r="H75">
        <v>150</v>
      </c>
      <c r="I75">
        <v>30</v>
      </c>
      <c r="J75">
        <v>1441</v>
      </c>
      <c r="K75">
        <v>1587</v>
      </c>
      <c r="L75">
        <v>891</v>
      </c>
      <c r="M75" s="58">
        <f t="shared" si="4"/>
        <v>2002</v>
      </c>
      <c r="N75" s="58" t="s">
        <v>64</v>
      </c>
      <c r="O75" s="58" t="str">
        <f t="shared" si="7"/>
        <v>2002 Kansas City Royals</v>
      </c>
      <c r="P75" s="58">
        <v>6386</v>
      </c>
      <c r="Q75" s="58">
        <f t="shared" si="5"/>
        <v>1014</v>
      </c>
      <c r="R75" s="58">
        <v>328</v>
      </c>
      <c r="S75" s="58">
        <v>33</v>
      </c>
      <c r="T75" s="58">
        <v>212</v>
      </c>
      <c r="U75" s="58">
        <v>572</v>
      </c>
      <c r="V75" s="58">
        <v>52</v>
      </c>
      <c r="W75" s="58">
        <f t="shared" si="6"/>
        <v>4175</v>
      </c>
      <c r="X75">
        <v>834</v>
      </c>
      <c r="Y75">
        <v>48</v>
      </c>
      <c r="Z75">
        <v>909</v>
      </c>
      <c r="AA75">
        <v>47</v>
      </c>
      <c r="AB75">
        <v>69</v>
      </c>
      <c r="AC75">
        <v>68</v>
      </c>
      <c r="AD75">
        <v>6</v>
      </c>
      <c r="AE75">
        <v>138</v>
      </c>
      <c r="AF75">
        <v>78</v>
      </c>
      <c r="AG75">
        <v>62</v>
      </c>
      <c r="AH75">
        <v>100</v>
      </c>
      <c r="AI75">
        <v>5.21</v>
      </c>
    </row>
    <row r="76" spans="1:35" x14ac:dyDescent="0.5">
      <c r="A76" s="35">
        <v>2002</v>
      </c>
      <c r="B76" t="s">
        <v>145</v>
      </c>
      <c r="C76" t="s">
        <v>38</v>
      </c>
      <c r="D76">
        <v>585</v>
      </c>
      <c r="E76">
        <v>162</v>
      </c>
      <c r="F76">
        <v>4</v>
      </c>
      <c r="G76">
        <v>15</v>
      </c>
      <c r="H76">
        <v>158</v>
      </c>
      <c r="I76">
        <v>56</v>
      </c>
      <c r="J76">
        <v>1457.2</v>
      </c>
      <c r="K76">
        <v>1311</v>
      </c>
      <c r="L76">
        <v>643</v>
      </c>
      <c r="M76" s="58">
        <f t="shared" si="4"/>
        <v>2002</v>
      </c>
      <c r="N76" s="58" t="s">
        <v>66</v>
      </c>
      <c r="O76" s="58" t="str">
        <f t="shared" si="7"/>
        <v>2002 Los Angeles Dodgers</v>
      </c>
      <c r="P76" s="58">
        <v>6139</v>
      </c>
      <c r="Q76" s="58">
        <f t="shared" si="5"/>
        <v>874</v>
      </c>
      <c r="R76" s="58">
        <v>252</v>
      </c>
      <c r="S76" s="58">
        <v>20</v>
      </c>
      <c r="T76" s="58">
        <v>165</v>
      </c>
      <c r="U76" s="58">
        <v>555</v>
      </c>
      <c r="V76" s="58">
        <v>46</v>
      </c>
      <c r="W76" s="58">
        <f t="shared" si="6"/>
        <v>4227</v>
      </c>
      <c r="X76">
        <v>598</v>
      </c>
      <c r="Y76">
        <v>45</v>
      </c>
      <c r="Z76">
        <v>1132</v>
      </c>
      <c r="AA76">
        <v>71</v>
      </c>
      <c r="AB76">
        <v>38</v>
      </c>
      <c r="AC76">
        <v>33</v>
      </c>
      <c r="AD76">
        <v>3</v>
      </c>
      <c r="AE76">
        <v>114</v>
      </c>
      <c r="AF76">
        <v>63</v>
      </c>
      <c r="AG76">
        <v>92</v>
      </c>
      <c r="AH76">
        <v>70</v>
      </c>
      <c r="AI76">
        <v>3.69</v>
      </c>
    </row>
    <row r="77" spans="1:35" x14ac:dyDescent="0.5">
      <c r="A77" s="35">
        <v>2002</v>
      </c>
      <c r="B77" t="s">
        <v>69</v>
      </c>
      <c r="C77" t="s">
        <v>38</v>
      </c>
      <c r="D77">
        <v>608</v>
      </c>
      <c r="E77">
        <v>162</v>
      </c>
      <c r="F77">
        <v>7</v>
      </c>
      <c r="G77">
        <v>4</v>
      </c>
      <c r="H77">
        <v>155</v>
      </c>
      <c r="I77">
        <v>32</v>
      </c>
      <c r="J77">
        <v>1432.1</v>
      </c>
      <c r="K77">
        <v>1468</v>
      </c>
      <c r="L77">
        <v>821</v>
      </c>
      <c r="M77" s="58">
        <f t="shared" si="4"/>
        <v>2002</v>
      </c>
      <c r="N77" s="58" t="s">
        <v>68</v>
      </c>
      <c r="O77" s="58" t="str">
        <f t="shared" si="7"/>
        <v>2002 Milwaukee Brewers</v>
      </c>
      <c r="P77" s="58">
        <v>6339</v>
      </c>
      <c r="Q77" s="58">
        <f t="shared" si="5"/>
        <v>942</v>
      </c>
      <c r="R77" s="58">
        <v>299</v>
      </c>
      <c r="S77" s="58">
        <v>28</v>
      </c>
      <c r="T77" s="58">
        <v>199</v>
      </c>
      <c r="U77" s="58">
        <v>666</v>
      </c>
      <c r="V77" s="58">
        <v>62</v>
      </c>
      <c r="W77" s="58">
        <f t="shared" si="6"/>
        <v>4143</v>
      </c>
      <c r="X77">
        <v>752</v>
      </c>
      <c r="Y77">
        <v>82</v>
      </c>
      <c r="Z77">
        <v>1026</v>
      </c>
      <c r="AA77">
        <v>93</v>
      </c>
      <c r="AB77">
        <v>45</v>
      </c>
      <c r="AC77">
        <v>64</v>
      </c>
      <c r="AD77">
        <v>8</v>
      </c>
      <c r="AE77">
        <v>129</v>
      </c>
      <c r="AF77">
        <v>71</v>
      </c>
      <c r="AG77">
        <v>56</v>
      </c>
      <c r="AH77">
        <v>106</v>
      </c>
      <c r="AI77">
        <v>4.7300000000000004</v>
      </c>
    </row>
    <row r="78" spans="1:35" x14ac:dyDescent="0.5">
      <c r="A78" s="35">
        <v>2002</v>
      </c>
      <c r="B78" t="s">
        <v>71</v>
      </c>
      <c r="C78" t="s">
        <v>149</v>
      </c>
      <c r="D78">
        <v>596</v>
      </c>
      <c r="E78">
        <v>161</v>
      </c>
      <c r="F78">
        <v>8</v>
      </c>
      <c r="G78">
        <v>9</v>
      </c>
      <c r="H78">
        <v>153</v>
      </c>
      <c r="I78">
        <v>47</v>
      </c>
      <c r="J78">
        <v>1444.2</v>
      </c>
      <c r="K78">
        <v>1454</v>
      </c>
      <c r="L78">
        <v>712</v>
      </c>
      <c r="M78" s="58">
        <f t="shared" si="4"/>
        <v>2002</v>
      </c>
      <c r="N78" s="58" t="s">
        <v>70</v>
      </c>
      <c r="O78" s="58" t="str">
        <f t="shared" si="7"/>
        <v>2002 Minnesota Twins</v>
      </c>
      <c r="P78" s="58">
        <v>6133</v>
      </c>
      <c r="Q78" s="58">
        <f t="shared" si="5"/>
        <v>958</v>
      </c>
      <c r="R78" s="58">
        <v>280</v>
      </c>
      <c r="S78" s="58">
        <v>32</v>
      </c>
      <c r="T78" s="58">
        <v>184</v>
      </c>
      <c r="U78" s="58">
        <v>439</v>
      </c>
      <c r="V78" s="58">
        <v>45</v>
      </c>
      <c r="W78" s="58">
        <f t="shared" si="6"/>
        <v>4195</v>
      </c>
      <c r="X78">
        <v>662</v>
      </c>
      <c r="Y78">
        <v>24</v>
      </c>
      <c r="Z78">
        <v>1026</v>
      </c>
      <c r="AA78">
        <v>30</v>
      </c>
      <c r="AB78">
        <v>41</v>
      </c>
      <c r="AC78">
        <v>62</v>
      </c>
      <c r="AD78">
        <v>3</v>
      </c>
      <c r="AE78">
        <v>112</v>
      </c>
      <c r="AF78">
        <v>46</v>
      </c>
      <c r="AG78">
        <v>94</v>
      </c>
      <c r="AH78">
        <v>67</v>
      </c>
      <c r="AI78">
        <v>4.12</v>
      </c>
    </row>
    <row r="79" spans="1:35" x14ac:dyDescent="0.5">
      <c r="A79" s="35">
        <v>2002</v>
      </c>
      <c r="B79" t="s">
        <v>73</v>
      </c>
      <c r="C79" t="s">
        <v>38</v>
      </c>
      <c r="D79">
        <v>599</v>
      </c>
      <c r="E79">
        <v>162</v>
      </c>
      <c r="F79">
        <v>9</v>
      </c>
      <c r="G79">
        <v>3</v>
      </c>
      <c r="H79">
        <v>153</v>
      </c>
      <c r="I79">
        <v>39</v>
      </c>
      <c r="J79">
        <v>1453</v>
      </c>
      <c r="K79">
        <v>1475</v>
      </c>
      <c r="L79">
        <v>718</v>
      </c>
      <c r="M79" s="58">
        <f t="shared" si="4"/>
        <v>2002</v>
      </c>
      <c r="N79" s="58" t="s">
        <v>72</v>
      </c>
      <c r="O79" s="58" t="str">
        <f t="shared" si="7"/>
        <v>2002 Montreal Expos</v>
      </c>
      <c r="P79" s="58">
        <v>6246</v>
      </c>
      <c r="Q79" s="58">
        <f t="shared" si="5"/>
        <v>968</v>
      </c>
      <c r="R79" s="58">
        <v>305</v>
      </c>
      <c r="S79" s="58">
        <v>37</v>
      </c>
      <c r="T79" s="58">
        <v>165</v>
      </c>
      <c r="U79" s="58">
        <v>508</v>
      </c>
      <c r="V79" s="58">
        <v>46</v>
      </c>
      <c r="W79" s="58">
        <f t="shared" si="6"/>
        <v>4217</v>
      </c>
      <c r="X79">
        <v>642</v>
      </c>
      <c r="Y79">
        <v>80</v>
      </c>
      <c r="Z79">
        <v>1088</v>
      </c>
      <c r="AA79">
        <v>79</v>
      </c>
      <c r="AB79">
        <v>39</v>
      </c>
      <c r="AC79">
        <v>51</v>
      </c>
      <c r="AD79">
        <v>5</v>
      </c>
      <c r="AE79">
        <v>132</v>
      </c>
      <c r="AF79">
        <v>98</v>
      </c>
      <c r="AG79">
        <v>83</v>
      </c>
      <c r="AH79">
        <v>79</v>
      </c>
      <c r="AI79">
        <v>3.98</v>
      </c>
    </row>
    <row r="80" spans="1:35" x14ac:dyDescent="0.5">
      <c r="A80" s="35">
        <v>2002</v>
      </c>
      <c r="B80" t="s">
        <v>144</v>
      </c>
      <c r="C80" t="s">
        <v>38</v>
      </c>
      <c r="D80">
        <v>612</v>
      </c>
      <c r="E80">
        <v>161</v>
      </c>
      <c r="F80">
        <v>9</v>
      </c>
      <c r="G80">
        <v>10</v>
      </c>
      <c r="H80">
        <v>152</v>
      </c>
      <c r="I80">
        <v>36</v>
      </c>
      <c r="J80">
        <v>1442.2</v>
      </c>
      <c r="K80">
        <v>1408</v>
      </c>
      <c r="L80">
        <v>703</v>
      </c>
      <c r="M80" s="58">
        <f t="shared" si="4"/>
        <v>2002</v>
      </c>
      <c r="N80" s="58" t="s">
        <v>76</v>
      </c>
      <c r="O80" s="58" t="str">
        <f t="shared" si="7"/>
        <v>2002 New York Mets</v>
      </c>
      <c r="P80" s="58">
        <v>6212</v>
      </c>
      <c r="Q80" s="58">
        <f t="shared" si="5"/>
        <v>958</v>
      </c>
      <c r="R80" s="58">
        <v>256</v>
      </c>
      <c r="S80" s="58">
        <v>31</v>
      </c>
      <c r="T80" s="58">
        <v>163</v>
      </c>
      <c r="U80" s="58">
        <v>543</v>
      </c>
      <c r="V80" s="58">
        <v>55</v>
      </c>
      <c r="W80" s="58">
        <f t="shared" si="6"/>
        <v>4206</v>
      </c>
      <c r="X80">
        <v>626</v>
      </c>
      <c r="Y80">
        <v>75</v>
      </c>
      <c r="Z80">
        <v>1107</v>
      </c>
      <c r="AA80">
        <v>74</v>
      </c>
      <c r="AB80">
        <v>42</v>
      </c>
      <c r="AC80">
        <v>22</v>
      </c>
      <c r="AD80">
        <v>7</v>
      </c>
      <c r="AE80">
        <v>114</v>
      </c>
      <c r="AF80">
        <v>90</v>
      </c>
      <c r="AG80">
        <v>75</v>
      </c>
      <c r="AH80">
        <v>86</v>
      </c>
      <c r="AI80">
        <v>3.91</v>
      </c>
    </row>
    <row r="81" spans="1:35" x14ac:dyDescent="0.5">
      <c r="A81" s="35">
        <v>2002</v>
      </c>
      <c r="B81" t="s">
        <v>144</v>
      </c>
      <c r="C81" t="s">
        <v>149</v>
      </c>
      <c r="D81">
        <v>495</v>
      </c>
      <c r="E81">
        <v>161</v>
      </c>
      <c r="F81">
        <v>9</v>
      </c>
      <c r="G81">
        <v>11</v>
      </c>
      <c r="H81">
        <v>152</v>
      </c>
      <c r="I81">
        <v>53</v>
      </c>
      <c r="J81">
        <v>1452</v>
      </c>
      <c r="K81">
        <v>1441</v>
      </c>
      <c r="L81">
        <v>697</v>
      </c>
      <c r="M81" s="58">
        <f t="shared" si="4"/>
        <v>2002</v>
      </c>
      <c r="N81" s="58" t="s">
        <v>74</v>
      </c>
      <c r="O81" s="58" t="str">
        <f t="shared" si="7"/>
        <v>2002 New York Yankees</v>
      </c>
      <c r="P81" s="58">
        <v>6159</v>
      </c>
      <c r="Q81" s="58">
        <f t="shared" si="5"/>
        <v>970</v>
      </c>
      <c r="R81" s="58">
        <v>301</v>
      </c>
      <c r="S81" s="58">
        <v>26</v>
      </c>
      <c r="T81" s="58">
        <v>144</v>
      </c>
      <c r="U81" s="58">
        <v>403</v>
      </c>
      <c r="V81" s="58">
        <v>48</v>
      </c>
      <c r="W81" s="58">
        <f t="shared" si="6"/>
        <v>4267</v>
      </c>
      <c r="X81">
        <v>625</v>
      </c>
      <c r="Y81">
        <v>44</v>
      </c>
      <c r="Z81">
        <v>1135</v>
      </c>
      <c r="AA81">
        <v>38</v>
      </c>
      <c r="AB81">
        <v>41</v>
      </c>
      <c r="AC81">
        <v>59</v>
      </c>
      <c r="AD81">
        <v>2</v>
      </c>
      <c r="AE81">
        <v>100</v>
      </c>
      <c r="AF81">
        <v>90</v>
      </c>
      <c r="AG81">
        <v>103</v>
      </c>
      <c r="AH81">
        <v>58</v>
      </c>
      <c r="AI81">
        <v>3.87</v>
      </c>
    </row>
    <row r="82" spans="1:35" x14ac:dyDescent="0.5">
      <c r="A82" s="35">
        <v>2002</v>
      </c>
      <c r="B82" t="s">
        <v>79</v>
      </c>
      <c r="C82" t="s">
        <v>149</v>
      </c>
      <c r="D82">
        <v>570</v>
      </c>
      <c r="E82">
        <v>162</v>
      </c>
      <c r="F82">
        <v>9</v>
      </c>
      <c r="G82">
        <v>19</v>
      </c>
      <c r="H82">
        <v>153</v>
      </c>
      <c r="I82">
        <v>48</v>
      </c>
      <c r="J82">
        <v>1452</v>
      </c>
      <c r="K82">
        <v>1391</v>
      </c>
      <c r="L82">
        <v>654</v>
      </c>
      <c r="M82" s="58">
        <f t="shared" si="4"/>
        <v>2002</v>
      </c>
      <c r="N82" s="58" t="s">
        <v>78</v>
      </c>
      <c r="O82" s="58" t="str">
        <f t="shared" si="7"/>
        <v>2002 Oakland Athletics</v>
      </c>
      <c r="P82" s="58">
        <v>6158</v>
      </c>
      <c r="Q82" s="58">
        <f t="shared" si="5"/>
        <v>959</v>
      </c>
      <c r="R82" s="58">
        <v>269</v>
      </c>
      <c r="S82" s="58">
        <v>28</v>
      </c>
      <c r="T82" s="58">
        <v>135</v>
      </c>
      <c r="U82" s="58">
        <v>474</v>
      </c>
      <c r="V82" s="58">
        <v>62</v>
      </c>
      <c r="W82" s="58">
        <f t="shared" si="6"/>
        <v>4231</v>
      </c>
      <c r="X82">
        <v>593</v>
      </c>
      <c r="Y82">
        <v>45</v>
      </c>
      <c r="Z82">
        <v>1021</v>
      </c>
      <c r="AA82">
        <v>50</v>
      </c>
      <c r="AB82">
        <v>42</v>
      </c>
      <c r="AC82">
        <v>40</v>
      </c>
      <c r="AD82">
        <v>9</v>
      </c>
      <c r="AE82">
        <v>127</v>
      </c>
      <c r="AF82">
        <v>70</v>
      </c>
      <c r="AG82">
        <v>103</v>
      </c>
      <c r="AH82">
        <v>59</v>
      </c>
      <c r="AI82">
        <v>3.68</v>
      </c>
    </row>
    <row r="83" spans="1:35" x14ac:dyDescent="0.5">
      <c r="A83" s="35">
        <v>2002</v>
      </c>
      <c r="B83" t="s">
        <v>81</v>
      </c>
      <c r="C83" t="s">
        <v>38</v>
      </c>
      <c r="D83">
        <v>611</v>
      </c>
      <c r="E83">
        <v>161</v>
      </c>
      <c r="F83">
        <v>5</v>
      </c>
      <c r="G83">
        <v>9</v>
      </c>
      <c r="H83">
        <v>156</v>
      </c>
      <c r="I83">
        <v>47</v>
      </c>
      <c r="J83">
        <v>1449.2</v>
      </c>
      <c r="K83">
        <v>1381</v>
      </c>
      <c r="L83">
        <v>724</v>
      </c>
      <c r="M83" s="58">
        <f t="shared" si="4"/>
        <v>2002</v>
      </c>
      <c r="N83" s="58" t="s">
        <v>80</v>
      </c>
      <c r="O83" s="58" t="str">
        <f t="shared" si="7"/>
        <v>2002 Philadelphia Phillies</v>
      </c>
      <c r="P83" s="58">
        <v>6222</v>
      </c>
      <c r="Q83" s="58">
        <f t="shared" si="5"/>
        <v>906</v>
      </c>
      <c r="R83" s="58">
        <v>285</v>
      </c>
      <c r="S83" s="58">
        <v>37</v>
      </c>
      <c r="T83" s="58">
        <v>153</v>
      </c>
      <c r="U83" s="58">
        <v>570</v>
      </c>
      <c r="V83" s="58">
        <v>70</v>
      </c>
      <c r="W83" s="58">
        <f t="shared" si="6"/>
        <v>4201</v>
      </c>
      <c r="X83">
        <v>671</v>
      </c>
      <c r="Y83">
        <v>54</v>
      </c>
      <c r="Z83">
        <v>1075</v>
      </c>
      <c r="AA83">
        <v>66</v>
      </c>
      <c r="AB83">
        <v>34</v>
      </c>
      <c r="AC83">
        <v>68</v>
      </c>
      <c r="AD83">
        <v>5</v>
      </c>
      <c r="AE83">
        <v>134</v>
      </c>
      <c r="AF83">
        <v>64</v>
      </c>
      <c r="AG83">
        <v>80</v>
      </c>
      <c r="AH83">
        <v>81</v>
      </c>
      <c r="AI83">
        <v>4.17</v>
      </c>
    </row>
    <row r="84" spans="1:35" x14ac:dyDescent="0.5">
      <c r="A84" s="35">
        <v>2002</v>
      </c>
      <c r="B84" t="s">
        <v>83</v>
      </c>
      <c r="C84" t="s">
        <v>38</v>
      </c>
      <c r="D84">
        <v>619</v>
      </c>
      <c r="E84">
        <v>161</v>
      </c>
      <c r="F84">
        <v>2</v>
      </c>
      <c r="G84">
        <v>7</v>
      </c>
      <c r="H84">
        <v>159</v>
      </c>
      <c r="I84">
        <v>47</v>
      </c>
      <c r="J84">
        <v>1412.2</v>
      </c>
      <c r="K84">
        <v>1447</v>
      </c>
      <c r="L84">
        <v>730</v>
      </c>
      <c r="M84" s="58">
        <f t="shared" si="4"/>
        <v>2002</v>
      </c>
      <c r="N84" s="58" t="s">
        <v>82</v>
      </c>
      <c r="O84" s="58" t="str">
        <f t="shared" si="7"/>
        <v>2002 Pittsburgh Pirates</v>
      </c>
      <c r="P84" s="58">
        <v>6131</v>
      </c>
      <c r="Q84" s="58">
        <f t="shared" si="5"/>
        <v>963</v>
      </c>
      <c r="R84" s="58">
        <v>290</v>
      </c>
      <c r="S84" s="58">
        <v>31</v>
      </c>
      <c r="T84" s="58">
        <v>163</v>
      </c>
      <c r="U84" s="58">
        <v>572</v>
      </c>
      <c r="V84" s="58">
        <v>55</v>
      </c>
      <c r="W84" s="58">
        <f t="shared" si="6"/>
        <v>4057</v>
      </c>
      <c r="X84">
        <v>664</v>
      </c>
      <c r="Y84">
        <v>93</v>
      </c>
      <c r="Z84">
        <v>920</v>
      </c>
      <c r="AA84">
        <v>60</v>
      </c>
      <c r="AB84">
        <v>35</v>
      </c>
      <c r="AC84">
        <v>34</v>
      </c>
      <c r="AD84">
        <v>5</v>
      </c>
      <c r="AE84">
        <v>146</v>
      </c>
      <c r="AF84">
        <v>78</v>
      </c>
      <c r="AG84">
        <v>72</v>
      </c>
      <c r="AH84">
        <v>89</v>
      </c>
      <c r="AI84">
        <v>4.2300000000000004</v>
      </c>
    </row>
    <row r="85" spans="1:35" x14ac:dyDescent="0.5">
      <c r="A85" s="35">
        <v>2002</v>
      </c>
      <c r="B85" t="s">
        <v>147</v>
      </c>
      <c r="C85" t="s">
        <v>38</v>
      </c>
      <c r="D85">
        <v>621</v>
      </c>
      <c r="E85">
        <v>162</v>
      </c>
      <c r="F85">
        <v>5</v>
      </c>
      <c r="G85">
        <v>10</v>
      </c>
      <c r="H85">
        <v>157</v>
      </c>
      <c r="I85">
        <v>40</v>
      </c>
      <c r="J85">
        <v>1436.1</v>
      </c>
      <c r="K85">
        <v>1522</v>
      </c>
      <c r="L85">
        <v>815</v>
      </c>
      <c r="M85" s="58">
        <f t="shared" si="4"/>
        <v>2002</v>
      </c>
      <c r="N85" s="58" t="s">
        <v>84</v>
      </c>
      <c r="O85" s="58" t="str">
        <f t="shared" si="7"/>
        <v>2002 San Diego Padres</v>
      </c>
      <c r="P85" s="58">
        <v>6333</v>
      </c>
      <c r="Q85" s="58">
        <f t="shared" si="5"/>
        <v>981</v>
      </c>
      <c r="R85" s="58">
        <v>323</v>
      </c>
      <c r="S85" s="58">
        <v>41</v>
      </c>
      <c r="T85" s="58">
        <v>177</v>
      </c>
      <c r="U85" s="58">
        <v>582</v>
      </c>
      <c r="V85" s="58">
        <v>66</v>
      </c>
      <c r="W85" s="58">
        <f t="shared" si="6"/>
        <v>4163</v>
      </c>
      <c r="X85">
        <v>740</v>
      </c>
      <c r="Y85">
        <v>61</v>
      </c>
      <c r="Z85">
        <v>1108</v>
      </c>
      <c r="AA85">
        <v>64</v>
      </c>
      <c r="AB85">
        <v>58</v>
      </c>
      <c r="AC85">
        <v>51</v>
      </c>
      <c r="AD85">
        <v>4</v>
      </c>
      <c r="AE85">
        <v>135</v>
      </c>
      <c r="AF85">
        <v>87</v>
      </c>
      <c r="AG85">
        <v>66</v>
      </c>
      <c r="AH85">
        <v>96</v>
      </c>
      <c r="AI85">
        <v>4.6399999999999997</v>
      </c>
    </row>
    <row r="86" spans="1:35" x14ac:dyDescent="0.5">
      <c r="A86" s="35">
        <v>2002</v>
      </c>
      <c r="B86" t="s">
        <v>87</v>
      </c>
      <c r="C86" t="s">
        <v>149</v>
      </c>
      <c r="D86">
        <v>505</v>
      </c>
      <c r="E86">
        <v>162</v>
      </c>
      <c r="F86">
        <v>8</v>
      </c>
      <c r="G86">
        <v>12</v>
      </c>
      <c r="H86">
        <v>154</v>
      </c>
      <c r="I86">
        <v>43</v>
      </c>
      <c r="J86">
        <v>1445.1</v>
      </c>
      <c r="K86">
        <v>1422</v>
      </c>
      <c r="L86">
        <v>699</v>
      </c>
      <c r="M86" s="58">
        <f t="shared" si="4"/>
        <v>2002</v>
      </c>
      <c r="N86" s="58" t="s">
        <v>86</v>
      </c>
      <c r="O86" s="58" t="str">
        <f t="shared" si="7"/>
        <v>2002 Seattle Mariners</v>
      </c>
      <c r="P86" s="58">
        <v>6117</v>
      </c>
      <c r="Q86" s="58">
        <f t="shared" si="5"/>
        <v>946</v>
      </c>
      <c r="R86" s="58">
        <v>283</v>
      </c>
      <c r="S86" s="58">
        <v>15</v>
      </c>
      <c r="T86" s="58">
        <v>178</v>
      </c>
      <c r="U86" s="58">
        <v>441</v>
      </c>
      <c r="V86" s="58">
        <v>49</v>
      </c>
      <c r="W86" s="58">
        <f t="shared" si="6"/>
        <v>4205</v>
      </c>
      <c r="X86">
        <v>654</v>
      </c>
      <c r="Y86">
        <v>34</v>
      </c>
      <c r="Z86">
        <v>1063</v>
      </c>
      <c r="AA86">
        <v>39</v>
      </c>
      <c r="AB86">
        <v>48</v>
      </c>
      <c r="AC86">
        <v>42</v>
      </c>
      <c r="AD86">
        <v>3</v>
      </c>
      <c r="AE86">
        <v>119</v>
      </c>
      <c r="AF86">
        <v>58</v>
      </c>
      <c r="AG86">
        <v>93</v>
      </c>
      <c r="AH86">
        <v>69</v>
      </c>
      <c r="AI86">
        <v>4.07</v>
      </c>
    </row>
    <row r="87" spans="1:35" x14ac:dyDescent="0.5">
      <c r="A87" s="35">
        <v>2002</v>
      </c>
      <c r="B87" t="s">
        <v>21</v>
      </c>
      <c r="C87" t="s">
        <v>38</v>
      </c>
      <c r="D87">
        <v>579</v>
      </c>
      <c r="E87">
        <v>162</v>
      </c>
      <c r="F87">
        <v>10</v>
      </c>
      <c r="G87">
        <v>13</v>
      </c>
      <c r="H87">
        <v>152</v>
      </c>
      <c r="I87">
        <v>43</v>
      </c>
      <c r="J87">
        <v>1437.1</v>
      </c>
      <c r="K87">
        <v>1349</v>
      </c>
      <c r="L87">
        <v>616</v>
      </c>
      <c r="M87" s="58">
        <f t="shared" si="4"/>
        <v>2002</v>
      </c>
      <c r="N87" s="58" t="s">
        <v>88</v>
      </c>
      <c r="O87" s="58" t="str">
        <f t="shared" si="7"/>
        <v>2002 San Francisco Giants</v>
      </c>
      <c r="P87" s="58">
        <v>6056</v>
      </c>
      <c r="Q87" s="58">
        <f t="shared" si="5"/>
        <v>960</v>
      </c>
      <c r="R87" s="58">
        <v>242</v>
      </c>
      <c r="S87" s="58">
        <v>31</v>
      </c>
      <c r="T87" s="58">
        <v>116</v>
      </c>
      <c r="U87" s="58">
        <v>523</v>
      </c>
      <c r="V87" s="58">
        <v>36</v>
      </c>
      <c r="W87" s="58">
        <f t="shared" si="6"/>
        <v>4148</v>
      </c>
      <c r="X87">
        <v>566</v>
      </c>
      <c r="Y87">
        <v>44</v>
      </c>
      <c r="Z87">
        <v>992</v>
      </c>
      <c r="AA87">
        <v>72</v>
      </c>
      <c r="AB87">
        <v>43</v>
      </c>
      <c r="AC87">
        <v>36</v>
      </c>
      <c r="AD87">
        <v>2</v>
      </c>
      <c r="AE87">
        <v>138</v>
      </c>
      <c r="AF87">
        <v>65</v>
      </c>
      <c r="AG87">
        <v>95</v>
      </c>
      <c r="AH87">
        <v>66</v>
      </c>
      <c r="AI87">
        <v>3.54</v>
      </c>
    </row>
    <row r="88" spans="1:35" x14ac:dyDescent="0.5">
      <c r="A88" s="35">
        <v>2002</v>
      </c>
      <c r="B88" t="s">
        <v>142</v>
      </c>
      <c r="C88" t="s">
        <v>38</v>
      </c>
      <c r="D88">
        <v>634</v>
      </c>
      <c r="E88">
        <v>162</v>
      </c>
      <c r="F88">
        <v>4</v>
      </c>
      <c r="G88">
        <v>9</v>
      </c>
      <c r="H88">
        <v>158</v>
      </c>
      <c r="I88">
        <v>42</v>
      </c>
      <c r="J88">
        <v>1446.1</v>
      </c>
      <c r="K88">
        <v>1355</v>
      </c>
      <c r="L88">
        <v>648</v>
      </c>
      <c r="M88" s="58">
        <f t="shared" si="4"/>
        <v>2002</v>
      </c>
      <c r="N88" s="58" t="s">
        <v>90</v>
      </c>
      <c r="O88" s="58" t="str">
        <f t="shared" si="7"/>
        <v>2002 St. Louis Cardinals</v>
      </c>
      <c r="P88" s="58">
        <v>6135</v>
      </c>
      <c r="Q88" s="58">
        <f t="shared" si="5"/>
        <v>924</v>
      </c>
      <c r="R88" s="58">
        <v>275</v>
      </c>
      <c r="S88" s="58">
        <v>15</v>
      </c>
      <c r="T88" s="58">
        <v>141</v>
      </c>
      <c r="U88" s="58">
        <v>547</v>
      </c>
      <c r="V88" s="58">
        <v>60</v>
      </c>
      <c r="W88" s="58">
        <f t="shared" si="6"/>
        <v>4173</v>
      </c>
      <c r="X88">
        <v>595</v>
      </c>
      <c r="Y88">
        <v>39</v>
      </c>
      <c r="Z88">
        <v>1009</v>
      </c>
      <c r="AA88">
        <v>70</v>
      </c>
      <c r="AB88">
        <v>56</v>
      </c>
      <c r="AC88">
        <v>40</v>
      </c>
      <c r="AD88">
        <v>2</v>
      </c>
      <c r="AE88">
        <v>133</v>
      </c>
      <c r="AF88">
        <v>64</v>
      </c>
      <c r="AG88">
        <v>97</v>
      </c>
      <c r="AH88">
        <v>65</v>
      </c>
      <c r="AI88">
        <v>3.7</v>
      </c>
    </row>
    <row r="89" spans="1:35" x14ac:dyDescent="0.5">
      <c r="A89" s="35">
        <v>2002</v>
      </c>
      <c r="B89" t="s">
        <v>151</v>
      </c>
      <c r="C89" t="s">
        <v>149</v>
      </c>
      <c r="D89">
        <v>467</v>
      </c>
      <c r="E89">
        <v>161</v>
      </c>
      <c r="F89">
        <v>12</v>
      </c>
      <c r="G89">
        <v>3</v>
      </c>
      <c r="H89">
        <v>149</v>
      </c>
      <c r="I89">
        <v>25</v>
      </c>
      <c r="J89">
        <v>1440.1</v>
      </c>
      <c r="K89">
        <v>1567</v>
      </c>
      <c r="L89">
        <v>918</v>
      </c>
      <c r="M89" s="58">
        <f t="shared" si="4"/>
        <v>2002</v>
      </c>
      <c r="N89" s="58" t="s">
        <v>92</v>
      </c>
      <c r="O89" s="58" t="str">
        <f t="shared" si="7"/>
        <v>2002 Tampa Bay Devil Rays</v>
      </c>
      <c r="P89" s="58">
        <v>6424</v>
      </c>
      <c r="Q89" s="58">
        <f t="shared" si="5"/>
        <v>990</v>
      </c>
      <c r="R89" s="58">
        <v>337</v>
      </c>
      <c r="S89" s="58">
        <v>25</v>
      </c>
      <c r="T89" s="58">
        <v>215</v>
      </c>
      <c r="U89" s="58">
        <v>620</v>
      </c>
      <c r="V89" s="58">
        <v>94</v>
      </c>
      <c r="W89" s="58">
        <f t="shared" si="6"/>
        <v>4143</v>
      </c>
      <c r="X89">
        <v>846</v>
      </c>
      <c r="Y89">
        <v>24</v>
      </c>
      <c r="Z89">
        <v>925</v>
      </c>
      <c r="AA89">
        <v>35</v>
      </c>
      <c r="AB89">
        <v>57</v>
      </c>
      <c r="AC89">
        <v>62</v>
      </c>
      <c r="AD89">
        <v>10</v>
      </c>
      <c r="AE89">
        <v>141</v>
      </c>
      <c r="AF89">
        <v>77</v>
      </c>
      <c r="AG89">
        <v>55</v>
      </c>
      <c r="AH89">
        <v>106</v>
      </c>
      <c r="AI89">
        <v>5.29</v>
      </c>
    </row>
    <row r="90" spans="1:35" x14ac:dyDescent="0.5">
      <c r="A90" s="35">
        <v>2002</v>
      </c>
      <c r="B90" t="s">
        <v>95</v>
      </c>
      <c r="C90" t="s">
        <v>149</v>
      </c>
      <c r="D90">
        <v>649</v>
      </c>
      <c r="E90">
        <v>162</v>
      </c>
      <c r="F90">
        <v>4</v>
      </c>
      <c r="G90">
        <v>4</v>
      </c>
      <c r="H90">
        <v>158</v>
      </c>
      <c r="I90">
        <v>33</v>
      </c>
      <c r="J90">
        <v>1439.2</v>
      </c>
      <c r="K90">
        <v>1528</v>
      </c>
      <c r="L90">
        <v>882</v>
      </c>
      <c r="M90" s="58">
        <f t="shared" si="4"/>
        <v>2002</v>
      </c>
      <c r="N90" s="58" t="s">
        <v>94</v>
      </c>
      <c r="O90" s="58" t="str">
        <f t="shared" si="7"/>
        <v>2002 Texas Rangers</v>
      </c>
      <c r="P90" s="58">
        <v>6446</v>
      </c>
      <c r="Q90" s="58">
        <f t="shared" si="5"/>
        <v>949</v>
      </c>
      <c r="R90" s="58">
        <v>344</v>
      </c>
      <c r="S90" s="58">
        <v>41</v>
      </c>
      <c r="T90" s="58">
        <v>194</v>
      </c>
      <c r="U90" s="58">
        <v>669</v>
      </c>
      <c r="V90" s="58">
        <v>76</v>
      </c>
      <c r="W90" s="58">
        <f t="shared" si="6"/>
        <v>4173</v>
      </c>
      <c r="X90">
        <v>825</v>
      </c>
      <c r="Y90">
        <v>32</v>
      </c>
      <c r="Z90">
        <v>1030</v>
      </c>
      <c r="AA90">
        <v>38</v>
      </c>
      <c r="AB90">
        <v>40</v>
      </c>
      <c r="AC90">
        <v>84</v>
      </c>
      <c r="AD90">
        <v>11</v>
      </c>
      <c r="AE90">
        <v>131</v>
      </c>
      <c r="AF90">
        <v>70</v>
      </c>
      <c r="AG90">
        <v>72</v>
      </c>
      <c r="AH90">
        <v>90</v>
      </c>
      <c r="AI90">
        <v>5.16</v>
      </c>
    </row>
    <row r="91" spans="1:35" x14ac:dyDescent="0.5">
      <c r="A91" s="35">
        <v>2002</v>
      </c>
      <c r="B91" t="s">
        <v>97</v>
      </c>
      <c r="C91" t="s">
        <v>149</v>
      </c>
      <c r="D91">
        <v>623</v>
      </c>
      <c r="E91">
        <v>162</v>
      </c>
      <c r="F91">
        <v>6</v>
      </c>
      <c r="G91">
        <v>6</v>
      </c>
      <c r="H91">
        <v>156</v>
      </c>
      <c r="I91">
        <v>41</v>
      </c>
      <c r="J91">
        <v>1438.1</v>
      </c>
      <c r="K91">
        <v>1504</v>
      </c>
      <c r="L91">
        <v>828</v>
      </c>
      <c r="M91" s="58">
        <f t="shared" si="4"/>
        <v>2002</v>
      </c>
      <c r="N91" s="58" t="s">
        <v>96</v>
      </c>
      <c r="O91" s="58" t="str">
        <f t="shared" si="7"/>
        <v>2002 Toronto Blue Jays</v>
      </c>
      <c r="P91" s="58">
        <v>6338</v>
      </c>
      <c r="Q91" s="58">
        <f t="shared" si="5"/>
        <v>986</v>
      </c>
      <c r="R91" s="58">
        <v>312</v>
      </c>
      <c r="S91" s="58">
        <v>29</v>
      </c>
      <c r="T91" s="58">
        <v>177</v>
      </c>
      <c r="U91" s="58">
        <v>590</v>
      </c>
      <c r="V91" s="58">
        <v>71</v>
      </c>
      <c r="W91" s="58">
        <f t="shared" si="6"/>
        <v>4173</v>
      </c>
      <c r="X91">
        <v>767</v>
      </c>
      <c r="Y91">
        <v>56</v>
      </c>
      <c r="Z91">
        <v>991</v>
      </c>
      <c r="AA91">
        <v>42</v>
      </c>
      <c r="AB91">
        <v>52</v>
      </c>
      <c r="AC91">
        <v>57</v>
      </c>
      <c r="AD91">
        <v>4</v>
      </c>
      <c r="AE91">
        <v>131</v>
      </c>
      <c r="AF91">
        <v>76</v>
      </c>
      <c r="AG91">
        <v>78</v>
      </c>
      <c r="AH91">
        <v>84</v>
      </c>
      <c r="AI91">
        <v>4.8</v>
      </c>
    </row>
    <row r="92" spans="1:35" x14ac:dyDescent="0.5">
      <c r="A92" s="35">
        <v>2003</v>
      </c>
      <c r="B92" t="s">
        <v>37</v>
      </c>
      <c r="C92" t="s">
        <v>149</v>
      </c>
      <c r="D92">
        <v>537</v>
      </c>
      <c r="E92">
        <v>162</v>
      </c>
      <c r="F92">
        <v>5</v>
      </c>
      <c r="G92">
        <v>9</v>
      </c>
      <c r="H92">
        <v>157</v>
      </c>
      <c r="I92">
        <v>39</v>
      </c>
      <c r="J92">
        <v>1431.1</v>
      </c>
      <c r="K92">
        <v>1444</v>
      </c>
      <c r="L92">
        <v>743</v>
      </c>
      <c r="M92" s="58">
        <f t="shared" si="4"/>
        <v>2003</v>
      </c>
      <c r="N92" s="58" t="s">
        <v>36</v>
      </c>
      <c r="O92" s="58" t="str">
        <f t="shared" si="7"/>
        <v>2003 Anaheim Angels</v>
      </c>
      <c r="P92" s="58">
        <v>6161</v>
      </c>
      <c r="Q92" s="58">
        <f t="shared" si="5"/>
        <v>967</v>
      </c>
      <c r="R92" s="58">
        <v>260</v>
      </c>
      <c r="S92" s="58">
        <v>27</v>
      </c>
      <c r="T92" s="58">
        <v>190</v>
      </c>
      <c r="U92" s="58">
        <v>486</v>
      </c>
      <c r="V92" s="58">
        <v>76</v>
      </c>
      <c r="W92" s="58">
        <f t="shared" si="6"/>
        <v>4155</v>
      </c>
      <c r="X92">
        <v>680</v>
      </c>
      <c r="Y92">
        <v>38</v>
      </c>
      <c r="Z92">
        <v>980</v>
      </c>
      <c r="AA92">
        <v>25</v>
      </c>
      <c r="AB92">
        <v>42</v>
      </c>
      <c r="AC92">
        <v>53</v>
      </c>
      <c r="AD92">
        <v>3</v>
      </c>
      <c r="AE92">
        <v>112</v>
      </c>
      <c r="AF92">
        <v>70</v>
      </c>
      <c r="AG92">
        <v>77</v>
      </c>
      <c r="AH92">
        <v>85</v>
      </c>
      <c r="AI92">
        <v>4.28</v>
      </c>
    </row>
    <row r="93" spans="1:35" x14ac:dyDescent="0.5">
      <c r="A93" s="35">
        <v>2003</v>
      </c>
      <c r="B93" t="s">
        <v>40</v>
      </c>
      <c r="C93" t="s">
        <v>38</v>
      </c>
      <c r="D93">
        <v>614</v>
      </c>
      <c r="E93">
        <v>162</v>
      </c>
      <c r="F93">
        <v>7</v>
      </c>
      <c r="G93">
        <v>11</v>
      </c>
      <c r="H93">
        <v>155</v>
      </c>
      <c r="I93">
        <v>42</v>
      </c>
      <c r="J93">
        <v>1455</v>
      </c>
      <c r="K93">
        <v>1379</v>
      </c>
      <c r="L93">
        <v>685</v>
      </c>
      <c r="M93" s="58">
        <f t="shared" si="4"/>
        <v>2003</v>
      </c>
      <c r="N93" s="58" t="s">
        <v>39</v>
      </c>
      <c r="O93" s="58" t="str">
        <f t="shared" si="7"/>
        <v>2003 Arizona Diamondbacks</v>
      </c>
      <c r="P93" s="58">
        <v>6230</v>
      </c>
      <c r="Q93" s="58">
        <f t="shared" si="5"/>
        <v>939</v>
      </c>
      <c r="R93" s="58">
        <v>266</v>
      </c>
      <c r="S93" s="58">
        <v>24</v>
      </c>
      <c r="T93" s="58">
        <v>150</v>
      </c>
      <c r="U93" s="58">
        <v>526</v>
      </c>
      <c r="V93" s="58">
        <v>72</v>
      </c>
      <c r="W93" s="58">
        <f t="shared" si="6"/>
        <v>4253</v>
      </c>
      <c r="X93">
        <v>621</v>
      </c>
      <c r="Y93">
        <v>53</v>
      </c>
      <c r="Z93">
        <v>1291</v>
      </c>
      <c r="AA93">
        <v>81</v>
      </c>
      <c r="AB93">
        <v>31</v>
      </c>
      <c r="AC93">
        <v>52</v>
      </c>
      <c r="AD93">
        <v>9</v>
      </c>
      <c r="AE93">
        <v>106</v>
      </c>
      <c r="AF93">
        <v>81</v>
      </c>
      <c r="AG93">
        <v>84</v>
      </c>
      <c r="AH93">
        <v>78</v>
      </c>
      <c r="AI93">
        <v>3.84</v>
      </c>
    </row>
    <row r="94" spans="1:35" x14ac:dyDescent="0.5">
      <c r="A94" s="35">
        <v>2003</v>
      </c>
      <c r="B94" t="s">
        <v>42</v>
      </c>
      <c r="C94" t="s">
        <v>38</v>
      </c>
      <c r="D94">
        <v>651</v>
      </c>
      <c r="E94">
        <v>162</v>
      </c>
      <c r="F94">
        <v>4</v>
      </c>
      <c r="G94">
        <v>7</v>
      </c>
      <c r="H94">
        <v>158</v>
      </c>
      <c r="I94">
        <v>51</v>
      </c>
      <c r="J94">
        <v>1456.1</v>
      </c>
      <c r="K94">
        <v>1425</v>
      </c>
      <c r="L94">
        <v>740</v>
      </c>
      <c r="M94" s="58">
        <f t="shared" si="4"/>
        <v>2003</v>
      </c>
      <c r="N94" s="58" t="s">
        <v>41</v>
      </c>
      <c r="O94" s="58" t="str">
        <f t="shared" si="7"/>
        <v>2003 Atlanta Braves</v>
      </c>
      <c r="P94" s="58">
        <v>6247</v>
      </c>
      <c r="Q94" s="58">
        <f t="shared" si="5"/>
        <v>944</v>
      </c>
      <c r="R94" s="58">
        <v>309</v>
      </c>
      <c r="S94" s="58">
        <v>25</v>
      </c>
      <c r="T94" s="58">
        <v>147</v>
      </c>
      <c r="U94" s="58">
        <v>555</v>
      </c>
      <c r="V94" s="58">
        <v>42</v>
      </c>
      <c r="W94" s="58">
        <f t="shared" si="6"/>
        <v>4225</v>
      </c>
      <c r="X94">
        <v>663</v>
      </c>
      <c r="Y94">
        <v>69</v>
      </c>
      <c r="Z94">
        <v>992</v>
      </c>
      <c r="AA94">
        <v>63</v>
      </c>
      <c r="AB94">
        <v>39</v>
      </c>
      <c r="AC94">
        <v>53</v>
      </c>
      <c r="AD94">
        <v>4</v>
      </c>
      <c r="AE94">
        <v>145</v>
      </c>
      <c r="AF94">
        <v>86</v>
      </c>
      <c r="AG94">
        <v>101</v>
      </c>
      <c r="AH94">
        <v>61</v>
      </c>
      <c r="AI94">
        <v>4.0999999999999996</v>
      </c>
    </row>
    <row r="95" spans="1:35" x14ac:dyDescent="0.5">
      <c r="A95" s="35">
        <v>2003</v>
      </c>
      <c r="B95" t="s">
        <v>45</v>
      </c>
      <c r="C95" t="s">
        <v>149</v>
      </c>
      <c r="D95">
        <v>588</v>
      </c>
      <c r="E95">
        <v>163</v>
      </c>
      <c r="F95">
        <v>9</v>
      </c>
      <c r="G95">
        <v>3</v>
      </c>
      <c r="H95">
        <v>154</v>
      </c>
      <c r="I95">
        <v>41</v>
      </c>
      <c r="J95">
        <v>1449.2</v>
      </c>
      <c r="K95">
        <v>1579</v>
      </c>
      <c r="L95">
        <v>820</v>
      </c>
      <c r="M95" s="58">
        <f t="shared" si="4"/>
        <v>2003</v>
      </c>
      <c r="N95" s="58" t="s">
        <v>44</v>
      </c>
      <c r="O95" s="58" t="str">
        <f t="shared" si="7"/>
        <v>2003 Baltimore Orioles</v>
      </c>
      <c r="P95" s="58">
        <v>6366</v>
      </c>
      <c r="Q95" s="58">
        <f t="shared" si="5"/>
        <v>1045</v>
      </c>
      <c r="R95" s="58">
        <v>309</v>
      </c>
      <c r="S95" s="58">
        <v>27</v>
      </c>
      <c r="T95" s="58">
        <v>198</v>
      </c>
      <c r="U95" s="58">
        <v>526</v>
      </c>
      <c r="V95" s="58">
        <v>80</v>
      </c>
      <c r="W95" s="58">
        <f t="shared" si="6"/>
        <v>4181</v>
      </c>
      <c r="X95">
        <v>767</v>
      </c>
      <c r="Y95">
        <v>43</v>
      </c>
      <c r="Z95">
        <v>981</v>
      </c>
      <c r="AA95">
        <v>42</v>
      </c>
      <c r="AB95">
        <v>35</v>
      </c>
      <c r="AC95">
        <v>42</v>
      </c>
      <c r="AD95">
        <v>4</v>
      </c>
      <c r="AE95">
        <v>139</v>
      </c>
      <c r="AF95">
        <v>69</v>
      </c>
      <c r="AG95">
        <v>71</v>
      </c>
      <c r="AH95">
        <v>91</v>
      </c>
      <c r="AI95">
        <v>4.76</v>
      </c>
    </row>
    <row r="96" spans="1:35" x14ac:dyDescent="0.5">
      <c r="A96" s="35">
        <v>2003</v>
      </c>
      <c r="B96" t="s">
        <v>47</v>
      </c>
      <c r="C96" t="s">
        <v>149</v>
      </c>
      <c r="D96">
        <v>599</v>
      </c>
      <c r="E96">
        <v>162</v>
      </c>
      <c r="F96">
        <v>5</v>
      </c>
      <c r="G96">
        <v>6</v>
      </c>
      <c r="H96">
        <v>157</v>
      </c>
      <c r="I96">
        <v>36</v>
      </c>
      <c r="J96">
        <v>1464.2</v>
      </c>
      <c r="K96">
        <v>1503</v>
      </c>
      <c r="L96">
        <v>809</v>
      </c>
      <c r="M96" s="58">
        <f t="shared" si="4"/>
        <v>2003</v>
      </c>
      <c r="N96" s="58" t="s">
        <v>46</v>
      </c>
      <c r="O96" s="58" t="str">
        <f t="shared" si="7"/>
        <v>2003 Boston Red Sox</v>
      </c>
      <c r="P96" s="58">
        <v>6355</v>
      </c>
      <c r="Q96" s="58">
        <f t="shared" si="5"/>
        <v>982</v>
      </c>
      <c r="R96" s="58">
        <v>328</v>
      </c>
      <c r="S96" s="58">
        <v>40</v>
      </c>
      <c r="T96" s="58">
        <v>153</v>
      </c>
      <c r="U96" s="58">
        <v>488</v>
      </c>
      <c r="V96" s="58">
        <v>76</v>
      </c>
      <c r="W96" s="58">
        <f t="shared" si="6"/>
        <v>4288</v>
      </c>
      <c r="X96">
        <v>729</v>
      </c>
      <c r="Y96">
        <v>41</v>
      </c>
      <c r="Z96">
        <v>1141</v>
      </c>
      <c r="AA96">
        <v>28</v>
      </c>
      <c r="AB96">
        <v>52</v>
      </c>
      <c r="AC96">
        <v>44</v>
      </c>
      <c r="AD96">
        <v>0</v>
      </c>
      <c r="AE96">
        <v>109</v>
      </c>
      <c r="AF96">
        <v>80</v>
      </c>
      <c r="AG96">
        <v>95</v>
      </c>
      <c r="AH96">
        <v>67</v>
      </c>
      <c r="AI96">
        <v>4.4800000000000004</v>
      </c>
    </row>
    <row r="97" spans="1:35" x14ac:dyDescent="0.5">
      <c r="A97" s="35">
        <v>2003</v>
      </c>
      <c r="B97" t="s">
        <v>143</v>
      </c>
      <c r="C97" t="s">
        <v>38</v>
      </c>
      <c r="D97">
        <v>582</v>
      </c>
      <c r="E97">
        <v>162</v>
      </c>
      <c r="F97">
        <v>13</v>
      </c>
      <c r="G97">
        <v>14</v>
      </c>
      <c r="H97">
        <v>149</v>
      </c>
      <c r="I97">
        <v>36</v>
      </c>
      <c r="J97">
        <v>1456.1</v>
      </c>
      <c r="K97">
        <v>1304</v>
      </c>
      <c r="L97">
        <v>683</v>
      </c>
      <c r="M97" s="58">
        <f t="shared" si="4"/>
        <v>2003</v>
      </c>
      <c r="N97" s="58" t="s">
        <v>50</v>
      </c>
      <c r="O97" s="58" t="str">
        <f t="shared" si="7"/>
        <v>2003 Chicago Cubs</v>
      </c>
      <c r="P97" s="58">
        <v>6227</v>
      </c>
      <c r="Q97" s="58">
        <f t="shared" si="5"/>
        <v>894</v>
      </c>
      <c r="R97" s="58">
        <v>248</v>
      </c>
      <c r="S97" s="58">
        <v>19</v>
      </c>
      <c r="T97" s="58">
        <v>143</v>
      </c>
      <c r="U97" s="58">
        <v>617</v>
      </c>
      <c r="V97" s="58">
        <v>71</v>
      </c>
      <c r="W97" s="58">
        <f t="shared" si="6"/>
        <v>4235</v>
      </c>
      <c r="X97">
        <v>619</v>
      </c>
      <c r="Y97">
        <v>36</v>
      </c>
      <c r="Z97">
        <v>1404</v>
      </c>
      <c r="AA97">
        <v>82</v>
      </c>
      <c r="AB97">
        <v>36</v>
      </c>
      <c r="AC97">
        <v>63</v>
      </c>
      <c r="AD97">
        <v>3</v>
      </c>
      <c r="AE97">
        <v>136</v>
      </c>
      <c r="AF97">
        <v>76</v>
      </c>
      <c r="AG97">
        <v>88</v>
      </c>
      <c r="AH97">
        <v>74</v>
      </c>
      <c r="AI97">
        <v>3.83</v>
      </c>
    </row>
    <row r="98" spans="1:35" x14ac:dyDescent="0.5">
      <c r="A98" s="35">
        <v>2003</v>
      </c>
      <c r="B98" t="s">
        <v>143</v>
      </c>
      <c r="C98" t="s">
        <v>149</v>
      </c>
      <c r="D98">
        <v>523</v>
      </c>
      <c r="E98">
        <v>162</v>
      </c>
      <c r="F98">
        <v>12</v>
      </c>
      <c r="G98">
        <v>4</v>
      </c>
      <c r="H98">
        <v>150</v>
      </c>
      <c r="I98">
        <v>36</v>
      </c>
      <c r="J98">
        <v>1431</v>
      </c>
      <c r="K98">
        <v>1364</v>
      </c>
      <c r="L98">
        <v>715</v>
      </c>
      <c r="M98" s="58">
        <f t="shared" si="4"/>
        <v>2003</v>
      </c>
      <c r="N98" s="58" t="s">
        <v>48</v>
      </c>
      <c r="O98" s="58" t="str">
        <f t="shared" si="7"/>
        <v>2003 Chicago White Sox</v>
      </c>
      <c r="P98" s="58">
        <v>6067</v>
      </c>
      <c r="Q98" s="58">
        <f t="shared" si="5"/>
        <v>899</v>
      </c>
      <c r="R98" s="58">
        <v>279</v>
      </c>
      <c r="S98" s="58">
        <v>24</v>
      </c>
      <c r="T98" s="58">
        <v>162</v>
      </c>
      <c r="U98" s="58">
        <v>518</v>
      </c>
      <c r="V98" s="58">
        <v>53</v>
      </c>
      <c r="W98" s="58">
        <f t="shared" si="6"/>
        <v>4132</v>
      </c>
      <c r="X98">
        <v>663</v>
      </c>
      <c r="Y98">
        <v>30</v>
      </c>
      <c r="Z98">
        <v>1056</v>
      </c>
      <c r="AA98">
        <v>48</v>
      </c>
      <c r="AB98">
        <v>57</v>
      </c>
      <c r="AC98">
        <v>39</v>
      </c>
      <c r="AD98">
        <v>4</v>
      </c>
      <c r="AE98">
        <v>135</v>
      </c>
      <c r="AF98">
        <v>59</v>
      </c>
      <c r="AG98">
        <v>86</v>
      </c>
      <c r="AH98">
        <v>76</v>
      </c>
      <c r="AI98">
        <v>4.17</v>
      </c>
    </row>
    <row r="99" spans="1:35" x14ac:dyDescent="0.5">
      <c r="A99" s="35">
        <v>2003</v>
      </c>
      <c r="B99" t="s">
        <v>53</v>
      </c>
      <c r="C99" t="s">
        <v>38</v>
      </c>
      <c r="D99">
        <v>637</v>
      </c>
      <c r="E99">
        <v>162</v>
      </c>
      <c r="F99">
        <v>4</v>
      </c>
      <c r="G99">
        <v>5</v>
      </c>
      <c r="H99">
        <v>158</v>
      </c>
      <c r="I99">
        <v>38</v>
      </c>
      <c r="J99">
        <v>1446.1</v>
      </c>
      <c r="K99">
        <v>1578</v>
      </c>
      <c r="L99">
        <v>886</v>
      </c>
      <c r="M99" s="58">
        <f t="shared" si="4"/>
        <v>2003</v>
      </c>
      <c r="N99" s="58" t="s">
        <v>52</v>
      </c>
      <c r="O99" s="58" t="str">
        <f t="shared" si="7"/>
        <v>2003 Cincinnati Reds</v>
      </c>
      <c r="P99" s="58">
        <v>6423</v>
      </c>
      <c r="Q99" s="58">
        <f t="shared" si="5"/>
        <v>984</v>
      </c>
      <c r="R99" s="58">
        <v>348</v>
      </c>
      <c r="S99" s="58">
        <v>37</v>
      </c>
      <c r="T99" s="58">
        <v>209</v>
      </c>
      <c r="U99" s="58">
        <v>590</v>
      </c>
      <c r="V99" s="58">
        <v>48</v>
      </c>
      <c r="W99" s="58">
        <f t="shared" si="6"/>
        <v>4207</v>
      </c>
      <c r="X99">
        <v>818</v>
      </c>
      <c r="Y99">
        <v>61</v>
      </c>
      <c r="Z99">
        <v>932</v>
      </c>
      <c r="AA99">
        <v>70</v>
      </c>
      <c r="AB99">
        <v>43</v>
      </c>
      <c r="AC99">
        <v>46</v>
      </c>
      <c r="AD99">
        <v>3</v>
      </c>
      <c r="AE99">
        <v>126</v>
      </c>
      <c r="AF99">
        <v>83</v>
      </c>
      <c r="AG99">
        <v>69</v>
      </c>
      <c r="AH99">
        <v>93</v>
      </c>
      <c r="AI99">
        <v>5.09</v>
      </c>
    </row>
    <row r="100" spans="1:35" x14ac:dyDescent="0.5">
      <c r="A100" s="35">
        <v>2003</v>
      </c>
      <c r="B100" t="s">
        <v>55</v>
      </c>
      <c r="C100" t="s">
        <v>149</v>
      </c>
      <c r="D100">
        <v>590</v>
      </c>
      <c r="E100">
        <v>162</v>
      </c>
      <c r="F100">
        <v>5</v>
      </c>
      <c r="G100">
        <v>7</v>
      </c>
      <c r="H100">
        <v>157</v>
      </c>
      <c r="I100">
        <v>34</v>
      </c>
      <c r="J100">
        <v>1459.1</v>
      </c>
      <c r="K100">
        <v>1477</v>
      </c>
      <c r="L100">
        <v>778</v>
      </c>
      <c r="M100" s="58">
        <f t="shared" si="4"/>
        <v>2003</v>
      </c>
      <c r="N100" s="58" t="s">
        <v>54</v>
      </c>
      <c r="O100" s="58" t="str">
        <f t="shared" si="7"/>
        <v>2003 Cleveland Indians</v>
      </c>
      <c r="P100" s="58">
        <v>6254</v>
      </c>
      <c r="Q100" s="58">
        <f t="shared" si="5"/>
        <v>961</v>
      </c>
      <c r="R100" s="58">
        <v>306</v>
      </c>
      <c r="S100" s="58">
        <v>31</v>
      </c>
      <c r="T100" s="58">
        <v>179</v>
      </c>
      <c r="U100" s="58">
        <v>501</v>
      </c>
      <c r="V100" s="58">
        <v>64</v>
      </c>
      <c r="W100" s="58">
        <f t="shared" si="6"/>
        <v>4212</v>
      </c>
      <c r="X100">
        <v>682</v>
      </c>
      <c r="Y100">
        <v>37</v>
      </c>
      <c r="Z100">
        <v>943</v>
      </c>
      <c r="AA100">
        <v>51</v>
      </c>
      <c r="AB100">
        <v>46</v>
      </c>
      <c r="AC100">
        <v>49</v>
      </c>
      <c r="AD100">
        <v>7</v>
      </c>
      <c r="AE100">
        <v>149</v>
      </c>
      <c r="AF100">
        <v>80</v>
      </c>
      <c r="AG100">
        <v>68</v>
      </c>
      <c r="AH100">
        <v>94</v>
      </c>
      <c r="AI100">
        <v>4.21</v>
      </c>
    </row>
    <row r="101" spans="1:35" x14ac:dyDescent="0.5">
      <c r="A101" s="35">
        <v>2003</v>
      </c>
      <c r="B101" t="s">
        <v>57</v>
      </c>
      <c r="C101" t="s">
        <v>38</v>
      </c>
      <c r="D101">
        <v>662</v>
      </c>
      <c r="E101">
        <v>162</v>
      </c>
      <c r="F101">
        <v>3</v>
      </c>
      <c r="G101">
        <v>4</v>
      </c>
      <c r="H101">
        <v>159</v>
      </c>
      <c r="I101">
        <v>34</v>
      </c>
      <c r="J101">
        <v>1420</v>
      </c>
      <c r="K101">
        <v>1629</v>
      </c>
      <c r="L101">
        <v>892</v>
      </c>
      <c r="M101" s="58">
        <f t="shared" si="4"/>
        <v>2003</v>
      </c>
      <c r="N101" s="58" t="s">
        <v>56</v>
      </c>
      <c r="O101" s="58" t="str">
        <f t="shared" si="7"/>
        <v>2003 Colorado Rockies</v>
      </c>
      <c r="P101" s="58">
        <v>6364</v>
      </c>
      <c r="Q101" s="58">
        <f t="shared" si="5"/>
        <v>1060</v>
      </c>
      <c r="R101" s="58">
        <v>325</v>
      </c>
      <c r="S101" s="58">
        <v>44</v>
      </c>
      <c r="T101" s="58">
        <v>200</v>
      </c>
      <c r="U101" s="58">
        <v>552</v>
      </c>
      <c r="V101" s="58">
        <v>84</v>
      </c>
      <c r="W101" s="58">
        <f t="shared" si="6"/>
        <v>4099</v>
      </c>
      <c r="X101">
        <v>821</v>
      </c>
      <c r="Y101">
        <v>51</v>
      </c>
      <c r="Z101">
        <v>866</v>
      </c>
      <c r="AA101">
        <v>54</v>
      </c>
      <c r="AB101">
        <v>53</v>
      </c>
      <c r="AC101">
        <v>48</v>
      </c>
      <c r="AD101">
        <v>8</v>
      </c>
      <c r="AE101">
        <v>141</v>
      </c>
      <c r="AF101">
        <v>72</v>
      </c>
      <c r="AG101">
        <v>74</v>
      </c>
      <c r="AH101">
        <v>88</v>
      </c>
      <c r="AI101">
        <v>5.2</v>
      </c>
    </row>
    <row r="102" spans="1:35" x14ac:dyDescent="0.5">
      <c r="A102" s="35">
        <v>2003</v>
      </c>
      <c r="B102" t="s">
        <v>59</v>
      </c>
      <c r="C102" t="s">
        <v>149</v>
      </c>
      <c r="D102">
        <v>613</v>
      </c>
      <c r="E102">
        <v>162</v>
      </c>
      <c r="F102">
        <v>3</v>
      </c>
      <c r="G102">
        <v>5</v>
      </c>
      <c r="H102">
        <v>159</v>
      </c>
      <c r="I102">
        <v>27</v>
      </c>
      <c r="J102">
        <v>1438.2</v>
      </c>
      <c r="K102">
        <v>1616</v>
      </c>
      <c r="L102">
        <v>928</v>
      </c>
      <c r="M102" s="58">
        <f t="shared" si="4"/>
        <v>2003</v>
      </c>
      <c r="N102" s="58" t="s">
        <v>58</v>
      </c>
      <c r="O102" s="58" t="str">
        <f t="shared" si="7"/>
        <v>2003 Detroit Tigers</v>
      </c>
      <c r="P102" s="58">
        <v>6376</v>
      </c>
      <c r="Q102" s="58">
        <f t="shared" si="5"/>
        <v>1065</v>
      </c>
      <c r="R102" s="58">
        <v>308</v>
      </c>
      <c r="S102" s="58">
        <v>48</v>
      </c>
      <c r="T102" s="58">
        <v>195</v>
      </c>
      <c r="U102" s="58">
        <v>557</v>
      </c>
      <c r="V102" s="58">
        <v>56</v>
      </c>
      <c r="W102" s="58">
        <f t="shared" si="6"/>
        <v>4147</v>
      </c>
      <c r="X102">
        <v>847</v>
      </c>
      <c r="Y102">
        <v>35</v>
      </c>
      <c r="Z102">
        <v>764</v>
      </c>
      <c r="AA102">
        <v>47</v>
      </c>
      <c r="AB102">
        <v>60</v>
      </c>
      <c r="AC102">
        <v>52</v>
      </c>
      <c r="AD102">
        <v>5</v>
      </c>
      <c r="AE102">
        <v>163</v>
      </c>
      <c r="AF102">
        <v>100</v>
      </c>
      <c r="AG102">
        <v>43</v>
      </c>
      <c r="AH102">
        <v>119</v>
      </c>
      <c r="AI102">
        <v>5.3</v>
      </c>
    </row>
    <row r="103" spans="1:35" x14ac:dyDescent="0.5">
      <c r="A103" s="35">
        <v>2003</v>
      </c>
      <c r="B103" t="s">
        <v>146</v>
      </c>
      <c r="C103" t="s">
        <v>38</v>
      </c>
      <c r="D103">
        <v>557</v>
      </c>
      <c r="E103">
        <v>162</v>
      </c>
      <c r="F103">
        <v>7</v>
      </c>
      <c r="G103">
        <v>11</v>
      </c>
      <c r="H103">
        <v>155</v>
      </c>
      <c r="I103">
        <v>36</v>
      </c>
      <c r="J103">
        <v>1445.1</v>
      </c>
      <c r="K103">
        <v>1415</v>
      </c>
      <c r="L103">
        <v>692</v>
      </c>
      <c r="M103" s="58">
        <f t="shared" si="4"/>
        <v>2003</v>
      </c>
      <c r="N103" s="58" t="s">
        <v>60</v>
      </c>
      <c r="O103" s="58" t="str">
        <f t="shared" si="7"/>
        <v>2003 Florida Marlins</v>
      </c>
      <c r="P103" s="58">
        <v>6165</v>
      </c>
      <c r="Q103" s="58">
        <f t="shared" si="5"/>
        <v>950</v>
      </c>
      <c r="R103" s="58">
        <v>300</v>
      </c>
      <c r="S103" s="58">
        <v>37</v>
      </c>
      <c r="T103" s="58">
        <v>128</v>
      </c>
      <c r="U103" s="58">
        <v>530</v>
      </c>
      <c r="V103" s="58">
        <v>40</v>
      </c>
      <c r="W103" s="58">
        <f t="shared" si="6"/>
        <v>4180</v>
      </c>
      <c r="X103">
        <v>648</v>
      </c>
      <c r="Y103">
        <v>40</v>
      </c>
      <c r="Z103">
        <v>1132</v>
      </c>
      <c r="AA103">
        <v>60</v>
      </c>
      <c r="AB103">
        <v>53</v>
      </c>
      <c r="AC103">
        <v>51</v>
      </c>
      <c r="AD103">
        <v>11</v>
      </c>
      <c r="AE103">
        <v>139</v>
      </c>
      <c r="AF103">
        <v>52</v>
      </c>
      <c r="AG103">
        <v>91</v>
      </c>
      <c r="AH103">
        <v>71</v>
      </c>
      <c r="AI103">
        <v>4.04</v>
      </c>
    </row>
    <row r="104" spans="1:35" x14ac:dyDescent="0.5">
      <c r="A104" s="35">
        <v>2003</v>
      </c>
      <c r="B104" t="s">
        <v>63</v>
      </c>
      <c r="C104" t="s">
        <v>38</v>
      </c>
      <c r="D104">
        <v>664</v>
      </c>
      <c r="E104">
        <v>162</v>
      </c>
      <c r="F104">
        <v>1</v>
      </c>
      <c r="G104">
        <v>5</v>
      </c>
      <c r="H104">
        <v>161</v>
      </c>
      <c r="I104">
        <v>50</v>
      </c>
      <c r="J104">
        <v>1450</v>
      </c>
      <c r="K104">
        <v>1350</v>
      </c>
      <c r="L104">
        <v>677</v>
      </c>
      <c r="M104" s="58">
        <f t="shared" si="4"/>
        <v>2003</v>
      </c>
      <c r="N104" s="58" t="s">
        <v>62</v>
      </c>
      <c r="O104" s="58" t="str">
        <f t="shared" si="7"/>
        <v>2003 Houston Astros</v>
      </c>
      <c r="P104" s="58">
        <v>6176</v>
      </c>
      <c r="Q104" s="58">
        <f t="shared" si="5"/>
        <v>896</v>
      </c>
      <c r="R104" s="58">
        <v>262</v>
      </c>
      <c r="S104" s="58">
        <v>31</v>
      </c>
      <c r="T104" s="58">
        <v>161</v>
      </c>
      <c r="U104" s="58">
        <v>565</v>
      </c>
      <c r="V104" s="58">
        <v>74</v>
      </c>
      <c r="W104" s="58">
        <f t="shared" si="6"/>
        <v>4187</v>
      </c>
      <c r="X104">
        <v>622</v>
      </c>
      <c r="Y104">
        <v>53</v>
      </c>
      <c r="Z104">
        <v>1139</v>
      </c>
      <c r="AA104">
        <v>66</v>
      </c>
      <c r="AB104">
        <v>36</v>
      </c>
      <c r="AC104">
        <v>40</v>
      </c>
      <c r="AD104">
        <v>4</v>
      </c>
      <c r="AE104">
        <v>126</v>
      </c>
      <c r="AF104">
        <v>71</v>
      </c>
      <c r="AG104">
        <v>87</v>
      </c>
      <c r="AH104">
        <v>75</v>
      </c>
      <c r="AI104">
        <v>3.86</v>
      </c>
    </row>
    <row r="105" spans="1:35" x14ac:dyDescent="0.5">
      <c r="A105" s="35">
        <v>2003</v>
      </c>
      <c r="B105" t="s">
        <v>150</v>
      </c>
      <c r="C105" t="s">
        <v>149</v>
      </c>
      <c r="D105">
        <v>569</v>
      </c>
      <c r="E105">
        <v>162</v>
      </c>
      <c r="F105">
        <v>7</v>
      </c>
      <c r="G105">
        <v>10</v>
      </c>
      <c r="H105">
        <v>155</v>
      </c>
      <c r="I105">
        <v>36</v>
      </c>
      <c r="J105">
        <v>1438.2</v>
      </c>
      <c r="K105">
        <v>1569</v>
      </c>
      <c r="L105">
        <v>867</v>
      </c>
      <c r="M105" s="58">
        <f t="shared" si="4"/>
        <v>2003</v>
      </c>
      <c r="N105" s="58" t="s">
        <v>64</v>
      </c>
      <c r="O105" s="58" t="str">
        <f t="shared" si="7"/>
        <v>2003 Kansas City Royals</v>
      </c>
      <c r="P105" s="58">
        <v>6366</v>
      </c>
      <c r="Q105" s="58">
        <f t="shared" si="5"/>
        <v>1016</v>
      </c>
      <c r="R105" s="58">
        <v>329</v>
      </c>
      <c r="S105" s="58">
        <v>34</v>
      </c>
      <c r="T105" s="58">
        <v>190</v>
      </c>
      <c r="U105" s="58">
        <v>566</v>
      </c>
      <c r="V105" s="58">
        <v>66</v>
      </c>
      <c r="W105" s="58">
        <f t="shared" si="6"/>
        <v>4165</v>
      </c>
      <c r="X105">
        <v>808</v>
      </c>
      <c r="Y105">
        <v>33</v>
      </c>
      <c r="Z105">
        <v>865</v>
      </c>
      <c r="AA105">
        <v>36</v>
      </c>
      <c r="AB105">
        <v>65</v>
      </c>
      <c r="AC105">
        <v>60</v>
      </c>
      <c r="AD105">
        <v>9</v>
      </c>
      <c r="AE105">
        <v>119</v>
      </c>
      <c r="AF105">
        <v>75</v>
      </c>
      <c r="AG105">
        <v>83</v>
      </c>
      <c r="AH105">
        <v>79</v>
      </c>
      <c r="AI105">
        <v>5.05</v>
      </c>
    </row>
    <row r="106" spans="1:35" x14ac:dyDescent="0.5">
      <c r="A106" s="35">
        <v>2003</v>
      </c>
      <c r="B106" t="s">
        <v>145</v>
      </c>
      <c r="C106" t="s">
        <v>38</v>
      </c>
      <c r="D106">
        <v>600</v>
      </c>
      <c r="E106">
        <v>162</v>
      </c>
      <c r="F106">
        <v>3</v>
      </c>
      <c r="G106">
        <v>17</v>
      </c>
      <c r="H106">
        <v>159</v>
      </c>
      <c r="I106">
        <v>58</v>
      </c>
      <c r="J106">
        <v>1457.2</v>
      </c>
      <c r="K106">
        <v>1254</v>
      </c>
      <c r="L106">
        <v>556</v>
      </c>
      <c r="M106" s="58">
        <f t="shared" si="4"/>
        <v>2003</v>
      </c>
      <c r="N106" s="58" t="s">
        <v>66</v>
      </c>
      <c r="O106" s="58" t="str">
        <f t="shared" si="7"/>
        <v>2003 Los Angeles Dodgers</v>
      </c>
      <c r="P106" s="58">
        <v>6001</v>
      </c>
      <c r="Q106" s="58">
        <f t="shared" si="5"/>
        <v>895</v>
      </c>
      <c r="R106" s="58">
        <v>205</v>
      </c>
      <c r="S106" s="58">
        <v>27</v>
      </c>
      <c r="T106" s="58">
        <v>127</v>
      </c>
      <c r="U106" s="58">
        <v>526</v>
      </c>
      <c r="V106" s="58">
        <v>40</v>
      </c>
      <c r="W106" s="58">
        <f t="shared" si="6"/>
        <v>4181</v>
      </c>
      <c r="X106">
        <v>511</v>
      </c>
      <c r="Y106">
        <v>35</v>
      </c>
      <c r="Z106">
        <v>1289</v>
      </c>
      <c r="AA106">
        <v>62</v>
      </c>
      <c r="AB106">
        <v>19</v>
      </c>
      <c r="AC106">
        <v>50</v>
      </c>
      <c r="AD106">
        <v>5</v>
      </c>
      <c r="AE106">
        <v>137</v>
      </c>
      <c r="AF106">
        <v>70</v>
      </c>
      <c r="AG106">
        <v>85</v>
      </c>
      <c r="AH106">
        <v>77</v>
      </c>
      <c r="AI106">
        <v>3.16</v>
      </c>
    </row>
    <row r="107" spans="1:35" x14ac:dyDescent="0.5">
      <c r="A107" s="35">
        <v>2003</v>
      </c>
      <c r="B107" t="s">
        <v>69</v>
      </c>
      <c r="C107" t="s">
        <v>38</v>
      </c>
      <c r="D107">
        <v>622</v>
      </c>
      <c r="E107">
        <v>162</v>
      </c>
      <c r="F107">
        <v>5</v>
      </c>
      <c r="G107">
        <v>3</v>
      </c>
      <c r="H107">
        <v>157</v>
      </c>
      <c r="I107">
        <v>44</v>
      </c>
      <c r="J107">
        <v>1452</v>
      </c>
      <c r="K107">
        <v>1590</v>
      </c>
      <c r="L107">
        <v>873</v>
      </c>
      <c r="M107" s="58">
        <f t="shared" si="4"/>
        <v>2003</v>
      </c>
      <c r="N107" s="58" t="s">
        <v>68</v>
      </c>
      <c r="O107" s="58" t="str">
        <f t="shared" si="7"/>
        <v>2003 Milwaukee Brewers</v>
      </c>
      <c r="P107" s="58">
        <v>6459</v>
      </c>
      <c r="Q107" s="58">
        <f t="shared" si="5"/>
        <v>1024</v>
      </c>
      <c r="R107" s="58">
        <v>304</v>
      </c>
      <c r="S107" s="58">
        <v>43</v>
      </c>
      <c r="T107" s="58">
        <v>219</v>
      </c>
      <c r="U107" s="58">
        <v>575</v>
      </c>
      <c r="V107" s="58">
        <v>61</v>
      </c>
      <c r="W107" s="58">
        <f t="shared" si="6"/>
        <v>4233</v>
      </c>
      <c r="X107">
        <v>810</v>
      </c>
      <c r="Y107">
        <v>43</v>
      </c>
      <c r="Z107">
        <v>1034</v>
      </c>
      <c r="AA107">
        <v>69</v>
      </c>
      <c r="AB107">
        <v>47</v>
      </c>
      <c r="AC107">
        <v>57</v>
      </c>
      <c r="AD107">
        <v>8</v>
      </c>
      <c r="AE107">
        <v>121</v>
      </c>
      <c r="AF107">
        <v>83</v>
      </c>
      <c r="AG107">
        <v>68</v>
      </c>
      <c r="AH107">
        <v>94</v>
      </c>
      <c r="AI107">
        <v>5.0199999999999996</v>
      </c>
    </row>
    <row r="108" spans="1:35" x14ac:dyDescent="0.5">
      <c r="A108" s="35">
        <v>2003</v>
      </c>
      <c r="B108" t="s">
        <v>71</v>
      </c>
      <c r="C108" t="s">
        <v>149</v>
      </c>
      <c r="D108">
        <v>561</v>
      </c>
      <c r="E108">
        <v>162</v>
      </c>
      <c r="F108">
        <v>7</v>
      </c>
      <c r="G108">
        <v>8</v>
      </c>
      <c r="H108">
        <v>155</v>
      </c>
      <c r="I108">
        <v>45</v>
      </c>
      <c r="J108">
        <v>1462</v>
      </c>
      <c r="K108">
        <v>1526</v>
      </c>
      <c r="L108">
        <v>758</v>
      </c>
      <c r="M108" s="58">
        <f t="shared" si="4"/>
        <v>2003</v>
      </c>
      <c r="N108" s="58" t="s">
        <v>70</v>
      </c>
      <c r="O108" s="58" t="str">
        <f t="shared" si="7"/>
        <v>2003 Minnesota Twins</v>
      </c>
      <c r="P108" s="58">
        <v>6246</v>
      </c>
      <c r="Q108" s="58">
        <f t="shared" si="5"/>
        <v>1013</v>
      </c>
      <c r="R108" s="58">
        <v>302</v>
      </c>
      <c r="S108" s="58">
        <v>24</v>
      </c>
      <c r="T108" s="58">
        <v>187</v>
      </c>
      <c r="U108" s="58">
        <v>402</v>
      </c>
      <c r="V108" s="58">
        <v>50</v>
      </c>
      <c r="W108" s="58">
        <f t="shared" si="6"/>
        <v>4268</v>
      </c>
      <c r="X108">
        <v>716</v>
      </c>
      <c r="Y108">
        <v>35</v>
      </c>
      <c r="Z108">
        <v>997</v>
      </c>
      <c r="AA108">
        <v>54</v>
      </c>
      <c r="AB108">
        <v>41</v>
      </c>
      <c r="AC108">
        <v>62</v>
      </c>
      <c r="AD108">
        <v>9</v>
      </c>
      <c r="AE108">
        <v>93</v>
      </c>
      <c r="AF108">
        <v>49</v>
      </c>
      <c r="AG108">
        <v>90</v>
      </c>
      <c r="AH108">
        <v>72</v>
      </c>
      <c r="AI108">
        <v>4.41</v>
      </c>
    </row>
    <row r="109" spans="1:35" x14ac:dyDescent="0.5">
      <c r="A109" s="35">
        <v>2003</v>
      </c>
      <c r="B109" t="s">
        <v>73</v>
      </c>
      <c r="C109" t="s">
        <v>38</v>
      </c>
      <c r="D109">
        <v>599</v>
      </c>
      <c r="E109">
        <v>162</v>
      </c>
      <c r="F109">
        <v>15</v>
      </c>
      <c r="G109">
        <v>10</v>
      </c>
      <c r="H109">
        <v>147</v>
      </c>
      <c r="I109">
        <v>42</v>
      </c>
      <c r="J109">
        <v>1437.2</v>
      </c>
      <c r="K109">
        <v>1467</v>
      </c>
      <c r="L109">
        <v>716</v>
      </c>
      <c r="M109" s="58">
        <f t="shared" si="4"/>
        <v>2003</v>
      </c>
      <c r="N109" s="58" t="s">
        <v>72</v>
      </c>
      <c r="O109" s="58" t="str">
        <f t="shared" si="7"/>
        <v>2003 Montreal Expos</v>
      </c>
      <c r="P109" s="58">
        <v>6171</v>
      </c>
      <c r="Q109" s="58">
        <f t="shared" si="5"/>
        <v>970</v>
      </c>
      <c r="R109" s="58">
        <v>292</v>
      </c>
      <c r="S109" s="58">
        <v>24</v>
      </c>
      <c r="T109" s="58">
        <v>181</v>
      </c>
      <c r="U109" s="58">
        <v>463</v>
      </c>
      <c r="V109" s="58">
        <v>71</v>
      </c>
      <c r="W109" s="58">
        <f t="shared" si="6"/>
        <v>4170</v>
      </c>
      <c r="X109">
        <v>640</v>
      </c>
      <c r="Y109">
        <v>51</v>
      </c>
      <c r="Z109">
        <v>1028</v>
      </c>
      <c r="AA109">
        <v>46</v>
      </c>
      <c r="AB109">
        <v>35</v>
      </c>
      <c r="AC109">
        <v>71</v>
      </c>
      <c r="AD109">
        <v>4</v>
      </c>
      <c r="AE109">
        <v>119</v>
      </c>
      <c r="AF109">
        <v>76</v>
      </c>
      <c r="AG109">
        <v>83</v>
      </c>
      <c r="AH109">
        <v>79</v>
      </c>
      <c r="AI109">
        <v>4.01</v>
      </c>
    </row>
    <row r="110" spans="1:35" x14ac:dyDescent="0.5">
      <c r="A110" s="35">
        <v>2003</v>
      </c>
      <c r="B110" t="s">
        <v>144</v>
      </c>
      <c r="C110" t="s">
        <v>38</v>
      </c>
      <c r="D110">
        <v>573</v>
      </c>
      <c r="E110">
        <v>161</v>
      </c>
      <c r="F110">
        <v>3</v>
      </c>
      <c r="G110">
        <v>10</v>
      </c>
      <c r="H110">
        <v>158</v>
      </c>
      <c r="I110">
        <v>38</v>
      </c>
      <c r="J110">
        <v>1413.1</v>
      </c>
      <c r="K110">
        <v>1497</v>
      </c>
      <c r="L110">
        <v>754</v>
      </c>
      <c r="M110" s="58">
        <f t="shared" si="4"/>
        <v>2003</v>
      </c>
      <c r="N110" s="58" t="s">
        <v>76</v>
      </c>
      <c r="O110" s="58" t="str">
        <f t="shared" si="7"/>
        <v>2003 New York Mets</v>
      </c>
      <c r="P110" s="58">
        <v>6204</v>
      </c>
      <c r="Q110" s="58">
        <f t="shared" si="5"/>
        <v>971</v>
      </c>
      <c r="R110" s="58">
        <v>317</v>
      </c>
      <c r="S110" s="58">
        <v>41</v>
      </c>
      <c r="T110" s="58">
        <v>168</v>
      </c>
      <c r="U110" s="58">
        <v>576</v>
      </c>
      <c r="V110" s="58">
        <v>45</v>
      </c>
      <c r="W110" s="58">
        <f t="shared" si="6"/>
        <v>4086</v>
      </c>
      <c r="X110">
        <v>704</v>
      </c>
      <c r="Y110">
        <v>71</v>
      </c>
      <c r="Z110">
        <v>907</v>
      </c>
      <c r="AA110">
        <v>63</v>
      </c>
      <c r="AB110">
        <v>43</v>
      </c>
      <c r="AC110">
        <v>45</v>
      </c>
      <c r="AD110">
        <v>7</v>
      </c>
      <c r="AE110">
        <v>127</v>
      </c>
      <c r="AF110">
        <v>79</v>
      </c>
      <c r="AG110">
        <v>66</v>
      </c>
      <c r="AH110">
        <v>95</v>
      </c>
      <c r="AI110">
        <v>4.4800000000000004</v>
      </c>
    </row>
    <row r="111" spans="1:35" x14ac:dyDescent="0.5">
      <c r="A111" s="35">
        <v>2003</v>
      </c>
      <c r="B111" t="s">
        <v>144</v>
      </c>
      <c r="C111" t="s">
        <v>149</v>
      </c>
      <c r="D111">
        <v>530</v>
      </c>
      <c r="E111">
        <v>163</v>
      </c>
      <c r="F111">
        <v>8</v>
      </c>
      <c r="G111">
        <v>12</v>
      </c>
      <c r="H111">
        <v>155</v>
      </c>
      <c r="I111">
        <v>49</v>
      </c>
      <c r="J111">
        <v>1462</v>
      </c>
      <c r="K111">
        <v>1512</v>
      </c>
      <c r="L111">
        <v>716</v>
      </c>
      <c r="M111" s="58">
        <f t="shared" si="4"/>
        <v>2003</v>
      </c>
      <c r="N111" s="58" t="s">
        <v>74</v>
      </c>
      <c r="O111" s="58" t="str">
        <f t="shared" si="7"/>
        <v>2003 New York Yankees</v>
      </c>
      <c r="P111" s="58">
        <v>6209</v>
      </c>
      <c r="Q111" s="58">
        <f t="shared" si="5"/>
        <v>1019</v>
      </c>
      <c r="R111" s="58">
        <v>323</v>
      </c>
      <c r="S111" s="58">
        <v>25</v>
      </c>
      <c r="T111" s="58">
        <v>145</v>
      </c>
      <c r="U111" s="58">
        <v>375</v>
      </c>
      <c r="V111" s="58">
        <v>49</v>
      </c>
      <c r="W111" s="58">
        <f t="shared" si="6"/>
        <v>4273</v>
      </c>
      <c r="X111">
        <v>653</v>
      </c>
      <c r="Y111">
        <v>36</v>
      </c>
      <c r="Z111">
        <v>1119</v>
      </c>
      <c r="AA111">
        <v>37</v>
      </c>
      <c r="AB111">
        <v>48</v>
      </c>
      <c r="AC111">
        <v>33</v>
      </c>
      <c r="AD111">
        <v>0</v>
      </c>
      <c r="AE111">
        <v>104</v>
      </c>
      <c r="AF111">
        <v>79</v>
      </c>
      <c r="AG111">
        <v>101</v>
      </c>
      <c r="AH111">
        <v>61</v>
      </c>
      <c r="AI111">
        <v>4.0199999999999996</v>
      </c>
    </row>
    <row r="112" spans="1:35" x14ac:dyDescent="0.5">
      <c r="A112" s="35">
        <v>2003</v>
      </c>
      <c r="B112" t="s">
        <v>79</v>
      </c>
      <c r="C112" t="s">
        <v>149</v>
      </c>
      <c r="D112">
        <v>526</v>
      </c>
      <c r="E112">
        <v>162</v>
      </c>
      <c r="F112">
        <v>16</v>
      </c>
      <c r="G112">
        <v>14</v>
      </c>
      <c r="H112">
        <v>146</v>
      </c>
      <c r="I112">
        <v>48</v>
      </c>
      <c r="J112">
        <v>1441.2</v>
      </c>
      <c r="K112">
        <v>1336</v>
      </c>
      <c r="L112">
        <v>643</v>
      </c>
      <c r="M112" s="58">
        <f t="shared" si="4"/>
        <v>2003</v>
      </c>
      <c r="N112" s="58" t="s">
        <v>78</v>
      </c>
      <c r="O112" s="58" t="str">
        <f t="shared" si="7"/>
        <v>2003 Oakland Athletics</v>
      </c>
      <c r="P112" s="58">
        <v>6078</v>
      </c>
      <c r="Q112" s="58">
        <f t="shared" si="5"/>
        <v>928</v>
      </c>
      <c r="R112" s="58">
        <v>248</v>
      </c>
      <c r="S112" s="58">
        <v>20</v>
      </c>
      <c r="T112" s="58">
        <v>140</v>
      </c>
      <c r="U112" s="58">
        <v>499</v>
      </c>
      <c r="V112" s="58">
        <v>54</v>
      </c>
      <c r="W112" s="58">
        <f t="shared" si="6"/>
        <v>4189</v>
      </c>
      <c r="X112">
        <v>582</v>
      </c>
      <c r="Y112">
        <v>42</v>
      </c>
      <c r="Z112">
        <v>1018</v>
      </c>
      <c r="AA112">
        <v>55</v>
      </c>
      <c r="AB112">
        <v>29</v>
      </c>
      <c r="AC112">
        <v>41</v>
      </c>
      <c r="AD112">
        <v>10</v>
      </c>
      <c r="AE112">
        <v>128</v>
      </c>
      <c r="AF112">
        <v>61</v>
      </c>
      <c r="AG112">
        <v>96</v>
      </c>
      <c r="AH112">
        <v>66</v>
      </c>
      <c r="AI112">
        <v>3.63</v>
      </c>
    </row>
    <row r="113" spans="1:35" x14ac:dyDescent="0.5">
      <c r="A113" s="35">
        <v>2003</v>
      </c>
      <c r="B113" t="s">
        <v>81</v>
      </c>
      <c r="C113" t="s">
        <v>38</v>
      </c>
      <c r="D113">
        <v>599</v>
      </c>
      <c r="E113">
        <v>162</v>
      </c>
      <c r="F113">
        <v>9</v>
      </c>
      <c r="G113">
        <v>13</v>
      </c>
      <c r="H113">
        <v>153</v>
      </c>
      <c r="I113">
        <v>33</v>
      </c>
      <c r="J113">
        <v>1443.2</v>
      </c>
      <c r="K113">
        <v>1386</v>
      </c>
      <c r="L113">
        <v>697</v>
      </c>
      <c r="M113" s="58">
        <f t="shared" si="4"/>
        <v>2003</v>
      </c>
      <c r="N113" s="58" t="s">
        <v>80</v>
      </c>
      <c r="O113" s="58" t="str">
        <f t="shared" si="7"/>
        <v>2003 Philadelphia Phillies</v>
      </c>
      <c r="P113" s="58">
        <v>6195</v>
      </c>
      <c r="Q113" s="58">
        <f t="shared" si="5"/>
        <v>896</v>
      </c>
      <c r="R113" s="58">
        <v>315</v>
      </c>
      <c r="S113" s="58">
        <v>33</v>
      </c>
      <c r="T113" s="58">
        <v>142</v>
      </c>
      <c r="U113" s="58">
        <v>536</v>
      </c>
      <c r="V113" s="58">
        <v>77</v>
      </c>
      <c r="W113" s="58">
        <f t="shared" si="6"/>
        <v>4196</v>
      </c>
      <c r="X113">
        <v>648</v>
      </c>
      <c r="Y113">
        <v>51</v>
      </c>
      <c r="Z113">
        <v>1060</v>
      </c>
      <c r="AA113">
        <v>79</v>
      </c>
      <c r="AB113">
        <v>29</v>
      </c>
      <c r="AC113">
        <v>53</v>
      </c>
      <c r="AD113">
        <v>4</v>
      </c>
      <c r="AE113">
        <v>138</v>
      </c>
      <c r="AF113">
        <v>64</v>
      </c>
      <c r="AG113">
        <v>86</v>
      </c>
      <c r="AH113">
        <v>76</v>
      </c>
      <c r="AI113">
        <v>4.04</v>
      </c>
    </row>
    <row r="114" spans="1:35" x14ac:dyDescent="0.5">
      <c r="A114" s="35">
        <v>2003</v>
      </c>
      <c r="B114" t="s">
        <v>83</v>
      </c>
      <c r="C114" t="s">
        <v>38</v>
      </c>
      <c r="D114">
        <v>619</v>
      </c>
      <c r="E114">
        <v>162</v>
      </c>
      <c r="F114">
        <v>7</v>
      </c>
      <c r="G114">
        <v>10</v>
      </c>
      <c r="H114">
        <v>155</v>
      </c>
      <c r="I114">
        <v>44</v>
      </c>
      <c r="J114">
        <v>1444.1</v>
      </c>
      <c r="K114">
        <v>1527</v>
      </c>
      <c r="L114">
        <v>801</v>
      </c>
      <c r="M114" s="58">
        <f t="shared" si="4"/>
        <v>2003</v>
      </c>
      <c r="N114" s="58" t="s">
        <v>82</v>
      </c>
      <c r="O114" s="58" t="str">
        <f t="shared" si="7"/>
        <v>2003 Pittsburgh Pirates</v>
      </c>
      <c r="P114" s="58">
        <v>6293</v>
      </c>
      <c r="Q114" s="58">
        <f t="shared" si="5"/>
        <v>1021</v>
      </c>
      <c r="R114" s="58">
        <v>301</v>
      </c>
      <c r="S114" s="58">
        <v>27</v>
      </c>
      <c r="T114" s="58">
        <v>178</v>
      </c>
      <c r="U114" s="58">
        <v>502</v>
      </c>
      <c r="V114" s="58">
        <v>61</v>
      </c>
      <c r="W114" s="58">
        <f t="shared" si="6"/>
        <v>4203</v>
      </c>
      <c r="X114">
        <v>744</v>
      </c>
      <c r="Y114">
        <v>58</v>
      </c>
      <c r="Z114">
        <v>926</v>
      </c>
      <c r="AA114">
        <v>81</v>
      </c>
      <c r="AB114">
        <v>44</v>
      </c>
      <c r="AC114">
        <v>50</v>
      </c>
      <c r="AD114">
        <v>2</v>
      </c>
      <c r="AE114">
        <v>140</v>
      </c>
      <c r="AF114">
        <v>82</v>
      </c>
      <c r="AG114">
        <v>75</v>
      </c>
      <c r="AH114">
        <v>87</v>
      </c>
      <c r="AI114">
        <v>4.6399999999999997</v>
      </c>
    </row>
    <row r="115" spans="1:35" x14ac:dyDescent="0.5">
      <c r="A115" s="35">
        <v>2003</v>
      </c>
      <c r="B115" t="s">
        <v>147</v>
      </c>
      <c r="C115" t="s">
        <v>38</v>
      </c>
      <c r="D115">
        <v>635</v>
      </c>
      <c r="E115">
        <v>162</v>
      </c>
      <c r="F115">
        <v>2</v>
      </c>
      <c r="G115">
        <v>10</v>
      </c>
      <c r="H115">
        <v>160</v>
      </c>
      <c r="I115">
        <v>31</v>
      </c>
      <c r="J115">
        <v>1431.1</v>
      </c>
      <c r="K115">
        <v>1458</v>
      </c>
      <c r="L115">
        <v>831</v>
      </c>
      <c r="M115" s="58">
        <f t="shared" si="4"/>
        <v>2003</v>
      </c>
      <c r="N115" s="58" t="s">
        <v>84</v>
      </c>
      <c r="O115" s="58" t="str">
        <f t="shared" si="7"/>
        <v>2003 San Diego Padres</v>
      </c>
      <c r="P115" s="58">
        <v>6303</v>
      </c>
      <c r="Q115" s="58">
        <f t="shared" si="5"/>
        <v>954</v>
      </c>
      <c r="R115" s="58">
        <v>259</v>
      </c>
      <c r="S115" s="58">
        <v>37</v>
      </c>
      <c r="T115" s="58">
        <v>208</v>
      </c>
      <c r="U115" s="58">
        <v>611</v>
      </c>
      <c r="V115" s="58">
        <v>62</v>
      </c>
      <c r="W115" s="58">
        <f t="shared" si="6"/>
        <v>4172</v>
      </c>
      <c r="X115">
        <v>775</v>
      </c>
      <c r="Y115">
        <v>52</v>
      </c>
      <c r="Z115">
        <v>1091</v>
      </c>
      <c r="AA115">
        <v>54</v>
      </c>
      <c r="AB115">
        <v>53</v>
      </c>
      <c r="AC115">
        <v>64</v>
      </c>
      <c r="AD115">
        <v>3</v>
      </c>
      <c r="AE115">
        <v>112</v>
      </c>
      <c r="AF115">
        <v>74</v>
      </c>
      <c r="AG115">
        <v>64</v>
      </c>
      <c r="AH115">
        <v>98</v>
      </c>
      <c r="AI115">
        <v>4.87</v>
      </c>
    </row>
    <row r="116" spans="1:35" x14ac:dyDescent="0.5">
      <c r="A116" s="35">
        <v>2003</v>
      </c>
      <c r="B116" t="s">
        <v>87</v>
      </c>
      <c r="C116" t="s">
        <v>149</v>
      </c>
      <c r="D116">
        <v>528</v>
      </c>
      <c r="E116">
        <v>162</v>
      </c>
      <c r="F116">
        <v>8</v>
      </c>
      <c r="G116">
        <v>15</v>
      </c>
      <c r="H116">
        <v>154</v>
      </c>
      <c r="I116">
        <v>38</v>
      </c>
      <c r="J116">
        <v>1441</v>
      </c>
      <c r="K116">
        <v>1340</v>
      </c>
      <c r="L116">
        <v>637</v>
      </c>
      <c r="M116" s="58">
        <f t="shared" si="4"/>
        <v>2003</v>
      </c>
      <c r="N116" s="58" t="s">
        <v>86</v>
      </c>
      <c r="O116" s="58" t="str">
        <f t="shared" si="7"/>
        <v>2003 Seattle Mariners</v>
      </c>
      <c r="P116" s="58">
        <v>6025</v>
      </c>
      <c r="Q116" s="58">
        <f t="shared" si="5"/>
        <v>933</v>
      </c>
      <c r="R116" s="58">
        <v>220</v>
      </c>
      <c r="S116" s="58">
        <v>14</v>
      </c>
      <c r="T116" s="58">
        <v>173</v>
      </c>
      <c r="U116" s="58">
        <v>466</v>
      </c>
      <c r="V116" s="58">
        <v>54</v>
      </c>
      <c r="W116" s="58">
        <f t="shared" si="6"/>
        <v>4165</v>
      </c>
      <c r="X116">
        <v>602</v>
      </c>
      <c r="Y116">
        <v>24</v>
      </c>
      <c r="Z116">
        <v>1001</v>
      </c>
      <c r="AA116">
        <v>35</v>
      </c>
      <c r="AB116">
        <v>43</v>
      </c>
      <c r="AC116">
        <v>35</v>
      </c>
      <c r="AD116">
        <v>4</v>
      </c>
      <c r="AE116">
        <v>131</v>
      </c>
      <c r="AF116">
        <v>48</v>
      </c>
      <c r="AG116">
        <v>93</v>
      </c>
      <c r="AH116">
        <v>69</v>
      </c>
      <c r="AI116">
        <v>3.76</v>
      </c>
    </row>
    <row r="117" spans="1:35" x14ac:dyDescent="0.5">
      <c r="A117" s="35">
        <v>2003</v>
      </c>
      <c r="B117" t="s">
        <v>21</v>
      </c>
      <c r="C117" t="s">
        <v>38</v>
      </c>
      <c r="D117">
        <v>622</v>
      </c>
      <c r="E117">
        <v>161</v>
      </c>
      <c r="F117">
        <v>7</v>
      </c>
      <c r="G117">
        <v>10</v>
      </c>
      <c r="H117">
        <v>154</v>
      </c>
      <c r="I117">
        <v>43</v>
      </c>
      <c r="J117">
        <v>1437.1</v>
      </c>
      <c r="K117">
        <v>1349</v>
      </c>
      <c r="L117">
        <v>638</v>
      </c>
      <c r="M117" s="58">
        <f t="shared" si="4"/>
        <v>2003</v>
      </c>
      <c r="N117" s="58" t="s">
        <v>88</v>
      </c>
      <c r="O117" s="58" t="str">
        <f t="shared" si="7"/>
        <v>2003 San Francisco Giants</v>
      </c>
      <c r="P117" s="58">
        <v>6090</v>
      </c>
      <c r="Q117" s="58">
        <f t="shared" si="5"/>
        <v>923</v>
      </c>
      <c r="R117" s="58">
        <v>259</v>
      </c>
      <c r="S117" s="58">
        <v>31</v>
      </c>
      <c r="T117" s="58">
        <v>136</v>
      </c>
      <c r="U117" s="58">
        <v>546</v>
      </c>
      <c r="V117" s="58">
        <v>43</v>
      </c>
      <c r="W117" s="58">
        <f t="shared" si="6"/>
        <v>4152</v>
      </c>
      <c r="X117">
        <v>595</v>
      </c>
      <c r="Y117">
        <v>34</v>
      </c>
      <c r="Z117">
        <v>1006</v>
      </c>
      <c r="AA117">
        <v>61</v>
      </c>
      <c r="AB117">
        <v>53</v>
      </c>
      <c r="AC117">
        <v>68</v>
      </c>
      <c r="AD117">
        <v>8</v>
      </c>
      <c r="AE117">
        <v>137</v>
      </c>
      <c r="AF117">
        <v>56</v>
      </c>
      <c r="AG117">
        <v>100</v>
      </c>
      <c r="AH117">
        <v>61</v>
      </c>
      <c r="AI117">
        <v>3.73</v>
      </c>
    </row>
    <row r="118" spans="1:35" x14ac:dyDescent="0.5">
      <c r="A118" s="35">
        <v>2003</v>
      </c>
      <c r="B118" t="s">
        <v>142</v>
      </c>
      <c r="C118" t="s">
        <v>38</v>
      </c>
      <c r="D118">
        <v>622</v>
      </c>
      <c r="E118">
        <v>162</v>
      </c>
      <c r="F118">
        <v>9</v>
      </c>
      <c r="G118">
        <v>10</v>
      </c>
      <c r="H118">
        <v>153</v>
      </c>
      <c r="I118">
        <v>41</v>
      </c>
      <c r="J118">
        <v>1463.2</v>
      </c>
      <c r="K118">
        <v>1544</v>
      </c>
      <c r="L118">
        <v>796</v>
      </c>
      <c r="M118" s="58">
        <f t="shared" si="4"/>
        <v>2003</v>
      </c>
      <c r="N118" s="58" t="s">
        <v>90</v>
      </c>
      <c r="O118" s="58" t="str">
        <f t="shared" si="7"/>
        <v>2003 St. Louis Cardinals</v>
      </c>
      <c r="P118" s="58">
        <v>6375</v>
      </c>
      <c r="Q118" s="58">
        <f t="shared" si="5"/>
        <v>969</v>
      </c>
      <c r="R118" s="58">
        <v>335</v>
      </c>
      <c r="S118" s="58">
        <v>30</v>
      </c>
      <c r="T118" s="58">
        <v>210</v>
      </c>
      <c r="U118" s="58">
        <v>508</v>
      </c>
      <c r="V118" s="58">
        <v>65</v>
      </c>
      <c r="W118" s="58">
        <f t="shared" si="6"/>
        <v>4258</v>
      </c>
      <c r="X118">
        <v>749</v>
      </c>
      <c r="Y118">
        <v>36</v>
      </c>
      <c r="Z118">
        <v>969</v>
      </c>
      <c r="AA118">
        <v>68</v>
      </c>
      <c r="AB118">
        <v>45</v>
      </c>
      <c r="AC118">
        <v>53</v>
      </c>
      <c r="AD118">
        <v>1</v>
      </c>
      <c r="AE118">
        <v>114</v>
      </c>
      <c r="AF118">
        <v>60</v>
      </c>
      <c r="AG118">
        <v>85</v>
      </c>
      <c r="AH118">
        <v>77</v>
      </c>
      <c r="AI118">
        <v>4.6100000000000003</v>
      </c>
    </row>
    <row r="119" spans="1:35" x14ac:dyDescent="0.5">
      <c r="A119" s="35">
        <v>2003</v>
      </c>
      <c r="B119" t="s">
        <v>151</v>
      </c>
      <c r="C119" t="s">
        <v>149</v>
      </c>
      <c r="D119">
        <v>534</v>
      </c>
      <c r="E119">
        <v>162</v>
      </c>
      <c r="F119">
        <v>7</v>
      </c>
      <c r="G119">
        <v>7</v>
      </c>
      <c r="H119">
        <v>155</v>
      </c>
      <c r="I119">
        <v>30</v>
      </c>
      <c r="J119">
        <v>1436.2</v>
      </c>
      <c r="K119">
        <v>1454</v>
      </c>
      <c r="L119">
        <v>852</v>
      </c>
      <c r="M119" s="58">
        <f t="shared" si="4"/>
        <v>2003</v>
      </c>
      <c r="N119" s="58" t="s">
        <v>92</v>
      </c>
      <c r="O119" s="58" t="str">
        <f t="shared" si="7"/>
        <v>2003 Tampa Bay Devil Rays</v>
      </c>
      <c r="P119" s="58">
        <v>6340</v>
      </c>
      <c r="Q119" s="58">
        <f t="shared" si="5"/>
        <v>908</v>
      </c>
      <c r="R119" s="58">
        <v>319</v>
      </c>
      <c r="S119" s="58">
        <v>31</v>
      </c>
      <c r="T119" s="58">
        <v>196</v>
      </c>
      <c r="U119" s="58">
        <v>639</v>
      </c>
      <c r="V119" s="58">
        <v>95</v>
      </c>
      <c r="W119" s="58">
        <f t="shared" si="6"/>
        <v>4152</v>
      </c>
      <c r="X119">
        <v>787</v>
      </c>
      <c r="Y119">
        <v>37</v>
      </c>
      <c r="Z119">
        <v>877</v>
      </c>
      <c r="AA119">
        <v>39</v>
      </c>
      <c r="AB119">
        <v>65</v>
      </c>
      <c r="AC119">
        <v>65</v>
      </c>
      <c r="AD119">
        <v>9</v>
      </c>
      <c r="AE119">
        <v>124</v>
      </c>
      <c r="AF119">
        <v>70</v>
      </c>
      <c r="AG119">
        <v>63</v>
      </c>
      <c r="AH119">
        <v>99</v>
      </c>
      <c r="AI119">
        <v>4.93</v>
      </c>
    </row>
    <row r="120" spans="1:35" x14ac:dyDescent="0.5">
      <c r="A120" s="35">
        <v>2003</v>
      </c>
      <c r="B120" t="s">
        <v>95</v>
      </c>
      <c r="C120" t="s">
        <v>149</v>
      </c>
      <c r="D120">
        <v>656</v>
      </c>
      <c r="E120">
        <v>162</v>
      </c>
      <c r="F120">
        <v>4</v>
      </c>
      <c r="G120">
        <v>3</v>
      </c>
      <c r="H120">
        <v>158</v>
      </c>
      <c r="I120">
        <v>43</v>
      </c>
      <c r="J120">
        <v>1433.1</v>
      </c>
      <c r="K120">
        <v>1625</v>
      </c>
      <c r="L120">
        <v>969</v>
      </c>
      <c r="M120" s="58">
        <f t="shared" si="4"/>
        <v>2003</v>
      </c>
      <c r="N120" s="58" t="s">
        <v>94</v>
      </c>
      <c r="O120" s="58" t="str">
        <f t="shared" si="7"/>
        <v>2003 Texas Rangers</v>
      </c>
      <c r="P120" s="58">
        <v>6413</v>
      </c>
      <c r="Q120" s="58">
        <f t="shared" si="5"/>
        <v>1029</v>
      </c>
      <c r="R120" s="58">
        <v>351</v>
      </c>
      <c r="S120" s="58">
        <v>37</v>
      </c>
      <c r="T120" s="58">
        <v>208</v>
      </c>
      <c r="U120" s="58">
        <v>603</v>
      </c>
      <c r="V120" s="58">
        <v>63</v>
      </c>
      <c r="W120" s="58">
        <f t="shared" si="6"/>
        <v>4122</v>
      </c>
      <c r="X120">
        <v>903</v>
      </c>
      <c r="Y120">
        <v>45</v>
      </c>
      <c r="Z120">
        <v>1009</v>
      </c>
      <c r="AA120">
        <v>41</v>
      </c>
      <c r="AB120">
        <v>56</v>
      </c>
      <c r="AC120">
        <v>51</v>
      </c>
      <c r="AD120">
        <v>8</v>
      </c>
      <c r="AE120">
        <v>139</v>
      </c>
      <c r="AF120">
        <v>57</v>
      </c>
      <c r="AG120">
        <v>71</v>
      </c>
      <c r="AH120">
        <v>91</v>
      </c>
      <c r="AI120">
        <v>5.67</v>
      </c>
    </row>
    <row r="121" spans="1:35" x14ac:dyDescent="0.5">
      <c r="A121" s="35">
        <v>2003</v>
      </c>
      <c r="B121" t="s">
        <v>97</v>
      </c>
      <c r="C121" t="s">
        <v>149</v>
      </c>
      <c r="D121">
        <v>605</v>
      </c>
      <c r="E121">
        <v>162</v>
      </c>
      <c r="F121">
        <v>14</v>
      </c>
      <c r="G121">
        <v>6</v>
      </c>
      <c r="H121">
        <v>148</v>
      </c>
      <c r="I121">
        <v>35</v>
      </c>
      <c r="J121">
        <v>1435</v>
      </c>
      <c r="K121">
        <v>1560</v>
      </c>
      <c r="L121">
        <v>826</v>
      </c>
      <c r="M121" s="58">
        <f t="shared" si="4"/>
        <v>2003</v>
      </c>
      <c r="N121" s="58" t="s">
        <v>96</v>
      </c>
      <c r="O121" s="58" t="str">
        <f t="shared" si="7"/>
        <v>2003 Toronto Blue Jays</v>
      </c>
      <c r="P121" s="58">
        <v>6270</v>
      </c>
      <c r="Q121" s="58">
        <f t="shared" si="5"/>
        <v>1034</v>
      </c>
      <c r="R121" s="58">
        <v>300</v>
      </c>
      <c r="S121" s="58">
        <v>42</v>
      </c>
      <c r="T121" s="58">
        <v>184</v>
      </c>
      <c r="U121" s="58">
        <v>485</v>
      </c>
      <c r="V121" s="58">
        <v>57</v>
      </c>
      <c r="W121" s="58">
        <f t="shared" si="6"/>
        <v>4168</v>
      </c>
      <c r="X121">
        <v>748</v>
      </c>
      <c r="Y121">
        <v>46</v>
      </c>
      <c r="Z121">
        <v>984</v>
      </c>
      <c r="AA121">
        <v>29</v>
      </c>
      <c r="AB121">
        <v>38</v>
      </c>
      <c r="AC121">
        <v>56</v>
      </c>
      <c r="AD121">
        <v>2</v>
      </c>
      <c r="AE121">
        <v>141</v>
      </c>
      <c r="AF121">
        <v>78</v>
      </c>
      <c r="AG121">
        <v>86</v>
      </c>
      <c r="AH121">
        <v>76</v>
      </c>
      <c r="AI121">
        <v>4.6900000000000004</v>
      </c>
    </row>
    <row r="122" spans="1:35" x14ac:dyDescent="0.5">
      <c r="A122" s="35">
        <v>2004</v>
      </c>
      <c r="B122" t="s">
        <v>37</v>
      </c>
      <c r="C122" t="s">
        <v>149</v>
      </c>
      <c r="D122">
        <v>505</v>
      </c>
      <c r="E122">
        <v>162</v>
      </c>
      <c r="F122">
        <v>2</v>
      </c>
      <c r="G122">
        <v>11</v>
      </c>
      <c r="H122">
        <v>160</v>
      </c>
      <c r="I122">
        <v>50</v>
      </c>
      <c r="J122">
        <v>1454.1</v>
      </c>
      <c r="K122">
        <v>1476</v>
      </c>
      <c r="L122">
        <v>734</v>
      </c>
      <c r="M122" s="58">
        <f t="shared" si="4"/>
        <v>2004</v>
      </c>
      <c r="N122" s="58" t="s">
        <v>36</v>
      </c>
      <c r="O122" s="58" t="str">
        <f t="shared" si="7"/>
        <v>2004 Anaheim Angels</v>
      </c>
      <c r="P122" s="58">
        <v>6246</v>
      </c>
      <c r="Q122" s="58">
        <f t="shared" si="5"/>
        <v>985</v>
      </c>
      <c r="R122" s="58">
        <v>298</v>
      </c>
      <c r="S122" s="58">
        <v>23</v>
      </c>
      <c r="T122" s="58">
        <v>170</v>
      </c>
      <c r="U122" s="58">
        <v>502</v>
      </c>
      <c r="V122" s="58">
        <v>44</v>
      </c>
      <c r="W122" s="58">
        <f t="shared" si="6"/>
        <v>4224</v>
      </c>
      <c r="X122">
        <v>692</v>
      </c>
      <c r="Y122">
        <v>27</v>
      </c>
      <c r="Z122">
        <v>1164</v>
      </c>
      <c r="AA122">
        <v>35</v>
      </c>
      <c r="AB122">
        <v>47</v>
      </c>
      <c r="AC122">
        <v>61</v>
      </c>
      <c r="AD122">
        <v>7</v>
      </c>
      <c r="AE122">
        <v>98</v>
      </c>
      <c r="AF122">
        <v>68</v>
      </c>
      <c r="AG122">
        <v>92</v>
      </c>
      <c r="AH122">
        <v>70</v>
      </c>
      <c r="AI122">
        <v>4.28</v>
      </c>
    </row>
    <row r="123" spans="1:35" x14ac:dyDescent="0.5">
      <c r="A123" s="35">
        <v>2004</v>
      </c>
      <c r="B123" t="s">
        <v>40</v>
      </c>
      <c r="C123" t="s">
        <v>38</v>
      </c>
      <c r="D123">
        <v>633</v>
      </c>
      <c r="E123">
        <v>162</v>
      </c>
      <c r="F123">
        <v>5</v>
      </c>
      <c r="G123">
        <v>6</v>
      </c>
      <c r="H123">
        <v>157</v>
      </c>
      <c r="I123">
        <v>33</v>
      </c>
      <c r="J123">
        <v>1436</v>
      </c>
      <c r="K123">
        <v>1480</v>
      </c>
      <c r="L123">
        <v>899</v>
      </c>
      <c r="M123" s="58">
        <f t="shared" si="4"/>
        <v>2004</v>
      </c>
      <c r="N123" s="58" t="s">
        <v>39</v>
      </c>
      <c r="O123" s="58" t="str">
        <f t="shared" si="7"/>
        <v>2004 Arizona Diamondbacks</v>
      </c>
      <c r="P123" s="58">
        <v>6418</v>
      </c>
      <c r="Q123" s="58">
        <f t="shared" si="5"/>
        <v>954</v>
      </c>
      <c r="R123" s="58">
        <v>289</v>
      </c>
      <c r="S123" s="58">
        <v>40</v>
      </c>
      <c r="T123" s="58">
        <v>197</v>
      </c>
      <c r="U123" s="58">
        <v>668</v>
      </c>
      <c r="V123" s="58">
        <v>75</v>
      </c>
      <c r="W123" s="58">
        <f t="shared" si="6"/>
        <v>4195</v>
      </c>
      <c r="X123">
        <v>794</v>
      </c>
      <c r="Y123">
        <v>79</v>
      </c>
      <c r="Z123">
        <v>1153</v>
      </c>
      <c r="AA123">
        <v>74</v>
      </c>
      <c r="AB123">
        <v>47</v>
      </c>
      <c r="AC123">
        <v>71</v>
      </c>
      <c r="AD123">
        <v>8</v>
      </c>
      <c r="AE123">
        <v>120</v>
      </c>
      <c r="AF123">
        <v>106</v>
      </c>
      <c r="AG123">
        <v>51</v>
      </c>
      <c r="AH123">
        <v>111</v>
      </c>
      <c r="AI123">
        <v>4.9800000000000004</v>
      </c>
    </row>
    <row r="124" spans="1:35" x14ac:dyDescent="0.5">
      <c r="A124" s="35">
        <v>2004</v>
      </c>
      <c r="B124" t="s">
        <v>42</v>
      </c>
      <c r="C124" t="s">
        <v>38</v>
      </c>
      <c r="D124">
        <v>645</v>
      </c>
      <c r="E124">
        <v>162</v>
      </c>
      <c r="F124">
        <v>4</v>
      </c>
      <c r="G124">
        <v>13</v>
      </c>
      <c r="H124">
        <v>158</v>
      </c>
      <c r="I124">
        <v>48</v>
      </c>
      <c r="J124">
        <v>1450</v>
      </c>
      <c r="K124">
        <v>1475</v>
      </c>
      <c r="L124">
        <v>668</v>
      </c>
      <c r="M124" s="58">
        <f t="shared" si="4"/>
        <v>2004</v>
      </c>
      <c r="N124" s="58" t="s">
        <v>41</v>
      </c>
      <c r="O124" s="58" t="str">
        <f t="shared" si="7"/>
        <v>2004 Atlanta Braves</v>
      </c>
      <c r="P124" s="58">
        <v>6218</v>
      </c>
      <c r="Q124" s="58">
        <f t="shared" si="5"/>
        <v>1054</v>
      </c>
      <c r="R124" s="58">
        <v>250</v>
      </c>
      <c r="S124" s="58">
        <v>17</v>
      </c>
      <c r="T124" s="58">
        <v>154</v>
      </c>
      <c r="U124" s="58">
        <v>523</v>
      </c>
      <c r="V124" s="58">
        <v>27</v>
      </c>
      <c r="W124" s="58">
        <f t="shared" si="6"/>
        <v>4193</v>
      </c>
      <c r="X124">
        <v>603</v>
      </c>
      <c r="Y124">
        <v>50</v>
      </c>
      <c r="Z124">
        <v>1025</v>
      </c>
      <c r="AA124">
        <v>69</v>
      </c>
      <c r="AB124">
        <v>42</v>
      </c>
      <c r="AC124">
        <v>36</v>
      </c>
      <c r="AD124">
        <v>6</v>
      </c>
      <c r="AE124">
        <v>150</v>
      </c>
      <c r="AF124">
        <v>81</v>
      </c>
      <c r="AG124">
        <v>96</v>
      </c>
      <c r="AH124">
        <v>66</v>
      </c>
      <c r="AI124">
        <v>3.74</v>
      </c>
    </row>
    <row r="125" spans="1:35" x14ac:dyDescent="0.5">
      <c r="A125" s="35">
        <v>2004</v>
      </c>
      <c r="B125" t="s">
        <v>45</v>
      </c>
      <c r="C125" t="s">
        <v>149</v>
      </c>
      <c r="D125">
        <v>614</v>
      </c>
      <c r="E125">
        <v>162</v>
      </c>
      <c r="F125">
        <v>8</v>
      </c>
      <c r="G125">
        <v>10</v>
      </c>
      <c r="H125">
        <v>154</v>
      </c>
      <c r="I125">
        <v>27</v>
      </c>
      <c r="J125">
        <v>1455.1</v>
      </c>
      <c r="K125">
        <v>1488</v>
      </c>
      <c r="L125">
        <v>830</v>
      </c>
      <c r="M125" s="58">
        <f t="shared" si="4"/>
        <v>2004</v>
      </c>
      <c r="N125" s="58" t="s">
        <v>44</v>
      </c>
      <c r="O125" s="58" t="str">
        <f t="shared" si="7"/>
        <v>2004 Baltimore Orioles</v>
      </c>
      <c r="P125" s="58">
        <v>6459</v>
      </c>
      <c r="Q125" s="58">
        <f t="shared" si="5"/>
        <v>1048</v>
      </c>
      <c r="R125" s="58">
        <v>253</v>
      </c>
      <c r="S125" s="58">
        <v>28</v>
      </c>
      <c r="T125" s="58">
        <v>159</v>
      </c>
      <c r="U125" s="58">
        <v>687</v>
      </c>
      <c r="V125" s="58">
        <v>62</v>
      </c>
      <c r="W125" s="58">
        <f t="shared" si="6"/>
        <v>4222</v>
      </c>
      <c r="X125">
        <v>760</v>
      </c>
      <c r="Y125">
        <v>43</v>
      </c>
      <c r="Z125">
        <v>1090</v>
      </c>
      <c r="AA125">
        <v>36</v>
      </c>
      <c r="AB125">
        <v>40</v>
      </c>
      <c r="AC125">
        <v>68</v>
      </c>
      <c r="AD125">
        <v>9</v>
      </c>
      <c r="AE125">
        <v>137</v>
      </c>
      <c r="AF125">
        <v>71</v>
      </c>
      <c r="AG125">
        <v>78</v>
      </c>
      <c r="AH125">
        <v>84</v>
      </c>
      <c r="AI125">
        <v>4.7</v>
      </c>
    </row>
    <row r="126" spans="1:35" x14ac:dyDescent="0.5">
      <c r="A126" s="35">
        <v>2004</v>
      </c>
      <c r="B126" t="s">
        <v>47</v>
      </c>
      <c r="C126" t="s">
        <v>149</v>
      </c>
      <c r="D126">
        <v>599</v>
      </c>
      <c r="E126">
        <v>162</v>
      </c>
      <c r="F126">
        <v>4</v>
      </c>
      <c r="G126">
        <v>12</v>
      </c>
      <c r="H126">
        <v>158</v>
      </c>
      <c r="I126">
        <v>36</v>
      </c>
      <c r="J126">
        <v>1451.1</v>
      </c>
      <c r="K126">
        <v>1430</v>
      </c>
      <c r="L126">
        <v>768</v>
      </c>
      <c r="M126" s="58">
        <f t="shared" si="4"/>
        <v>2004</v>
      </c>
      <c r="N126" s="58" t="s">
        <v>46</v>
      </c>
      <c r="O126" s="58" t="str">
        <f t="shared" si="7"/>
        <v>2004 Boston Red Sox</v>
      </c>
      <c r="P126" s="58">
        <v>6222</v>
      </c>
      <c r="Q126" s="58">
        <f t="shared" si="5"/>
        <v>922</v>
      </c>
      <c r="R126" s="58">
        <v>318</v>
      </c>
      <c r="S126" s="58">
        <v>31</v>
      </c>
      <c r="T126" s="58">
        <v>159</v>
      </c>
      <c r="U126" s="58">
        <v>447</v>
      </c>
      <c r="V126" s="58">
        <v>92</v>
      </c>
      <c r="W126" s="58">
        <f t="shared" si="6"/>
        <v>4253</v>
      </c>
      <c r="X126">
        <v>674</v>
      </c>
      <c r="Y126">
        <v>28</v>
      </c>
      <c r="Z126">
        <v>1132</v>
      </c>
      <c r="AA126">
        <v>37</v>
      </c>
      <c r="AB126">
        <v>46</v>
      </c>
      <c r="AC126">
        <v>39</v>
      </c>
      <c r="AD126">
        <v>1</v>
      </c>
      <c r="AE126">
        <v>107</v>
      </c>
      <c r="AF126">
        <v>82</v>
      </c>
      <c r="AG126">
        <v>98</v>
      </c>
      <c r="AH126">
        <v>64</v>
      </c>
      <c r="AI126">
        <v>4.18</v>
      </c>
    </row>
    <row r="127" spans="1:35" x14ac:dyDescent="0.5">
      <c r="A127" s="35">
        <v>2004</v>
      </c>
      <c r="B127" t="s">
        <v>143</v>
      </c>
      <c r="C127" t="s">
        <v>38</v>
      </c>
      <c r="D127">
        <v>622</v>
      </c>
      <c r="E127">
        <v>162</v>
      </c>
      <c r="F127">
        <v>3</v>
      </c>
      <c r="G127">
        <v>6</v>
      </c>
      <c r="H127">
        <v>159</v>
      </c>
      <c r="I127">
        <v>42</v>
      </c>
      <c r="J127">
        <v>1465.1</v>
      </c>
      <c r="K127">
        <v>1363</v>
      </c>
      <c r="L127">
        <v>665</v>
      </c>
      <c r="M127" s="58">
        <f t="shared" si="4"/>
        <v>2004</v>
      </c>
      <c r="N127" s="58" t="s">
        <v>50</v>
      </c>
      <c r="O127" s="58" t="str">
        <f t="shared" si="7"/>
        <v>2004 Chicago Cubs</v>
      </c>
      <c r="P127" s="58">
        <v>6262</v>
      </c>
      <c r="Q127" s="58">
        <f t="shared" si="5"/>
        <v>918</v>
      </c>
      <c r="R127" s="58">
        <v>245</v>
      </c>
      <c r="S127" s="58">
        <v>31</v>
      </c>
      <c r="T127" s="58">
        <v>169</v>
      </c>
      <c r="U127" s="58">
        <v>545</v>
      </c>
      <c r="V127" s="58">
        <v>76</v>
      </c>
      <c r="W127" s="58">
        <f t="shared" si="6"/>
        <v>4278</v>
      </c>
      <c r="X127">
        <v>621</v>
      </c>
      <c r="Y127">
        <v>33</v>
      </c>
      <c r="Z127">
        <v>1346</v>
      </c>
      <c r="AA127">
        <v>78</v>
      </c>
      <c r="AB127">
        <v>44</v>
      </c>
      <c r="AC127">
        <v>50</v>
      </c>
      <c r="AD127">
        <v>9</v>
      </c>
      <c r="AE127">
        <v>104</v>
      </c>
      <c r="AF127">
        <v>62</v>
      </c>
      <c r="AG127">
        <v>89</v>
      </c>
      <c r="AH127">
        <v>73</v>
      </c>
      <c r="AI127">
        <v>3.81</v>
      </c>
    </row>
    <row r="128" spans="1:35" x14ac:dyDescent="0.5">
      <c r="A128" s="35">
        <v>2004</v>
      </c>
      <c r="B128" t="s">
        <v>143</v>
      </c>
      <c r="C128" t="s">
        <v>149</v>
      </c>
      <c r="D128">
        <v>561</v>
      </c>
      <c r="E128">
        <v>162</v>
      </c>
      <c r="F128">
        <v>8</v>
      </c>
      <c r="G128">
        <v>8</v>
      </c>
      <c r="H128">
        <v>154</v>
      </c>
      <c r="I128">
        <v>34</v>
      </c>
      <c r="J128">
        <v>1432.1</v>
      </c>
      <c r="K128">
        <v>1505</v>
      </c>
      <c r="L128">
        <v>831</v>
      </c>
      <c r="M128" s="58">
        <f t="shared" si="4"/>
        <v>2004</v>
      </c>
      <c r="N128" s="58" t="s">
        <v>48</v>
      </c>
      <c r="O128" s="58" t="str">
        <f t="shared" si="7"/>
        <v>2004 Chicago White Sox</v>
      </c>
      <c r="P128" s="58">
        <v>6189</v>
      </c>
      <c r="Q128" s="58">
        <f t="shared" si="5"/>
        <v>981</v>
      </c>
      <c r="R128" s="58">
        <v>276</v>
      </c>
      <c r="S128" s="58">
        <v>24</v>
      </c>
      <c r="T128" s="58">
        <v>224</v>
      </c>
      <c r="U128" s="58">
        <v>527</v>
      </c>
      <c r="V128" s="58">
        <v>48</v>
      </c>
      <c r="W128" s="58">
        <f t="shared" si="6"/>
        <v>4109</v>
      </c>
      <c r="X128">
        <v>782</v>
      </c>
      <c r="Y128">
        <v>36</v>
      </c>
      <c r="Z128">
        <v>1013</v>
      </c>
      <c r="AA128">
        <v>39</v>
      </c>
      <c r="AB128">
        <v>46</v>
      </c>
      <c r="AC128">
        <v>43</v>
      </c>
      <c r="AD128">
        <v>3</v>
      </c>
      <c r="AE128">
        <v>137</v>
      </c>
      <c r="AF128">
        <v>61</v>
      </c>
      <c r="AG128">
        <v>83</v>
      </c>
      <c r="AH128">
        <v>79</v>
      </c>
      <c r="AI128">
        <v>4.91</v>
      </c>
    </row>
    <row r="129" spans="1:35" x14ac:dyDescent="0.5">
      <c r="A129" s="35">
        <v>2004</v>
      </c>
      <c r="B129" t="s">
        <v>53</v>
      </c>
      <c r="C129" t="s">
        <v>38</v>
      </c>
      <c r="D129">
        <v>659</v>
      </c>
      <c r="E129">
        <v>162</v>
      </c>
      <c r="F129">
        <v>5</v>
      </c>
      <c r="G129">
        <v>8</v>
      </c>
      <c r="H129">
        <v>157</v>
      </c>
      <c r="I129">
        <v>47</v>
      </c>
      <c r="J129">
        <v>1443.2</v>
      </c>
      <c r="K129">
        <v>1595</v>
      </c>
      <c r="L129">
        <v>907</v>
      </c>
      <c r="M129" s="58">
        <f t="shared" si="4"/>
        <v>2004</v>
      </c>
      <c r="N129" s="58" t="s">
        <v>52</v>
      </c>
      <c r="O129" s="58" t="str">
        <f t="shared" si="7"/>
        <v>2004 Cincinnati Reds</v>
      </c>
      <c r="P129" s="58">
        <v>6451</v>
      </c>
      <c r="Q129" s="58">
        <f t="shared" si="5"/>
        <v>954</v>
      </c>
      <c r="R129" s="58">
        <v>373</v>
      </c>
      <c r="S129" s="58">
        <v>32</v>
      </c>
      <c r="T129" s="58">
        <v>236</v>
      </c>
      <c r="U129" s="58">
        <v>572</v>
      </c>
      <c r="V129" s="58">
        <v>54</v>
      </c>
      <c r="W129" s="58">
        <f t="shared" si="6"/>
        <v>4230</v>
      </c>
      <c r="X129">
        <v>832</v>
      </c>
      <c r="Y129">
        <v>55</v>
      </c>
      <c r="Z129">
        <v>992</v>
      </c>
      <c r="AA129">
        <v>75</v>
      </c>
      <c r="AB129">
        <v>54</v>
      </c>
      <c r="AC129">
        <v>74</v>
      </c>
      <c r="AD129">
        <v>3</v>
      </c>
      <c r="AE129">
        <v>101</v>
      </c>
      <c r="AF129">
        <v>81</v>
      </c>
      <c r="AG129">
        <v>76</v>
      </c>
      <c r="AH129">
        <v>86</v>
      </c>
      <c r="AI129">
        <v>5.19</v>
      </c>
    </row>
    <row r="130" spans="1:35" x14ac:dyDescent="0.5">
      <c r="A130" s="35">
        <v>2004</v>
      </c>
      <c r="B130" t="s">
        <v>55</v>
      </c>
      <c r="C130" t="s">
        <v>149</v>
      </c>
      <c r="D130">
        <v>641</v>
      </c>
      <c r="E130">
        <v>162</v>
      </c>
      <c r="F130">
        <v>8</v>
      </c>
      <c r="G130">
        <v>8</v>
      </c>
      <c r="H130">
        <v>154</v>
      </c>
      <c r="I130">
        <v>32</v>
      </c>
      <c r="J130">
        <v>1466.2</v>
      </c>
      <c r="K130">
        <v>1553</v>
      </c>
      <c r="L130">
        <v>857</v>
      </c>
      <c r="M130" s="58">
        <f t="shared" ref="M130:M193" si="8">A130</f>
        <v>2004</v>
      </c>
      <c r="N130" s="58" t="s">
        <v>54</v>
      </c>
      <c r="O130" s="58" t="str">
        <f t="shared" si="7"/>
        <v>2004 Cleveland Indians</v>
      </c>
      <c r="P130" s="58">
        <v>6450</v>
      </c>
      <c r="Q130" s="58">
        <f t="shared" ref="Q130:Q193" si="9">K130-(R130+S130+T130)</f>
        <v>986</v>
      </c>
      <c r="R130" s="58">
        <v>338</v>
      </c>
      <c r="S130" s="58">
        <v>28</v>
      </c>
      <c r="T130" s="58">
        <v>201</v>
      </c>
      <c r="U130" s="58">
        <v>579</v>
      </c>
      <c r="V130" s="58">
        <v>62</v>
      </c>
      <c r="W130" s="58">
        <f t="shared" ref="W130:W193" si="10">P130-(K130+U130+V130)</f>
        <v>4256</v>
      </c>
      <c r="X130">
        <v>784</v>
      </c>
      <c r="Y130">
        <v>47</v>
      </c>
      <c r="Z130">
        <v>1115</v>
      </c>
      <c r="AA130">
        <v>39</v>
      </c>
      <c r="AB130">
        <v>43</v>
      </c>
      <c r="AC130">
        <v>43</v>
      </c>
      <c r="AD130">
        <v>6</v>
      </c>
      <c r="AE130">
        <v>118</v>
      </c>
      <c r="AF130">
        <v>71</v>
      </c>
      <c r="AG130">
        <v>80</v>
      </c>
      <c r="AH130">
        <v>82</v>
      </c>
      <c r="AI130">
        <v>4.8099999999999996</v>
      </c>
    </row>
    <row r="131" spans="1:35" x14ac:dyDescent="0.5">
      <c r="A131" s="35">
        <v>2004</v>
      </c>
      <c r="B131" t="s">
        <v>57</v>
      </c>
      <c r="C131" t="s">
        <v>38</v>
      </c>
      <c r="D131">
        <v>635</v>
      </c>
      <c r="E131">
        <v>162</v>
      </c>
      <c r="F131">
        <v>3</v>
      </c>
      <c r="G131">
        <v>2</v>
      </c>
      <c r="H131">
        <v>159</v>
      </c>
      <c r="I131">
        <v>36</v>
      </c>
      <c r="J131">
        <v>1435.1</v>
      </c>
      <c r="K131">
        <v>1634</v>
      </c>
      <c r="L131">
        <v>923</v>
      </c>
      <c r="M131" s="58">
        <f t="shared" si="8"/>
        <v>2004</v>
      </c>
      <c r="N131" s="58" t="s">
        <v>56</v>
      </c>
      <c r="O131" s="58" t="str">
        <f t="shared" ref="O131:O194" si="11">M131&amp;" "&amp;N131</f>
        <v>2004 Colorado Rockies</v>
      </c>
      <c r="P131" s="58">
        <v>6535</v>
      </c>
      <c r="Q131" s="58">
        <f t="shared" si="9"/>
        <v>1057</v>
      </c>
      <c r="R131" s="58">
        <v>336</v>
      </c>
      <c r="S131" s="58">
        <v>43</v>
      </c>
      <c r="T131" s="58">
        <v>198</v>
      </c>
      <c r="U131" s="58">
        <v>697</v>
      </c>
      <c r="V131" s="58">
        <v>71</v>
      </c>
      <c r="W131" s="58">
        <f t="shared" si="10"/>
        <v>4133</v>
      </c>
      <c r="X131">
        <v>883</v>
      </c>
      <c r="Y131">
        <v>84</v>
      </c>
      <c r="Z131">
        <v>947</v>
      </c>
      <c r="AA131">
        <v>82</v>
      </c>
      <c r="AB131">
        <v>56</v>
      </c>
      <c r="AC131">
        <v>66</v>
      </c>
      <c r="AD131">
        <v>6</v>
      </c>
      <c r="AE131">
        <v>135</v>
      </c>
      <c r="AF131">
        <v>49</v>
      </c>
      <c r="AG131">
        <v>68</v>
      </c>
      <c r="AH131">
        <v>94</v>
      </c>
      <c r="AI131">
        <v>5.54</v>
      </c>
    </row>
    <row r="132" spans="1:35" x14ac:dyDescent="0.5">
      <c r="A132" s="35">
        <v>2004</v>
      </c>
      <c r="B132" t="s">
        <v>59</v>
      </c>
      <c r="C132" t="s">
        <v>149</v>
      </c>
      <c r="D132">
        <v>594</v>
      </c>
      <c r="E132">
        <v>162</v>
      </c>
      <c r="F132">
        <v>7</v>
      </c>
      <c r="G132">
        <v>9</v>
      </c>
      <c r="H132">
        <v>155</v>
      </c>
      <c r="I132">
        <v>35</v>
      </c>
      <c r="J132">
        <v>1439.2</v>
      </c>
      <c r="K132">
        <v>1542</v>
      </c>
      <c r="L132">
        <v>844</v>
      </c>
      <c r="M132" s="58">
        <f t="shared" si="8"/>
        <v>2004</v>
      </c>
      <c r="N132" s="58" t="s">
        <v>58</v>
      </c>
      <c r="O132" s="58" t="str">
        <f t="shared" si="11"/>
        <v>2004 Detroit Tigers</v>
      </c>
      <c r="P132" s="58">
        <v>6296</v>
      </c>
      <c r="Q132" s="58">
        <f t="shared" si="9"/>
        <v>1024</v>
      </c>
      <c r="R132" s="58">
        <v>291</v>
      </c>
      <c r="S132" s="58">
        <v>37</v>
      </c>
      <c r="T132" s="58">
        <v>190</v>
      </c>
      <c r="U132" s="58">
        <v>530</v>
      </c>
      <c r="V132" s="58">
        <v>54</v>
      </c>
      <c r="W132" s="58">
        <f t="shared" si="10"/>
        <v>4170</v>
      </c>
      <c r="X132">
        <v>788</v>
      </c>
      <c r="Y132">
        <v>33</v>
      </c>
      <c r="Z132">
        <v>995</v>
      </c>
      <c r="AA132">
        <v>52</v>
      </c>
      <c r="AB132">
        <v>43</v>
      </c>
      <c r="AC132">
        <v>71</v>
      </c>
      <c r="AD132">
        <v>6</v>
      </c>
      <c r="AE132">
        <v>144</v>
      </c>
      <c r="AF132">
        <v>85</v>
      </c>
      <c r="AG132">
        <v>72</v>
      </c>
      <c r="AH132">
        <v>90</v>
      </c>
      <c r="AI132">
        <v>4.93</v>
      </c>
    </row>
    <row r="133" spans="1:35" x14ac:dyDescent="0.5">
      <c r="A133" s="35">
        <v>2004</v>
      </c>
      <c r="B133" t="s">
        <v>146</v>
      </c>
      <c r="C133" t="s">
        <v>38</v>
      </c>
      <c r="D133">
        <v>566</v>
      </c>
      <c r="E133">
        <v>162</v>
      </c>
      <c r="F133">
        <v>6</v>
      </c>
      <c r="G133">
        <v>14</v>
      </c>
      <c r="H133">
        <v>156</v>
      </c>
      <c r="I133">
        <v>53</v>
      </c>
      <c r="J133">
        <v>1439</v>
      </c>
      <c r="K133">
        <v>1395</v>
      </c>
      <c r="L133">
        <v>700</v>
      </c>
      <c r="M133" s="58">
        <f t="shared" si="8"/>
        <v>2004</v>
      </c>
      <c r="N133" s="58" t="s">
        <v>60</v>
      </c>
      <c r="O133" s="58" t="str">
        <f t="shared" si="11"/>
        <v>2004 Florida Marlins</v>
      </c>
      <c r="P133" s="58">
        <v>6110</v>
      </c>
      <c r="Q133" s="58">
        <f t="shared" si="9"/>
        <v>913</v>
      </c>
      <c r="R133" s="58">
        <v>280</v>
      </c>
      <c r="S133" s="58">
        <v>36</v>
      </c>
      <c r="T133" s="58">
        <v>166</v>
      </c>
      <c r="U133" s="58">
        <v>513</v>
      </c>
      <c r="V133" s="58">
        <v>51</v>
      </c>
      <c r="W133" s="58">
        <f t="shared" si="10"/>
        <v>4151</v>
      </c>
      <c r="X133">
        <v>655</v>
      </c>
      <c r="Y133">
        <v>61</v>
      </c>
      <c r="Z133">
        <v>1116</v>
      </c>
      <c r="AA133">
        <v>55</v>
      </c>
      <c r="AB133">
        <v>36</v>
      </c>
      <c r="AC133">
        <v>35</v>
      </c>
      <c r="AD133">
        <v>3</v>
      </c>
      <c r="AE133">
        <v>123</v>
      </c>
      <c r="AF133">
        <v>45</v>
      </c>
      <c r="AG133">
        <v>83</v>
      </c>
      <c r="AH133">
        <v>79</v>
      </c>
      <c r="AI133">
        <v>4.0999999999999996</v>
      </c>
    </row>
    <row r="134" spans="1:35" x14ac:dyDescent="0.5">
      <c r="A134" s="35">
        <v>2004</v>
      </c>
      <c r="B134" t="s">
        <v>63</v>
      </c>
      <c r="C134" t="s">
        <v>38</v>
      </c>
      <c r="D134">
        <v>655</v>
      </c>
      <c r="E134">
        <v>162</v>
      </c>
      <c r="F134">
        <v>2</v>
      </c>
      <c r="G134">
        <v>13</v>
      </c>
      <c r="H134">
        <v>160</v>
      </c>
      <c r="I134">
        <v>47</v>
      </c>
      <c r="J134">
        <v>1443</v>
      </c>
      <c r="K134">
        <v>1416</v>
      </c>
      <c r="L134">
        <v>698</v>
      </c>
      <c r="M134" s="58">
        <f t="shared" si="8"/>
        <v>2004</v>
      </c>
      <c r="N134" s="58" t="s">
        <v>62</v>
      </c>
      <c r="O134" s="58" t="str">
        <f t="shared" si="11"/>
        <v>2004 Houston Astros</v>
      </c>
      <c r="P134" s="58">
        <v>6201</v>
      </c>
      <c r="Q134" s="58">
        <f t="shared" si="9"/>
        <v>924</v>
      </c>
      <c r="R134" s="58">
        <v>283</v>
      </c>
      <c r="S134" s="58">
        <v>35</v>
      </c>
      <c r="T134" s="58">
        <v>174</v>
      </c>
      <c r="U134" s="58">
        <v>525</v>
      </c>
      <c r="V134" s="58">
        <v>68</v>
      </c>
      <c r="W134" s="58">
        <f t="shared" si="10"/>
        <v>4192</v>
      </c>
      <c r="X134">
        <v>650</v>
      </c>
      <c r="Y134">
        <v>61</v>
      </c>
      <c r="Z134">
        <v>1282</v>
      </c>
      <c r="AA134">
        <v>74</v>
      </c>
      <c r="AB134">
        <v>35</v>
      </c>
      <c r="AC134">
        <v>45</v>
      </c>
      <c r="AD134">
        <v>3</v>
      </c>
      <c r="AE134">
        <v>119</v>
      </c>
      <c r="AF134">
        <v>67</v>
      </c>
      <c r="AG134">
        <v>92</v>
      </c>
      <c r="AH134">
        <v>70</v>
      </c>
      <c r="AI134">
        <v>4.05</v>
      </c>
    </row>
    <row r="135" spans="1:35" x14ac:dyDescent="0.5">
      <c r="A135" s="35">
        <v>2004</v>
      </c>
      <c r="B135" t="s">
        <v>150</v>
      </c>
      <c r="C135" t="s">
        <v>149</v>
      </c>
      <c r="D135">
        <v>571</v>
      </c>
      <c r="E135">
        <v>162</v>
      </c>
      <c r="F135">
        <v>6</v>
      </c>
      <c r="G135">
        <v>3</v>
      </c>
      <c r="H135">
        <v>156</v>
      </c>
      <c r="I135">
        <v>25</v>
      </c>
      <c r="J135">
        <v>1420.1</v>
      </c>
      <c r="K135">
        <v>1638</v>
      </c>
      <c r="L135">
        <v>905</v>
      </c>
      <c r="M135" s="58">
        <f t="shared" si="8"/>
        <v>2004</v>
      </c>
      <c r="N135" s="58" t="s">
        <v>64</v>
      </c>
      <c r="O135" s="58" t="str">
        <f t="shared" si="11"/>
        <v>2004 Kansas City Royals</v>
      </c>
      <c r="P135" s="58">
        <v>6320</v>
      </c>
      <c r="Q135" s="58">
        <f t="shared" si="9"/>
        <v>1036</v>
      </c>
      <c r="R135" s="58">
        <v>361</v>
      </c>
      <c r="S135" s="58">
        <v>33</v>
      </c>
      <c r="T135" s="58">
        <v>208</v>
      </c>
      <c r="U135" s="58">
        <v>518</v>
      </c>
      <c r="V135" s="58">
        <v>56</v>
      </c>
      <c r="W135" s="58">
        <f t="shared" si="10"/>
        <v>4108</v>
      </c>
      <c r="X135">
        <v>813</v>
      </c>
      <c r="Y135">
        <v>49</v>
      </c>
      <c r="Z135">
        <v>887</v>
      </c>
      <c r="AA135">
        <v>38</v>
      </c>
      <c r="AB135">
        <v>57</v>
      </c>
      <c r="AC135">
        <v>60</v>
      </c>
      <c r="AD135">
        <v>10</v>
      </c>
      <c r="AE135">
        <v>143</v>
      </c>
      <c r="AF135">
        <v>90</v>
      </c>
      <c r="AG135">
        <v>58</v>
      </c>
      <c r="AH135">
        <v>104</v>
      </c>
      <c r="AI135">
        <v>5.15</v>
      </c>
    </row>
    <row r="136" spans="1:35" x14ac:dyDescent="0.5">
      <c r="A136" s="35">
        <v>2004</v>
      </c>
      <c r="B136" t="s">
        <v>145</v>
      </c>
      <c r="C136" t="s">
        <v>38</v>
      </c>
      <c r="D136">
        <v>621</v>
      </c>
      <c r="E136">
        <v>162</v>
      </c>
      <c r="F136">
        <v>2</v>
      </c>
      <c r="G136">
        <v>6</v>
      </c>
      <c r="H136">
        <v>160</v>
      </c>
      <c r="I136">
        <v>51</v>
      </c>
      <c r="J136">
        <v>1453.1</v>
      </c>
      <c r="K136">
        <v>1386</v>
      </c>
      <c r="L136">
        <v>684</v>
      </c>
      <c r="M136" s="58">
        <f t="shared" si="8"/>
        <v>2004</v>
      </c>
      <c r="N136" s="58" t="s">
        <v>66</v>
      </c>
      <c r="O136" s="58" t="str">
        <f t="shared" si="11"/>
        <v>2004 Los Angeles Dodgers</v>
      </c>
      <c r="P136" s="58">
        <v>6155</v>
      </c>
      <c r="Q136" s="58">
        <f t="shared" si="9"/>
        <v>927</v>
      </c>
      <c r="R136" s="58">
        <v>255</v>
      </c>
      <c r="S136" s="58">
        <v>26</v>
      </c>
      <c r="T136" s="58">
        <v>178</v>
      </c>
      <c r="U136" s="58">
        <v>521</v>
      </c>
      <c r="V136" s="58">
        <v>54</v>
      </c>
      <c r="W136" s="58">
        <f t="shared" si="10"/>
        <v>4194</v>
      </c>
      <c r="X136">
        <v>647</v>
      </c>
      <c r="Y136">
        <v>47</v>
      </c>
      <c r="Z136">
        <v>1066</v>
      </c>
      <c r="AA136">
        <v>88</v>
      </c>
      <c r="AB136">
        <v>39</v>
      </c>
      <c r="AC136">
        <v>43</v>
      </c>
      <c r="AD136">
        <v>2</v>
      </c>
      <c r="AE136">
        <v>129</v>
      </c>
      <c r="AF136">
        <v>38</v>
      </c>
      <c r="AG136">
        <v>93</v>
      </c>
      <c r="AH136">
        <v>69</v>
      </c>
      <c r="AI136">
        <v>4.01</v>
      </c>
    </row>
    <row r="137" spans="1:35" x14ac:dyDescent="0.5">
      <c r="A137" s="35">
        <v>2004</v>
      </c>
      <c r="B137" t="s">
        <v>69</v>
      </c>
      <c r="C137" t="s">
        <v>38</v>
      </c>
      <c r="D137">
        <v>584</v>
      </c>
      <c r="E137">
        <v>161</v>
      </c>
      <c r="F137">
        <v>6</v>
      </c>
      <c r="G137">
        <v>10</v>
      </c>
      <c r="H137">
        <v>155</v>
      </c>
      <c r="I137">
        <v>42</v>
      </c>
      <c r="J137">
        <v>1442</v>
      </c>
      <c r="K137">
        <v>1440</v>
      </c>
      <c r="L137">
        <v>757</v>
      </c>
      <c r="M137" s="58">
        <f t="shared" si="8"/>
        <v>2004</v>
      </c>
      <c r="N137" s="58" t="s">
        <v>68</v>
      </c>
      <c r="O137" s="58" t="str">
        <f t="shared" si="11"/>
        <v>2004 Milwaukee Brewers</v>
      </c>
      <c r="P137" s="58">
        <v>6204</v>
      </c>
      <c r="Q137" s="58">
        <f t="shared" si="9"/>
        <v>920</v>
      </c>
      <c r="R137" s="58">
        <v>325</v>
      </c>
      <c r="S137" s="58">
        <v>31</v>
      </c>
      <c r="T137" s="58">
        <v>164</v>
      </c>
      <c r="U137" s="58">
        <v>476</v>
      </c>
      <c r="V137" s="58">
        <v>51</v>
      </c>
      <c r="W137" s="58">
        <f t="shared" si="10"/>
        <v>4237</v>
      </c>
      <c r="X137">
        <v>679</v>
      </c>
      <c r="Y137">
        <v>27</v>
      </c>
      <c r="Z137">
        <v>1098</v>
      </c>
      <c r="AA137">
        <v>58</v>
      </c>
      <c r="AB137">
        <v>52</v>
      </c>
      <c r="AC137">
        <v>59</v>
      </c>
      <c r="AD137">
        <v>5</v>
      </c>
      <c r="AE137">
        <v>109</v>
      </c>
      <c r="AF137">
        <v>91</v>
      </c>
      <c r="AG137">
        <v>67</v>
      </c>
      <c r="AH137">
        <v>94</v>
      </c>
      <c r="AI137">
        <v>4.24</v>
      </c>
    </row>
    <row r="138" spans="1:35" x14ac:dyDescent="0.5">
      <c r="A138" s="35">
        <v>2004</v>
      </c>
      <c r="B138" t="s">
        <v>71</v>
      </c>
      <c r="C138" t="s">
        <v>149</v>
      </c>
      <c r="D138">
        <v>597</v>
      </c>
      <c r="E138">
        <v>162</v>
      </c>
      <c r="F138">
        <v>4</v>
      </c>
      <c r="G138">
        <v>9</v>
      </c>
      <c r="H138">
        <v>158</v>
      </c>
      <c r="I138">
        <v>48</v>
      </c>
      <c r="J138">
        <v>1476</v>
      </c>
      <c r="K138">
        <v>1523</v>
      </c>
      <c r="L138">
        <v>715</v>
      </c>
      <c r="M138" s="58">
        <f t="shared" si="8"/>
        <v>2004</v>
      </c>
      <c r="N138" s="58" t="s">
        <v>70</v>
      </c>
      <c r="O138" s="58" t="str">
        <f t="shared" si="11"/>
        <v>2004 Minnesota Twins</v>
      </c>
      <c r="P138" s="58">
        <v>6269</v>
      </c>
      <c r="Q138" s="58">
        <f t="shared" si="9"/>
        <v>1086</v>
      </c>
      <c r="R138" s="58">
        <v>247</v>
      </c>
      <c r="S138" s="58">
        <v>23</v>
      </c>
      <c r="T138" s="58">
        <v>167</v>
      </c>
      <c r="U138" s="58">
        <v>431</v>
      </c>
      <c r="V138" s="58">
        <v>54</v>
      </c>
      <c r="W138" s="58">
        <f t="shared" si="10"/>
        <v>4261</v>
      </c>
      <c r="X138">
        <v>661</v>
      </c>
      <c r="Y138">
        <v>27</v>
      </c>
      <c r="Z138">
        <v>1123</v>
      </c>
      <c r="AA138">
        <v>46</v>
      </c>
      <c r="AB138">
        <v>35</v>
      </c>
      <c r="AC138">
        <v>45</v>
      </c>
      <c r="AD138">
        <v>1</v>
      </c>
      <c r="AE138">
        <v>132</v>
      </c>
      <c r="AF138">
        <v>53</v>
      </c>
      <c r="AG138">
        <v>92</v>
      </c>
      <c r="AH138">
        <v>70</v>
      </c>
      <c r="AI138">
        <v>4.03</v>
      </c>
    </row>
    <row r="139" spans="1:35" x14ac:dyDescent="0.5">
      <c r="A139" s="35">
        <v>2004</v>
      </c>
      <c r="B139" t="s">
        <v>73</v>
      </c>
      <c r="C139" t="s">
        <v>38</v>
      </c>
      <c r="D139">
        <v>624</v>
      </c>
      <c r="E139">
        <v>162</v>
      </c>
      <c r="F139">
        <v>11</v>
      </c>
      <c r="G139">
        <v>11</v>
      </c>
      <c r="H139">
        <v>151</v>
      </c>
      <c r="I139">
        <v>31</v>
      </c>
      <c r="J139">
        <v>1447</v>
      </c>
      <c r="K139">
        <v>1477</v>
      </c>
      <c r="L139">
        <v>769</v>
      </c>
      <c r="M139" s="58">
        <f t="shared" si="8"/>
        <v>2004</v>
      </c>
      <c r="N139" s="58" t="s">
        <v>72</v>
      </c>
      <c r="O139" s="58" t="str">
        <f t="shared" si="11"/>
        <v>2004 Montreal Expos</v>
      </c>
      <c r="P139" s="58">
        <v>6307</v>
      </c>
      <c r="Q139" s="58">
        <f t="shared" si="9"/>
        <v>973</v>
      </c>
      <c r="R139" s="58">
        <v>284</v>
      </c>
      <c r="S139" s="58">
        <v>29</v>
      </c>
      <c r="T139" s="58">
        <v>191</v>
      </c>
      <c r="U139" s="58">
        <v>582</v>
      </c>
      <c r="V139" s="58">
        <v>79</v>
      </c>
      <c r="W139" s="58">
        <f t="shared" si="10"/>
        <v>4169</v>
      </c>
      <c r="X139">
        <v>696</v>
      </c>
      <c r="Y139">
        <v>78</v>
      </c>
      <c r="Z139">
        <v>1032</v>
      </c>
      <c r="AA139">
        <v>54</v>
      </c>
      <c r="AB139">
        <v>36</v>
      </c>
      <c r="AC139">
        <v>43</v>
      </c>
      <c r="AD139">
        <v>2</v>
      </c>
      <c r="AE139">
        <v>135</v>
      </c>
      <c r="AF139">
        <v>67</v>
      </c>
      <c r="AG139">
        <v>67</v>
      </c>
      <c r="AH139">
        <v>95</v>
      </c>
      <c r="AI139">
        <v>4.33</v>
      </c>
    </row>
    <row r="140" spans="1:35" x14ac:dyDescent="0.5">
      <c r="A140" s="35">
        <v>2004</v>
      </c>
      <c r="B140" t="s">
        <v>144</v>
      </c>
      <c r="C140" t="s">
        <v>38</v>
      </c>
      <c r="D140">
        <v>636</v>
      </c>
      <c r="E140">
        <v>162</v>
      </c>
      <c r="F140">
        <v>2</v>
      </c>
      <c r="G140">
        <v>6</v>
      </c>
      <c r="H140">
        <v>160</v>
      </c>
      <c r="I140">
        <v>31</v>
      </c>
      <c r="J140">
        <v>1449</v>
      </c>
      <c r="K140">
        <v>1452</v>
      </c>
      <c r="L140">
        <v>731</v>
      </c>
      <c r="M140" s="58">
        <f t="shared" si="8"/>
        <v>2004</v>
      </c>
      <c r="N140" s="58" t="s">
        <v>76</v>
      </c>
      <c r="O140" s="58" t="str">
        <f t="shared" si="11"/>
        <v>2004 New York Mets</v>
      </c>
      <c r="P140" s="58">
        <v>6333</v>
      </c>
      <c r="Q140" s="58">
        <f t="shared" si="9"/>
        <v>984</v>
      </c>
      <c r="R140" s="58">
        <v>288</v>
      </c>
      <c r="S140" s="58">
        <v>24</v>
      </c>
      <c r="T140" s="58">
        <v>156</v>
      </c>
      <c r="U140" s="58">
        <v>592</v>
      </c>
      <c r="V140" s="58">
        <v>49</v>
      </c>
      <c r="W140" s="58">
        <f t="shared" si="10"/>
        <v>4240</v>
      </c>
      <c r="X140">
        <v>658</v>
      </c>
      <c r="Y140">
        <v>70</v>
      </c>
      <c r="Z140">
        <v>977</v>
      </c>
      <c r="AA140">
        <v>77</v>
      </c>
      <c r="AB140">
        <v>44</v>
      </c>
      <c r="AC140">
        <v>30</v>
      </c>
      <c r="AD140">
        <v>8</v>
      </c>
      <c r="AE140">
        <v>122</v>
      </c>
      <c r="AF140">
        <v>98</v>
      </c>
      <c r="AG140">
        <v>71</v>
      </c>
      <c r="AH140">
        <v>91</v>
      </c>
      <c r="AI140">
        <v>4.09</v>
      </c>
    </row>
    <row r="141" spans="1:35" x14ac:dyDescent="0.5">
      <c r="A141" s="35">
        <v>2004</v>
      </c>
      <c r="B141" t="s">
        <v>144</v>
      </c>
      <c r="C141" t="s">
        <v>149</v>
      </c>
      <c r="D141">
        <v>598</v>
      </c>
      <c r="E141">
        <v>162</v>
      </c>
      <c r="F141">
        <v>1</v>
      </c>
      <c r="G141">
        <v>5</v>
      </c>
      <c r="H141">
        <v>161</v>
      </c>
      <c r="I141">
        <v>59</v>
      </c>
      <c r="J141">
        <v>1443.2</v>
      </c>
      <c r="K141">
        <v>1532</v>
      </c>
      <c r="L141">
        <v>808</v>
      </c>
      <c r="M141" s="58">
        <f t="shared" si="8"/>
        <v>2004</v>
      </c>
      <c r="N141" s="58" t="s">
        <v>74</v>
      </c>
      <c r="O141" s="58" t="str">
        <f t="shared" si="11"/>
        <v>2004 New York Yankees</v>
      </c>
      <c r="P141" s="58">
        <v>6240</v>
      </c>
      <c r="Q141" s="58">
        <f t="shared" si="9"/>
        <v>1018</v>
      </c>
      <c r="R141" s="58">
        <v>304</v>
      </c>
      <c r="S141" s="58">
        <v>28</v>
      </c>
      <c r="T141" s="58">
        <v>182</v>
      </c>
      <c r="U141" s="58">
        <v>445</v>
      </c>
      <c r="V141" s="58">
        <v>60</v>
      </c>
      <c r="W141" s="58">
        <f t="shared" si="10"/>
        <v>4203</v>
      </c>
      <c r="X141">
        <v>752</v>
      </c>
      <c r="Y141">
        <v>32</v>
      </c>
      <c r="Z141">
        <v>1058</v>
      </c>
      <c r="AA141">
        <v>28</v>
      </c>
      <c r="AB141">
        <v>57</v>
      </c>
      <c r="AC141">
        <v>57</v>
      </c>
      <c r="AD141">
        <v>4</v>
      </c>
      <c r="AE141">
        <v>118</v>
      </c>
      <c r="AF141">
        <v>63</v>
      </c>
      <c r="AG141">
        <v>101</v>
      </c>
      <c r="AH141">
        <v>61</v>
      </c>
      <c r="AI141">
        <v>4.6900000000000004</v>
      </c>
    </row>
    <row r="142" spans="1:35" x14ac:dyDescent="0.5">
      <c r="A142" s="35">
        <v>2004</v>
      </c>
      <c r="B142" t="s">
        <v>79</v>
      </c>
      <c r="C142" t="s">
        <v>149</v>
      </c>
      <c r="D142">
        <v>576</v>
      </c>
      <c r="E142">
        <v>162</v>
      </c>
      <c r="F142">
        <v>10</v>
      </c>
      <c r="G142">
        <v>8</v>
      </c>
      <c r="H142">
        <v>152</v>
      </c>
      <c r="I142">
        <v>35</v>
      </c>
      <c r="J142">
        <v>1471.1</v>
      </c>
      <c r="K142">
        <v>1466</v>
      </c>
      <c r="L142">
        <v>742</v>
      </c>
      <c r="M142" s="58">
        <f t="shared" si="8"/>
        <v>2004</v>
      </c>
      <c r="N142" s="58" t="s">
        <v>78</v>
      </c>
      <c r="O142" s="58" t="str">
        <f t="shared" si="11"/>
        <v>2004 Oakland Athletics</v>
      </c>
      <c r="P142" s="58">
        <v>6313</v>
      </c>
      <c r="Q142" s="58">
        <f t="shared" si="9"/>
        <v>989</v>
      </c>
      <c r="R142" s="58">
        <v>291</v>
      </c>
      <c r="S142" s="58">
        <v>22</v>
      </c>
      <c r="T142" s="58">
        <v>164</v>
      </c>
      <c r="U142" s="58">
        <v>544</v>
      </c>
      <c r="V142" s="58">
        <v>68</v>
      </c>
      <c r="W142" s="58">
        <f t="shared" si="10"/>
        <v>4235</v>
      </c>
      <c r="X142">
        <v>682</v>
      </c>
      <c r="Y142">
        <v>49</v>
      </c>
      <c r="Z142">
        <v>1034</v>
      </c>
      <c r="AA142">
        <v>54</v>
      </c>
      <c r="AB142">
        <v>43</v>
      </c>
      <c r="AC142">
        <v>39</v>
      </c>
      <c r="AD142">
        <v>5</v>
      </c>
      <c r="AE142">
        <v>145</v>
      </c>
      <c r="AF142">
        <v>72</v>
      </c>
      <c r="AG142">
        <v>91</v>
      </c>
      <c r="AH142">
        <v>71</v>
      </c>
      <c r="AI142">
        <v>4.17</v>
      </c>
    </row>
    <row r="143" spans="1:35" x14ac:dyDescent="0.5">
      <c r="A143" s="35">
        <v>2004</v>
      </c>
      <c r="B143" t="s">
        <v>81</v>
      </c>
      <c r="C143" t="s">
        <v>38</v>
      </c>
      <c r="D143">
        <v>638</v>
      </c>
      <c r="E143">
        <v>162</v>
      </c>
      <c r="F143">
        <v>4</v>
      </c>
      <c r="G143">
        <v>5</v>
      </c>
      <c r="H143">
        <v>158</v>
      </c>
      <c r="I143">
        <v>43</v>
      </c>
      <c r="J143">
        <v>1462.2</v>
      </c>
      <c r="K143">
        <v>1488</v>
      </c>
      <c r="L143">
        <v>781</v>
      </c>
      <c r="M143" s="58">
        <f t="shared" si="8"/>
        <v>2004</v>
      </c>
      <c r="N143" s="58" t="s">
        <v>80</v>
      </c>
      <c r="O143" s="58" t="str">
        <f t="shared" si="11"/>
        <v>2004 Philadelphia Phillies</v>
      </c>
      <c r="P143" s="58">
        <v>6308</v>
      </c>
      <c r="Q143" s="58">
        <f t="shared" si="9"/>
        <v>920</v>
      </c>
      <c r="R143" s="58">
        <v>318</v>
      </c>
      <c r="S143" s="58">
        <v>36</v>
      </c>
      <c r="T143" s="58">
        <v>214</v>
      </c>
      <c r="U143" s="58">
        <v>502</v>
      </c>
      <c r="V143" s="58">
        <v>66</v>
      </c>
      <c r="W143" s="58">
        <f t="shared" si="10"/>
        <v>4252</v>
      </c>
      <c r="X143">
        <v>724</v>
      </c>
      <c r="Y143">
        <v>60</v>
      </c>
      <c r="Z143">
        <v>1070</v>
      </c>
      <c r="AA143">
        <v>74</v>
      </c>
      <c r="AB143">
        <v>38</v>
      </c>
      <c r="AC143">
        <v>40</v>
      </c>
      <c r="AD143">
        <v>3</v>
      </c>
      <c r="AE143">
        <v>119</v>
      </c>
      <c r="AF143">
        <v>52</v>
      </c>
      <c r="AG143">
        <v>86</v>
      </c>
      <c r="AH143">
        <v>76</v>
      </c>
      <c r="AI143">
        <v>4.45</v>
      </c>
    </row>
    <row r="144" spans="1:35" x14ac:dyDescent="0.5">
      <c r="A144" s="35">
        <v>2004</v>
      </c>
      <c r="B144" t="s">
        <v>83</v>
      </c>
      <c r="C144" t="s">
        <v>38</v>
      </c>
      <c r="D144">
        <v>625</v>
      </c>
      <c r="E144">
        <v>161</v>
      </c>
      <c r="F144">
        <v>3</v>
      </c>
      <c r="G144">
        <v>8</v>
      </c>
      <c r="H144">
        <v>158</v>
      </c>
      <c r="I144">
        <v>46</v>
      </c>
      <c r="J144">
        <v>1428</v>
      </c>
      <c r="K144">
        <v>1451</v>
      </c>
      <c r="L144">
        <v>744</v>
      </c>
      <c r="M144" s="58">
        <f t="shared" si="8"/>
        <v>2004</v>
      </c>
      <c r="N144" s="58" t="s">
        <v>82</v>
      </c>
      <c r="O144" s="58" t="str">
        <f t="shared" si="11"/>
        <v>2004 Pittsburgh Pirates</v>
      </c>
      <c r="P144" s="58">
        <v>6197</v>
      </c>
      <c r="Q144" s="58">
        <f t="shared" si="9"/>
        <v>973</v>
      </c>
      <c r="R144" s="58">
        <v>295</v>
      </c>
      <c r="S144" s="58">
        <v>34</v>
      </c>
      <c r="T144" s="58">
        <v>149</v>
      </c>
      <c r="U144" s="58">
        <v>576</v>
      </c>
      <c r="V144" s="58">
        <v>63</v>
      </c>
      <c r="W144" s="58">
        <f t="shared" si="10"/>
        <v>4107</v>
      </c>
      <c r="X144">
        <v>680</v>
      </c>
      <c r="Y144">
        <v>64</v>
      </c>
      <c r="Z144">
        <v>1079</v>
      </c>
      <c r="AA144">
        <v>80</v>
      </c>
      <c r="AB144">
        <v>48</v>
      </c>
      <c r="AC144">
        <v>45</v>
      </c>
      <c r="AD144">
        <v>3</v>
      </c>
      <c r="AE144">
        <v>160</v>
      </c>
      <c r="AF144">
        <v>68</v>
      </c>
      <c r="AG144">
        <v>72</v>
      </c>
      <c r="AH144">
        <v>89</v>
      </c>
      <c r="AI144">
        <v>4.29</v>
      </c>
    </row>
    <row r="145" spans="1:35" x14ac:dyDescent="0.5">
      <c r="A145" s="35">
        <v>2004</v>
      </c>
      <c r="B145" t="s">
        <v>147</v>
      </c>
      <c r="C145" t="s">
        <v>38</v>
      </c>
      <c r="D145">
        <v>599</v>
      </c>
      <c r="E145">
        <v>162</v>
      </c>
      <c r="F145">
        <v>3</v>
      </c>
      <c r="G145">
        <v>8</v>
      </c>
      <c r="H145">
        <v>159</v>
      </c>
      <c r="I145">
        <v>44</v>
      </c>
      <c r="J145">
        <v>1441</v>
      </c>
      <c r="K145">
        <v>1460</v>
      </c>
      <c r="L145">
        <v>705</v>
      </c>
      <c r="M145" s="58">
        <f t="shared" si="8"/>
        <v>2004</v>
      </c>
      <c r="N145" s="58" t="s">
        <v>84</v>
      </c>
      <c r="O145" s="58" t="str">
        <f t="shared" si="11"/>
        <v>2004 San Diego Padres</v>
      </c>
      <c r="P145" s="58">
        <v>6135</v>
      </c>
      <c r="Q145" s="58">
        <f t="shared" si="9"/>
        <v>932</v>
      </c>
      <c r="R145" s="58">
        <v>308</v>
      </c>
      <c r="S145" s="58">
        <v>36</v>
      </c>
      <c r="T145" s="58">
        <v>184</v>
      </c>
      <c r="U145" s="58">
        <v>422</v>
      </c>
      <c r="V145" s="58">
        <v>48</v>
      </c>
      <c r="W145" s="58">
        <f t="shared" si="10"/>
        <v>4205</v>
      </c>
      <c r="X145">
        <v>645</v>
      </c>
      <c r="Y145">
        <v>39</v>
      </c>
      <c r="Z145">
        <v>1079</v>
      </c>
      <c r="AA145">
        <v>73</v>
      </c>
      <c r="AB145">
        <v>41</v>
      </c>
      <c r="AC145">
        <v>27</v>
      </c>
      <c r="AD145">
        <v>2</v>
      </c>
      <c r="AE145">
        <v>125</v>
      </c>
      <c r="AF145">
        <v>78</v>
      </c>
      <c r="AG145">
        <v>87</v>
      </c>
      <c r="AH145">
        <v>75</v>
      </c>
      <c r="AI145">
        <v>4.03</v>
      </c>
    </row>
    <row r="146" spans="1:35" x14ac:dyDescent="0.5">
      <c r="A146" s="35">
        <v>2004</v>
      </c>
      <c r="B146" t="s">
        <v>87</v>
      </c>
      <c r="C146" t="s">
        <v>149</v>
      </c>
      <c r="D146">
        <v>576</v>
      </c>
      <c r="E146">
        <v>162</v>
      </c>
      <c r="F146">
        <v>7</v>
      </c>
      <c r="G146">
        <v>7</v>
      </c>
      <c r="H146">
        <v>155</v>
      </c>
      <c r="I146">
        <v>28</v>
      </c>
      <c r="J146">
        <v>1459.1</v>
      </c>
      <c r="K146">
        <v>1498</v>
      </c>
      <c r="L146">
        <v>823</v>
      </c>
      <c r="M146" s="58">
        <f t="shared" si="8"/>
        <v>2004</v>
      </c>
      <c r="N146" s="58" t="s">
        <v>86</v>
      </c>
      <c r="O146" s="58" t="str">
        <f t="shared" si="11"/>
        <v>2004 Seattle Mariners</v>
      </c>
      <c r="P146" s="58">
        <v>6389</v>
      </c>
      <c r="Q146" s="58">
        <f t="shared" si="9"/>
        <v>949</v>
      </c>
      <c r="R146" s="58">
        <v>317</v>
      </c>
      <c r="S146" s="58">
        <v>20</v>
      </c>
      <c r="T146" s="58">
        <v>212</v>
      </c>
      <c r="U146" s="58">
        <v>575</v>
      </c>
      <c r="V146" s="58">
        <v>72</v>
      </c>
      <c r="W146" s="58">
        <f t="shared" si="10"/>
        <v>4244</v>
      </c>
      <c r="X146">
        <v>772</v>
      </c>
      <c r="Y146">
        <v>32</v>
      </c>
      <c r="Z146">
        <v>1036</v>
      </c>
      <c r="AA146">
        <v>43</v>
      </c>
      <c r="AB146">
        <v>48</v>
      </c>
      <c r="AC146">
        <v>45</v>
      </c>
      <c r="AD146">
        <v>7</v>
      </c>
      <c r="AE146">
        <v>117</v>
      </c>
      <c r="AF146">
        <v>70</v>
      </c>
      <c r="AG146">
        <v>63</v>
      </c>
      <c r="AH146">
        <v>99</v>
      </c>
      <c r="AI146">
        <v>4.76</v>
      </c>
    </row>
    <row r="147" spans="1:35" x14ac:dyDescent="0.5">
      <c r="A147" s="35">
        <v>2004</v>
      </c>
      <c r="B147" t="s">
        <v>21</v>
      </c>
      <c r="C147" t="s">
        <v>38</v>
      </c>
      <c r="D147">
        <v>683</v>
      </c>
      <c r="E147">
        <v>162</v>
      </c>
      <c r="F147">
        <v>8</v>
      </c>
      <c r="G147">
        <v>8</v>
      </c>
      <c r="H147">
        <v>154</v>
      </c>
      <c r="I147">
        <v>46</v>
      </c>
      <c r="J147">
        <v>1457</v>
      </c>
      <c r="K147">
        <v>1481</v>
      </c>
      <c r="L147">
        <v>770</v>
      </c>
      <c r="M147" s="58">
        <f t="shared" si="8"/>
        <v>2004</v>
      </c>
      <c r="N147" s="58" t="s">
        <v>88</v>
      </c>
      <c r="O147" s="58" t="str">
        <f t="shared" si="11"/>
        <v>2004 San Francisco Giants</v>
      </c>
      <c r="P147" s="58">
        <v>6321</v>
      </c>
      <c r="Q147" s="58">
        <f t="shared" si="9"/>
        <v>963</v>
      </c>
      <c r="R147" s="58">
        <v>310</v>
      </c>
      <c r="S147" s="58">
        <v>47</v>
      </c>
      <c r="T147" s="58">
        <v>161</v>
      </c>
      <c r="U147" s="58">
        <v>548</v>
      </c>
      <c r="V147" s="58">
        <v>47</v>
      </c>
      <c r="W147" s="58">
        <f t="shared" si="10"/>
        <v>4245</v>
      </c>
      <c r="X147">
        <v>695</v>
      </c>
      <c r="Y147">
        <v>35</v>
      </c>
      <c r="Z147">
        <v>1020</v>
      </c>
      <c r="AA147">
        <v>74</v>
      </c>
      <c r="AB147">
        <v>53</v>
      </c>
      <c r="AC147">
        <v>52</v>
      </c>
      <c r="AD147">
        <v>2</v>
      </c>
      <c r="AE147">
        <v>131</v>
      </c>
      <c r="AF147">
        <v>76</v>
      </c>
      <c r="AG147">
        <v>91</v>
      </c>
      <c r="AH147">
        <v>71</v>
      </c>
      <c r="AI147">
        <v>4.29</v>
      </c>
    </row>
    <row r="148" spans="1:35" x14ac:dyDescent="0.5">
      <c r="A148" s="35">
        <v>2004</v>
      </c>
      <c r="B148" t="s">
        <v>142</v>
      </c>
      <c r="C148" t="s">
        <v>38</v>
      </c>
      <c r="D148">
        <v>631</v>
      </c>
      <c r="E148">
        <v>162</v>
      </c>
      <c r="F148">
        <v>4</v>
      </c>
      <c r="G148">
        <v>12</v>
      </c>
      <c r="H148">
        <v>158</v>
      </c>
      <c r="I148">
        <v>57</v>
      </c>
      <c r="J148">
        <v>1453.2</v>
      </c>
      <c r="K148">
        <v>1378</v>
      </c>
      <c r="L148">
        <v>659</v>
      </c>
      <c r="M148" s="58">
        <f t="shared" si="8"/>
        <v>2004</v>
      </c>
      <c r="N148" s="58" t="s">
        <v>90</v>
      </c>
      <c r="O148" s="58" t="str">
        <f t="shared" si="11"/>
        <v>2004 St. Louis Cardinals</v>
      </c>
      <c r="P148" s="58">
        <v>6104</v>
      </c>
      <c r="Q148" s="58">
        <f t="shared" si="9"/>
        <v>905</v>
      </c>
      <c r="R148" s="58">
        <v>285</v>
      </c>
      <c r="S148" s="58">
        <v>19</v>
      </c>
      <c r="T148" s="58">
        <v>169</v>
      </c>
      <c r="U148" s="58">
        <v>440</v>
      </c>
      <c r="V148" s="58">
        <v>67</v>
      </c>
      <c r="W148" s="58">
        <f t="shared" si="10"/>
        <v>4219</v>
      </c>
      <c r="X148">
        <v>605</v>
      </c>
      <c r="Y148">
        <v>24</v>
      </c>
      <c r="Z148">
        <v>1041</v>
      </c>
      <c r="AA148">
        <v>76</v>
      </c>
      <c r="AB148">
        <v>37</v>
      </c>
      <c r="AC148">
        <v>42</v>
      </c>
      <c r="AD148">
        <v>4</v>
      </c>
      <c r="AE148">
        <v>129</v>
      </c>
      <c r="AF148">
        <v>66</v>
      </c>
      <c r="AG148">
        <v>105</v>
      </c>
      <c r="AH148">
        <v>57</v>
      </c>
      <c r="AI148">
        <v>3.75</v>
      </c>
    </row>
    <row r="149" spans="1:35" x14ac:dyDescent="0.5">
      <c r="A149" s="35">
        <v>2004</v>
      </c>
      <c r="B149" t="s">
        <v>151</v>
      </c>
      <c r="C149" t="s">
        <v>149</v>
      </c>
      <c r="D149">
        <v>562</v>
      </c>
      <c r="E149">
        <v>161</v>
      </c>
      <c r="F149">
        <v>3</v>
      </c>
      <c r="G149">
        <v>5</v>
      </c>
      <c r="H149">
        <v>158</v>
      </c>
      <c r="I149">
        <v>35</v>
      </c>
      <c r="J149">
        <v>1417</v>
      </c>
      <c r="K149">
        <v>1459</v>
      </c>
      <c r="L149">
        <v>842</v>
      </c>
      <c r="M149" s="58">
        <f t="shared" si="8"/>
        <v>2004</v>
      </c>
      <c r="N149" s="58" t="s">
        <v>92</v>
      </c>
      <c r="O149" s="58" t="str">
        <f t="shared" si="11"/>
        <v>2004 Tampa Bay Devil Rays</v>
      </c>
      <c r="P149" s="58">
        <v>6261</v>
      </c>
      <c r="Q149" s="58">
        <f t="shared" si="9"/>
        <v>916</v>
      </c>
      <c r="R149" s="58">
        <v>324</v>
      </c>
      <c r="S149" s="58">
        <v>27</v>
      </c>
      <c r="T149" s="58">
        <v>192</v>
      </c>
      <c r="U149" s="58">
        <v>580</v>
      </c>
      <c r="V149" s="58">
        <v>93</v>
      </c>
      <c r="W149" s="58">
        <f t="shared" si="10"/>
        <v>4129</v>
      </c>
      <c r="X149">
        <v>757</v>
      </c>
      <c r="Y149">
        <v>35</v>
      </c>
      <c r="Z149">
        <v>923</v>
      </c>
      <c r="AA149">
        <v>30</v>
      </c>
      <c r="AB149">
        <v>52</v>
      </c>
      <c r="AC149">
        <v>55</v>
      </c>
      <c r="AD149">
        <v>7</v>
      </c>
      <c r="AE149">
        <v>124</v>
      </c>
      <c r="AF149">
        <v>81</v>
      </c>
      <c r="AG149">
        <v>70</v>
      </c>
      <c r="AH149">
        <v>91</v>
      </c>
      <c r="AI149">
        <v>4.8099999999999996</v>
      </c>
    </row>
    <row r="150" spans="1:35" x14ac:dyDescent="0.5">
      <c r="A150" s="35">
        <v>2004</v>
      </c>
      <c r="B150" t="s">
        <v>95</v>
      </c>
      <c r="C150" t="s">
        <v>149</v>
      </c>
      <c r="D150">
        <v>630</v>
      </c>
      <c r="E150">
        <v>162</v>
      </c>
      <c r="F150">
        <v>5</v>
      </c>
      <c r="G150">
        <v>9</v>
      </c>
      <c r="H150">
        <v>157</v>
      </c>
      <c r="I150">
        <v>52</v>
      </c>
      <c r="J150">
        <v>1439.2</v>
      </c>
      <c r="K150">
        <v>1536</v>
      </c>
      <c r="L150">
        <v>794</v>
      </c>
      <c r="M150" s="58">
        <f t="shared" si="8"/>
        <v>2004</v>
      </c>
      <c r="N150" s="58" t="s">
        <v>94</v>
      </c>
      <c r="O150" s="58" t="str">
        <f t="shared" si="11"/>
        <v>2004 Texas Rangers</v>
      </c>
      <c r="P150" s="58">
        <v>6345</v>
      </c>
      <c r="Q150" s="58">
        <f t="shared" si="9"/>
        <v>1040</v>
      </c>
      <c r="R150" s="58">
        <v>284</v>
      </c>
      <c r="S150" s="58">
        <v>30</v>
      </c>
      <c r="T150" s="58">
        <v>182</v>
      </c>
      <c r="U150" s="58">
        <v>547</v>
      </c>
      <c r="V150" s="58">
        <v>81</v>
      </c>
      <c r="W150" s="58">
        <f t="shared" si="10"/>
        <v>4181</v>
      </c>
      <c r="X150">
        <v>724</v>
      </c>
      <c r="Y150">
        <v>29</v>
      </c>
      <c r="Z150">
        <v>979</v>
      </c>
      <c r="AA150">
        <v>51</v>
      </c>
      <c r="AB150">
        <v>48</v>
      </c>
      <c r="AC150">
        <v>34</v>
      </c>
      <c r="AD150">
        <v>11</v>
      </c>
      <c r="AE150">
        <v>133</v>
      </c>
      <c r="AF150">
        <v>77</v>
      </c>
      <c r="AG150">
        <v>89</v>
      </c>
      <c r="AH150">
        <v>73</v>
      </c>
      <c r="AI150">
        <v>4.53</v>
      </c>
    </row>
    <row r="151" spans="1:35" x14ac:dyDescent="0.5">
      <c r="A151" s="35">
        <v>2004</v>
      </c>
      <c r="B151" t="s">
        <v>97</v>
      </c>
      <c r="C151" t="s">
        <v>149</v>
      </c>
      <c r="D151">
        <v>592</v>
      </c>
      <c r="E151">
        <v>161</v>
      </c>
      <c r="F151">
        <v>6</v>
      </c>
      <c r="G151">
        <v>11</v>
      </c>
      <c r="H151">
        <v>155</v>
      </c>
      <c r="I151">
        <v>37</v>
      </c>
      <c r="J151">
        <v>1421</v>
      </c>
      <c r="K151">
        <v>1505</v>
      </c>
      <c r="L151">
        <v>823</v>
      </c>
      <c r="M151" s="58">
        <f t="shared" si="8"/>
        <v>2004</v>
      </c>
      <c r="N151" s="58" t="s">
        <v>96</v>
      </c>
      <c r="O151" s="58" t="str">
        <f t="shared" si="11"/>
        <v>2004 Toronto Blue Jays</v>
      </c>
      <c r="P151" s="58">
        <v>6281</v>
      </c>
      <c r="Q151" s="58">
        <f t="shared" si="9"/>
        <v>1003</v>
      </c>
      <c r="R151" s="58">
        <v>293</v>
      </c>
      <c r="S151" s="58">
        <v>28</v>
      </c>
      <c r="T151" s="58">
        <v>181</v>
      </c>
      <c r="U151" s="58">
        <v>608</v>
      </c>
      <c r="V151" s="58">
        <v>58</v>
      </c>
      <c r="W151" s="58">
        <f t="shared" si="10"/>
        <v>4110</v>
      </c>
      <c r="X151">
        <v>775</v>
      </c>
      <c r="Y151">
        <v>47</v>
      </c>
      <c r="Z151">
        <v>956</v>
      </c>
      <c r="AA151">
        <v>42</v>
      </c>
      <c r="AB151">
        <v>56</v>
      </c>
      <c r="AC151">
        <v>60</v>
      </c>
      <c r="AD151">
        <v>11</v>
      </c>
      <c r="AE151">
        <v>120</v>
      </c>
      <c r="AF151">
        <v>58</v>
      </c>
      <c r="AG151">
        <v>67</v>
      </c>
      <c r="AH151">
        <v>94</v>
      </c>
      <c r="AI151">
        <v>4.91</v>
      </c>
    </row>
    <row r="152" spans="1:35" x14ac:dyDescent="0.5">
      <c r="A152" s="35">
        <v>2005</v>
      </c>
      <c r="B152" t="s">
        <v>37</v>
      </c>
      <c r="C152" t="s">
        <v>149</v>
      </c>
      <c r="D152">
        <v>540</v>
      </c>
      <c r="E152">
        <v>162</v>
      </c>
      <c r="F152">
        <v>7</v>
      </c>
      <c r="G152">
        <v>11</v>
      </c>
      <c r="H152">
        <v>155</v>
      </c>
      <c r="I152">
        <v>54</v>
      </c>
      <c r="J152">
        <v>1464.1</v>
      </c>
      <c r="K152">
        <v>1419</v>
      </c>
      <c r="L152">
        <v>643</v>
      </c>
      <c r="M152" s="58">
        <f t="shared" si="8"/>
        <v>2005</v>
      </c>
      <c r="N152" s="58" t="s">
        <v>36</v>
      </c>
      <c r="O152" s="58" t="str">
        <f t="shared" si="11"/>
        <v>2005 Anaheim Angels</v>
      </c>
      <c r="P152" s="58">
        <v>6158</v>
      </c>
      <c r="Q152" s="58">
        <f t="shared" si="9"/>
        <v>945</v>
      </c>
      <c r="R152" s="58">
        <v>285</v>
      </c>
      <c r="S152" s="58">
        <v>31</v>
      </c>
      <c r="T152" s="58">
        <v>158</v>
      </c>
      <c r="U152" s="58">
        <v>443</v>
      </c>
      <c r="V152" s="58">
        <v>48</v>
      </c>
      <c r="W152" s="58">
        <f t="shared" si="10"/>
        <v>4248</v>
      </c>
      <c r="X152">
        <v>598</v>
      </c>
      <c r="Y152">
        <v>24</v>
      </c>
      <c r="Z152">
        <v>1126</v>
      </c>
      <c r="AA152">
        <v>39</v>
      </c>
      <c r="AB152">
        <v>35</v>
      </c>
      <c r="AC152">
        <v>70</v>
      </c>
      <c r="AD152">
        <v>1</v>
      </c>
      <c r="AE152">
        <v>114</v>
      </c>
      <c r="AF152">
        <v>56</v>
      </c>
      <c r="AG152">
        <v>95</v>
      </c>
      <c r="AH152">
        <v>67</v>
      </c>
      <c r="AI152">
        <v>3.68</v>
      </c>
    </row>
    <row r="153" spans="1:35" x14ac:dyDescent="0.5">
      <c r="A153" s="35">
        <v>2005</v>
      </c>
      <c r="B153" t="s">
        <v>40</v>
      </c>
      <c r="C153" t="s">
        <v>38</v>
      </c>
      <c r="D153">
        <v>620</v>
      </c>
      <c r="E153">
        <v>162</v>
      </c>
      <c r="F153">
        <v>6</v>
      </c>
      <c r="G153">
        <v>10</v>
      </c>
      <c r="H153">
        <v>156</v>
      </c>
      <c r="I153">
        <v>45</v>
      </c>
      <c r="J153">
        <v>1456.1</v>
      </c>
      <c r="K153">
        <v>1580</v>
      </c>
      <c r="L153">
        <v>856</v>
      </c>
      <c r="M153" s="58">
        <f t="shared" si="8"/>
        <v>2005</v>
      </c>
      <c r="N153" s="58" t="s">
        <v>39</v>
      </c>
      <c r="O153" s="58" t="str">
        <f t="shared" si="11"/>
        <v>2005 Arizona Diamondbacks</v>
      </c>
      <c r="P153" s="58">
        <v>6402</v>
      </c>
      <c r="Q153" s="58">
        <f t="shared" si="9"/>
        <v>1005</v>
      </c>
      <c r="R153" s="58">
        <v>341</v>
      </c>
      <c r="S153" s="58">
        <v>41</v>
      </c>
      <c r="T153" s="58">
        <v>193</v>
      </c>
      <c r="U153" s="58">
        <v>537</v>
      </c>
      <c r="V153" s="58">
        <v>62</v>
      </c>
      <c r="W153" s="58">
        <f t="shared" si="10"/>
        <v>4223</v>
      </c>
      <c r="X153">
        <v>783</v>
      </c>
      <c r="Y153">
        <v>43</v>
      </c>
      <c r="Z153">
        <v>1038</v>
      </c>
      <c r="AA153">
        <v>78</v>
      </c>
      <c r="AB153">
        <v>45</v>
      </c>
      <c r="AC153">
        <v>58</v>
      </c>
      <c r="AD153">
        <v>5</v>
      </c>
      <c r="AE153">
        <v>141</v>
      </c>
      <c r="AF153">
        <v>68</v>
      </c>
      <c r="AG153">
        <v>77</v>
      </c>
      <c r="AH153">
        <v>85</v>
      </c>
      <c r="AI153">
        <v>4.84</v>
      </c>
    </row>
    <row r="154" spans="1:35" x14ac:dyDescent="0.5">
      <c r="A154" s="35">
        <v>2005</v>
      </c>
      <c r="B154" t="s">
        <v>42</v>
      </c>
      <c r="C154" t="s">
        <v>38</v>
      </c>
      <c r="D154">
        <v>646</v>
      </c>
      <c r="E154">
        <v>162</v>
      </c>
      <c r="F154">
        <v>8</v>
      </c>
      <c r="G154">
        <v>12</v>
      </c>
      <c r="H154">
        <v>154</v>
      </c>
      <c r="I154">
        <v>38</v>
      </c>
      <c r="J154">
        <v>1443.2</v>
      </c>
      <c r="K154">
        <v>1487</v>
      </c>
      <c r="L154">
        <v>674</v>
      </c>
      <c r="M154" s="58">
        <f t="shared" si="8"/>
        <v>2005</v>
      </c>
      <c r="N154" s="58" t="s">
        <v>41</v>
      </c>
      <c r="O154" s="58" t="str">
        <f t="shared" si="11"/>
        <v>2005 Atlanta Braves</v>
      </c>
      <c r="P154" s="58">
        <v>6186</v>
      </c>
      <c r="Q154" s="58">
        <f t="shared" si="9"/>
        <v>1035</v>
      </c>
      <c r="R154" s="58">
        <v>285</v>
      </c>
      <c r="S154" s="58">
        <v>22</v>
      </c>
      <c r="T154" s="58">
        <v>145</v>
      </c>
      <c r="U154" s="58">
        <v>520</v>
      </c>
      <c r="V154" s="58">
        <v>32</v>
      </c>
      <c r="W154" s="58">
        <f t="shared" si="10"/>
        <v>4147</v>
      </c>
      <c r="X154">
        <v>639</v>
      </c>
      <c r="Y154">
        <v>52</v>
      </c>
      <c r="Z154">
        <v>929</v>
      </c>
      <c r="AA154">
        <v>61</v>
      </c>
      <c r="AB154">
        <v>28</v>
      </c>
      <c r="AC154">
        <v>42</v>
      </c>
      <c r="AD154">
        <v>5</v>
      </c>
      <c r="AE154">
        <v>143</v>
      </c>
      <c r="AF154">
        <v>57</v>
      </c>
      <c r="AG154">
        <v>90</v>
      </c>
      <c r="AH154">
        <v>72</v>
      </c>
      <c r="AI154">
        <v>3.98</v>
      </c>
    </row>
    <row r="155" spans="1:35" x14ac:dyDescent="0.5">
      <c r="A155" s="35">
        <v>2005</v>
      </c>
      <c r="B155" t="s">
        <v>45</v>
      </c>
      <c r="C155" t="s">
        <v>149</v>
      </c>
      <c r="D155">
        <v>636</v>
      </c>
      <c r="E155">
        <v>162</v>
      </c>
      <c r="F155">
        <v>2</v>
      </c>
      <c r="G155">
        <v>9</v>
      </c>
      <c r="H155">
        <v>160</v>
      </c>
      <c r="I155">
        <v>38</v>
      </c>
      <c r="J155">
        <v>1427.2</v>
      </c>
      <c r="K155">
        <v>1458</v>
      </c>
      <c r="L155">
        <v>800</v>
      </c>
      <c r="M155" s="58">
        <f t="shared" si="8"/>
        <v>2005</v>
      </c>
      <c r="N155" s="58" t="s">
        <v>44</v>
      </c>
      <c r="O155" s="58" t="str">
        <f t="shared" si="11"/>
        <v>2005 Baltimore Orioles</v>
      </c>
      <c r="P155" s="58">
        <v>6242</v>
      </c>
      <c r="Q155" s="58">
        <f t="shared" si="9"/>
        <v>996</v>
      </c>
      <c r="R155" s="58">
        <v>260</v>
      </c>
      <c r="S155" s="58">
        <v>22</v>
      </c>
      <c r="T155" s="58">
        <v>180</v>
      </c>
      <c r="U155" s="58">
        <v>580</v>
      </c>
      <c r="V155" s="58">
        <v>52</v>
      </c>
      <c r="W155" s="58">
        <f t="shared" si="10"/>
        <v>4152</v>
      </c>
      <c r="X155">
        <v>724</v>
      </c>
      <c r="Y155">
        <v>32</v>
      </c>
      <c r="Z155">
        <v>1052</v>
      </c>
      <c r="AA155">
        <v>25</v>
      </c>
      <c r="AB155">
        <v>46</v>
      </c>
      <c r="AC155">
        <v>70</v>
      </c>
      <c r="AD155">
        <v>11</v>
      </c>
      <c r="AE155">
        <v>126</v>
      </c>
      <c r="AF155">
        <v>73</v>
      </c>
      <c r="AG155">
        <v>74</v>
      </c>
      <c r="AH155">
        <v>88</v>
      </c>
      <c r="AI155">
        <v>4.5599999999999996</v>
      </c>
    </row>
    <row r="156" spans="1:35" x14ac:dyDescent="0.5">
      <c r="A156" s="35">
        <v>2005</v>
      </c>
      <c r="B156" t="s">
        <v>47</v>
      </c>
      <c r="C156" t="s">
        <v>149</v>
      </c>
      <c r="D156">
        <v>604</v>
      </c>
      <c r="E156">
        <v>162</v>
      </c>
      <c r="F156">
        <v>6</v>
      </c>
      <c r="G156">
        <v>8</v>
      </c>
      <c r="H156">
        <v>156</v>
      </c>
      <c r="I156">
        <v>38</v>
      </c>
      <c r="J156">
        <v>1429</v>
      </c>
      <c r="K156">
        <v>1550</v>
      </c>
      <c r="L156">
        <v>805</v>
      </c>
      <c r="M156" s="58">
        <f t="shared" si="8"/>
        <v>2005</v>
      </c>
      <c r="N156" s="58" t="s">
        <v>46</v>
      </c>
      <c r="O156" s="58" t="str">
        <f t="shared" si="11"/>
        <v>2005 Boston Red Sox</v>
      </c>
      <c r="P156" s="58">
        <v>6227</v>
      </c>
      <c r="Q156" s="58">
        <f t="shared" si="9"/>
        <v>991</v>
      </c>
      <c r="R156" s="58">
        <v>354</v>
      </c>
      <c r="S156" s="58">
        <v>41</v>
      </c>
      <c r="T156" s="58">
        <v>164</v>
      </c>
      <c r="U156" s="58">
        <v>440</v>
      </c>
      <c r="V156" s="58">
        <v>89</v>
      </c>
      <c r="W156" s="58">
        <f t="shared" si="10"/>
        <v>4148</v>
      </c>
      <c r="X156">
        <v>752</v>
      </c>
      <c r="Y156">
        <v>28</v>
      </c>
      <c r="Z156">
        <v>959</v>
      </c>
      <c r="AA156">
        <v>27</v>
      </c>
      <c r="AB156">
        <v>50</v>
      </c>
      <c r="AC156">
        <v>56</v>
      </c>
      <c r="AD156">
        <v>4</v>
      </c>
      <c r="AE156">
        <v>122</v>
      </c>
      <c r="AF156">
        <v>67</v>
      </c>
      <c r="AG156">
        <v>95</v>
      </c>
      <c r="AH156">
        <v>67</v>
      </c>
      <c r="AI156">
        <v>4.74</v>
      </c>
    </row>
    <row r="157" spans="1:35" x14ac:dyDescent="0.5">
      <c r="A157" s="35">
        <v>2005</v>
      </c>
      <c r="B157" t="s">
        <v>143</v>
      </c>
      <c r="C157" t="s">
        <v>38</v>
      </c>
      <c r="D157">
        <v>619</v>
      </c>
      <c r="E157">
        <v>162</v>
      </c>
      <c r="F157">
        <v>8</v>
      </c>
      <c r="G157">
        <v>10</v>
      </c>
      <c r="H157">
        <v>154</v>
      </c>
      <c r="I157">
        <v>39</v>
      </c>
      <c r="J157">
        <v>1440</v>
      </c>
      <c r="K157">
        <v>1357</v>
      </c>
      <c r="L157">
        <v>714</v>
      </c>
      <c r="M157" s="58">
        <f t="shared" si="8"/>
        <v>2005</v>
      </c>
      <c r="N157" s="58" t="s">
        <v>50</v>
      </c>
      <c r="O157" s="58" t="str">
        <f t="shared" si="11"/>
        <v>2005 Chicago Cubs</v>
      </c>
      <c r="P157" s="58">
        <v>6185</v>
      </c>
      <c r="Q157" s="58">
        <f t="shared" si="9"/>
        <v>894</v>
      </c>
      <c r="R157" s="58">
        <v>258</v>
      </c>
      <c r="S157" s="58">
        <v>19</v>
      </c>
      <c r="T157" s="58">
        <v>186</v>
      </c>
      <c r="U157" s="58">
        <v>576</v>
      </c>
      <c r="V157" s="58">
        <v>50</v>
      </c>
      <c r="W157" s="58">
        <f t="shared" si="10"/>
        <v>4202</v>
      </c>
      <c r="X157">
        <v>671</v>
      </c>
      <c r="Y157">
        <v>48</v>
      </c>
      <c r="Z157">
        <v>1256</v>
      </c>
      <c r="AA157">
        <v>84</v>
      </c>
      <c r="AB157">
        <v>40</v>
      </c>
      <c r="AC157">
        <v>57</v>
      </c>
      <c r="AD157">
        <v>7</v>
      </c>
      <c r="AE157">
        <v>118</v>
      </c>
      <c r="AF157">
        <v>79</v>
      </c>
      <c r="AG157">
        <v>79</v>
      </c>
      <c r="AH157">
        <v>83</v>
      </c>
      <c r="AI157">
        <v>4.1900000000000004</v>
      </c>
    </row>
    <row r="158" spans="1:35" x14ac:dyDescent="0.5">
      <c r="A158" s="35">
        <v>2005</v>
      </c>
      <c r="B158" t="s">
        <v>143</v>
      </c>
      <c r="C158" t="s">
        <v>149</v>
      </c>
      <c r="D158">
        <v>574</v>
      </c>
      <c r="E158">
        <v>162</v>
      </c>
      <c r="F158">
        <v>9</v>
      </c>
      <c r="G158">
        <v>10</v>
      </c>
      <c r="H158">
        <v>153</v>
      </c>
      <c r="I158">
        <v>54</v>
      </c>
      <c r="J158">
        <v>1475.2</v>
      </c>
      <c r="K158">
        <v>1392</v>
      </c>
      <c r="L158">
        <v>645</v>
      </c>
      <c r="M158" s="58">
        <f t="shared" si="8"/>
        <v>2005</v>
      </c>
      <c r="N158" s="58" t="s">
        <v>48</v>
      </c>
      <c r="O158" s="58" t="str">
        <f t="shared" si="11"/>
        <v>2005 Chicago White Sox</v>
      </c>
      <c r="P158" s="58">
        <v>6176</v>
      </c>
      <c r="Q158" s="58">
        <f t="shared" si="9"/>
        <v>924</v>
      </c>
      <c r="R158" s="58">
        <v>278</v>
      </c>
      <c r="S158" s="58">
        <v>23</v>
      </c>
      <c r="T158" s="58">
        <v>167</v>
      </c>
      <c r="U158" s="58">
        <v>459</v>
      </c>
      <c r="V158" s="58">
        <v>52</v>
      </c>
      <c r="W158" s="58">
        <f t="shared" si="10"/>
        <v>4273</v>
      </c>
      <c r="X158">
        <v>592</v>
      </c>
      <c r="Y158">
        <v>42</v>
      </c>
      <c r="Z158">
        <v>1040</v>
      </c>
      <c r="AA158">
        <v>45</v>
      </c>
      <c r="AB158">
        <v>35</v>
      </c>
      <c r="AC158">
        <v>65</v>
      </c>
      <c r="AD158">
        <v>9</v>
      </c>
      <c r="AE158">
        <v>143</v>
      </c>
      <c r="AF158">
        <v>62</v>
      </c>
      <c r="AG158">
        <v>99</v>
      </c>
      <c r="AH158">
        <v>63</v>
      </c>
      <c r="AI158">
        <v>3.61</v>
      </c>
    </row>
    <row r="159" spans="1:35" x14ac:dyDescent="0.5">
      <c r="A159" s="35">
        <v>2005</v>
      </c>
      <c r="B159" t="s">
        <v>53</v>
      </c>
      <c r="C159" t="s">
        <v>38</v>
      </c>
      <c r="D159">
        <v>654</v>
      </c>
      <c r="E159">
        <v>163</v>
      </c>
      <c r="F159">
        <v>2</v>
      </c>
      <c r="G159">
        <v>1</v>
      </c>
      <c r="H159">
        <v>161</v>
      </c>
      <c r="I159">
        <v>31</v>
      </c>
      <c r="J159">
        <v>1433</v>
      </c>
      <c r="K159">
        <v>1657</v>
      </c>
      <c r="L159">
        <v>889</v>
      </c>
      <c r="M159" s="58">
        <f t="shared" si="8"/>
        <v>2005</v>
      </c>
      <c r="N159" s="58" t="s">
        <v>52</v>
      </c>
      <c r="O159" s="58" t="str">
        <f t="shared" si="11"/>
        <v>2005 Cincinnati Reds</v>
      </c>
      <c r="P159" s="58">
        <v>6397</v>
      </c>
      <c r="Q159" s="58">
        <f t="shared" si="9"/>
        <v>1033</v>
      </c>
      <c r="R159" s="58">
        <v>366</v>
      </c>
      <c r="S159" s="58">
        <v>39</v>
      </c>
      <c r="T159" s="58">
        <v>219</v>
      </c>
      <c r="U159" s="58">
        <v>492</v>
      </c>
      <c r="V159" s="58">
        <v>80</v>
      </c>
      <c r="W159" s="58">
        <f t="shared" si="10"/>
        <v>4168</v>
      </c>
      <c r="X159">
        <v>820</v>
      </c>
      <c r="Y159">
        <v>47</v>
      </c>
      <c r="Z159">
        <v>955</v>
      </c>
      <c r="AA159">
        <v>63</v>
      </c>
      <c r="AB159">
        <v>50</v>
      </c>
      <c r="AC159">
        <v>53</v>
      </c>
      <c r="AD159">
        <v>3</v>
      </c>
      <c r="AE159">
        <v>121</v>
      </c>
      <c r="AF159">
        <v>66</v>
      </c>
      <c r="AG159">
        <v>73</v>
      </c>
      <c r="AH159">
        <v>89</v>
      </c>
      <c r="AI159">
        <v>5.15</v>
      </c>
    </row>
    <row r="160" spans="1:35" x14ac:dyDescent="0.5">
      <c r="A160" s="35">
        <v>2005</v>
      </c>
      <c r="B160" t="s">
        <v>55</v>
      </c>
      <c r="C160" t="s">
        <v>149</v>
      </c>
      <c r="D160">
        <v>571</v>
      </c>
      <c r="E160">
        <v>162</v>
      </c>
      <c r="F160">
        <v>6</v>
      </c>
      <c r="G160">
        <v>10</v>
      </c>
      <c r="H160">
        <v>156</v>
      </c>
      <c r="I160">
        <v>51</v>
      </c>
      <c r="J160">
        <v>1452.2</v>
      </c>
      <c r="K160">
        <v>1363</v>
      </c>
      <c r="L160">
        <v>642</v>
      </c>
      <c r="M160" s="58">
        <f t="shared" si="8"/>
        <v>2005</v>
      </c>
      <c r="N160" s="58" t="s">
        <v>54</v>
      </c>
      <c r="O160" s="58" t="str">
        <f t="shared" si="11"/>
        <v>2005 Cleveland Indians</v>
      </c>
      <c r="P160" s="58">
        <v>6048</v>
      </c>
      <c r="Q160" s="58">
        <f t="shared" si="9"/>
        <v>922</v>
      </c>
      <c r="R160" s="58">
        <v>269</v>
      </c>
      <c r="S160" s="58">
        <v>15</v>
      </c>
      <c r="T160" s="58">
        <v>157</v>
      </c>
      <c r="U160" s="58">
        <v>413</v>
      </c>
      <c r="V160" s="58">
        <v>41</v>
      </c>
      <c r="W160" s="58">
        <f t="shared" si="10"/>
        <v>4231</v>
      </c>
      <c r="X160">
        <v>582</v>
      </c>
      <c r="Y160">
        <v>20</v>
      </c>
      <c r="Z160">
        <v>1050</v>
      </c>
      <c r="AA160">
        <v>36</v>
      </c>
      <c r="AB160">
        <v>41</v>
      </c>
      <c r="AC160">
        <v>26</v>
      </c>
      <c r="AD160">
        <v>4</v>
      </c>
      <c r="AE160">
        <v>136</v>
      </c>
      <c r="AF160">
        <v>73</v>
      </c>
      <c r="AG160">
        <v>93</v>
      </c>
      <c r="AH160">
        <v>69</v>
      </c>
      <c r="AI160">
        <v>3.61</v>
      </c>
    </row>
    <row r="161" spans="1:35" x14ac:dyDescent="0.5">
      <c r="A161" s="35">
        <v>2005</v>
      </c>
      <c r="B161" t="s">
        <v>57</v>
      </c>
      <c r="C161" t="s">
        <v>38</v>
      </c>
      <c r="D161">
        <v>621</v>
      </c>
      <c r="E161">
        <v>162</v>
      </c>
      <c r="F161">
        <v>4</v>
      </c>
      <c r="G161">
        <v>4</v>
      </c>
      <c r="H161">
        <v>158</v>
      </c>
      <c r="I161">
        <v>37</v>
      </c>
      <c r="J161">
        <v>1418.2</v>
      </c>
      <c r="K161">
        <v>1600</v>
      </c>
      <c r="L161">
        <v>862</v>
      </c>
      <c r="M161" s="58">
        <f t="shared" si="8"/>
        <v>2005</v>
      </c>
      <c r="N161" s="58" t="s">
        <v>56</v>
      </c>
      <c r="O161" s="58" t="str">
        <f t="shared" si="11"/>
        <v>2005 Colorado Rockies</v>
      </c>
      <c r="P161" s="58">
        <v>6385</v>
      </c>
      <c r="Q161" s="58">
        <f t="shared" si="9"/>
        <v>1036</v>
      </c>
      <c r="R161" s="58">
        <v>357</v>
      </c>
      <c r="S161" s="58">
        <v>32</v>
      </c>
      <c r="T161" s="58">
        <v>175</v>
      </c>
      <c r="U161" s="58">
        <v>604</v>
      </c>
      <c r="V161" s="58">
        <v>84</v>
      </c>
      <c r="W161" s="58">
        <f t="shared" si="10"/>
        <v>4097</v>
      </c>
      <c r="X161">
        <v>808</v>
      </c>
      <c r="Y161">
        <v>54</v>
      </c>
      <c r="Z161">
        <v>981</v>
      </c>
      <c r="AA161">
        <v>66</v>
      </c>
      <c r="AB161">
        <v>55</v>
      </c>
      <c r="AC161">
        <v>65</v>
      </c>
      <c r="AD161">
        <v>6</v>
      </c>
      <c r="AE161">
        <v>131</v>
      </c>
      <c r="AF161">
        <v>73</v>
      </c>
      <c r="AG161">
        <v>67</v>
      </c>
      <c r="AH161">
        <v>95</v>
      </c>
      <c r="AI161">
        <v>5.13</v>
      </c>
    </row>
    <row r="162" spans="1:35" x14ac:dyDescent="0.5">
      <c r="A162" s="35">
        <v>2005</v>
      </c>
      <c r="B162" t="s">
        <v>59</v>
      </c>
      <c r="C162" t="s">
        <v>149</v>
      </c>
      <c r="D162">
        <v>587</v>
      </c>
      <c r="E162">
        <v>162</v>
      </c>
      <c r="F162">
        <v>7</v>
      </c>
      <c r="G162">
        <v>2</v>
      </c>
      <c r="H162">
        <v>155</v>
      </c>
      <c r="I162">
        <v>37</v>
      </c>
      <c r="J162">
        <v>1435.2</v>
      </c>
      <c r="K162">
        <v>1504</v>
      </c>
      <c r="L162">
        <v>787</v>
      </c>
      <c r="M162" s="58">
        <f t="shared" si="8"/>
        <v>2005</v>
      </c>
      <c r="N162" s="58" t="s">
        <v>58</v>
      </c>
      <c r="O162" s="58" t="str">
        <f t="shared" si="11"/>
        <v>2005 Detroit Tigers</v>
      </c>
      <c r="P162" s="58">
        <v>6139</v>
      </c>
      <c r="Q162" s="58">
        <f t="shared" si="9"/>
        <v>1018</v>
      </c>
      <c r="R162" s="58">
        <v>258</v>
      </c>
      <c r="S162" s="58">
        <v>35</v>
      </c>
      <c r="T162" s="58">
        <v>193</v>
      </c>
      <c r="U162" s="58">
        <v>461</v>
      </c>
      <c r="V162" s="58">
        <v>51</v>
      </c>
      <c r="W162" s="58">
        <f t="shared" si="10"/>
        <v>4123</v>
      </c>
      <c r="X162">
        <v>719</v>
      </c>
      <c r="Y162">
        <v>33</v>
      </c>
      <c r="Z162">
        <v>907</v>
      </c>
      <c r="AA162">
        <v>39</v>
      </c>
      <c r="AB162">
        <v>60</v>
      </c>
      <c r="AC162">
        <v>53</v>
      </c>
      <c r="AD162">
        <v>5</v>
      </c>
      <c r="AE162">
        <v>148</v>
      </c>
      <c r="AF162">
        <v>67</v>
      </c>
      <c r="AG162">
        <v>71</v>
      </c>
      <c r="AH162">
        <v>91</v>
      </c>
      <c r="AI162">
        <v>4.51</v>
      </c>
    </row>
    <row r="163" spans="1:35" x14ac:dyDescent="0.5">
      <c r="A163" s="35">
        <v>2005</v>
      </c>
      <c r="B163" t="s">
        <v>146</v>
      </c>
      <c r="C163" t="s">
        <v>38</v>
      </c>
      <c r="D163">
        <v>611</v>
      </c>
      <c r="E163">
        <v>162</v>
      </c>
      <c r="F163">
        <v>14</v>
      </c>
      <c r="G163">
        <v>15</v>
      </c>
      <c r="H163">
        <v>148</v>
      </c>
      <c r="I163">
        <v>42</v>
      </c>
      <c r="J163">
        <v>1442.1</v>
      </c>
      <c r="K163">
        <v>1459</v>
      </c>
      <c r="L163">
        <v>732</v>
      </c>
      <c r="M163" s="58">
        <f t="shared" si="8"/>
        <v>2005</v>
      </c>
      <c r="N163" s="58" t="s">
        <v>60</v>
      </c>
      <c r="O163" s="58" t="str">
        <f t="shared" si="11"/>
        <v>2005 Florida Marlins</v>
      </c>
      <c r="P163" s="58">
        <v>6236</v>
      </c>
      <c r="Q163" s="58">
        <f t="shared" si="9"/>
        <v>991</v>
      </c>
      <c r="R163" s="58">
        <v>306</v>
      </c>
      <c r="S163" s="58">
        <v>46</v>
      </c>
      <c r="T163" s="58">
        <v>116</v>
      </c>
      <c r="U163" s="58">
        <v>563</v>
      </c>
      <c r="V163" s="58">
        <v>65</v>
      </c>
      <c r="W163" s="58">
        <f t="shared" si="10"/>
        <v>4149</v>
      </c>
      <c r="X163">
        <v>666</v>
      </c>
      <c r="Y163">
        <v>57</v>
      </c>
      <c r="Z163">
        <v>1125</v>
      </c>
      <c r="AA163">
        <v>80</v>
      </c>
      <c r="AB163">
        <v>42</v>
      </c>
      <c r="AC163">
        <v>45</v>
      </c>
      <c r="AD163">
        <v>3</v>
      </c>
      <c r="AE163">
        <v>153</v>
      </c>
      <c r="AF163">
        <v>58</v>
      </c>
      <c r="AG163">
        <v>83</v>
      </c>
      <c r="AH163">
        <v>79</v>
      </c>
      <c r="AI163">
        <v>4.16</v>
      </c>
    </row>
    <row r="164" spans="1:35" x14ac:dyDescent="0.5">
      <c r="A164" s="35">
        <v>2005</v>
      </c>
      <c r="B164" t="s">
        <v>63</v>
      </c>
      <c r="C164" t="s">
        <v>38</v>
      </c>
      <c r="D164">
        <v>597</v>
      </c>
      <c r="E164">
        <v>163</v>
      </c>
      <c r="F164">
        <v>6</v>
      </c>
      <c r="G164">
        <v>11</v>
      </c>
      <c r="H164">
        <v>157</v>
      </c>
      <c r="I164">
        <v>45</v>
      </c>
      <c r="J164">
        <v>1443</v>
      </c>
      <c r="K164">
        <v>1336</v>
      </c>
      <c r="L164">
        <v>609</v>
      </c>
      <c r="M164" s="58">
        <f t="shared" si="8"/>
        <v>2005</v>
      </c>
      <c r="N164" s="58" t="s">
        <v>62</v>
      </c>
      <c r="O164" s="58" t="str">
        <f t="shared" si="11"/>
        <v>2005 Houston Astros</v>
      </c>
      <c r="P164" s="58">
        <v>6023</v>
      </c>
      <c r="Q164" s="58">
        <f t="shared" si="9"/>
        <v>895</v>
      </c>
      <c r="R164" s="58">
        <v>259</v>
      </c>
      <c r="S164" s="58">
        <v>27</v>
      </c>
      <c r="T164" s="58">
        <v>155</v>
      </c>
      <c r="U164" s="58">
        <v>440</v>
      </c>
      <c r="V164" s="58">
        <v>59</v>
      </c>
      <c r="W164" s="58">
        <f t="shared" si="10"/>
        <v>4188</v>
      </c>
      <c r="X164">
        <v>563</v>
      </c>
      <c r="Y164">
        <v>29</v>
      </c>
      <c r="Z164">
        <v>1164</v>
      </c>
      <c r="AA164">
        <v>61</v>
      </c>
      <c r="AB164">
        <v>33</v>
      </c>
      <c r="AC164">
        <v>38</v>
      </c>
      <c r="AD164">
        <v>8</v>
      </c>
      <c r="AE164">
        <v>122</v>
      </c>
      <c r="AF164">
        <v>60</v>
      </c>
      <c r="AG164">
        <v>89</v>
      </c>
      <c r="AH164">
        <v>73</v>
      </c>
      <c r="AI164">
        <v>3.51</v>
      </c>
    </row>
    <row r="165" spans="1:35" x14ac:dyDescent="0.5">
      <c r="A165" s="35">
        <v>2005</v>
      </c>
      <c r="B165" t="s">
        <v>150</v>
      </c>
      <c r="C165" t="s">
        <v>149</v>
      </c>
      <c r="D165">
        <v>605</v>
      </c>
      <c r="E165">
        <v>162</v>
      </c>
      <c r="F165">
        <v>4</v>
      </c>
      <c r="G165">
        <v>4</v>
      </c>
      <c r="H165">
        <v>158</v>
      </c>
      <c r="I165">
        <v>25</v>
      </c>
      <c r="J165">
        <v>1413.1</v>
      </c>
      <c r="K165">
        <v>1640</v>
      </c>
      <c r="L165">
        <v>935</v>
      </c>
      <c r="M165" s="58">
        <f t="shared" si="8"/>
        <v>2005</v>
      </c>
      <c r="N165" s="58" t="s">
        <v>64</v>
      </c>
      <c r="O165" s="58" t="str">
        <f t="shared" si="11"/>
        <v>2005 Kansas City Royals</v>
      </c>
      <c r="P165" s="58">
        <v>6370</v>
      </c>
      <c r="Q165" s="58">
        <f t="shared" si="9"/>
        <v>1073</v>
      </c>
      <c r="R165" s="58">
        <v>347</v>
      </c>
      <c r="S165" s="58">
        <v>42</v>
      </c>
      <c r="T165" s="58">
        <v>178</v>
      </c>
      <c r="U165" s="58">
        <v>580</v>
      </c>
      <c r="V165" s="58">
        <v>74</v>
      </c>
      <c r="W165" s="58">
        <f t="shared" si="10"/>
        <v>4076</v>
      </c>
      <c r="X165">
        <v>862</v>
      </c>
      <c r="Y165">
        <v>33</v>
      </c>
      <c r="Z165">
        <v>924</v>
      </c>
      <c r="AA165">
        <v>34</v>
      </c>
      <c r="AB165">
        <v>49</v>
      </c>
      <c r="AC165">
        <v>69</v>
      </c>
      <c r="AD165">
        <v>9</v>
      </c>
      <c r="AE165">
        <v>139</v>
      </c>
      <c r="AF165">
        <v>85</v>
      </c>
      <c r="AG165">
        <v>56</v>
      </c>
      <c r="AH165">
        <v>106</v>
      </c>
      <c r="AI165">
        <v>5.49</v>
      </c>
    </row>
    <row r="166" spans="1:35" x14ac:dyDescent="0.5">
      <c r="A166" s="35">
        <v>2005</v>
      </c>
      <c r="B166" t="s">
        <v>145</v>
      </c>
      <c r="C166" t="s">
        <v>38</v>
      </c>
      <c r="D166">
        <v>620</v>
      </c>
      <c r="E166">
        <v>162</v>
      </c>
      <c r="F166">
        <v>6</v>
      </c>
      <c r="G166">
        <v>9</v>
      </c>
      <c r="H166">
        <v>156</v>
      </c>
      <c r="I166">
        <v>40</v>
      </c>
      <c r="J166">
        <v>1427.1</v>
      </c>
      <c r="K166">
        <v>1434</v>
      </c>
      <c r="L166">
        <v>755</v>
      </c>
      <c r="M166" s="58">
        <f t="shared" si="8"/>
        <v>2005</v>
      </c>
      <c r="N166" s="58" t="s">
        <v>66</v>
      </c>
      <c r="O166" s="58" t="str">
        <f t="shared" si="11"/>
        <v>2005 Los Angeles Dodgers</v>
      </c>
      <c r="P166" s="58">
        <v>6113</v>
      </c>
      <c r="Q166" s="58">
        <f t="shared" si="9"/>
        <v>928</v>
      </c>
      <c r="R166" s="58">
        <v>291</v>
      </c>
      <c r="S166" s="58">
        <v>33</v>
      </c>
      <c r="T166" s="58">
        <v>182</v>
      </c>
      <c r="U166" s="58">
        <v>471</v>
      </c>
      <c r="V166" s="58">
        <v>64</v>
      </c>
      <c r="W166" s="58">
        <f t="shared" si="10"/>
        <v>4144</v>
      </c>
      <c r="X166">
        <v>695</v>
      </c>
      <c r="Y166">
        <v>34</v>
      </c>
      <c r="Z166">
        <v>1004</v>
      </c>
      <c r="AA166">
        <v>90</v>
      </c>
      <c r="AB166">
        <v>39</v>
      </c>
      <c r="AC166">
        <v>36</v>
      </c>
      <c r="AD166">
        <v>6</v>
      </c>
      <c r="AE166">
        <v>119</v>
      </c>
      <c r="AF166">
        <v>72</v>
      </c>
      <c r="AG166">
        <v>71</v>
      </c>
      <c r="AH166">
        <v>91</v>
      </c>
      <c r="AI166">
        <v>4.38</v>
      </c>
    </row>
    <row r="167" spans="1:35" x14ac:dyDescent="0.5">
      <c r="A167" s="35">
        <v>2005</v>
      </c>
      <c r="B167" t="s">
        <v>69</v>
      </c>
      <c r="C167" t="s">
        <v>38</v>
      </c>
      <c r="D167">
        <v>557</v>
      </c>
      <c r="E167">
        <v>162</v>
      </c>
      <c r="F167">
        <v>7</v>
      </c>
      <c r="G167">
        <v>6</v>
      </c>
      <c r="H167">
        <v>155</v>
      </c>
      <c r="I167">
        <v>46</v>
      </c>
      <c r="J167">
        <v>1438</v>
      </c>
      <c r="K167">
        <v>1382</v>
      </c>
      <c r="L167">
        <v>697</v>
      </c>
      <c r="M167" s="58">
        <f t="shared" si="8"/>
        <v>2005</v>
      </c>
      <c r="N167" s="58" t="s">
        <v>68</v>
      </c>
      <c r="O167" s="58" t="str">
        <f t="shared" si="11"/>
        <v>2005 Milwaukee Brewers</v>
      </c>
      <c r="P167" s="58">
        <v>6208</v>
      </c>
      <c r="Q167" s="58">
        <f t="shared" si="9"/>
        <v>883</v>
      </c>
      <c r="R167" s="58">
        <v>300</v>
      </c>
      <c r="S167" s="58">
        <v>30</v>
      </c>
      <c r="T167" s="58">
        <v>169</v>
      </c>
      <c r="U167" s="58">
        <v>569</v>
      </c>
      <c r="V167" s="58">
        <v>45</v>
      </c>
      <c r="W167" s="58">
        <f t="shared" si="10"/>
        <v>4212</v>
      </c>
      <c r="X167">
        <v>635</v>
      </c>
      <c r="Y167">
        <v>52</v>
      </c>
      <c r="Z167">
        <v>1173</v>
      </c>
      <c r="AA167">
        <v>54</v>
      </c>
      <c r="AB167">
        <v>33</v>
      </c>
      <c r="AC167">
        <v>66</v>
      </c>
      <c r="AD167">
        <v>8</v>
      </c>
      <c r="AE167">
        <v>108</v>
      </c>
      <c r="AF167">
        <v>89</v>
      </c>
      <c r="AG167">
        <v>81</v>
      </c>
      <c r="AH167">
        <v>81</v>
      </c>
      <c r="AI167">
        <v>3.97</v>
      </c>
    </row>
    <row r="168" spans="1:35" x14ac:dyDescent="0.5">
      <c r="A168" s="35">
        <v>2005</v>
      </c>
      <c r="B168" t="s">
        <v>71</v>
      </c>
      <c r="C168" t="s">
        <v>149</v>
      </c>
      <c r="D168">
        <v>558</v>
      </c>
      <c r="E168">
        <v>162</v>
      </c>
      <c r="F168">
        <v>9</v>
      </c>
      <c r="G168">
        <v>8</v>
      </c>
      <c r="H168">
        <v>153</v>
      </c>
      <c r="I168">
        <v>44</v>
      </c>
      <c r="J168">
        <v>1464.1</v>
      </c>
      <c r="K168">
        <v>1458</v>
      </c>
      <c r="L168">
        <v>662</v>
      </c>
      <c r="M168" s="58">
        <f t="shared" si="8"/>
        <v>2005</v>
      </c>
      <c r="N168" s="58" t="s">
        <v>70</v>
      </c>
      <c r="O168" s="58" t="str">
        <f t="shared" si="11"/>
        <v>2005 Minnesota Twins</v>
      </c>
      <c r="P168" s="58">
        <v>6072</v>
      </c>
      <c r="Q168" s="58">
        <f t="shared" si="9"/>
        <v>1004</v>
      </c>
      <c r="R168" s="58">
        <v>257</v>
      </c>
      <c r="S168" s="58">
        <v>28</v>
      </c>
      <c r="T168" s="58">
        <v>169</v>
      </c>
      <c r="U168" s="58">
        <v>348</v>
      </c>
      <c r="V168" s="58">
        <v>43</v>
      </c>
      <c r="W168" s="58">
        <f t="shared" si="10"/>
        <v>4223</v>
      </c>
      <c r="X168">
        <v>604</v>
      </c>
      <c r="Y168">
        <v>38</v>
      </c>
      <c r="Z168">
        <v>965</v>
      </c>
      <c r="AA168">
        <v>50</v>
      </c>
      <c r="AB168">
        <v>40</v>
      </c>
      <c r="AC168">
        <v>35</v>
      </c>
      <c r="AD168">
        <v>4</v>
      </c>
      <c r="AE168">
        <v>140</v>
      </c>
      <c r="AF168">
        <v>64</v>
      </c>
      <c r="AG168">
        <v>83</v>
      </c>
      <c r="AH168">
        <v>79</v>
      </c>
      <c r="AI168">
        <v>3.71</v>
      </c>
    </row>
    <row r="169" spans="1:35" x14ac:dyDescent="0.5">
      <c r="A169" s="35">
        <v>2005</v>
      </c>
      <c r="B169" t="s">
        <v>144</v>
      </c>
      <c r="C169" t="s">
        <v>38</v>
      </c>
      <c r="D169">
        <v>554</v>
      </c>
      <c r="E169">
        <v>162</v>
      </c>
      <c r="F169">
        <v>8</v>
      </c>
      <c r="G169">
        <v>11</v>
      </c>
      <c r="H169">
        <v>154</v>
      </c>
      <c r="I169">
        <v>38</v>
      </c>
      <c r="J169">
        <v>1435.2</v>
      </c>
      <c r="K169">
        <v>1390</v>
      </c>
      <c r="L169">
        <v>648</v>
      </c>
      <c r="M169" s="58">
        <f t="shared" si="8"/>
        <v>2005</v>
      </c>
      <c r="N169" s="58" t="s">
        <v>76</v>
      </c>
      <c r="O169" s="58" t="str">
        <f t="shared" si="11"/>
        <v>2005 New York Mets</v>
      </c>
      <c r="P169" s="58">
        <v>6121</v>
      </c>
      <c r="Q169" s="58">
        <f t="shared" si="9"/>
        <v>957</v>
      </c>
      <c r="R169" s="58">
        <v>277</v>
      </c>
      <c r="S169" s="58">
        <v>21</v>
      </c>
      <c r="T169" s="58">
        <v>135</v>
      </c>
      <c r="U169" s="58">
        <v>491</v>
      </c>
      <c r="V169" s="58">
        <v>56</v>
      </c>
      <c r="W169" s="58">
        <f t="shared" si="10"/>
        <v>4184</v>
      </c>
      <c r="X169">
        <v>599</v>
      </c>
      <c r="Y169">
        <v>43</v>
      </c>
      <c r="Z169">
        <v>1012</v>
      </c>
      <c r="AA169">
        <v>83</v>
      </c>
      <c r="AB169">
        <v>34</v>
      </c>
      <c r="AC169">
        <v>32</v>
      </c>
      <c r="AD169">
        <v>4</v>
      </c>
      <c r="AE169">
        <v>127</v>
      </c>
      <c r="AF169">
        <v>77</v>
      </c>
      <c r="AG169">
        <v>83</v>
      </c>
      <c r="AH169">
        <v>79</v>
      </c>
      <c r="AI169">
        <v>3.76</v>
      </c>
    </row>
    <row r="170" spans="1:35" x14ac:dyDescent="0.5">
      <c r="A170" s="35">
        <v>2005</v>
      </c>
      <c r="B170" t="s">
        <v>144</v>
      </c>
      <c r="C170" t="s">
        <v>149</v>
      </c>
      <c r="D170">
        <v>580</v>
      </c>
      <c r="E170">
        <v>162</v>
      </c>
      <c r="F170">
        <v>8</v>
      </c>
      <c r="G170">
        <v>14</v>
      </c>
      <c r="H170">
        <v>154</v>
      </c>
      <c r="I170">
        <v>46</v>
      </c>
      <c r="J170">
        <v>1430.2</v>
      </c>
      <c r="K170">
        <v>1495</v>
      </c>
      <c r="L170">
        <v>789</v>
      </c>
      <c r="M170" s="58">
        <f t="shared" si="8"/>
        <v>2005</v>
      </c>
      <c r="N170" s="58" t="s">
        <v>74</v>
      </c>
      <c r="O170" s="58" t="str">
        <f t="shared" si="11"/>
        <v>2005 New York Yankees</v>
      </c>
      <c r="P170" s="58">
        <v>6182</v>
      </c>
      <c r="Q170" s="58">
        <f t="shared" si="9"/>
        <v>1005</v>
      </c>
      <c r="R170" s="58">
        <v>295</v>
      </c>
      <c r="S170" s="58">
        <v>31</v>
      </c>
      <c r="T170" s="58">
        <v>164</v>
      </c>
      <c r="U170" s="58">
        <v>463</v>
      </c>
      <c r="V170" s="58">
        <v>84</v>
      </c>
      <c r="W170" s="58">
        <f t="shared" si="10"/>
        <v>4140</v>
      </c>
      <c r="X170">
        <v>718</v>
      </c>
      <c r="Y170">
        <v>25</v>
      </c>
      <c r="Z170">
        <v>985</v>
      </c>
      <c r="AA170">
        <v>27</v>
      </c>
      <c r="AB170">
        <v>49</v>
      </c>
      <c r="AC170">
        <v>37</v>
      </c>
      <c r="AD170">
        <v>6</v>
      </c>
      <c r="AE170">
        <v>127</v>
      </c>
      <c r="AF170">
        <v>67</v>
      </c>
      <c r="AG170">
        <v>95</v>
      </c>
      <c r="AH170">
        <v>67</v>
      </c>
      <c r="AI170">
        <v>4.5199999999999996</v>
      </c>
    </row>
    <row r="171" spans="1:35" x14ac:dyDescent="0.5">
      <c r="A171" s="35">
        <v>2005</v>
      </c>
      <c r="B171" t="s">
        <v>79</v>
      </c>
      <c r="C171" t="s">
        <v>149</v>
      </c>
      <c r="D171">
        <v>572</v>
      </c>
      <c r="E171">
        <v>162</v>
      </c>
      <c r="F171">
        <v>9</v>
      </c>
      <c r="G171">
        <v>12</v>
      </c>
      <c r="H171">
        <v>153</v>
      </c>
      <c r="I171">
        <v>38</v>
      </c>
      <c r="J171">
        <v>1450.1</v>
      </c>
      <c r="K171">
        <v>1315</v>
      </c>
      <c r="L171">
        <v>658</v>
      </c>
      <c r="M171" s="58">
        <f t="shared" si="8"/>
        <v>2005</v>
      </c>
      <c r="N171" s="58" t="s">
        <v>78</v>
      </c>
      <c r="O171" s="58" t="str">
        <f t="shared" si="11"/>
        <v>2005 Oakland Athletics</v>
      </c>
      <c r="P171" s="58">
        <v>6080</v>
      </c>
      <c r="Q171" s="58">
        <f t="shared" si="9"/>
        <v>881</v>
      </c>
      <c r="R171" s="58">
        <v>257</v>
      </c>
      <c r="S171" s="58">
        <v>23</v>
      </c>
      <c r="T171" s="58">
        <v>154</v>
      </c>
      <c r="U171" s="58">
        <v>504</v>
      </c>
      <c r="V171" s="58">
        <v>60</v>
      </c>
      <c r="W171" s="58">
        <f t="shared" si="10"/>
        <v>4201</v>
      </c>
      <c r="X171">
        <v>594</v>
      </c>
      <c r="Y171">
        <v>42</v>
      </c>
      <c r="Z171">
        <v>1075</v>
      </c>
      <c r="AA171">
        <v>32</v>
      </c>
      <c r="AB171">
        <v>38</v>
      </c>
      <c r="AC171">
        <v>41</v>
      </c>
      <c r="AD171">
        <v>3</v>
      </c>
      <c r="AE171">
        <v>137</v>
      </c>
      <c r="AF171">
        <v>65</v>
      </c>
      <c r="AG171">
        <v>88</v>
      </c>
      <c r="AH171">
        <v>74</v>
      </c>
      <c r="AI171">
        <v>3.69</v>
      </c>
    </row>
    <row r="172" spans="1:35" x14ac:dyDescent="0.5">
      <c r="A172" s="35">
        <v>2005</v>
      </c>
      <c r="B172" t="s">
        <v>81</v>
      </c>
      <c r="C172" t="s">
        <v>38</v>
      </c>
      <c r="D172">
        <v>604</v>
      </c>
      <c r="E172">
        <v>162</v>
      </c>
      <c r="F172">
        <v>4</v>
      </c>
      <c r="G172">
        <v>6</v>
      </c>
      <c r="H172">
        <v>158</v>
      </c>
      <c r="I172">
        <v>40</v>
      </c>
      <c r="J172">
        <v>1435</v>
      </c>
      <c r="K172">
        <v>1379</v>
      </c>
      <c r="L172">
        <v>726</v>
      </c>
      <c r="M172" s="58">
        <f t="shared" si="8"/>
        <v>2005</v>
      </c>
      <c r="N172" s="58" t="s">
        <v>80</v>
      </c>
      <c r="O172" s="58" t="str">
        <f t="shared" si="11"/>
        <v>2005 Philadelphia Phillies</v>
      </c>
      <c r="P172" s="58">
        <v>6119</v>
      </c>
      <c r="Q172" s="58">
        <f t="shared" si="9"/>
        <v>843</v>
      </c>
      <c r="R172" s="58">
        <v>319</v>
      </c>
      <c r="S172" s="58">
        <v>28</v>
      </c>
      <c r="T172" s="58">
        <v>189</v>
      </c>
      <c r="U172" s="58">
        <v>487</v>
      </c>
      <c r="V172" s="58">
        <v>72</v>
      </c>
      <c r="W172" s="58">
        <f t="shared" si="10"/>
        <v>4181</v>
      </c>
      <c r="X172">
        <v>672</v>
      </c>
      <c r="Y172">
        <v>51</v>
      </c>
      <c r="Z172">
        <v>1159</v>
      </c>
      <c r="AA172">
        <v>65</v>
      </c>
      <c r="AB172">
        <v>41</v>
      </c>
      <c r="AC172">
        <v>36</v>
      </c>
      <c r="AD172">
        <v>9</v>
      </c>
      <c r="AE172">
        <v>111</v>
      </c>
      <c r="AF172">
        <v>62</v>
      </c>
      <c r="AG172">
        <v>88</v>
      </c>
      <c r="AH172">
        <v>74</v>
      </c>
      <c r="AI172">
        <v>4.21</v>
      </c>
    </row>
    <row r="173" spans="1:35" x14ac:dyDescent="0.5">
      <c r="A173" s="35">
        <v>2005</v>
      </c>
      <c r="B173" t="s">
        <v>83</v>
      </c>
      <c r="C173" t="s">
        <v>38</v>
      </c>
      <c r="D173">
        <v>613</v>
      </c>
      <c r="E173">
        <v>162</v>
      </c>
      <c r="F173">
        <v>4</v>
      </c>
      <c r="G173">
        <v>14</v>
      </c>
      <c r="H173">
        <v>158</v>
      </c>
      <c r="I173">
        <v>35</v>
      </c>
      <c r="J173">
        <v>1436</v>
      </c>
      <c r="K173">
        <v>1456</v>
      </c>
      <c r="L173">
        <v>769</v>
      </c>
      <c r="M173" s="58">
        <f t="shared" si="8"/>
        <v>2005</v>
      </c>
      <c r="N173" s="58" t="s">
        <v>82</v>
      </c>
      <c r="O173" s="58" t="str">
        <f t="shared" si="11"/>
        <v>2005 Pittsburgh Pirates</v>
      </c>
      <c r="P173" s="58">
        <v>6264</v>
      </c>
      <c r="Q173" s="58">
        <f t="shared" si="9"/>
        <v>945</v>
      </c>
      <c r="R173" s="58">
        <v>322</v>
      </c>
      <c r="S173" s="58">
        <v>27</v>
      </c>
      <c r="T173" s="58">
        <v>162</v>
      </c>
      <c r="U173" s="58">
        <v>612</v>
      </c>
      <c r="V173" s="58">
        <v>65</v>
      </c>
      <c r="W173" s="58">
        <f t="shared" si="10"/>
        <v>4131</v>
      </c>
      <c r="X173">
        <v>706</v>
      </c>
      <c r="Y173">
        <v>65</v>
      </c>
      <c r="Z173">
        <v>958</v>
      </c>
      <c r="AA173">
        <v>68</v>
      </c>
      <c r="AB173">
        <v>57</v>
      </c>
      <c r="AC173">
        <v>53</v>
      </c>
      <c r="AD173">
        <v>4</v>
      </c>
      <c r="AE173">
        <v>164</v>
      </c>
      <c r="AF173">
        <v>79</v>
      </c>
      <c r="AG173">
        <v>67</v>
      </c>
      <c r="AH173">
        <v>95</v>
      </c>
      <c r="AI173">
        <v>4.42</v>
      </c>
    </row>
    <row r="174" spans="1:35" x14ac:dyDescent="0.5">
      <c r="A174" s="35">
        <v>2005</v>
      </c>
      <c r="B174" t="s">
        <v>147</v>
      </c>
      <c r="C174" t="s">
        <v>38</v>
      </c>
      <c r="D174">
        <v>618</v>
      </c>
      <c r="E174">
        <v>162</v>
      </c>
      <c r="F174">
        <v>4</v>
      </c>
      <c r="G174">
        <v>8</v>
      </c>
      <c r="H174">
        <v>158</v>
      </c>
      <c r="I174">
        <v>45</v>
      </c>
      <c r="J174">
        <v>1455.1</v>
      </c>
      <c r="K174">
        <v>1452</v>
      </c>
      <c r="L174">
        <v>726</v>
      </c>
      <c r="M174" s="58">
        <f t="shared" si="8"/>
        <v>2005</v>
      </c>
      <c r="N174" s="58" t="s">
        <v>84</v>
      </c>
      <c r="O174" s="58" t="str">
        <f t="shared" si="11"/>
        <v>2005 San Diego Padres</v>
      </c>
      <c r="P174" s="58">
        <v>6253</v>
      </c>
      <c r="Q174" s="58">
        <f t="shared" si="9"/>
        <v>946</v>
      </c>
      <c r="R174" s="58">
        <v>318</v>
      </c>
      <c r="S174" s="58">
        <v>42</v>
      </c>
      <c r="T174" s="58">
        <v>146</v>
      </c>
      <c r="U174" s="58">
        <v>503</v>
      </c>
      <c r="V174" s="58">
        <v>46</v>
      </c>
      <c r="W174" s="58">
        <f t="shared" si="10"/>
        <v>4252</v>
      </c>
      <c r="X174">
        <v>668</v>
      </c>
      <c r="Y174">
        <v>45</v>
      </c>
      <c r="Z174">
        <v>1133</v>
      </c>
      <c r="AA174">
        <v>46</v>
      </c>
      <c r="AB174">
        <v>45</v>
      </c>
      <c r="AC174">
        <v>36</v>
      </c>
      <c r="AD174">
        <v>3</v>
      </c>
      <c r="AE174">
        <v>116</v>
      </c>
      <c r="AF174">
        <v>69</v>
      </c>
      <c r="AG174">
        <v>82</v>
      </c>
      <c r="AH174">
        <v>80</v>
      </c>
      <c r="AI174">
        <v>4.13</v>
      </c>
    </row>
    <row r="175" spans="1:35" x14ac:dyDescent="0.5">
      <c r="A175" s="35">
        <v>2005</v>
      </c>
      <c r="B175" t="s">
        <v>87</v>
      </c>
      <c r="C175" t="s">
        <v>149</v>
      </c>
      <c r="D175">
        <v>595</v>
      </c>
      <c r="E175">
        <v>162</v>
      </c>
      <c r="F175">
        <v>6</v>
      </c>
      <c r="G175">
        <v>7</v>
      </c>
      <c r="H175">
        <v>156</v>
      </c>
      <c r="I175">
        <v>39</v>
      </c>
      <c r="J175">
        <v>1427.2</v>
      </c>
      <c r="K175">
        <v>1483</v>
      </c>
      <c r="L175">
        <v>751</v>
      </c>
      <c r="M175" s="58">
        <f t="shared" si="8"/>
        <v>2005</v>
      </c>
      <c r="N175" s="58" t="s">
        <v>86</v>
      </c>
      <c r="O175" s="58" t="str">
        <f t="shared" si="11"/>
        <v>2005 Seattle Mariners</v>
      </c>
      <c r="P175" s="58">
        <v>6172</v>
      </c>
      <c r="Q175" s="58">
        <f t="shared" si="9"/>
        <v>1015</v>
      </c>
      <c r="R175" s="58">
        <v>267</v>
      </c>
      <c r="S175" s="58">
        <v>22</v>
      </c>
      <c r="T175" s="58">
        <v>179</v>
      </c>
      <c r="U175" s="58">
        <v>496</v>
      </c>
      <c r="V175" s="58">
        <v>57</v>
      </c>
      <c r="W175" s="58">
        <f t="shared" si="10"/>
        <v>4136</v>
      </c>
      <c r="X175">
        <v>712</v>
      </c>
      <c r="Y175">
        <v>32</v>
      </c>
      <c r="Z175">
        <v>892</v>
      </c>
      <c r="AA175">
        <v>37</v>
      </c>
      <c r="AB175">
        <v>51</v>
      </c>
      <c r="AC175">
        <v>36</v>
      </c>
      <c r="AD175">
        <v>4</v>
      </c>
      <c r="AE175">
        <v>119</v>
      </c>
      <c r="AF175">
        <v>64</v>
      </c>
      <c r="AG175">
        <v>69</v>
      </c>
      <c r="AH175">
        <v>93</v>
      </c>
      <c r="AI175">
        <v>4.49</v>
      </c>
    </row>
    <row r="176" spans="1:35" x14ac:dyDescent="0.5">
      <c r="A176" s="35">
        <v>2005</v>
      </c>
      <c r="B176" t="s">
        <v>21</v>
      </c>
      <c r="C176" t="s">
        <v>38</v>
      </c>
      <c r="D176">
        <v>673</v>
      </c>
      <c r="E176">
        <v>162</v>
      </c>
      <c r="F176">
        <v>4</v>
      </c>
      <c r="G176">
        <v>8</v>
      </c>
      <c r="H176">
        <v>158</v>
      </c>
      <c r="I176">
        <v>46</v>
      </c>
      <c r="J176">
        <v>1444.1</v>
      </c>
      <c r="K176">
        <v>1456</v>
      </c>
      <c r="L176">
        <v>745</v>
      </c>
      <c r="M176" s="58">
        <f t="shared" si="8"/>
        <v>2005</v>
      </c>
      <c r="N176" s="58" t="s">
        <v>88</v>
      </c>
      <c r="O176" s="58" t="str">
        <f t="shared" si="11"/>
        <v>2005 San Francisco Giants</v>
      </c>
      <c r="P176" s="58">
        <v>6280</v>
      </c>
      <c r="Q176" s="58">
        <f t="shared" si="9"/>
        <v>977</v>
      </c>
      <c r="R176" s="58">
        <v>288</v>
      </c>
      <c r="S176" s="58">
        <v>40</v>
      </c>
      <c r="T176" s="58">
        <v>151</v>
      </c>
      <c r="U176" s="58">
        <v>592</v>
      </c>
      <c r="V176" s="58">
        <v>42</v>
      </c>
      <c r="W176" s="58">
        <f t="shared" si="10"/>
        <v>4190</v>
      </c>
      <c r="X176">
        <v>695</v>
      </c>
      <c r="Y176">
        <v>42</v>
      </c>
      <c r="Z176">
        <v>972</v>
      </c>
      <c r="AA176">
        <v>67</v>
      </c>
      <c r="AB176">
        <v>50</v>
      </c>
      <c r="AC176">
        <v>38</v>
      </c>
      <c r="AD176">
        <v>3</v>
      </c>
      <c r="AE176">
        <v>118</v>
      </c>
      <c r="AF176">
        <v>66</v>
      </c>
      <c r="AG176">
        <v>75</v>
      </c>
      <c r="AH176">
        <v>87</v>
      </c>
      <c r="AI176">
        <v>4.33</v>
      </c>
    </row>
    <row r="177" spans="1:35" x14ac:dyDescent="0.5">
      <c r="A177" s="35">
        <v>2005</v>
      </c>
      <c r="B177" t="s">
        <v>142</v>
      </c>
      <c r="C177" t="s">
        <v>38</v>
      </c>
      <c r="D177">
        <v>598</v>
      </c>
      <c r="E177">
        <v>162</v>
      </c>
      <c r="F177">
        <v>15</v>
      </c>
      <c r="G177">
        <v>14</v>
      </c>
      <c r="H177">
        <v>147</v>
      </c>
      <c r="I177">
        <v>48</v>
      </c>
      <c r="J177">
        <v>1445.2</v>
      </c>
      <c r="K177">
        <v>1399</v>
      </c>
      <c r="L177">
        <v>634</v>
      </c>
      <c r="M177" s="58">
        <f t="shared" si="8"/>
        <v>2005</v>
      </c>
      <c r="N177" s="58" t="s">
        <v>90</v>
      </c>
      <c r="O177" s="58" t="str">
        <f t="shared" si="11"/>
        <v>2005 St. Louis Cardinals</v>
      </c>
      <c r="P177" s="58">
        <v>6047</v>
      </c>
      <c r="Q177" s="58">
        <f t="shared" si="9"/>
        <v>958</v>
      </c>
      <c r="R177" s="58">
        <v>267</v>
      </c>
      <c r="S177" s="58">
        <v>21</v>
      </c>
      <c r="T177" s="58">
        <v>153</v>
      </c>
      <c r="U177" s="58">
        <v>443</v>
      </c>
      <c r="V177" s="58">
        <v>60</v>
      </c>
      <c r="W177" s="58">
        <f t="shared" si="10"/>
        <v>4145</v>
      </c>
      <c r="X177">
        <v>560</v>
      </c>
      <c r="Y177">
        <v>27</v>
      </c>
      <c r="Z177">
        <v>974</v>
      </c>
      <c r="AA177">
        <v>61</v>
      </c>
      <c r="AB177">
        <v>37</v>
      </c>
      <c r="AC177">
        <v>41</v>
      </c>
      <c r="AD177">
        <v>5</v>
      </c>
      <c r="AE177">
        <v>181</v>
      </c>
      <c r="AF177">
        <v>72</v>
      </c>
      <c r="AG177">
        <v>100</v>
      </c>
      <c r="AH177">
        <v>62</v>
      </c>
      <c r="AI177">
        <v>3.49</v>
      </c>
    </row>
    <row r="178" spans="1:35" x14ac:dyDescent="0.5">
      <c r="A178" s="35">
        <v>2005</v>
      </c>
      <c r="B178" t="s">
        <v>151</v>
      </c>
      <c r="C178" t="s">
        <v>149</v>
      </c>
      <c r="D178">
        <v>563</v>
      </c>
      <c r="E178">
        <v>162</v>
      </c>
      <c r="F178">
        <v>1</v>
      </c>
      <c r="G178">
        <v>4</v>
      </c>
      <c r="H178">
        <v>161</v>
      </c>
      <c r="I178">
        <v>43</v>
      </c>
      <c r="J178">
        <v>1421.2</v>
      </c>
      <c r="K178">
        <v>1570</v>
      </c>
      <c r="L178">
        <v>936</v>
      </c>
      <c r="M178" s="58">
        <f t="shared" si="8"/>
        <v>2005</v>
      </c>
      <c r="N178" s="58" t="s">
        <v>92</v>
      </c>
      <c r="O178" s="58" t="str">
        <f t="shared" si="11"/>
        <v>2005 Tampa Bay Devil Rays</v>
      </c>
      <c r="P178" s="58">
        <v>6384</v>
      </c>
      <c r="Q178" s="58">
        <f t="shared" si="9"/>
        <v>1020</v>
      </c>
      <c r="R178" s="58">
        <v>315</v>
      </c>
      <c r="S178" s="58">
        <v>41</v>
      </c>
      <c r="T178" s="58">
        <v>194</v>
      </c>
      <c r="U178" s="58">
        <v>615</v>
      </c>
      <c r="V178" s="58">
        <v>64</v>
      </c>
      <c r="W178" s="58">
        <f t="shared" si="10"/>
        <v>4135</v>
      </c>
      <c r="X178">
        <v>851</v>
      </c>
      <c r="Y178">
        <v>41</v>
      </c>
      <c r="Z178">
        <v>949</v>
      </c>
      <c r="AA178">
        <v>47</v>
      </c>
      <c r="AB178">
        <v>59</v>
      </c>
      <c r="AC178">
        <v>53</v>
      </c>
      <c r="AD178">
        <v>5</v>
      </c>
      <c r="AE178">
        <v>101</v>
      </c>
      <c r="AF178">
        <v>75</v>
      </c>
      <c r="AG178">
        <v>67</v>
      </c>
      <c r="AH178">
        <v>95</v>
      </c>
      <c r="AI178">
        <v>5.39</v>
      </c>
    </row>
    <row r="179" spans="1:35" x14ac:dyDescent="0.5">
      <c r="A179" s="35">
        <v>2005</v>
      </c>
      <c r="B179" t="s">
        <v>95</v>
      </c>
      <c r="C179" t="s">
        <v>149</v>
      </c>
      <c r="D179">
        <v>616</v>
      </c>
      <c r="E179">
        <v>162</v>
      </c>
      <c r="F179">
        <v>2</v>
      </c>
      <c r="G179">
        <v>6</v>
      </c>
      <c r="H179">
        <v>160</v>
      </c>
      <c r="I179">
        <v>46</v>
      </c>
      <c r="J179">
        <v>1440</v>
      </c>
      <c r="K179">
        <v>1589</v>
      </c>
      <c r="L179">
        <v>858</v>
      </c>
      <c r="M179" s="58">
        <f t="shared" si="8"/>
        <v>2005</v>
      </c>
      <c r="N179" s="58" t="s">
        <v>94</v>
      </c>
      <c r="O179" s="58" t="str">
        <f t="shared" si="11"/>
        <v>2005 Texas Rangers</v>
      </c>
      <c r="P179" s="58">
        <v>6371</v>
      </c>
      <c r="Q179" s="58">
        <f t="shared" si="9"/>
        <v>1080</v>
      </c>
      <c r="R179" s="58">
        <v>325</v>
      </c>
      <c r="S179" s="58">
        <v>25</v>
      </c>
      <c r="T179" s="58">
        <v>159</v>
      </c>
      <c r="U179" s="58">
        <v>522</v>
      </c>
      <c r="V179" s="58">
        <v>60</v>
      </c>
      <c r="W179" s="58">
        <f t="shared" si="10"/>
        <v>4200</v>
      </c>
      <c r="X179">
        <v>794</v>
      </c>
      <c r="Y179">
        <v>31</v>
      </c>
      <c r="Z179">
        <v>932</v>
      </c>
      <c r="AA179">
        <v>45</v>
      </c>
      <c r="AB179">
        <v>44</v>
      </c>
      <c r="AC179">
        <v>44</v>
      </c>
      <c r="AD179">
        <v>4</v>
      </c>
      <c r="AE179">
        <v>125</v>
      </c>
      <c r="AF179">
        <v>69</v>
      </c>
      <c r="AG179">
        <v>79</v>
      </c>
      <c r="AH179">
        <v>83</v>
      </c>
      <c r="AI179">
        <v>4.96</v>
      </c>
    </row>
    <row r="180" spans="1:35" x14ac:dyDescent="0.5">
      <c r="A180" s="35">
        <v>2005</v>
      </c>
      <c r="B180" t="s">
        <v>97</v>
      </c>
      <c r="C180" t="s">
        <v>149</v>
      </c>
      <c r="D180">
        <v>594</v>
      </c>
      <c r="E180">
        <v>162</v>
      </c>
      <c r="F180">
        <v>9</v>
      </c>
      <c r="G180">
        <v>8</v>
      </c>
      <c r="H180">
        <v>153</v>
      </c>
      <c r="I180">
        <v>35</v>
      </c>
      <c r="J180">
        <v>1447</v>
      </c>
      <c r="K180">
        <v>1475</v>
      </c>
      <c r="L180">
        <v>705</v>
      </c>
      <c r="M180" s="58">
        <f t="shared" si="8"/>
        <v>2005</v>
      </c>
      <c r="N180" s="58" t="s">
        <v>96</v>
      </c>
      <c r="O180" s="58" t="str">
        <f t="shared" si="11"/>
        <v>2005 Toronto Blue Jays</v>
      </c>
      <c r="P180" s="58">
        <v>6166</v>
      </c>
      <c r="Q180" s="58">
        <f t="shared" si="9"/>
        <v>1007</v>
      </c>
      <c r="R180" s="58">
        <v>263</v>
      </c>
      <c r="S180" s="58">
        <v>20</v>
      </c>
      <c r="T180" s="58">
        <v>185</v>
      </c>
      <c r="U180" s="58">
        <v>444</v>
      </c>
      <c r="V180" s="58">
        <v>68</v>
      </c>
      <c r="W180" s="58">
        <f t="shared" si="10"/>
        <v>4179</v>
      </c>
      <c r="X180">
        <v>652</v>
      </c>
      <c r="Y180">
        <v>29</v>
      </c>
      <c r="Z180">
        <v>958</v>
      </c>
      <c r="AA180">
        <v>31</v>
      </c>
      <c r="AB180">
        <v>43</v>
      </c>
      <c r="AC180">
        <v>39</v>
      </c>
      <c r="AD180">
        <v>5</v>
      </c>
      <c r="AE180">
        <v>134</v>
      </c>
      <c r="AF180">
        <v>64</v>
      </c>
      <c r="AG180">
        <v>80</v>
      </c>
      <c r="AH180">
        <v>82</v>
      </c>
      <c r="AI180">
        <v>4.0599999999999996</v>
      </c>
    </row>
    <row r="181" spans="1:35" x14ac:dyDescent="0.5">
      <c r="A181" s="35">
        <v>2005</v>
      </c>
      <c r="B181" t="s">
        <v>101</v>
      </c>
      <c r="C181" t="s">
        <v>38</v>
      </c>
      <c r="D181">
        <v>632</v>
      </c>
      <c r="E181">
        <v>162</v>
      </c>
      <c r="F181">
        <v>4</v>
      </c>
      <c r="G181">
        <v>9</v>
      </c>
      <c r="H181">
        <v>158</v>
      </c>
      <c r="I181">
        <v>51</v>
      </c>
      <c r="J181">
        <v>1458</v>
      </c>
      <c r="K181">
        <v>1456</v>
      </c>
      <c r="L181">
        <v>673</v>
      </c>
      <c r="M181" s="58">
        <f t="shared" si="8"/>
        <v>2005</v>
      </c>
      <c r="N181" s="58" t="s">
        <v>100</v>
      </c>
      <c r="O181" s="58" t="str">
        <f t="shared" si="11"/>
        <v>2005 Washington Nationals</v>
      </c>
      <c r="P181" s="58">
        <v>6286</v>
      </c>
      <c r="Q181" s="58">
        <f t="shared" si="9"/>
        <v>1016</v>
      </c>
      <c r="R181" s="58">
        <v>279</v>
      </c>
      <c r="S181" s="58">
        <v>21</v>
      </c>
      <c r="T181" s="58">
        <v>140</v>
      </c>
      <c r="U181" s="58">
        <v>539</v>
      </c>
      <c r="V181" s="58">
        <v>72</v>
      </c>
      <c r="W181" s="58">
        <f t="shared" si="10"/>
        <v>4219</v>
      </c>
      <c r="X181">
        <v>627</v>
      </c>
      <c r="Y181">
        <v>77</v>
      </c>
      <c r="Z181">
        <v>997</v>
      </c>
      <c r="AA181">
        <v>79</v>
      </c>
      <c r="AB181">
        <v>46</v>
      </c>
      <c r="AC181">
        <v>49</v>
      </c>
      <c r="AD181">
        <v>8</v>
      </c>
      <c r="AE181">
        <v>124</v>
      </c>
      <c r="AF181">
        <v>64</v>
      </c>
      <c r="AG181">
        <v>81</v>
      </c>
      <c r="AH181">
        <v>81</v>
      </c>
      <c r="AI181">
        <v>3.87</v>
      </c>
    </row>
    <row r="182" spans="1:35" x14ac:dyDescent="0.5">
      <c r="A182" s="35">
        <v>2006</v>
      </c>
      <c r="B182" t="s">
        <v>37</v>
      </c>
      <c r="C182" t="s">
        <v>149</v>
      </c>
      <c r="D182">
        <v>542</v>
      </c>
      <c r="E182">
        <v>162</v>
      </c>
      <c r="F182">
        <v>5</v>
      </c>
      <c r="G182">
        <v>12</v>
      </c>
      <c r="H182">
        <v>157</v>
      </c>
      <c r="I182">
        <v>50</v>
      </c>
      <c r="J182">
        <v>1452.2</v>
      </c>
      <c r="K182">
        <v>1410</v>
      </c>
      <c r="L182">
        <v>732</v>
      </c>
      <c r="M182" s="58">
        <f t="shared" si="8"/>
        <v>2006</v>
      </c>
      <c r="N182" s="58" t="s">
        <v>36</v>
      </c>
      <c r="O182" s="58" t="str">
        <f t="shared" si="11"/>
        <v>2006 Anaheim Angels</v>
      </c>
      <c r="P182" s="58">
        <v>6149</v>
      </c>
      <c r="Q182" s="58">
        <f t="shared" si="9"/>
        <v>929</v>
      </c>
      <c r="R182" s="58">
        <v>300</v>
      </c>
      <c r="S182" s="58">
        <v>23</v>
      </c>
      <c r="T182" s="58">
        <v>158</v>
      </c>
      <c r="U182" s="58">
        <v>471</v>
      </c>
      <c r="V182" s="58">
        <v>50</v>
      </c>
      <c r="W182" s="58">
        <f t="shared" si="10"/>
        <v>4218</v>
      </c>
      <c r="X182">
        <v>652</v>
      </c>
      <c r="Y182">
        <v>27</v>
      </c>
      <c r="Z182">
        <v>1164</v>
      </c>
      <c r="AA182">
        <v>40</v>
      </c>
      <c r="AB182">
        <v>43</v>
      </c>
      <c r="AC182">
        <v>85</v>
      </c>
      <c r="AD182">
        <v>3</v>
      </c>
      <c r="AE182">
        <v>128</v>
      </c>
      <c r="AF182">
        <v>87</v>
      </c>
      <c r="AG182">
        <v>89</v>
      </c>
      <c r="AH182">
        <v>73</v>
      </c>
      <c r="AI182">
        <v>4.04</v>
      </c>
    </row>
    <row r="183" spans="1:35" x14ac:dyDescent="0.5">
      <c r="A183" s="35">
        <v>2006</v>
      </c>
      <c r="B183" t="s">
        <v>40</v>
      </c>
      <c r="C183" t="s">
        <v>38</v>
      </c>
      <c r="D183">
        <v>623</v>
      </c>
      <c r="E183">
        <v>162</v>
      </c>
      <c r="F183">
        <v>8</v>
      </c>
      <c r="G183">
        <v>9</v>
      </c>
      <c r="H183">
        <v>154</v>
      </c>
      <c r="I183">
        <v>34</v>
      </c>
      <c r="J183">
        <v>1459.2</v>
      </c>
      <c r="K183">
        <v>1503</v>
      </c>
      <c r="L183">
        <v>788</v>
      </c>
      <c r="M183" s="58">
        <f t="shared" si="8"/>
        <v>2006</v>
      </c>
      <c r="N183" s="58" t="s">
        <v>39</v>
      </c>
      <c r="O183" s="58" t="str">
        <f t="shared" si="11"/>
        <v>2006 Arizona Diamondbacks</v>
      </c>
      <c r="P183" s="58">
        <v>6341</v>
      </c>
      <c r="Q183" s="58">
        <f t="shared" si="9"/>
        <v>961</v>
      </c>
      <c r="R183" s="58">
        <v>325</v>
      </c>
      <c r="S183" s="58">
        <v>49</v>
      </c>
      <c r="T183" s="58">
        <v>168</v>
      </c>
      <c r="U183" s="58">
        <v>536</v>
      </c>
      <c r="V183" s="58">
        <v>61</v>
      </c>
      <c r="W183" s="58">
        <f t="shared" si="10"/>
        <v>4241</v>
      </c>
      <c r="X183">
        <v>727</v>
      </c>
      <c r="Y183">
        <v>44</v>
      </c>
      <c r="Z183">
        <v>1115</v>
      </c>
      <c r="AA183">
        <v>76</v>
      </c>
      <c r="AB183">
        <v>34</v>
      </c>
      <c r="AC183">
        <v>53</v>
      </c>
      <c r="AD183">
        <v>4</v>
      </c>
      <c r="AE183">
        <v>139</v>
      </c>
      <c r="AF183">
        <v>84</v>
      </c>
      <c r="AG183">
        <v>76</v>
      </c>
      <c r="AH183">
        <v>86</v>
      </c>
      <c r="AI183">
        <v>4.4800000000000004</v>
      </c>
    </row>
    <row r="184" spans="1:35" x14ac:dyDescent="0.5">
      <c r="A184" s="35">
        <v>2006</v>
      </c>
      <c r="B184" t="s">
        <v>42</v>
      </c>
      <c r="C184" t="s">
        <v>38</v>
      </c>
      <c r="D184">
        <v>684</v>
      </c>
      <c r="E184">
        <v>162</v>
      </c>
      <c r="F184">
        <v>6</v>
      </c>
      <c r="G184">
        <v>6</v>
      </c>
      <c r="H184">
        <v>156</v>
      </c>
      <c r="I184">
        <v>38</v>
      </c>
      <c r="J184">
        <v>1441.1</v>
      </c>
      <c r="K184">
        <v>1529</v>
      </c>
      <c r="L184">
        <v>805</v>
      </c>
      <c r="M184" s="58">
        <f t="shared" si="8"/>
        <v>2006</v>
      </c>
      <c r="N184" s="58" t="s">
        <v>41</v>
      </c>
      <c r="O184" s="58" t="str">
        <f t="shared" si="11"/>
        <v>2006 Atlanta Braves</v>
      </c>
      <c r="P184" s="58">
        <v>6350</v>
      </c>
      <c r="Q184" s="58">
        <f t="shared" si="9"/>
        <v>1006</v>
      </c>
      <c r="R184" s="58">
        <v>304</v>
      </c>
      <c r="S184" s="58">
        <v>36</v>
      </c>
      <c r="T184" s="58">
        <v>183</v>
      </c>
      <c r="U184" s="58">
        <v>572</v>
      </c>
      <c r="V184" s="58">
        <v>55</v>
      </c>
      <c r="W184" s="58">
        <f t="shared" si="10"/>
        <v>4194</v>
      </c>
      <c r="X184">
        <v>736</v>
      </c>
      <c r="Y184">
        <v>69</v>
      </c>
      <c r="Z184">
        <v>1049</v>
      </c>
      <c r="AA184">
        <v>68</v>
      </c>
      <c r="AB184">
        <v>54</v>
      </c>
      <c r="AC184">
        <v>39</v>
      </c>
      <c r="AD184">
        <v>2</v>
      </c>
      <c r="AE184">
        <v>131</v>
      </c>
      <c r="AF184">
        <v>67</v>
      </c>
      <c r="AG184">
        <v>79</v>
      </c>
      <c r="AH184">
        <v>83</v>
      </c>
      <c r="AI184">
        <v>4.5999999999999996</v>
      </c>
    </row>
    <row r="185" spans="1:35" x14ac:dyDescent="0.5">
      <c r="A185" s="35">
        <v>2006</v>
      </c>
      <c r="B185" t="s">
        <v>45</v>
      </c>
      <c r="C185" t="s">
        <v>149</v>
      </c>
      <c r="D185">
        <v>634</v>
      </c>
      <c r="E185">
        <v>162</v>
      </c>
      <c r="F185">
        <v>5</v>
      </c>
      <c r="G185">
        <v>9</v>
      </c>
      <c r="H185">
        <v>157</v>
      </c>
      <c r="I185">
        <v>35</v>
      </c>
      <c r="J185">
        <v>1419</v>
      </c>
      <c r="K185">
        <v>1579</v>
      </c>
      <c r="L185">
        <v>899</v>
      </c>
      <c r="M185" s="58">
        <f t="shared" si="8"/>
        <v>2006</v>
      </c>
      <c r="N185" s="58" t="s">
        <v>44</v>
      </c>
      <c r="O185" s="58" t="str">
        <f t="shared" si="11"/>
        <v>2006 Baltimore Orioles</v>
      </c>
      <c r="P185" s="58">
        <v>6327</v>
      </c>
      <c r="Q185" s="58">
        <f t="shared" si="9"/>
        <v>1049</v>
      </c>
      <c r="R185" s="58">
        <v>286</v>
      </c>
      <c r="S185" s="58">
        <v>28</v>
      </c>
      <c r="T185" s="58">
        <v>216</v>
      </c>
      <c r="U185" s="58">
        <v>613</v>
      </c>
      <c r="V185" s="58">
        <v>48</v>
      </c>
      <c r="W185" s="58">
        <f t="shared" si="10"/>
        <v>4087</v>
      </c>
      <c r="X185">
        <v>843</v>
      </c>
      <c r="Y185">
        <v>26</v>
      </c>
      <c r="Z185">
        <v>1016</v>
      </c>
      <c r="AA185">
        <v>45</v>
      </c>
      <c r="AB185">
        <v>61</v>
      </c>
      <c r="AC185">
        <v>59</v>
      </c>
      <c r="AD185">
        <v>4</v>
      </c>
      <c r="AE185">
        <v>129</v>
      </c>
      <c r="AF185">
        <v>61</v>
      </c>
      <c r="AG185">
        <v>70</v>
      </c>
      <c r="AH185">
        <v>92</v>
      </c>
      <c r="AI185">
        <v>5.35</v>
      </c>
    </row>
    <row r="186" spans="1:35" x14ac:dyDescent="0.5">
      <c r="A186" s="35">
        <v>2006</v>
      </c>
      <c r="B186" t="s">
        <v>47</v>
      </c>
      <c r="C186" t="s">
        <v>149</v>
      </c>
      <c r="D186">
        <v>616</v>
      </c>
      <c r="E186">
        <v>162</v>
      </c>
      <c r="F186">
        <v>3</v>
      </c>
      <c r="G186">
        <v>6</v>
      </c>
      <c r="H186">
        <v>159</v>
      </c>
      <c r="I186">
        <v>46</v>
      </c>
      <c r="J186">
        <v>1441.1</v>
      </c>
      <c r="K186">
        <v>1570</v>
      </c>
      <c r="L186">
        <v>825</v>
      </c>
      <c r="M186" s="58">
        <f t="shared" si="8"/>
        <v>2006</v>
      </c>
      <c r="N186" s="58" t="s">
        <v>46</v>
      </c>
      <c r="O186" s="58" t="str">
        <f t="shared" si="11"/>
        <v>2006 Boston Red Sox</v>
      </c>
      <c r="P186" s="58">
        <v>6292</v>
      </c>
      <c r="Q186" s="58">
        <f t="shared" si="9"/>
        <v>1013</v>
      </c>
      <c r="R186" s="58">
        <v>348</v>
      </c>
      <c r="S186" s="58">
        <v>28</v>
      </c>
      <c r="T186" s="58">
        <v>181</v>
      </c>
      <c r="U186" s="58">
        <v>509</v>
      </c>
      <c r="V186" s="58">
        <v>68</v>
      </c>
      <c r="W186" s="58">
        <f t="shared" si="10"/>
        <v>4145</v>
      </c>
      <c r="X186">
        <v>773</v>
      </c>
      <c r="Y186">
        <v>25</v>
      </c>
      <c r="Z186">
        <v>1070</v>
      </c>
      <c r="AA186">
        <v>31</v>
      </c>
      <c r="AB186">
        <v>46</v>
      </c>
      <c r="AC186">
        <v>52</v>
      </c>
      <c r="AD186">
        <v>3</v>
      </c>
      <c r="AE186">
        <v>148</v>
      </c>
      <c r="AF186">
        <v>51</v>
      </c>
      <c r="AG186">
        <v>86</v>
      </c>
      <c r="AH186">
        <v>76</v>
      </c>
      <c r="AI186">
        <v>4.83</v>
      </c>
    </row>
    <row r="187" spans="1:35" x14ac:dyDescent="0.5">
      <c r="A187" s="35">
        <v>2006</v>
      </c>
      <c r="B187" t="s">
        <v>143</v>
      </c>
      <c r="C187" t="s">
        <v>38</v>
      </c>
      <c r="D187">
        <v>704</v>
      </c>
      <c r="E187">
        <v>162</v>
      </c>
      <c r="F187">
        <v>2</v>
      </c>
      <c r="G187">
        <v>7</v>
      </c>
      <c r="H187">
        <v>160</v>
      </c>
      <c r="I187">
        <v>29</v>
      </c>
      <c r="J187">
        <v>1439</v>
      </c>
      <c r="K187">
        <v>1396</v>
      </c>
      <c r="L187">
        <v>834</v>
      </c>
      <c r="M187" s="58">
        <f t="shared" si="8"/>
        <v>2006</v>
      </c>
      <c r="N187" s="58" t="s">
        <v>50</v>
      </c>
      <c r="O187" s="58" t="str">
        <f t="shared" si="11"/>
        <v>2006 Chicago Cubs</v>
      </c>
      <c r="P187" s="58">
        <v>6366</v>
      </c>
      <c r="Q187" s="58">
        <f t="shared" si="9"/>
        <v>878</v>
      </c>
      <c r="R187" s="58">
        <v>276</v>
      </c>
      <c r="S187" s="58">
        <v>32</v>
      </c>
      <c r="T187" s="58">
        <v>210</v>
      </c>
      <c r="U187" s="58">
        <v>687</v>
      </c>
      <c r="V187" s="58">
        <v>67</v>
      </c>
      <c r="W187" s="58">
        <f t="shared" si="10"/>
        <v>4216</v>
      </c>
      <c r="X187">
        <v>758</v>
      </c>
      <c r="Y187">
        <v>44</v>
      </c>
      <c r="Z187">
        <v>1250</v>
      </c>
      <c r="AA187">
        <v>82</v>
      </c>
      <c r="AB187">
        <v>46</v>
      </c>
      <c r="AC187">
        <v>68</v>
      </c>
      <c r="AD187">
        <v>4</v>
      </c>
      <c r="AE187">
        <v>95</v>
      </c>
      <c r="AF187">
        <v>66</v>
      </c>
      <c r="AG187">
        <v>66</v>
      </c>
      <c r="AH187">
        <v>96</v>
      </c>
      <c r="AI187">
        <v>4.74</v>
      </c>
    </row>
    <row r="188" spans="1:35" x14ac:dyDescent="0.5">
      <c r="A188" s="35">
        <v>2006</v>
      </c>
      <c r="B188" t="s">
        <v>143</v>
      </c>
      <c r="C188" t="s">
        <v>149</v>
      </c>
      <c r="D188">
        <v>560</v>
      </c>
      <c r="E188">
        <v>162</v>
      </c>
      <c r="F188">
        <v>5</v>
      </c>
      <c r="G188">
        <v>11</v>
      </c>
      <c r="H188">
        <v>157</v>
      </c>
      <c r="I188">
        <v>46</v>
      </c>
      <c r="J188">
        <v>1449</v>
      </c>
      <c r="K188">
        <v>1534</v>
      </c>
      <c r="L188">
        <v>794</v>
      </c>
      <c r="M188" s="58">
        <f t="shared" si="8"/>
        <v>2006</v>
      </c>
      <c r="N188" s="58" t="s">
        <v>48</v>
      </c>
      <c r="O188" s="58" t="str">
        <f t="shared" si="11"/>
        <v>2006 Chicago White Sox</v>
      </c>
      <c r="P188" s="58">
        <v>6232</v>
      </c>
      <c r="Q188" s="58">
        <f t="shared" si="9"/>
        <v>1007</v>
      </c>
      <c r="R188" s="58">
        <v>296</v>
      </c>
      <c r="S188" s="58">
        <v>31</v>
      </c>
      <c r="T188" s="58">
        <v>200</v>
      </c>
      <c r="U188" s="58">
        <v>433</v>
      </c>
      <c r="V188" s="58">
        <v>58</v>
      </c>
      <c r="W188" s="58">
        <f t="shared" si="10"/>
        <v>4207</v>
      </c>
      <c r="X188">
        <v>743</v>
      </c>
      <c r="Y188">
        <v>59</v>
      </c>
      <c r="Z188">
        <v>1012</v>
      </c>
      <c r="AA188">
        <v>29</v>
      </c>
      <c r="AB188">
        <v>48</v>
      </c>
      <c r="AC188">
        <v>51</v>
      </c>
      <c r="AD188">
        <v>1</v>
      </c>
      <c r="AE188">
        <v>128</v>
      </c>
      <c r="AF188">
        <v>60</v>
      </c>
      <c r="AG188">
        <v>90</v>
      </c>
      <c r="AH188">
        <v>72</v>
      </c>
      <c r="AI188">
        <v>4.6100000000000003</v>
      </c>
    </row>
    <row r="189" spans="1:35" x14ac:dyDescent="0.5">
      <c r="A189" s="35">
        <v>2006</v>
      </c>
      <c r="B189" t="s">
        <v>53</v>
      </c>
      <c r="C189" t="s">
        <v>38</v>
      </c>
      <c r="D189">
        <v>638</v>
      </c>
      <c r="E189">
        <v>162</v>
      </c>
      <c r="F189">
        <v>9</v>
      </c>
      <c r="G189">
        <v>10</v>
      </c>
      <c r="H189">
        <v>153</v>
      </c>
      <c r="I189">
        <v>36</v>
      </c>
      <c r="J189">
        <v>1445.2</v>
      </c>
      <c r="K189">
        <v>1576</v>
      </c>
      <c r="L189">
        <v>801</v>
      </c>
      <c r="M189" s="58">
        <f t="shared" si="8"/>
        <v>2006</v>
      </c>
      <c r="N189" s="58" t="s">
        <v>52</v>
      </c>
      <c r="O189" s="58" t="str">
        <f t="shared" si="11"/>
        <v>2006 Cincinnati Reds</v>
      </c>
      <c r="P189" s="58">
        <v>6319</v>
      </c>
      <c r="Q189" s="58">
        <f t="shared" si="9"/>
        <v>1008</v>
      </c>
      <c r="R189" s="58">
        <v>332</v>
      </c>
      <c r="S189" s="58">
        <v>23</v>
      </c>
      <c r="T189" s="58">
        <v>213</v>
      </c>
      <c r="U189" s="58">
        <v>464</v>
      </c>
      <c r="V189" s="58">
        <v>60</v>
      </c>
      <c r="W189" s="58">
        <f t="shared" si="10"/>
        <v>4219</v>
      </c>
      <c r="X189">
        <v>725</v>
      </c>
      <c r="Y189">
        <v>55</v>
      </c>
      <c r="Z189">
        <v>1053</v>
      </c>
      <c r="AA189">
        <v>84</v>
      </c>
      <c r="AB189">
        <v>40</v>
      </c>
      <c r="AC189">
        <v>40</v>
      </c>
      <c r="AD189">
        <v>9</v>
      </c>
      <c r="AE189">
        <v>111</v>
      </c>
      <c r="AF189">
        <v>86</v>
      </c>
      <c r="AG189">
        <v>80</v>
      </c>
      <c r="AH189">
        <v>82</v>
      </c>
      <c r="AI189">
        <v>4.51</v>
      </c>
    </row>
    <row r="190" spans="1:35" x14ac:dyDescent="0.5">
      <c r="A190" s="35">
        <v>2006</v>
      </c>
      <c r="B190" t="s">
        <v>55</v>
      </c>
      <c r="C190" t="s">
        <v>149</v>
      </c>
      <c r="D190">
        <v>539</v>
      </c>
      <c r="E190">
        <v>162</v>
      </c>
      <c r="F190">
        <v>13</v>
      </c>
      <c r="G190">
        <v>13</v>
      </c>
      <c r="H190">
        <v>149</v>
      </c>
      <c r="I190">
        <v>24</v>
      </c>
      <c r="J190">
        <v>1423.1</v>
      </c>
      <c r="K190">
        <v>1583</v>
      </c>
      <c r="L190">
        <v>782</v>
      </c>
      <c r="M190" s="58">
        <f t="shared" si="8"/>
        <v>2006</v>
      </c>
      <c r="N190" s="58" t="s">
        <v>54</v>
      </c>
      <c r="O190" s="58" t="str">
        <f t="shared" si="11"/>
        <v>2006 Cleveland Indians</v>
      </c>
      <c r="P190" s="58">
        <v>6190</v>
      </c>
      <c r="Q190" s="58">
        <f t="shared" si="9"/>
        <v>1101</v>
      </c>
      <c r="R190" s="58">
        <v>293</v>
      </c>
      <c r="S190" s="58">
        <v>23</v>
      </c>
      <c r="T190" s="58">
        <v>166</v>
      </c>
      <c r="U190" s="58">
        <v>429</v>
      </c>
      <c r="V190" s="58">
        <v>51</v>
      </c>
      <c r="W190" s="58">
        <f t="shared" si="10"/>
        <v>4127</v>
      </c>
      <c r="X190">
        <v>698</v>
      </c>
      <c r="Y190">
        <v>35</v>
      </c>
      <c r="Z190">
        <v>948</v>
      </c>
      <c r="AA190">
        <v>35</v>
      </c>
      <c r="AB190">
        <v>55</v>
      </c>
      <c r="AC190">
        <v>46</v>
      </c>
      <c r="AD190">
        <v>2</v>
      </c>
      <c r="AE190">
        <v>143</v>
      </c>
      <c r="AF190">
        <v>84</v>
      </c>
      <c r="AG190">
        <v>78</v>
      </c>
      <c r="AH190">
        <v>84</v>
      </c>
      <c r="AI190">
        <v>4.41</v>
      </c>
    </row>
    <row r="191" spans="1:35" x14ac:dyDescent="0.5">
      <c r="A191" s="35">
        <v>2006</v>
      </c>
      <c r="B191" t="s">
        <v>57</v>
      </c>
      <c r="C191" t="s">
        <v>38</v>
      </c>
      <c r="D191">
        <v>661</v>
      </c>
      <c r="E191">
        <v>162</v>
      </c>
      <c r="F191">
        <v>5</v>
      </c>
      <c r="G191">
        <v>8</v>
      </c>
      <c r="H191">
        <v>157</v>
      </c>
      <c r="I191">
        <v>34</v>
      </c>
      <c r="J191">
        <v>1447.1</v>
      </c>
      <c r="K191">
        <v>1549</v>
      </c>
      <c r="L191">
        <v>812</v>
      </c>
      <c r="M191" s="58">
        <f t="shared" si="8"/>
        <v>2006</v>
      </c>
      <c r="N191" s="58" t="s">
        <v>56</v>
      </c>
      <c r="O191" s="58" t="str">
        <f t="shared" si="11"/>
        <v>2006 Colorado Rockies</v>
      </c>
      <c r="P191" s="58">
        <v>6318</v>
      </c>
      <c r="Q191" s="58">
        <f t="shared" si="9"/>
        <v>1008</v>
      </c>
      <c r="R191" s="58">
        <v>331</v>
      </c>
      <c r="S191" s="58">
        <v>55</v>
      </c>
      <c r="T191" s="58">
        <v>155</v>
      </c>
      <c r="U191" s="58">
        <v>553</v>
      </c>
      <c r="V191" s="58">
        <v>66</v>
      </c>
      <c r="W191" s="58">
        <f t="shared" si="10"/>
        <v>4150</v>
      </c>
      <c r="X191">
        <v>749</v>
      </c>
      <c r="Y191">
        <v>81</v>
      </c>
      <c r="Z191">
        <v>952</v>
      </c>
      <c r="AA191">
        <v>53</v>
      </c>
      <c r="AB191">
        <v>44</v>
      </c>
      <c r="AC191">
        <v>43</v>
      </c>
      <c r="AD191">
        <v>2</v>
      </c>
      <c r="AE191">
        <v>165</v>
      </c>
      <c r="AF191">
        <v>68</v>
      </c>
      <c r="AG191">
        <v>76</v>
      </c>
      <c r="AH191">
        <v>86</v>
      </c>
      <c r="AI191">
        <v>4.66</v>
      </c>
    </row>
    <row r="192" spans="1:35" x14ac:dyDescent="0.5">
      <c r="A192" s="35">
        <v>2006</v>
      </c>
      <c r="B192" t="s">
        <v>59</v>
      </c>
      <c r="C192" t="s">
        <v>149</v>
      </c>
      <c r="D192">
        <v>552</v>
      </c>
      <c r="E192">
        <v>162</v>
      </c>
      <c r="F192">
        <v>3</v>
      </c>
      <c r="G192">
        <v>16</v>
      </c>
      <c r="H192">
        <v>159</v>
      </c>
      <c r="I192">
        <v>46</v>
      </c>
      <c r="J192">
        <v>1448</v>
      </c>
      <c r="K192">
        <v>1420</v>
      </c>
      <c r="L192">
        <v>675</v>
      </c>
      <c r="M192" s="58">
        <f t="shared" si="8"/>
        <v>2006</v>
      </c>
      <c r="N192" s="58" t="s">
        <v>58</v>
      </c>
      <c r="O192" s="58" t="str">
        <f t="shared" si="11"/>
        <v>2006 Detroit Tigers</v>
      </c>
      <c r="P192" s="58">
        <v>6145</v>
      </c>
      <c r="Q192" s="58">
        <f t="shared" si="9"/>
        <v>959</v>
      </c>
      <c r="R192" s="58">
        <v>263</v>
      </c>
      <c r="S192" s="58">
        <v>38</v>
      </c>
      <c r="T192" s="58">
        <v>160</v>
      </c>
      <c r="U192" s="58">
        <v>489</v>
      </c>
      <c r="V192" s="58">
        <v>53</v>
      </c>
      <c r="W192" s="58">
        <f t="shared" si="10"/>
        <v>4183</v>
      </c>
      <c r="X192">
        <v>618</v>
      </c>
      <c r="Y192">
        <v>35</v>
      </c>
      <c r="Z192">
        <v>1003</v>
      </c>
      <c r="AA192">
        <v>26</v>
      </c>
      <c r="AB192">
        <v>41</v>
      </c>
      <c r="AC192">
        <v>44</v>
      </c>
      <c r="AD192">
        <v>2</v>
      </c>
      <c r="AE192">
        <v>140</v>
      </c>
      <c r="AF192">
        <v>70</v>
      </c>
      <c r="AG192">
        <v>95</v>
      </c>
      <c r="AH192">
        <v>67</v>
      </c>
      <c r="AI192">
        <v>3.84</v>
      </c>
    </row>
    <row r="193" spans="1:35" x14ac:dyDescent="0.5">
      <c r="A193" s="35">
        <v>2006</v>
      </c>
      <c r="B193" t="s">
        <v>146</v>
      </c>
      <c r="C193" t="s">
        <v>38</v>
      </c>
      <c r="D193">
        <v>600</v>
      </c>
      <c r="E193">
        <v>162</v>
      </c>
      <c r="F193">
        <v>6</v>
      </c>
      <c r="G193">
        <v>6</v>
      </c>
      <c r="H193">
        <v>156</v>
      </c>
      <c r="I193">
        <v>41</v>
      </c>
      <c r="J193">
        <v>1433.1</v>
      </c>
      <c r="K193">
        <v>1465</v>
      </c>
      <c r="L193">
        <v>772</v>
      </c>
      <c r="M193" s="58">
        <f t="shared" si="8"/>
        <v>2006</v>
      </c>
      <c r="N193" s="58" t="s">
        <v>60</v>
      </c>
      <c r="O193" s="58" t="str">
        <f t="shared" si="11"/>
        <v>2006 Florida Marlins</v>
      </c>
      <c r="P193" s="58">
        <v>6294</v>
      </c>
      <c r="Q193" s="58">
        <f t="shared" si="9"/>
        <v>984</v>
      </c>
      <c r="R193" s="58">
        <v>268</v>
      </c>
      <c r="S193" s="58">
        <v>47</v>
      </c>
      <c r="T193" s="58">
        <v>166</v>
      </c>
      <c r="U193" s="58">
        <v>622</v>
      </c>
      <c r="V193" s="58">
        <v>74</v>
      </c>
      <c r="W193" s="58">
        <f t="shared" si="10"/>
        <v>4133</v>
      </c>
      <c r="X193">
        <v>696</v>
      </c>
      <c r="Y193">
        <v>58</v>
      </c>
      <c r="Z193">
        <v>1088</v>
      </c>
      <c r="AA193">
        <v>71</v>
      </c>
      <c r="AB193">
        <v>35</v>
      </c>
      <c r="AC193">
        <v>47</v>
      </c>
      <c r="AD193">
        <v>4</v>
      </c>
      <c r="AE193">
        <v>146</v>
      </c>
      <c r="AF193">
        <v>71</v>
      </c>
      <c r="AG193">
        <v>78</v>
      </c>
      <c r="AH193">
        <v>84</v>
      </c>
      <c r="AI193">
        <v>4.37</v>
      </c>
    </row>
    <row r="194" spans="1:35" x14ac:dyDescent="0.5">
      <c r="A194" s="35">
        <v>2006</v>
      </c>
      <c r="B194" t="s">
        <v>63</v>
      </c>
      <c r="C194" t="s">
        <v>38</v>
      </c>
      <c r="D194">
        <v>659</v>
      </c>
      <c r="E194">
        <v>162</v>
      </c>
      <c r="F194">
        <v>5</v>
      </c>
      <c r="G194">
        <v>12</v>
      </c>
      <c r="H194">
        <v>157</v>
      </c>
      <c r="I194">
        <v>42</v>
      </c>
      <c r="J194">
        <v>1468.2</v>
      </c>
      <c r="K194">
        <v>1425</v>
      </c>
      <c r="L194">
        <v>719</v>
      </c>
      <c r="M194" s="58">
        <f t="shared" ref="M194:M257" si="12">A194</f>
        <v>2006</v>
      </c>
      <c r="N194" s="58" t="s">
        <v>62</v>
      </c>
      <c r="O194" s="58" t="str">
        <f t="shared" si="11"/>
        <v>2006 Houston Astros</v>
      </c>
      <c r="P194" s="58">
        <v>6219</v>
      </c>
      <c r="Q194" s="58">
        <f t="shared" ref="Q194:Q257" si="13">K194-(R194+S194+T194)</f>
        <v>894</v>
      </c>
      <c r="R194" s="58">
        <v>321</v>
      </c>
      <c r="S194" s="58">
        <v>28</v>
      </c>
      <c r="T194" s="58">
        <v>182</v>
      </c>
      <c r="U194" s="58">
        <v>480</v>
      </c>
      <c r="V194" s="58">
        <v>54</v>
      </c>
      <c r="W194" s="58">
        <f t="shared" ref="W194:W257" si="14">P194-(K194+U194+V194)</f>
        <v>4260</v>
      </c>
      <c r="X194">
        <v>666</v>
      </c>
      <c r="Y194">
        <v>65</v>
      </c>
      <c r="Z194">
        <v>1160</v>
      </c>
      <c r="AA194">
        <v>72</v>
      </c>
      <c r="AB194">
        <v>41</v>
      </c>
      <c r="AC194">
        <v>44</v>
      </c>
      <c r="AD194">
        <v>2</v>
      </c>
      <c r="AE194">
        <v>144</v>
      </c>
      <c r="AF194">
        <v>64</v>
      </c>
      <c r="AG194">
        <v>82</v>
      </c>
      <c r="AH194">
        <v>80</v>
      </c>
      <c r="AI194">
        <v>4.08</v>
      </c>
    </row>
    <row r="195" spans="1:35" x14ac:dyDescent="0.5">
      <c r="A195" s="35">
        <v>2006</v>
      </c>
      <c r="B195" t="s">
        <v>150</v>
      </c>
      <c r="C195" t="s">
        <v>149</v>
      </c>
      <c r="D195">
        <v>635</v>
      </c>
      <c r="E195">
        <v>162</v>
      </c>
      <c r="F195">
        <v>3</v>
      </c>
      <c r="G195">
        <v>5</v>
      </c>
      <c r="H195">
        <v>159</v>
      </c>
      <c r="I195">
        <v>35</v>
      </c>
      <c r="J195">
        <v>1426.1</v>
      </c>
      <c r="K195">
        <v>1648</v>
      </c>
      <c r="L195">
        <v>971</v>
      </c>
      <c r="M195" s="58">
        <f t="shared" si="12"/>
        <v>2006</v>
      </c>
      <c r="N195" s="58" t="s">
        <v>64</v>
      </c>
      <c r="O195" s="58" t="str">
        <f t="shared" ref="O195:O258" si="15">M195&amp;" "&amp;N195</f>
        <v>2006 Kansas City Royals</v>
      </c>
      <c r="P195" s="58">
        <v>6434</v>
      </c>
      <c r="Q195" s="58">
        <f t="shared" si="13"/>
        <v>1067</v>
      </c>
      <c r="R195" s="58">
        <v>341</v>
      </c>
      <c r="S195" s="58">
        <v>27</v>
      </c>
      <c r="T195" s="58">
        <v>213</v>
      </c>
      <c r="U195" s="58">
        <v>637</v>
      </c>
      <c r="V195" s="58">
        <v>60</v>
      </c>
      <c r="W195" s="58">
        <f t="shared" si="14"/>
        <v>4089</v>
      </c>
      <c r="X195">
        <v>896</v>
      </c>
      <c r="Y195">
        <v>45</v>
      </c>
      <c r="Z195">
        <v>904</v>
      </c>
      <c r="AA195">
        <v>44</v>
      </c>
      <c r="AB195">
        <v>57</v>
      </c>
      <c r="AC195">
        <v>85</v>
      </c>
      <c r="AD195">
        <v>9</v>
      </c>
      <c r="AE195">
        <v>161</v>
      </c>
      <c r="AF195">
        <v>63</v>
      </c>
      <c r="AG195">
        <v>62</v>
      </c>
      <c r="AH195">
        <v>100</v>
      </c>
      <c r="AI195">
        <v>5.65</v>
      </c>
    </row>
    <row r="196" spans="1:35" x14ac:dyDescent="0.5">
      <c r="A196" s="35">
        <v>2006</v>
      </c>
      <c r="B196" t="s">
        <v>145</v>
      </c>
      <c r="C196" t="s">
        <v>38</v>
      </c>
      <c r="D196">
        <v>616</v>
      </c>
      <c r="E196">
        <v>162</v>
      </c>
      <c r="F196">
        <v>1</v>
      </c>
      <c r="G196">
        <v>10</v>
      </c>
      <c r="H196">
        <v>161</v>
      </c>
      <c r="I196">
        <v>40</v>
      </c>
      <c r="J196">
        <v>1460.1</v>
      </c>
      <c r="K196">
        <v>1524</v>
      </c>
      <c r="L196">
        <v>751</v>
      </c>
      <c r="M196" s="58">
        <f t="shared" si="12"/>
        <v>2006</v>
      </c>
      <c r="N196" s="58" t="s">
        <v>66</v>
      </c>
      <c r="O196" s="58" t="str">
        <f t="shared" si="15"/>
        <v>2006 Los Angeles Dodgers</v>
      </c>
      <c r="P196" s="58">
        <v>6289</v>
      </c>
      <c r="Q196" s="58">
        <f t="shared" si="13"/>
        <v>1019</v>
      </c>
      <c r="R196" s="58">
        <v>323</v>
      </c>
      <c r="S196" s="58">
        <v>30</v>
      </c>
      <c r="T196" s="58">
        <v>152</v>
      </c>
      <c r="U196" s="58">
        <v>492</v>
      </c>
      <c r="V196" s="58">
        <v>41</v>
      </c>
      <c r="W196" s="58">
        <f t="shared" si="14"/>
        <v>4232</v>
      </c>
      <c r="X196">
        <v>686</v>
      </c>
      <c r="Y196">
        <v>40</v>
      </c>
      <c r="Z196">
        <v>1068</v>
      </c>
      <c r="AA196">
        <v>63</v>
      </c>
      <c r="AB196">
        <v>38</v>
      </c>
      <c r="AC196">
        <v>54</v>
      </c>
      <c r="AD196">
        <v>8</v>
      </c>
      <c r="AE196">
        <v>154</v>
      </c>
      <c r="AF196">
        <v>86</v>
      </c>
      <c r="AG196">
        <v>88</v>
      </c>
      <c r="AH196">
        <v>74</v>
      </c>
      <c r="AI196">
        <v>4.2300000000000004</v>
      </c>
    </row>
    <row r="197" spans="1:35" x14ac:dyDescent="0.5">
      <c r="A197" s="35">
        <v>2006</v>
      </c>
      <c r="B197" t="s">
        <v>69</v>
      </c>
      <c r="C197" t="s">
        <v>38</v>
      </c>
      <c r="D197">
        <v>589</v>
      </c>
      <c r="E197">
        <v>162</v>
      </c>
      <c r="F197">
        <v>7</v>
      </c>
      <c r="G197">
        <v>8</v>
      </c>
      <c r="H197">
        <v>155</v>
      </c>
      <c r="I197">
        <v>43</v>
      </c>
      <c r="J197">
        <v>1425.2</v>
      </c>
      <c r="K197">
        <v>1454</v>
      </c>
      <c r="L197">
        <v>833</v>
      </c>
      <c r="M197" s="58">
        <f t="shared" si="12"/>
        <v>2006</v>
      </c>
      <c r="N197" s="58" t="s">
        <v>68</v>
      </c>
      <c r="O197" s="58" t="str">
        <f t="shared" si="15"/>
        <v>2006 Milwaukee Brewers</v>
      </c>
      <c r="P197" s="58">
        <v>6210</v>
      </c>
      <c r="Q197" s="58">
        <f t="shared" si="13"/>
        <v>890</v>
      </c>
      <c r="R197" s="58">
        <v>355</v>
      </c>
      <c r="S197" s="58">
        <v>32</v>
      </c>
      <c r="T197" s="58">
        <v>177</v>
      </c>
      <c r="U197" s="58">
        <v>514</v>
      </c>
      <c r="V197" s="58">
        <v>74</v>
      </c>
      <c r="W197" s="58">
        <f t="shared" si="14"/>
        <v>4168</v>
      </c>
      <c r="X197">
        <v>763</v>
      </c>
      <c r="Y197">
        <v>34</v>
      </c>
      <c r="Z197">
        <v>1145</v>
      </c>
      <c r="AA197">
        <v>77</v>
      </c>
      <c r="AB197">
        <v>51</v>
      </c>
      <c r="AC197">
        <v>57</v>
      </c>
      <c r="AD197">
        <v>2</v>
      </c>
      <c r="AE197">
        <v>111</v>
      </c>
      <c r="AF197">
        <v>76</v>
      </c>
      <c r="AG197">
        <v>75</v>
      </c>
      <c r="AH197">
        <v>87</v>
      </c>
      <c r="AI197">
        <v>4.82</v>
      </c>
    </row>
    <row r="198" spans="1:35" x14ac:dyDescent="0.5">
      <c r="A198" s="35">
        <v>2006</v>
      </c>
      <c r="B198" t="s">
        <v>71</v>
      </c>
      <c r="C198" t="s">
        <v>149</v>
      </c>
      <c r="D198">
        <v>583</v>
      </c>
      <c r="E198">
        <v>162</v>
      </c>
      <c r="F198">
        <v>1</v>
      </c>
      <c r="G198">
        <v>6</v>
      </c>
      <c r="H198">
        <v>161</v>
      </c>
      <c r="I198">
        <v>40</v>
      </c>
      <c r="J198">
        <v>1439.1</v>
      </c>
      <c r="K198">
        <v>1490</v>
      </c>
      <c r="L198">
        <v>683</v>
      </c>
      <c r="M198" s="58">
        <f t="shared" si="12"/>
        <v>2006</v>
      </c>
      <c r="N198" s="58" t="s">
        <v>70</v>
      </c>
      <c r="O198" s="58" t="str">
        <f t="shared" si="15"/>
        <v>2006 Minnesota Twins</v>
      </c>
      <c r="P198" s="58">
        <v>6066</v>
      </c>
      <c r="Q198" s="58">
        <f t="shared" si="13"/>
        <v>1005</v>
      </c>
      <c r="R198" s="58">
        <v>280</v>
      </c>
      <c r="S198" s="58">
        <v>23</v>
      </c>
      <c r="T198" s="58">
        <v>182</v>
      </c>
      <c r="U198" s="58">
        <v>356</v>
      </c>
      <c r="V198" s="58">
        <v>36</v>
      </c>
      <c r="W198" s="58">
        <f t="shared" si="14"/>
        <v>4184</v>
      </c>
      <c r="X198">
        <v>632</v>
      </c>
      <c r="Y198">
        <v>25</v>
      </c>
      <c r="Z198">
        <v>1164</v>
      </c>
      <c r="AA198">
        <v>40</v>
      </c>
      <c r="AB198">
        <v>48</v>
      </c>
      <c r="AC198">
        <v>40</v>
      </c>
      <c r="AD198">
        <v>3</v>
      </c>
      <c r="AE198">
        <v>110</v>
      </c>
      <c r="AF198">
        <v>56</v>
      </c>
      <c r="AG198">
        <v>96</v>
      </c>
      <c r="AH198">
        <v>66</v>
      </c>
      <c r="AI198">
        <v>3.95</v>
      </c>
    </row>
    <row r="199" spans="1:35" x14ac:dyDescent="0.5">
      <c r="A199" s="35">
        <v>2006</v>
      </c>
      <c r="B199" t="s">
        <v>144</v>
      </c>
      <c r="C199" t="s">
        <v>38</v>
      </c>
      <c r="D199">
        <v>636</v>
      </c>
      <c r="E199">
        <v>162</v>
      </c>
      <c r="F199">
        <v>5</v>
      </c>
      <c r="G199">
        <v>12</v>
      </c>
      <c r="H199">
        <v>157</v>
      </c>
      <c r="I199">
        <v>43</v>
      </c>
      <c r="J199">
        <v>1461.1</v>
      </c>
      <c r="K199">
        <v>1402</v>
      </c>
      <c r="L199">
        <v>731</v>
      </c>
      <c r="M199" s="58">
        <f t="shared" si="12"/>
        <v>2006</v>
      </c>
      <c r="N199" s="58" t="s">
        <v>76</v>
      </c>
      <c r="O199" s="58" t="str">
        <f t="shared" si="15"/>
        <v>2006 New York Mets</v>
      </c>
      <c r="P199" s="58">
        <v>6240</v>
      </c>
      <c r="Q199" s="58">
        <f t="shared" si="13"/>
        <v>930</v>
      </c>
      <c r="R199" s="58">
        <v>274</v>
      </c>
      <c r="S199" s="58">
        <v>18</v>
      </c>
      <c r="T199" s="58">
        <v>180</v>
      </c>
      <c r="U199" s="58">
        <v>527</v>
      </c>
      <c r="V199" s="58">
        <v>62</v>
      </c>
      <c r="W199" s="58">
        <f t="shared" si="14"/>
        <v>4249</v>
      </c>
      <c r="X199">
        <v>673</v>
      </c>
      <c r="Y199">
        <v>39</v>
      </c>
      <c r="Z199">
        <v>1161</v>
      </c>
      <c r="AA199">
        <v>67</v>
      </c>
      <c r="AB199">
        <v>53</v>
      </c>
      <c r="AC199">
        <v>37</v>
      </c>
      <c r="AD199">
        <v>5</v>
      </c>
      <c r="AE199">
        <v>105</v>
      </c>
      <c r="AF199">
        <v>67</v>
      </c>
      <c r="AG199">
        <v>97</v>
      </c>
      <c r="AH199">
        <v>65</v>
      </c>
      <c r="AI199">
        <v>4.1399999999999997</v>
      </c>
    </row>
    <row r="200" spans="1:35" x14ac:dyDescent="0.5">
      <c r="A200" s="35">
        <v>2006</v>
      </c>
      <c r="B200" t="s">
        <v>144</v>
      </c>
      <c r="C200" t="s">
        <v>149</v>
      </c>
      <c r="D200">
        <v>651</v>
      </c>
      <c r="E200">
        <v>162</v>
      </c>
      <c r="F200">
        <v>5</v>
      </c>
      <c r="G200">
        <v>8</v>
      </c>
      <c r="H200">
        <v>157</v>
      </c>
      <c r="I200">
        <v>43</v>
      </c>
      <c r="J200">
        <v>1443.2</v>
      </c>
      <c r="K200">
        <v>1463</v>
      </c>
      <c r="L200">
        <v>767</v>
      </c>
      <c r="M200" s="58">
        <f t="shared" si="12"/>
        <v>2006</v>
      </c>
      <c r="N200" s="58" t="s">
        <v>74</v>
      </c>
      <c r="O200" s="58" t="str">
        <f t="shared" si="15"/>
        <v>2006 New York Yankees</v>
      </c>
      <c r="P200" s="58">
        <v>6215</v>
      </c>
      <c r="Q200" s="58">
        <f t="shared" si="13"/>
        <v>977</v>
      </c>
      <c r="R200" s="58">
        <v>294</v>
      </c>
      <c r="S200" s="58">
        <v>22</v>
      </c>
      <c r="T200" s="58">
        <v>170</v>
      </c>
      <c r="U200" s="58">
        <v>496</v>
      </c>
      <c r="V200" s="58">
        <v>59</v>
      </c>
      <c r="W200" s="58">
        <f t="shared" si="14"/>
        <v>4197</v>
      </c>
      <c r="X200">
        <v>708</v>
      </c>
      <c r="Y200">
        <v>41</v>
      </c>
      <c r="Z200">
        <v>1019</v>
      </c>
      <c r="AA200">
        <v>31</v>
      </c>
      <c r="AB200">
        <v>39</v>
      </c>
      <c r="AC200">
        <v>46</v>
      </c>
      <c r="AD200">
        <v>7</v>
      </c>
      <c r="AE200">
        <v>126</v>
      </c>
      <c r="AF200">
        <v>79</v>
      </c>
      <c r="AG200">
        <v>97</v>
      </c>
      <c r="AH200">
        <v>65</v>
      </c>
      <c r="AI200">
        <v>4.41</v>
      </c>
    </row>
    <row r="201" spans="1:35" x14ac:dyDescent="0.5">
      <c r="A201" s="35">
        <v>2006</v>
      </c>
      <c r="B201" t="s">
        <v>79</v>
      </c>
      <c r="C201" t="s">
        <v>149</v>
      </c>
      <c r="D201">
        <v>606</v>
      </c>
      <c r="E201">
        <v>162</v>
      </c>
      <c r="F201">
        <v>5</v>
      </c>
      <c r="G201">
        <v>11</v>
      </c>
      <c r="H201">
        <v>157</v>
      </c>
      <c r="I201">
        <v>54</v>
      </c>
      <c r="J201">
        <v>1451.2</v>
      </c>
      <c r="K201">
        <v>1525</v>
      </c>
      <c r="L201">
        <v>727</v>
      </c>
      <c r="M201" s="58">
        <f t="shared" si="12"/>
        <v>2006</v>
      </c>
      <c r="N201" s="58" t="s">
        <v>78</v>
      </c>
      <c r="O201" s="58" t="str">
        <f t="shared" si="15"/>
        <v>2006 Oakland Athletics</v>
      </c>
      <c r="P201" s="58">
        <v>6279</v>
      </c>
      <c r="Q201" s="58">
        <f t="shared" si="13"/>
        <v>1040</v>
      </c>
      <c r="R201" s="58">
        <v>289</v>
      </c>
      <c r="S201" s="58">
        <v>34</v>
      </c>
      <c r="T201" s="58">
        <v>162</v>
      </c>
      <c r="U201" s="58">
        <v>529</v>
      </c>
      <c r="V201" s="58">
        <v>55</v>
      </c>
      <c r="W201" s="58">
        <f t="shared" si="14"/>
        <v>4170</v>
      </c>
      <c r="X201">
        <v>679</v>
      </c>
      <c r="Y201">
        <v>47</v>
      </c>
      <c r="Z201">
        <v>1003</v>
      </c>
      <c r="AA201">
        <v>32</v>
      </c>
      <c r="AB201">
        <v>49</v>
      </c>
      <c r="AC201">
        <v>43</v>
      </c>
      <c r="AD201">
        <v>4</v>
      </c>
      <c r="AE201">
        <v>149</v>
      </c>
      <c r="AF201">
        <v>46</v>
      </c>
      <c r="AG201">
        <v>93</v>
      </c>
      <c r="AH201">
        <v>69</v>
      </c>
      <c r="AI201">
        <v>4.21</v>
      </c>
    </row>
    <row r="202" spans="1:35" x14ac:dyDescent="0.5">
      <c r="A202" s="35">
        <v>2006</v>
      </c>
      <c r="B202" t="s">
        <v>81</v>
      </c>
      <c r="C202" t="s">
        <v>38</v>
      </c>
      <c r="D202">
        <v>662</v>
      </c>
      <c r="E202">
        <v>162</v>
      </c>
      <c r="F202">
        <v>4</v>
      </c>
      <c r="G202">
        <v>6</v>
      </c>
      <c r="H202">
        <v>158</v>
      </c>
      <c r="I202">
        <v>42</v>
      </c>
      <c r="J202">
        <v>1460.1</v>
      </c>
      <c r="K202">
        <v>1561</v>
      </c>
      <c r="L202">
        <v>812</v>
      </c>
      <c r="M202" s="58">
        <f t="shared" si="12"/>
        <v>2006</v>
      </c>
      <c r="N202" s="58" t="s">
        <v>80</v>
      </c>
      <c r="O202" s="58" t="str">
        <f t="shared" si="15"/>
        <v>2006 Philadelphia Phillies</v>
      </c>
      <c r="P202" s="58">
        <v>6366</v>
      </c>
      <c r="Q202" s="58">
        <f t="shared" si="13"/>
        <v>975</v>
      </c>
      <c r="R202" s="58">
        <v>335</v>
      </c>
      <c r="S202" s="58">
        <v>40</v>
      </c>
      <c r="T202" s="58">
        <v>211</v>
      </c>
      <c r="U202" s="58">
        <v>512</v>
      </c>
      <c r="V202" s="58">
        <v>62</v>
      </c>
      <c r="W202" s="58">
        <f t="shared" si="14"/>
        <v>4231</v>
      </c>
      <c r="X202">
        <v>747</v>
      </c>
      <c r="Y202">
        <v>63</v>
      </c>
      <c r="Z202">
        <v>1138</v>
      </c>
      <c r="AA202">
        <v>63</v>
      </c>
      <c r="AB202">
        <v>49</v>
      </c>
      <c r="AC202">
        <v>58</v>
      </c>
      <c r="AD202">
        <v>4</v>
      </c>
      <c r="AE202">
        <v>135</v>
      </c>
      <c r="AF202">
        <v>74</v>
      </c>
      <c r="AG202">
        <v>85</v>
      </c>
      <c r="AH202">
        <v>77</v>
      </c>
      <c r="AI202">
        <v>4.5999999999999996</v>
      </c>
    </row>
    <row r="203" spans="1:35" x14ac:dyDescent="0.5">
      <c r="A203" s="35">
        <v>2006</v>
      </c>
      <c r="B203" t="s">
        <v>83</v>
      </c>
      <c r="C203" t="s">
        <v>38</v>
      </c>
      <c r="D203">
        <v>667</v>
      </c>
      <c r="E203">
        <v>162</v>
      </c>
      <c r="F203">
        <v>2</v>
      </c>
      <c r="G203">
        <v>10</v>
      </c>
      <c r="H203">
        <v>160</v>
      </c>
      <c r="I203">
        <v>39</v>
      </c>
      <c r="J203">
        <v>1435</v>
      </c>
      <c r="K203">
        <v>1545</v>
      </c>
      <c r="L203">
        <v>797</v>
      </c>
      <c r="M203" s="58">
        <f t="shared" si="12"/>
        <v>2006</v>
      </c>
      <c r="N203" s="58" t="s">
        <v>82</v>
      </c>
      <c r="O203" s="58" t="str">
        <f t="shared" si="15"/>
        <v>2006 Pittsburgh Pirates</v>
      </c>
      <c r="P203" s="58">
        <v>6354</v>
      </c>
      <c r="Q203" s="58">
        <f t="shared" si="13"/>
        <v>1058</v>
      </c>
      <c r="R203" s="58">
        <v>300</v>
      </c>
      <c r="S203" s="58">
        <v>31</v>
      </c>
      <c r="T203" s="58">
        <v>156</v>
      </c>
      <c r="U203" s="58">
        <v>620</v>
      </c>
      <c r="V203" s="58">
        <v>70</v>
      </c>
      <c r="W203" s="58">
        <f t="shared" si="14"/>
        <v>4119</v>
      </c>
      <c r="X203">
        <v>720</v>
      </c>
      <c r="Y203">
        <v>62</v>
      </c>
      <c r="Z203">
        <v>1060</v>
      </c>
      <c r="AA203">
        <v>102</v>
      </c>
      <c r="AB203">
        <v>55</v>
      </c>
      <c r="AC203">
        <v>61</v>
      </c>
      <c r="AD203">
        <v>6</v>
      </c>
      <c r="AE203">
        <v>144</v>
      </c>
      <c r="AF203">
        <v>66</v>
      </c>
      <c r="AG203">
        <v>67</v>
      </c>
      <c r="AH203">
        <v>95</v>
      </c>
      <c r="AI203">
        <v>4.5199999999999996</v>
      </c>
    </row>
    <row r="204" spans="1:35" x14ac:dyDescent="0.5">
      <c r="A204" s="35">
        <v>2006</v>
      </c>
      <c r="B204" t="s">
        <v>147</v>
      </c>
      <c r="C204" t="s">
        <v>38</v>
      </c>
      <c r="D204">
        <v>637</v>
      </c>
      <c r="E204">
        <v>162</v>
      </c>
      <c r="F204">
        <v>4</v>
      </c>
      <c r="G204">
        <v>11</v>
      </c>
      <c r="H204">
        <v>158</v>
      </c>
      <c r="I204">
        <v>50</v>
      </c>
      <c r="J204">
        <v>1463.2</v>
      </c>
      <c r="K204">
        <v>1385</v>
      </c>
      <c r="L204">
        <v>679</v>
      </c>
      <c r="M204" s="58">
        <f t="shared" si="12"/>
        <v>2006</v>
      </c>
      <c r="N204" s="58" t="s">
        <v>84</v>
      </c>
      <c r="O204" s="58" t="str">
        <f t="shared" si="15"/>
        <v>2006 San Diego Padres</v>
      </c>
      <c r="P204" s="58">
        <v>6175</v>
      </c>
      <c r="Q204" s="58">
        <f t="shared" si="13"/>
        <v>910</v>
      </c>
      <c r="R204" s="58">
        <v>264</v>
      </c>
      <c r="S204" s="58">
        <v>35</v>
      </c>
      <c r="T204" s="58">
        <v>176</v>
      </c>
      <c r="U204" s="58">
        <v>468</v>
      </c>
      <c r="V204" s="58">
        <v>50</v>
      </c>
      <c r="W204" s="58">
        <f t="shared" si="14"/>
        <v>4272</v>
      </c>
      <c r="X204">
        <v>629</v>
      </c>
      <c r="Y204">
        <v>63</v>
      </c>
      <c r="Z204">
        <v>1097</v>
      </c>
      <c r="AA204">
        <v>68</v>
      </c>
      <c r="AB204">
        <v>32</v>
      </c>
      <c r="AC204">
        <v>34</v>
      </c>
      <c r="AD204">
        <v>4</v>
      </c>
      <c r="AE204">
        <v>120</v>
      </c>
      <c r="AF204">
        <v>62</v>
      </c>
      <c r="AG204">
        <v>88</v>
      </c>
      <c r="AH204">
        <v>74</v>
      </c>
      <c r="AI204">
        <v>3.87</v>
      </c>
    </row>
    <row r="205" spans="1:35" x14ac:dyDescent="0.5">
      <c r="A205" s="35">
        <v>2006</v>
      </c>
      <c r="B205" t="s">
        <v>87</v>
      </c>
      <c r="C205" t="s">
        <v>149</v>
      </c>
      <c r="D205">
        <v>591</v>
      </c>
      <c r="E205">
        <v>162</v>
      </c>
      <c r="F205">
        <v>6</v>
      </c>
      <c r="G205">
        <v>6</v>
      </c>
      <c r="H205">
        <v>156</v>
      </c>
      <c r="I205">
        <v>47</v>
      </c>
      <c r="J205">
        <v>1446.2</v>
      </c>
      <c r="K205">
        <v>1500</v>
      </c>
      <c r="L205">
        <v>792</v>
      </c>
      <c r="M205" s="58">
        <f t="shared" si="12"/>
        <v>2006</v>
      </c>
      <c r="N205" s="58" t="s">
        <v>86</v>
      </c>
      <c r="O205" s="58" t="str">
        <f t="shared" si="15"/>
        <v>2006 Seattle Mariners</v>
      </c>
      <c r="P205" s="58">
        <v>6294</v>
      </c>
      <c r="Q205" s="58">
        <f t="shared" si="13"/>
        <v>967</v>
      </c>
      <c r="R205" s="58">
        <v>327</v>
      </c>
      <c r="S205" s="58">
        <v>23</v>
      </c>
      <c r="T205" s="58">
        <v>183</v>
      </c>
      <c r="U205" s="58">
        <v>560</v>
      </c>
      <c r="V205" s="58">
        <v>53</v>
      </c>
      <c r="W205" s="58">
        <f t="shared" si="14"/>
        <v>4181</v>
      </c>
      <c r="X205">
        <v>739</v>
      </c>
      <c r="Y205">
        <v>50</v>
      </c>
      <c r="Z205">
        <v>1067</v>
      </c>
      <c r="AA205">
        <v>31</v>
      </c>
      <c r="AB205">
        <v>39</v>
      </c>
      <c r="AC205">
        <v>47</v>
      </c>
      <c r="AD205">
        <v>6</v>
      </c>
      <c r="AE205">
        <v>130</v>
      </c>
      <c r="AF205">
        <v>62</v>
      </c>
      <c r="AG205">
        <v>78</v>
      </c>
      <c r="AH205">
        <v>84</v>
      </c>
      <c r="AI205">
        <v>4.5999999999999996</v>
      </c>
    </row>
    <row r="206" spans="1:35" x14ac:dyDescent="0.5">
      <c r="A206" s="35">
        <v>2006</v>
      </c>
      <c r="B206" t="s">
        <v>21</v>
      </c>
      <c r="C206" t="s">
        <v>38</v>
      </c>
      <c r="D206">
        <v>599</v>
      </c>
      <c r="E206">
        <v>161</v>
      </c>
      <c r="F206">
        <v>7</v>
      </c>
      <c r="G206">
        <v>9</v>
      </c>
      <c r="H206">
        <v>154</v>
      </c>
      <c r="I206">
        <v>37</v>
      </c>
      <c r="J206">
        <v>1429.2</v>
      </c>
      <c r="K206">
        <v>1422</v>
      </c>
      <c r="L206">
        <v>790</v>
      </c>
      <c r="M206" s="58">
        <f t="shared" si="12"/>
        <v>2006</v>
      </c>
      <c r="N206" s="58" t="s">
        <v>88</v>
      </c>
      <c r="O206" s="58" t="str">
        <f t="shared" si="15"/>
        <v>2006 San Francisco Giants</v>
      </c>
      <c r="P206" s="58">
        <v>6225</v>
      </c>
      <c r="Q206" s="58">
        <f t="shared" si="13"/>
        <v>935</v>
      </c>
      <c r="R206" s="58">
        <v>287</v>
      </c>
      <c r="S206" s="58">
        <v>47</v>
      </c>
      <c r="T206" s="58">
        <v>153</v>
      </c>
      <c r="U206" s="58">
        <v>584</v>
      </c>
      <c r="V206" s="58">
        <v>70</v>
      </c>
      <c r="W206" s="58">
        <f t="shared" si="14"/>
        <v>4149</v>
      </c>
      <c r="X206">
        <v>735</v>
      </c>
      <c r="Y206">
        <v>37</v>
      </c>
      <c r="Z206">
        <v>992</v>
      </c>
      <c r="AA206">
        <v>66</v>
      </c>
      <c r="AB206">
        <v>55</v>
      </c>
      <c r="AC206">
        <v>50</v>
      </c>
      <c r="AD206">
        <v>7</v>
      </c>
      <c r="AE206">
        <v>108</v>
      </c>
      <c r="AF206">
        <v>57</v>
      </c>
      <c r="AG206">
        <v>76</v>
      </c>
      <c r="AH206">
        <v>85</v>
      </c>
      <c r="AI206">
        <v>4.63</v>
      </c>
    </row>
    <row r="207" spans="1:35" x14ac:dyDescent="0.5">
      <c r="A207" s="35">
        <v>2006</v>
      </c>
      <c r="B207" t="s">
        <v>142</v>
      </c>
      <c r="C207" t="s">
        <v>38</v>
      </c>
      <c r="D207">
        <v>630</v>
      </c>
      <c r="E207">
        <v>161</v>
      </c>
      <c r="F207">
        <v>6</v>
      </c>
      <c r="G207">
        <v>9</v>
      </c>
      <c r="H207">
        <v>155</v>
      </c>
      <c r="I207">
        <v>38</v>
      </c>
      <c r="J207">
        <v>1429.2</v>
      </c>
      <c r="K207">
        <v>1475</v>
      </c>
      <c r="L207">
        <v>762</v>
      </c>
      <c r="M207" s="58">
        <f t="shared" si="12"/>
        <v>2006</v>
      </c>
      <c r="N207" s="58" t="s">
        <v>90</v>
      </c>
      <c r="O207" s="58" t="str">
        <f t="shared" si="15"/>
        <v>2006 St. Louis Cardinals</v>
      </c>
      <c r="P207" s="58">
        <v>6196</v>
      </c>
      <c r="Q207" s="58">
        <f t="shared" si="13"/>
        <v>938</v>
      </c>
      <c r="R207" s="58">
        <v>310</v>
      </c>
      <c r="S207" s="58">
        <v>34</v>
      </c>
      <c r="T207" s="58">
        <v>193</v>
      </c>
      <c r="U207" s="58">
        <v>504</v>
      </c>
      <c r="V207" s="58">
        <v>80</v>
      </c>
      <c r="W207" s="58">
        <f t="shared" si="14"/>
        <v>4137</v>
      </c>
      <c r="X207">
        <v>721</v>
      </c>
      <c r="Y207">
        <v>35</v>
      </c>
      <c r="Z207">
        <v>970</v>
      </c>
      <c r="AA207">
        <v>83</v>
      </c>
      <c r="AB207">
        <v>32</v>
      </c>
      <c r="AC207">
        <v>35</v>
      </c>
      <c r="AD207">
        <v>3</v>
      </c>
      <c r="AE207">
        <v>155</v>
      </c>
      <c r="AF207">
        <v>74</v>
      </c>
      <c r="AG207">
        <v>83</v>
      </c>
      <c r="AH207">
        <v>78</v>
      </c>
      <c r="AI207">
        <v>4.54</v>
      </c>
    </row>
    <row r="208" spans="1:35" x14ac:dyDescent="0.5">
      <c r="A208" s="35">
        <v>2006</v>
      </c>
      <c r="B208" t="s">
        <v>151</v>
      </c>
      <c r="C208" t="s">
        <v>149</v>
      </c>
      <c r="D208">
        <v>606</v>
      </c>
      <c r="E208">
        <v>162</v>
      </c>
      <c r="F208">
        <v>3</v>
      </c>
      <c r="G208">
        <v>7</v>
      </c>
      <c r="H208">
        <v>159</v>
      </c>
      <c r="I208">
        <v>33</v>
      </c>
      <c r="J208">
        <v>1420.1</v>
      </c>
      <c r="K208">
        <v>1600</v>
      </c>
      <c r="L208">
        <v>856</v>
      </c>
      <c r="M208" s="58">
        <f t="shared" si="12"/>
        <v>2006</v>
      </c>
      <c r="N208" s="58" t="s">
        <v>92</v>
      </c>
      <c r="O208" s="58" t="str">
        <f t="shared" si="15"/>
        <v>2006 Tampa Bay Devil Rays</v>
      </c>
      <c r="P208" s="58">
        <v>6374</v>
      </c>
      <c r="Q208" s="58">
        <f t="shared" si="13"/>
        <v>1059</v>
      </c>
      <c r="R208" s="58">
        <v>334</v>
      </c>
      <c r="S208" s="58">
        <v>27</v>
      </c>
      <c r="T208" s="58">
        <v>180</v>
      </c>
      <c r="U208" s="58">
        <v>606</v>
      </c>
      <c r="V208" s="58">
        <v>63</v>
      </c>
      <c r="W208" s="58">
        <f t="shared" si="14"/>
        <v>4105</v>
      </c>
      <c r="X208">
        <v>782</v>
      </c>
      <c r="Y208">
        <v>39</v>
      </c>
      <c r="Z208">
        <v>979</v>
      </c>
      <c r="AA208">
        <v>34</v>
      </c>
      <c r="AB208">
        <v>73</v>
      </c>
      <c r="AC208">
        <v>70</v>
      </c>
      <c r="AD208">
        <v>8</v>
      </c>
      <c r="AE208">
        <v>128</v>
      </c>
      <c r="AF208">
        <v>81</v>
      </c>
      <c r="AG208">
        <v>61</v>
      </c>
      <c r="AH208">
        <v>101</v>
      </c>
      <c r="AI208">
        <v>4.96</v>
      </c>
    </row>
    <row r="209" spans="1:35" x14ac:dyDescent="0.5">
      <c r="A209" s="35">
        <v>2006</v>
      </c>
      <c r="B209" t="s">
        <v>95</v>
      </c>
      <c r="C209" t="s">
        <v>149</v>
      </c>
      <c r="D209">
        <v>651</v>
      </c>
      <c r="E209">
        <v>162</v>
      </c>
      <c r="F209">
        <v>3</v>
      </c>
      <c r="G209">
        <v>8</v>
      </c>
      <c r="H209">
        <v>159</v>
      </c>
      <c r="I209">
        <v>42</v>
      </c>
      <c r="J209">
        <v>1431.1</v>
      </c>
      <c r="K209">
        <v>1558</v>
      </c>
      <c r="L209">
        <v>784</v>
      </c>
      <c r="M209" s="58">
        <f t="shared" si="12"/>
        <v>2006</v>
      </c>
      <c r="N209" s="58" t="s">
        <v>94</v>
      </c>
      <c r="O209" s="58" t="str">
        <f t="shared" si="15"/>
        <v>2006 Texas Rangers</v>
      </c>
      <c r="P209" s="58">
        <v>6237</v>
      </c>
      <c r="Q209" s="58">
        <f t="shared" si="13"/>
        <v>1088</v>
      </c>
      <c r="R209" s="58">
        <v>283</v>
      </c>
      <c r="S209" s="58">
        <v>25</v>
      </c>
      <c r="T209" s="58">
        <v>162</v>
      </c>
      <c r="U209" s="58">
        <v>496</v>
      </c>
      <c r="V209" s="58">
        <v>66</v>
      </c>
      <c r="W209" s="58">
        <f t="shared" si="14"/>
        <v>4117</v>
      </c>
      <c r="X209">
        <v>731</v>
      </c>
      <c r="Y209">
        <v>18</v>
      </c>
      <c r="Z209">
        <v>972</v>
      </c>
      <c r="AA209">
        <v>26</v>
      </c>
      <c r="AB209">
        <v>48</v>
      </c>
      <c r="AC209">
        <v>34</v>
      </c>
      <c r="AD209">
        <v>4</v>
      </c>
      <c r="AE209">
        <v>145</v>
      </c>
      <c r="AF209">
        <v>64</v>
      </c>
      <c r="AG209">
        <v>80</v>
      </c>
      <c r="AH209">
        <v>82</v>
      </c>
      <c r="AI209">
        <v>4.5999999999999996</v>
      </c>
    </row>
    <row r="210" spans="1:35" x14ac:dyDescent="0.5">
      <c r="A210" s="35">
        <v>2006</v>
      </c>
      <c r="B210" t="s">
        <v>97</v>
      </c>
      <c r="C210" t="s">
        <v>149</v>
      </c>
      <c r="D210">
        <v>644</v>
      </c>
      <c r="E210">
        <v>162</v>
      </c>
      <c r="F210">
        <v>6</v>
      </c>
      <c r="G210">
        <v>6</v>
      </c>
      <c r="H210">
        <v>156</v>
      </c>
      <c r="I210">
        <v>42</v>
      </c>
      <c r="J210">
        <v>1428.1</v>
      </c>
      <c r="K210">
        <v>1447</v>
      </c>
      <c r="L210">
        <v>754</v>
      </c>
      <c r="M210" s="58">
        <f t="shared" si="12"/>
        <v>2006</v>
      </c>
      <c r="N210" s="58" t="s">
        <v>96</v>
      </c>
      <c r="O210" s="58" t="str">
        <f t="shared" si="15"/>
        <v>2006 Toronto Blue Jays</v>
      </c>
      <c r="P210" s="58">
        <v>6151</v>
      </c>
      <c r="Q210" s="58">
        <f t="shared" si="13"/>
        <v>950</v>
      </c>
      <c r="R210" s="58">
        <v>291</v>
      </c>
      <c r="S210" s="58">
        <v>21</v>
      </c>
      <c r="T210" s="58">
        <v>185</v>
      </c>
      <c r="U210" s="58">
        <v>504</v>
      </c>
      <c r="V210" s="58">
        <v>59</v>
      </c>
      <c r="W210" s="58">
        <f t="shared" si="14"/>
        <v>4141</v>
      </c>
      <c r="X210">
        <v>694</v>
      </c>
      <c r="Y210">
        <v>56</v>
      </c>
      <c r="Z210">
        <v>1076</v>
      </c>
      <c r="AA210">
        <v>25</v>
      </c>
      <c r="AB210">
        <v>31</v>
      </c>
      <c r="AC210">
        <v>53</v>
      </c>
      <c r="AD210">
        <v>13</v>
      </c>
      <c r="AE210">
        <v>127</v>
      </c>
      <c r="AF210">
        <v>74</v>
      </c>
      <c r="AG210">
        <v>87</v>
      </c>
      <c r="AH210">
        <v>75</v>
      </c>
      <c r="AI210">
        <v>4.37</v>
      </c>
    </row>
    <row r="211" spans="1:35" x14ac:dyDescent="0.5">
      <c r="A211" s="35">
        <v>2006</v>
      </c>
      <c r="B211" t="s">
        <v>101</v>
      </c>
      <c r="C211" t="s">
        <v>38</v>
      </c>
      <c r="D211">
        <v>679</v>
      </c>
      <c r="E211">
        <v>162</v>
      </c>
      <c r="F211">
        <v>1</v>
      </c>
      <c r="G211">
        <v>3</v>
      </c>
      <c r="H211">
        <v>161</v>
      </c>
      <c r="I211">
        <v>32</v>
      </c>
      <c r="J211">
        <v>1436.1</v>
      </c>
      <c r="K211">
        <v>1535</v>
      </c>
      <c r="L211">
        <v>872</v>
      </c>
      <c r="M211" s="58">
        <f t="shared" si="12"/>
        <v>2006</v>
      </c>
      <c r="N211" s="58" t="s">
        <v>100</v>
      </c>
      <c r="O211" s="58" t="str">
        <f t="shared" si="15"/>
        <v>2006 Washington Nationals</v>
      </c>
      <c r="P211" s="58">
        <v>6424</v>
      </c>
      <c r="Q211" s="58">
        <f t="shared" si="13"/>
        <v>995</v>
      </c>
      <c r="R211" s="58">
        <v>305</v>
      </c>
      <c r="S211" s="58">
        <v>42</v>
      </c>
      <c r="T211" s="58">
        <v>193</v>
      </c>
      <c r="U211" s="58">
        <v>584</v>
      </c>
      <c r="V211" s="58">
        <v>92</v>
      </c>
      <c r="W211" s="58">
        <f t="shared" si="14"/>
        <v>4213</v>
      </c>
      <c r="X211">
        <v>803</v>
      </c>
      <c r="Y211">
        <v>93</v>
      </c>
      <c r="Z211">
        <v>960</v>
      </c>
      <c r="AA211">
        <v>87</v>
      </c>
      <c r="AB211">
        <v>59</v>
      </c>
      <c r="AC211">
        <v>47</v>
      </c>
      <c r="AD211">
        <v>10</v>
      </c>
      <c r="AE211">
        <v>90</v>
      </c>
      <c r="AF211">
        <v>80</v>
      </c>
      <c r="AG211">
        <v>71</v>
      </c>
      <c r="AH211">
        <v>91</v>
      </c>
      <c r="AI211">
        <v>5.03</v>
      </c>
    </row>
    <row r="212" spans="1:35" x14ac:dyDescent="0.5">
      <c r="A212" s="35">
        <v>2007</v>
      </c>
      <c r="B212" t="s">
        <v>37</v>
      </c>
      <c r="C212" t="s">
        <v>149</v>
      </c>
      <c r="D212">
        <v>558</v>
      </c>
      <c r="E212">
        <v>162</v>
      </c>
      <c r="F212">
        <v>5</v>
      </c>
      <c r="G212">
        <v>9</v>
      </c>
      <c r="H212">
        <v>157</v>
      </c>
      <c r="I212">
        <v>43</v>
      </c>
      <c r="J212">
        <v>1435</v>
      </c>
      <c r="K212">
        <v>1480</v>
      </c>
      <c r="L212">
        <v>731</v>
      </c>
      <c r="M212" s="58">
        <f t="shared" si="12"/>
        <v>2007</v>
      </c>
      <c r="N212" s="58" t="s">
        <v>36</v>
      </c>
      <c r="O212" s="58" t="str">
        <f t="shared" si="15"/>
        <v>2007 Anaheim Angels</v>
      </c>
      <c r="P212" s="58">
        <v>6161</v>
      </c>
      <c r="Q212" s="58">
        <f t="shared" si="13"/>
        <v>1006</v>
      </c>
      <c r="R212" s="58">
        <v>289</v>
      </c>
      <c r="S212" s="58">
        <v>34</v>
      </c>
      <c r="T212" s="58">
        <v>151</v>
      </c>
      <c r="U212" s="58">
        <v>477</v>
      </c>
      <c r="V212" s="58">
        <v>51</v>
      </c>
      <c r="W212" s="58">
        <f t="shared" si="14"/>
        <v>4153</v>
      </c>
      <c r="X212">
        <v>674</v>
      </c>
      <c r="Y212">
        <v>22</v>
      </c>
      <c r="Z212">
        <v>1156</v>
      </c>
      <c r="AA212">
        <v>28</v>
      </c>
      <c r="AB212">
        <v>40</v>
      </c>
      <c r="AC212">
        <v>69</v>
      </c>
      <c r="AD212">
        <v>5</v>
      </c>
      <c r="AE212">
        <v>133</v>
      </c>
      <c r="AF212">
        <v>69</v>
      </c>
      <c r="AG212">
        <v>94</v>
      </c>
      <c r="AH212">
        <v>68</v>
      </c>
      <c r="AI212">
        <v>4.2300000000000004</v>
      </c>
    </row>
    <row r="213" spans="1:35" x14ac:dyDescent="0.5">
      <c r="A213" s="35">
        <v>2007</v>
      </c>
      <c r="B213" t="s">
        <v>40</v>
      </c>
      <c r="C213" t="s">
        <v>38</v>
      </c>
      <c r="D213">
        <v>631</v>
      </c>
      <c r="E213">
        <v>162</v>
      </c>
      <c r="F213">
        <v>7</v>
      </c>
      <c r="G213">
        <v>12</v>
      </c>
      <c r="H213">
        <v>155</v>
      </c>
      <c r="I213">
        <v>51</v>
      </c>
      <c r="J213">
        <v>1441</v>
      </c>
      <c r="K213">
        <v>1446</v>
      </c>
      <c r="L213">
        <v>732</v>
      </c>
      <c r="M213" s="58">
        <f t="shared" si="12"/>
        <v>2007</v>
      </c>
      <c r="N213" s="58" t="s">
        <v>39</v>
      </c>
      <c r="O213" s="58" t="str">
        <f t="shared" si="15"/>
        <v>2007 Arizona Diamondbacks</v>
      </c>
      <c r="P213" s="58">
        <v>6216</v>
      </c>
      <c r="Q213" s="58">
        <f t="shared" si="13"/>
        <v>950</v>
      </c>
      <c r="R213" s="58">
        <v>293</v>
      </c>
      <c r="S213" s="58">
        <v>34</v>
      </c>
      <c r="T213" s="58">
        <v>169</v>
      </c>
      <c r="U213" s="58">
        <v>546</v>
      </c>
      <c r="V213" s="58">
        <v>61</v>
      </c>
      <c r="W213" s="58">
        <f t="shared" si="14"/>
        <v>4163</v>
      </c>
      <c r="X213">
        <v>662</v>
      </c>
      <c r="Y213">
        <v>38</v>
      </c>
      <c r="Z213">
        <v>1088</v>
      </c>
      <c r="AA213">
        <v>59</v>
      </c>
      <c r="AB213">
        <v>35</v>
      </c>
      <c r="AC213">
        <v>48</v>
      </c>
      <c r="AD213">
        <v>9</v>
      </c>
      <c r="AE213">
        <v>138</v>
      </c>
      <c r="AF213">
        <v>65</v>
      </c>
      <c r="AG213">
        <v>90</v>
      </c>
      <c r="AH213">
        <v>72</v>
      </c>
      <c r="AI213">
        <v>4.13</v>
      </c>
    </row>
    <row r="214" spans="1:35" x14ac:dyDescent="0.5">
      <c r="A214" s="35">
        <v>2007</v>
      </c>
      <c r="B214" t="s">
        <v>42</v>
      </c>
      <c r="C214" t="s">
        <v>38</v>
      </c>
      <c r="D214">
        <v>690</v>
      </c>
      <c r="E214">
        <v>162</v>
      </c>
      <c r="F214">
        <v>1</v>
      </c>
      <c r="G214">
        <v>6</v>
      </c>
      <c r="H214">
        <v>161</v>
      </c>
      <c r="I214">
        <v>36</v>
      </c>
      <c r="J214">
        <v>1456.1</v>
      </c>
      <c r="K214">
        <v>1442</v>
      </c>
      <c r="L214">
        <v>733</v>
      </c>
      <c r="M214" s="58">
        <f t="shared" si="12"/>
        <v>2007</v>
      </c>
      <c r="N214" s="58" t="s">
        <v>41</v>
      </c>
      <c r="O214" s="58" t="str">
        <f t="shared" si="15"/>
        <v>2007 Atlanta Braves</v>
      </c>
      <c r="P214" s="58">
        <v>6263</v>
      </c>
      <c r="Q214" s="58">
        <f t="shared" si="13"/>
        <v>959</v>
      </c>
      <c r="R214" s="58">
        <v>272</v>
      </c>
      <c r="S214" s="58">
        <v>39</v>
      </c>
      <c r="T214" s="58">
        <v>172</v>
      </c>
      <c r="U214" s="58">
        <v>537</v>
      </c>
      <c r="V214" s="58">
        <v>42</v>
      </c>
      <c r="W214" s="58">
        <f t="shared" si="14"/>
        <v>4242</v>
      </c>
      <c r="X214">
        <v>665</v>
      </c>
      <c r="Y214">
        <v>89</v>
      </c>
      <c r="Z214">
        <v>1106</v>
      </c>
      <c r="AA214">
        <v>76</v>
      </c>
      <c r="AB214">
        <v>49</v>
      </c>
      <c r="AC214">
        <v>48</v>
      </c>
      <c r="AD214">
        <v>5</v>
      </c>
      <c r="AE214">
        <v>119</v>
      </c>
      <c r="AF214">
        <v>73</v>
      </c>
      <c r="AG214">
        <v>84</v>
      </c>
      <c r="AH214">
        <v>78</v>
      </c>
      <c r="AI214">
        <v>4.1100000000000003</v>
      </c>
    </row>
    <row r="215" spans="1:35" x14ac:dyDescent="0.5">
      <c r="A215" s="35">
        <v>2007</v>
      </c>
      <c r="B215" t="s">
        <v>45</v>
      </c>
      <c r="C215" t="s">
        <v>149</v>
      </c>
      <c r="D215">
        <v>652</v>
      </c>
      <c r="E215">
        <v>162</v>
      </c>
      <c r="F215">
        <v>4</v>
      </c>
      <c r="G215">
        <v>9</v>
      </c>
      <c r="H215">
        <v>158</v>
      </c>
      <c r="I215">
        <v>30</v>
      </c>
      <c r="J215">
        <v>1438.2</v>
      </c>
      <c r="K215">
        <v>1491</v>
      </c>
      <c r="L215">
        <v>868</v>
      </c>
      <c r="M215" s="58">
        <f t="shared" si="12"/>
        <v>2007</v>
      </c>
      <c r="N215" s="58" t="s">
        <v>44</v>
      </c>
      <c r="O215" s="58" t="str">
        <f t="shared" si="15"/>
        <v>2007 Baltimore Orioles</v>
      </c>
      <c r="P215" s="58">
        <v>6418</v>
      </c>
      <c r="Q215" s="58">
        <f t="shared" si="13"/>
        <v>1030</v>
      </c>
      <c r="R215" s="58">
        <v>283</v>
      </c>
      <c r="S215" s="58">
        <v>17</v>
      </c>
      <c r="T215" s="58">
        <v>161</v>
      </c>
      <c r="U215" s="58">
        <v>696</v>
      </c>
      <c r="V215" s="58">
        <v>72</v>
      </c>
      <c r="W215" s="58">
        <f t="shared" si="14"/>
        <v>4159</v>
      </c>
      <c r="X215">
        <v>827</v>
      </c>
      <c r="Y215">
        <v>37</v>
      </c>
      <c r="Z215">
        <v>1087</v>
      </c>
      <c r="AA215">
        <v>41</v>
      </c>
      <c r="AB215">
        <v>50</v>
      </c>
      <c r="AC215">
        <v>55</v>
      </c>
      <c r="AD215">
        <v>8</v>
      </c>
      <c r="AE215">
        <v>133</v>
      </c>
      <c r="AF215">
        <v>56</v>
      </c>
      <c r="AG215">
        <v>69</v>
      </c>
      <c r="AH215">
        <v>93</v>
      </c>
      <c r="AI215">
        <v>5.17</v>
      </c>
    </row>
    <row r="216" spans="1:35" x14ac:dyDescent="0.5">
      <c r="A216" s="35">
        <v>2007</v>
      </c>
      <c r="B216" t="s">
        <v>47</v>
      </c>
      <c r="C216" t="s">
        <v>149</v>
      </c>
      <c r="D216">
        <v>613</v>
      </c>
      <c r="E216">
        <v>162</v>
      </c>
      <c r="F216">
        <v>5</v>
      </c>
      <c r="G216">
        <v>13</v>
      </c>
      <c r="H216">
        <v>157</v>
      </c>
      <c r="I216">
        <v>45</v>
      </c>
      <c r="J216">
        <v>1438.2</v>
      </c>
      <c r="K216">
        <v>1350</v>
      </c>
      <c r="L216">
        <v>657</v>
      </c>
      <c r="M216" s="58">
        <f t="shared" si="12"/>
        <v>2007</v>
      </c>
      <c r="N216" s="58" t="s">
        <v>46</v>
      </c>
      <c r="O216" s="58" t="str">
        <f t="shared" si="15"/>
        <v>2007 Boston Red Sox</v>
      </c>
      <c r="P216" s="58">
        <v>6071</v>
      </c>
      <c r="Q216" s="58">
        <f t="shared" si="13"/>
        <v>884</v>
      </c>
      <c r="R216" s="58">
        <v>295</v>
      </c>
      <c r="S216" s="58">
        <v>20</v>
      </c>
      <c r="T216" s="58">
        <v>151</v>
      </c>
      <c r="U216" s="58">
        <v>482</v>
      </c>
      <c r="V216" s="58">
        <v>62</v>
      </c>
      <c r="W216" s="58">
        <f t="shared" si="14"/>
        <v>4177</v>
      </c>
      <c r="X216">
        <v>618</v>
      </c>
      <c r="Y216">
        <v>20</v>
      </c>
      <c r="Z216">
        <v>1149</v>
      </c>
      <c r="AA216">
        <v>32</v>
      </c>
      <c r="AB216">
        <v>34</v>
      </c>
      <c r="AC216">
        <v>33</v>
      </c>
      <c r="AD216">
        <v>0</v>
      </c>
      <c r="AE216">
        <v>115</v>
      </c>
      <c r="AF216">
        <v>55</v>
      </c>
      <c r="AG216">
        <v>96</v>
      </c>
      <c r="AH216">
        <v>66</v>
      </c>
      <c r="AI216">
        <v>3.87</v>
      </c>
    </row>
    <row r="217" spans="1:35" x14ac:dyDescent="0.5">
      <c r="A217" s="35">
        <v>2007</v>
      </c>
      <c r="B217" t="s">
        <v>143</v>
      </c>
      <c r="C217" t="s">
        <v>38</v>
      </c>
      <c r="D217">
        <v>640</v>
      </c>
      <c r="E217">
        <v>162</v>
      </c>
      <c r="F217">
        <v>2</v>
      </c>
      <c r="G217">
        <v>10</v>
      </c>
      <c r="H217">
        <v>160</v>
      </c>
      <c r="I217">
        <v>39</v>
      </c>
      <c r="J217">
        <v>1446.2</v>
      </c>
      <c r="K217">
        <v>1340</v>
      </c>
      <c r="L217">
        <v>690</v>
      </c>
      <c r="M217" s="58">
        <f t="shared" si="12"/>
        <v>2007</v>
      </c>
      <c r="N217" s="58" t="s">
        <v>50</v>
      </c>
      <c r="O217" s="58" t="str">
        <f t="shared" si="15"/>
        <v>2007 Chicago Cubs</v>
      </c>
      <c r="P217" s="58">
        <v>6186</v>
      </c>
      <c r="Q217" s="58">
        <f t="shared" si="13"/>
        <v>866</v>
      </c>
      <c r="R217" s="58">
        <v>280</v>
      </c>
      <c r="S217" s="58">
        <v>29</v>
      </c>
      <c r="T217" s="58">
        <v>165</v>
      </c>
      <c r="U217" s="58">
        <v>573</v>
      </c>
      <c r="V217" s="58">
        <v>59</v>
      </c>
      <c r="W217" s="58">
        <f t="shared" si="14"/>
        <v>4214</v>
      </c>
      <c r="X217">
        <v>650</v>
      </c>
      <c r="Y217">
        <v>46</v>
      </c>
      <c r="Z217">
        <v>1211</v>
      </c>
      <c r="AA217">
        <v>68</v>
      </c>
      <c r="AB217">
        <v>33</v>
      </c>
      <c r="AC217">
        <v>42</v>
      </c>
      <c r="AD217">
        <v>3</v>
      </c>
      <c r="AE217">
        <v>117</v>
      </c>
      <c r="AF217">
        <v>64</v>
      </c>
      <c r="AG217">
        <v>85</v>
      </c>
      <c r="AH217">
        <v>77</v>
      </c>
      <c r="AI217">
        <v>4.04</v>
      </c>
    </row>
    <row r="218" spans="1:35" x14ac:dyDescent="0.5">
      <c r="A218" s="35">
        <v>2007</v>
      </c>
      <c r="B218" t="s">
        <v>143</v>
      </c>
      <c r="C218" t="s">
        <v>149</v>
      </c>
      <c r="D218">
        <v>625</v>
      </c>
      <c r="E218">
        <v>162</v>
      </c>
      <c r="F218">
        <v>9</v>
      </c>
      <c r="G218">
        <v>9</v>
      </c>
      <c r="H218">
        <v>153</v>
      </c>
      <c r="I218">
        <v>42</v>
      </c>
      <c r="J218">
        <v>1440.2</v>
      </c>
      <c r="K218">
        <v>1556</v>
      </c>
      <c r="L218">
        <v>839</v>
      </c>
      <c r="M218" s="58">
        <f t="shared" si="12"/>
        <v>2007</v>
      </c>
      <c r="N218" s="58" t="s">
        <v>48</v>
      </c>
      <c r="O218" s="58" t="str">
        <f t="shared" si="15"/>
        <v>2007 Chicago White Sox</v>
      </c>
      <c r="P218" s="58">
        <v>6293</v>
      </c>
      <c r="Q218" s="58">
        <f t="shared" si="13"/>
        <v>1049</v>
      </c>
      <c r="R218" s="58">
        <v>297</v>
      </c>
      <c r="S218" s="58">
        <v>36</v>
      </c>
      <c r="T218" s="58">
        <v>174</v>
      </c>
      <c r="U218" s="58">
        <v>499</v>
      </c>
      <c r="V218" s="58">
        <v>59</v>
      </c>
      <c r="W218" s="58">
        <f t="shared" si="14"/>
        <v>4179</v>
      </c>
      <c r="X218">
        <v>763</v>
      </c>
      <c r="Y218">
        <v>50</v>
      </c>
      <c r="Z218">
        <v>1015</v>
      </c>
      <c r="AA218">
        <v>46</v>
      </c>
      <c r="AB218">
        <v>58</v>
      </c>
      <c r="AC218">
        <v>45</v>
      </c>
      <c r="AD218">
        <v>0</v>
      </c>
      <c r="AE218">
        <v>138</v>
      </c>
      <c r="AF218">
        <v>76</v>
      </c>
      <c r="AG218">
        <v>72</v>
      </c>
      <c r="AH218">
        <v>90</v>
      </c>
      <c r="AI218">
        <v>4.7699999999999996</v>
      </c>
    </row>
    <row r="219" spans="1:35" x14ac:dyDescent="0.5">
      <c r="A219" s="35">
        <v>2007</v>
      </c>
      <c r="B219" t="s">
        <v>53</v>
      </c>
      <c r="C219" t="s">
        <v>38</v>
      </c>
      <c r="D219">
        <v>684</v>
      </c>
      <c r="E219">
        <v>162</v>
      </c>
      <c r="F219">
        <v>6</v>
      </c>
      <c r="G219">
        <v>7</v>
      </c>
      <c r="H219">
        <v>156</v>
      </c>
      <c r="I219">
        <v>34</v>
      </c>
      <c r="J219">
        <v>1449.2</v>
      </c>
      <c r="K219">
        <v>1605</v>
      </c>
      <c r="L219">
        <v>853</v>
      </c>
      <c r="M219" s="58">
        <f t="shared" si="12"/>
        <v>2007</v>
      </c>
      <c r="N219" s="58" t="s">
        <v>52</v>
      </c>
      <c r="O219" s="58" t="str">
        <f t="shared" si="15"/>
        <v>2007 Cincinnati Reds</v>
      </c>
      <c r="P219" s="58">
        <v>6354</v>
      </c>
      <c r="Q219" s="58">
        <f t="shared" si="13"/>
        <v>1036</v>
      </c>
      <c r="R219" s="58">
        <v>345</v>
      </c>
      <c r="S219" s="58">
        <v>26</v>
      </c>
      <c r="T219" s="58">
        <v>198</v>
      </c>
      <c r="U219" s="58">
        <v>482</v>
      </c>
      <c r="V219" s="58">
        <v>73</v>
      </c>
      <c r="W219" s="58">
        <f t="shared" si="14"/>
        <v>4194</v>
      </c>
      <c r="X219">
        <v>796</v>
      </c>
      <c r="Y219">
        <v>47</v>
      </c>
      <c r="Z219">
        <v>1068</v>
      </c>
      <c r="AA219">
        <v>61</v>
      </c>
      <c r="AB219">
        <v>49</v>
      </c>
      <c r="AC219">
        <v>54</v>
      </c>
      <c r="AD219">
        <v>5</v>
      </c>
      <c r="AE219">
        <v>130</v>
      </c>
      <c r="AF219">
        <v>62</v>
      </c>
      <c r="AG219">
        <v>72</v>
      </c>
      <c r="AH219">
        <v>90</v>
      </c>
      <c r="AI219">
        <v>4.9400000000000004</v>
      </c>
    </row>
    <row r="220" spans="1:35" x14ac:dyDescent="0.5">
      <c r="A220" s="35">
        <v>2007</v>
      </c>
      <c r="B220" t="s">
        <v>55</v>
      </c>
      <c r="C220" t="s">
        <v>149</v>
      </c>
      <c r="D220">
        <v>557</v>
      </c>
      <c r="E220">
        <v>162</v>
      </c>
      <c r="F220">
        <v>9</v>
      </c>
      <c r="G220">
        <v>9</v>
      </c>
      <c r="H220">
        <v>153</v>
      </c>
      <c r="I220">
        <v>49</v>
      </c>
      <c r="J220">
        <v>1462.2</v>
      </c>
      <c r="K220">
        <v>1519</v>
      </c>
      <c r="L220">
        <v>704</v>
      </c>
      <c r="M220" s="58">
        <f t="shared" si="12"/>
        <v>2007</v>
      </c>
      <c r="N220" s="58" t="s">
        <v>54</v>
      </c>
      <c r="O220" s="58" t="str">
        <f t="shared" si="15"/>
        <v>2007 Cleveland Indians</v>
      </c>
      <c r="P220" s="58">
        <v>6206</v>
      </c>
      <c r="Q220" s="58">
        <f t="shared" si="13"/>
        <v>1045</v>
      </c>
      <c r="R220" s="58">
        <v>306</v>
      </c>
      <c r="S220" s="58">
        <v>22</v>
      </c>
      <c r="T220" s="58">
        <v>146</v>
      </c>
      <c r="U220" s="58">
        <v>410</v>
      </c>
      <c r="V220" s="58">
        <v>56</v>
      </c>
      <c r="W220" s="58">
        <f t="shared" si="14"/>
        <v>4221</v>
      </c>
      <c r="X220">
        <v>658</v>
      </c>
      <c r="Y220">
        <v>42</v>
      </c>
      <c r="Z220">
        <v>1047</v>
      </c>
      <c r="AA220">
        <v>32</v>
      </c>
      <c r="AB220">
        <v>45</v>
      </c>
      <c r="AC220">
        <v>42</v>
      </c>
      <c r="AD220">
        <v>2</v>
      </c>
      <c r="AE220">
        <v>136</v>
      </c>
      <c r="AF220">
        <v>63</v>
      </c>
      <c r="AG220">
        <v>96</v>
      </c>
      <c r="AH220">
        <v>66</v>
      </c>
      <c r="AI220">
        <v>4.05</v>
      </c>
    </row>
    <row r="221" spans="1:35" x14ac:dyDescent="0.5">
      <c r="A221" s="35">
        <v>2007</v>
      </c>
      <c r="B221" t="s">
        <v>57</v>
      </c>
      <c r="C221" t="s">
        <v>38</v>
      </c>
      <c r="D221">
        <v>692</v>
      </c>
      <c r="E221">
        <v>163</v>
      </c>
      <c r="F221">
        <v>4</v>
      </c>
      <c r="G221">
        <v>7</v>
      </c>
      <c r="H221">
        <v>159</v>
      </c>
      <c r="I221">
        <v>39</v>
      </c>
      <c r="J221">
        <v>1472</v>
      </c>
      <c r="K221">
        <v>1497</v>
      </c>
      <c r="L221">
        <v>758</v>
      </c>
      <c r="M221" s="58">
        <f t="shared" si="12"/>
        <v>2007</v>
      </c>
      <c r="N221" s="58" t="s">
        <v>56</v>
      </c>
      <c r="O221" s="58" t="str">
        <f t="shared" si="15"/>
        <v>2007 Colorado Rockies</v>
      </c>
      <c r="P221" s="58">
        <v>6293</v>
      </c>
      <c r="Q221" s="58">
        <f t="shared" si="13"/>
        <v>990</v>
      </c>
      <c r="R221" s="58">
        <v>298</v>
      </c>
      <c r="S221" s="58">
        <v>45</v>
      </c>
      <c r="T221" s="58">
        <v>164</v>
      </c>
      <c r="U221" s="58">
        <v>504</v>
      </c>
      <c r="V221" s="58">
        <v>59</v>
      </c>
      <c r="W221" s="58">
        <f t="shared" si="14"/>
        <v>4233</v>
      </c>
      <c r="X221">
        <v>706</v>
      </c>
      <c r="Y221">
        <v>61</v>
      </c>
      <c r="Z221">
        <v>967</v>
      </c>
      <c r="AA221">
        <v>60</v>
      </c>
      <c r="AB221">
        <v>50</v>
      </c>
      <c r="AC221">
        <v>35</v>
      </c>
      <c r="AD221">
        <v>8</v>
      </c>
      <c r="AE221">
        <v>154</v>
      </c>
      <c r="AF221">
        <v>49</v>
      </c>
      <c r="AG221">
        <v>90</v>
      </c>
      <c r="AH221">
        <v>73</v>
      </c>
      <c r="AI221">
        <v>4.32</v>
      </c>
    </row>
    <row r="222" spans="1:35" x14ac:dyDescent="0.5">
      <c r="A222" s="35">
        <v>2007</v>
      </c>
      <c r="B222" t="s">
        <v>59</v>
      </c>
      <c r="C222" t="s">
        <v>149</v>
      </c>
      <c r="D222">
        <v>605</v>
      </c>
      <c r="E222">
        <v>162</v>
      </c>
      <c r="F222">
        <v>1</v>
      </c>
      <c r="G222">
        <v>9</v>
      </c>
      <c r="H222">
        <v>161</v>
      </c>
      <c r="I222">
        <v>44</v>
      </c>
      <c r="J222">
        <v>1447.1</v>
      </c>
      <c r="K222">
        <v>1498</v>
      </c>
      <c r="L222">
        <v>797</v>
      </c>
      <c r="M222" s="58">
        <f t="shared" si="12"/>
        <v>2007</v>
      </c>
      <c r="N222" s="58" t="s">
        <v>58</v>
      </c>
      <c r="O222" s="58" t="str">
        <f t="shared" si="15"/>
        <v>2007 Detroit Tigers</v>
      </c>
      <c r="P222" s="58">
        <v>6345</v>
      </c>
      <c r="Q222" s="58">
        <f t="shared" si="13"/>
        <v>990</v>
      </c>
      <c r="R222" s="58">
        <v>288</v>
      </c>
      <c r="S222" s="58">
        <v>46</v>
      </c>
      <c r="T222" s="58">
        <v>174</v>
      </c>
      <c r="U222" s="58">
        <v>566</v>
      </c>
      <c r="V222" s="58">
        <v>68</v>
      </c>
      <c r="W222" s="58">
        <f t="shared" si="14"/>
        <v>4213</v>
      </c>
      <c r="X222">
        <v>735</v>
      </c>
      <c r="Y222">
        <v>41</v>
      </c>
      <c r="Z222">
        <v>1047</v>
      </c>
      <c r="AA222">
        <v>35</v>
      </c>
      <c r="AB222">
        <v>49</v>
      </c>
      <c r="AC222">
        <v>75</v>
      </c>
      <c r="AD222">
        <v>8</v>
      </c>
      <c r="AE222">
        <v>125</v>
      </c>
      <c r="AF222">
        <v>72</v>
      </c>
      <c r="AG222">
        <v>88</v>
      </c>
      <c r="AH222">
        <v>74</v>
      </c>
      <c r="AI222">
        <v>4.57</v>
      </c>
    </row>
    <row r="223" spans="1:35" x14ac:dyDescent="0.5">
      <c r="A223" s="35">
        <v>2007</v>
      </c>
      <c r="B223" t="s">
        <v>146</v>
      </c>
      <c r="C223" t="s">
        <v>38</v>
      </c>
      <c r="D223">
        <v>722</v>
      </c>
      <c r="E223">
        <v>162</v>
      </c>
      <c r="F223">
        <v>0</v>
      </c>
      <c r="G223">
        <v>4</v>
      </c>
      <c r="H223">
        <v>162</v>
      </c>
      <c r="I223">
        <v>40</v>
      </c>
      <c r="J223">
        <v>1443.2</v>
      </c>
      <c r="K223">
        <v>1617</v>
      </c>
      <c r="L223">
        <v>891</v>
      </c>
      <c r="M223" s="58">
        <f t="shared" si="12"/>
        <v>2007</v>
      </c>
      <c r="N223" s="58" t="s">
        <v>60</v>
      </c>
      <c r="O223" s="58" t="str">
        <f t="shared" si="15"/>
        <v>2007 Florida Marlins</v>
      </c>
      <c r="P223" s="58">
        <v>6544</v>
      </c>
      <c r="Q223" s="58">
        <f t="shared" si="13"/>
        <v>1108</v>
      </c>
      <c r="R223" s="58">
        <v>302</v>
      </c>
      <c r="S223" s="58">
        <v>31</v>
      </c>
      <c r="T223" s="58">
        <v>176</v>
      </c>
      <c r="U223" s="58">
        <v>661</v>
      </c>
      <c r="V223" s="58">
        <v>76</v>
      </c>
      <c r="W223" s="58">
        <f t="shared" si="14"/>
        <v>4190</v>
      </c>
      <c r="X223">
        <v>793</v>
      </c>
      <c r="Y223">
        <v>60</v>
      </c>
      <c r="Z223">
        <v>1142</v>
      </c>
      <c r="AA223">
        <v>77</v>
      </c>
      <c r="AB223">
        <v>57</v>
      </c>
      <c r="AC223">
        <v>67</v>
      </c>
      <c r="AD223">
        <v>9</v>
      </c>
      <c r="AE223">
        <v>128</v>
      </c>
      <c r="AF223">
        <v>87</v>
      </c>
      <c r="AG223">
        <v>71</v>
      </c>
      <c r="AH223">
        <v>91</v>
      </c>
      <c r="AI223">
        <v>4.9400000000000004</v>
      </c>
    </row>
    <row r="224" spans="1:35" x14ac:dyDescent="0.5">
      <c r="A224" s="35">
        <v>2007</v>
      </c>
      <c r="B224" t="s">
        <v>63</v>
      </c>
      <c r="C224" t="s">
        <v>38</v>
      </c>
      <c r="D224">
        <v>638</v>
      </c>
      <c r="E224">
        <v>162</v>
      </c>
      <c r="F224">
        <v>2</v>
      </c>
      <c r="G224">
        <v>6</v>
      </c>
      <c r="H224">
        <v>160</v>
      </c>
      <c r="I224">
        <v>38</v>
      </c>
      <c r="J224">
        <v>1464.2</v>
      </c>
      <c r="K224">
        <v>1566</v>
      </c>
      <c r="L224">
        <v>813</v>
      </c>
      <c r="M224" s="58">
        <f t="shared" si="12"/>
        <v>2007</v>
      </c>
      <c r="N224" s="58" t="s">
        <v>62</v>
      </c>
      <c r="O224" s="58" t="str">
        <f t="shared" si="15"/>
        <v>2007 Houston Astros</v>
      </c>
      <c r="P224" s="58">
        <v>6417</v>
      </c>
      <c r="Q224" s="58">
        <f t="shared" si="13"/>
        <v>978</v>
      </c>
      <c r="R224" s="58">
        <v>345</v>
      </c>
      <c r="S224" s="58">
        <v>37</v>
      </c>
      <c r="T224" s="58">
        <v>206</v>
      </c>
      <c r="U224" s="58">
        <v>510</v>
      </c>
      <c r="V224" s="58">
        <v>63</v>
      </c>
      <c r="W224" s="58">
        <f t="shared" si="14"/>
        <v>4278</v>
      </c>
      <c r="X224">
        <v>761</v>
      </c>
      <c r="Y224">
        <v>62</v>
      </c>
      <c r="Z224">
        <v>1109</v>
      </c>
      <c r="AA224">
        <v>63</v>
      </c>
      <c r="AB224">
        <v>52</v>
      </c>
      <c r="AC224">
        <v>40</v>
      </c>
      <c r="AD224">
        <v>3</v>
      </c>
      <c r="AE224">
        <v>112</v>
      </c>
      <c r="AF224">
        <v>71</v>
      </c>
      <c r="AG224">
        <v>73</v>
      </c>
      <c r="AH224">
        <v>89</v>
      </c>
      <c r="AI224">
        <v>4.68</v>
      </c>
    </row>
    <row r="225" spans="1:35" x14ac:dyDescent="0.5">
      <c r="A225" s="35">
        <v>2007</v>
      </c>
      <c r="B225" t="s">
        <v>150</v>
      </c>
      <c r="C225" t="s">
        <v>149</v>
      </c>
      <c r="D225">
        <v>610</v>
      </c>
      <c r="E225">
        <v>162</v>
      </c>
      <c r="F225">
        <v>2</v>
      </c>
      <c r="G225">
        <v>6</v>
      </c>
      <c r="H225">
        <v>160</v>
      </c>
      <c r="I225">
        <v>36</v>
      </c>
      <c r="J225">
        <v>1437.1</v>
      </c>
      <c r="K225">
        <v>1547</v>
      </c>
      <c r="L225">
        <v>778</v>
      </c>
      <c r="M225" s="58">
        <f t="shared" si="12"/>
        <v>2007</v>
      </c>
      <c r="N225" s="58" t="s">
        <v>64</v>
      </c>
      <c r="O225" s="58" t="str">
        <f t="shared" si="15"/>
        <v>2007 Kansas City Royals</v>
      </c>
      <c r="P225" s="58">
        <v>6253</v>
      </c>
      <c r="Q225" s="58">
        <f t="shared" si="13"/>
        <v>969</v>
      </c>
      <c r="R225" s="58">
        <v>380</v>
      </c>
      <c r="S225" s="58">
        <v>30</v>
      </c>
      <c r="T225" s="58">
        <v>168</v>
      </c>
      <c r="U225" s="58">
        <v>520</v>
      </c>
      <c r="V225" s="58">
        <v>41</v>
      </c>
      <c r="W225" s="58">
        <f t="shared" si="14"/>
        <v>4145</v>
      </c>
      <c r="X225">
        <v>716</v>
      </c>
      <c r="Y225">
        <v>54</v>
      </c>
      <c r="Z225">
        <v>993</v>
      </c>
      <c r="AA225">
        <v>38</v>
      </c>
      <c r="AB225">
        <v>59</v>
      </c>
      <c r="AC225">
        <v>56</v>
      </c>
      <c r="AD225">
        <v>4</v>
      </c>
      <c r="AE225">
        <v>138</v>
      </c>
      <c r="AF225">
        <v>59</v>
      </c>
      <c r="AG225">
        <v>69</v>
      </c>
      <c r="AH225">
        <v>93</v>
      </c>
      <c r="AI225">
        <v>4.4800000000000004</v>
      </c>
    </row>
    <row r="226" spans="1:35" x14ac:dyDescent="0.5">
      <c r="A226" s="35">
        <v>2007</v>
      </c>
      <c r="B226" t="s">
        <v>145</v>
      </c>
      <c r="C226" t="s">
        <v>38</v>
      </c>
      <c r="D226">
        <v>645</v>
      </c>
      <c r="E226">
        <v>162</v>
      </c>
      <c r="F226">
        <v>4</v>
      </c>
      <c r="G226">
        <v>6</v>
      </c>
      <c r="H226">
        <v>158</v>
      </c>
      <c r="I226">
        <v>43</v>
      </c>
      <c r="J226">
        <v>1450</v>
      </c>
      <c r="K226">
        <v>1443</v>
      </c>
      <c r="L226">
        <v>727</v>
      </c>
      <c r="M226" s="58">
        <f t="shared" si="12"/>
        <v>2007</v>
      </c>
      <c r="N226" s="58" t="s">
        <v>66</v>
      </c>
      <c r="O226" s="58" t="str">
        <f t="shared" si="15"/>
        <v>2007 Los Angeles Dodgers</v>
      </c>
      <c r="P226" s="58">
        <v>6196</v>
      </c>
      <c r="Q226" s="58">
        <f t="shared" si="13"/>
        <v>996</v>
      </c>
      <c r="R226" s="58">
        <v>279</v>
      </c>
      <c r="S226" s="58">
        <v>22</v>
      </c>
      <c r="T226" s="58">
        <v>146</v>
      </c>
      <c r="U226" s="58">
        <v>518</v>
      </c>
      <c r="V226" s="58">
        <v>38</v>
      </c>
      <c r="W226" s="58">
        <f t="shared" si="14"/>
        <v>4197</v>
      </c>
      <c r="X226">
        <v>677</v>
      </c>
      <c r="Y226">
        <v>34</v>
      </c>
      <c r="Z226">
        <v>1184</v>
      </c>
      <c r="AA226">
        <v>70</v>
      </c>
      <c r="AB226">
        <v>42</v>
      </c>
      <c r="AC226">
        <v>44</v>
      </c>
      <c r="AD226">
        <v>5</v>
      </c>
      <c r="AE226">
        <v>142</v>
      </c>
      <c r="AF226">
        <v>72</v>
      </c>
      <c r="AG226">
        <v>82</v>
      </c>
      <c r="AH226">
        <v>80</v>
      </c>
      <c r="AI226">
        <v>4.2</v>
      </c>
    </row>
    <row r="227" spans="1:35" x14ac:dyDescent="0.5">
      <c r="A227" s="35">
        <v>2007</v>
      </c>
      <c r="B227" t="s">
        <v>69</v>
      </c>
      <c r="C227" t="s">
        <v>38</v>
      </c>
      <c r="D227">
        <v>654</v>
      </c>
      <c r="E227">
        <v>162</v>
      </c>
      <c r="F227">
        <v>3</v>
      </c>
      <c r="G227">
        <v>6</v>
      </c>
      <c r="H227">
        <v>159</v>
      </c>
      <c r="I227">
        <v>49</v>
      </c>
      <c r="J227">
        <v>1444.1</v>
      </c>
      <c r="K227">
        <v>1513</v>
      </c>
      <c r="L227">
        <v>776</v>
      </c>
      <c r="M227" s="58">
        <f t="shared" si="12"/>
        <v>2007</v>
      </c>
      <c r="N227" s="58" t="s">
        <v>68</v>
      </c>
      <c r="O227" s="58" t="str">
        <f t="shared" si="15"/>
        <v>2007 Milwaukee Brewers</v>
      </c>
      <c r="P227" s="58">
        <v>6285</v>
      </c>
      <c r="Q227" s="58">
        <f t="shared" si="13"/>
        <v>1005</v>
      </c>
      <c r="R227" s="58">
        <v>321</v>
      </c>
      <c r="S227" s="58">
        <v>26</v>
      </c>
      <c r="T227" s="58">
        <v>161</v>
      </c>
      <c r="U227" s="58">
        <v>507</v>
      </c>
      <c r="V227" s="58">
        <v>52</v>
      </c>
      <c r="W227" s="58">
        <f t="shared" si="14"/>
        <v>4213</v>
      </c>
      <c r="X227">
        <v>708</v>
      </c>
      <c r="Y227">
        <v>37</v>
      </c>
      <c r="Z227">
        <v>1174</v>
      </c>
      <c r="AA227">
        <v>58</v>
      </c>
      <c r="AB227">
        <v>48</v>
      </c>
      <c r="AC227">
        <v>57</v>
      </c>
      <c r="AD227">
        <v>2</v>
      </c>
      <c r="AE227">
        <v>125</v>
      </c>
      <c r="AF227">
        <v>77</v>
      </c>
      <c r="AG227">
        <v>83</v>
      </c>
      <c r="AH227">
        <v>79</v>
      </c>
      <c r="AI227">
        <v>4.41</v>
      </c>
    </row>
    <row r="228" spans="1:35" x14ac:dyDescent="0.5">
      <c r="A228" s="35">
        <v>2007</v>
      </c>
      <c r="B228" t="s">
        <v>71</v>
      </c>
      <c r="C228" t="s">
        <v>149</v>
      </c>
      <c r="D228">
        <v>600</v>
      </c>
      <c r="E228">
        <v>162</v>
      </c>
      <c r="F228">
        <v>5</v>
      </c>
      <c r="G228">
        <v>8</v>
      </c>
      <c r="H228">
        <v>157</v>
      </c>
      <c r="I228">
        <v>38</v>
      </c>
      <c r="J228">
        <v>1436.2</v>
      </c>
      <c r="K228">
        <v>1505</v>
      </c>
      <c r="L228">
        <v>725</v>
      </c>
      <c r="M228" s="58">
        <f t="shared" si="12"/>
        <v>2007</v>
      </c>
      <c r="N228" s="58" t="s">
        <v>70</v>
      </c>
      <c r="O228" s="58" t="str">
        <f t="shared" si="15"/>
        <v>2007 Minnesota Twins</v>
      </c>
      <c r="P228" s="58">
        <v>6133</v>
      </c>
      <c r="Q228" s="58">
        <f t="shared" si="13"/>
        <v>996</v>
      </c>
      <c r="R228" s="58">
        <v>297</v>
      </c>
      <c r="S228" s="58">
        <v>27</v>
      </c>
      <c r="T228" s="58">
        <v>185</v>
      </c>
      <c r="U228" s="58">
        <v>420</v>
      </c>
      <c r="V228" s="58">
        <v>51</v>
      </c>
      <c r="W228" s="58">
        <f t="shared" si="14"/>
        <v>4157</v>
      </c>
      <c r="X228">
        <v>663</v>
      </c>
      <c r="Y228">
        <v>33</v>
      </c>
      <c r="Z228">
        <v>1094</v>
      </c>
      <c r="AA228">
        <v>34</v>
      </c>
      <c r="AB228">
        <v>40</v>
      </c>
      <c r="AC228">
        <v>46</v>
      </c>
      <c r="AD228">
        <v>5</v>
      </c>
      <c r="AE228">
        <v>128</v>
      </c>
      <c r="AF228">
        <v>62</v>
      </c>
      <c r="AG228">
        <v>79</v>
      </c>
      <c r="AH228">
        <v>83</v>
      </c>
      <c r="AI228">
        <v>4.1500000000000004</v>
      </c>
    </row>
    <row r="229" spans="1:35" x14ac:dyDescent="0.5">
      <c r="A229" s="35">
        <v>2007</v>
      </c>
      <c r="B229" t="s">
        <v>144</v>
      </c>
      <c r="C229" t="s">
        <v>38</v>
      </c>
      <c r="D229">
        <v>661</v>
      </c>
      <c r="E229">
        <v>162</v>
      </c>
      <c r="F229">
        <v>2</v>
      </c>
      <c r="G229">
        <v>10</v>
      </c>
      <c r="H229">
        <v>160</v>
      </c>
      <c r="I229">
        <v>39</v>
      </c>
      <c r="J229">
        <v>1452.1</v>
      </c>
      <c r="K229">
        <v>1415</v>
      </c>
      <c r="L229">
        <v>750</v>
      </c>
      <c r="M229" s="58">
        <f t="shared" si="12"/>
        <v>2007</v>
      </c>
      <c r="N229" s="58" t="s">
        <v>76</v>
      </c>
      <c r="O229" s="58" t="str">
        <f t="shared" si="15"/>
        <v>2007 New York Mets</v>
      </c>
      <c r="P229" s="58">
        <v>6293</v>
      </c>
      <c r="Q229" s="58">
        <f t="shared" si="13"/>
        <v>921</v>
      </c>
      <c r="R229" s="58">
        <v>296</v>
      </c>
      <c r="S229" s="58">
        <v>33</v>
      </c>
      <c r="T229" s="58">
        <v>165</v>
      </c>
      <c r="U229" s="58">
        <v>570</v>
      </c>
      <c r="V229" s="58">
        <v>61</v>
      </c>
      <c r="W229" s="58">
        <f t="shared" si="14"/>
        <v>4247</v>
      </c>
      <c r="X229">
        <v>687</v>
      </c>
      <c r="Y229">
        <v>40</v>
      </c>
      <c r="Z229">
        <v>1134</v>
      </c>
      <c r="AA229">
        <v>66</v>
      </c>
      <c r="AB229">
        <v>38</v>
      </c>
      <c r="AC229">
        <v>36</v>
      </c>
      <c r="AD229">
        <v>3</v>
      </c>
      <c r="AE229">
        <v>110</v>
      </c>
      <c r="AF229">
        <v>66</v>
      </c>
      <c r="AG229">
        <v>88</v>
      </c>
      <c r="AH229">
        <v>74</v>
      </c>
      <c r="AI229">
        <v>4.26</v>
      </c>
    </row>
    <row r="230" spans="1:35" x14ac:dyDescent="0.5">
      <c r="A230" s="35">
        <v>2007</v>
      </c>
      <c r="B230" t="s">
        <v>144</v>
      </c>
      <c r="C230" t="s">
        <v>149</v>
      </c>
      <c r="D230">
        <v>684</v>
      </c>
      <c r="E230">
        <v>162</v>
      </c>
      <c r="F230">
        <v>1</v>
      </c>
      <c r="G230">
        <v>5</v>
      </c>
      <c r="H230">
        <v>161</v>
      </c>
      <c r="I230">
        <v>34</v>
      </c>
      <c r="J230">
        <v>1450.2</v>
      </c>
      <c r="K230">
        <v>1498</v>
      </c>
      <c r="L230">
        <v>777</v>
      </c>
      <c r="M230" s="58">
        <f t="shared" si="12"/>
        <v>2007</v>
      </c>
      <c r="N230" s="58" t="s">
        <v>74</v>
      </c>
      <c r="O230" s="58" t="str">
        <f t="shared" si="15"/>
        <v>2007 New York Yankees</v>
      </c>
      <c r="P230" s="58">
        <v>6308</v>
      </c>
      <c r="Q230" s="58">
        <f t="shared" si="13"/>
        <v>994</v>
      </c>
      <c r="R230" s="58">
        <v>327</v>
      </c>
      <c r="S230" s="58">
        <v>27</v>
      </c>
      <c r="T230" s="58">
        <v>150</v>
      </c>
      <c r="U230" s="58">
        <v>578</v>
      </c>
      <c r="V230" s="58">
        <v>60</v>
      </c>
      <c r="W230" s="58">
        <f t="shared" si="14"/>
        <v>4172</v>
      </c>
      <c r="X230">
        <v>724</v>
      </c>
      <c r="Y230">
        <v>33</v>
      </c>
      <c r="Z230">
        <v>1009</v>
      </c>
      <c r="AA230">
        <v>31</v>
      </c>
      <c r="AB230">
        <v>51</v>
      </c>
      <c r="AC230">
        <v>59</v>
      </c>
      <c r="AD230">
        <v>6</v>
      </c>
      <c r="AE230">
        <v>151</v>
      </c>
      <c r="AF230">
        <v>64</v>
      </c>
      <c r="AG230">
        <v>94</v>
      </c>
      <c r="AH230">
        <v>68</v>
      </c>
      <c r="AI230">
        <v>4.49</v>
      </c>
    </row>
    <row r="231" spans="1:35" x14ac:dyDescent="0.5">
      <c r="A231" s="35">
        <v>2007</v>
      </c>
      <c r="B231" t="s">
        <v>79</v>
      </c>
      <c r="C231" t="s">
        <v>149</v>
      </c>
      <c r="D231">
        <v>608</v>
      </c>
      <c r="E231">
        <v>162</v>
      </c>
      <c r="F231">
        <v>4</v>
      </c>
      <c r="G231">
        <v>9</v>
      </c>
      <c r="H231">
        <v>158</v>
      </c>
      <c r="I231">
        <v>36</v>
      </c>
      <c r="J231">
        <v>1448</v>
      </c>
      <c r="K231">
        <v>1468</v>
      </c>
      <c r="L231">
        <v>758</v>
      </c>
      <c r="M231" s="58">
        <f t="shared" si="12"/>
        <v>2007</v>
      </c>
      <c r="N231" s="58" t="s">
        <v>78</v>
      </c>
      <c r="O231" s="58" t="str">
        <f t="shared" si="15"/>
        <v>2007 Oakland Athletics</v>
      </c>
      <c r="P231" s="58">
        <v>6247</v>
      </c>
      <c r="Q231" s="58">
        <f t="shared" si="13"/>
        <v>1003</v>
      </c>
      <c r="R231" s="58">
        <v>282</v>
      </c>
      <c r="S231" s="58">
        <v>45</v>
      </c>
      <c r="T231" s="58">
        <v>138</v>
      </c>
      <c r="U231" s="58">
        <v>530</v>
      </c>
      <c r="V231" s="58">
        <v>43</v>
      </c>
      <c r="W231" s="58">
        <f t="shared" si="14"/>
        <v>4206</v>
      </c>
      <c r="X231">
        <v>689</v>
      </c>
      <c r="Y231">
        <v>60</v>
      </c>
      <c r="Z231">
        <v>1036</v>
      </c>
      <c r="AA231">
        <v>40</v>
      </c>
      <c r="AB231">
        <v>60</v>
      </c>
      <c r="AC231">
        <v>52</v>
      </c>
      <c r="AD231">
        <v>4</v>
      </c>
      <c r="AE231">
        <v>135</v>
      </c>
      <c r="AF231">
        <v>60</v>
      </c>
      <c r="AG231">
        <v>76</v>
      </c>
      <c r="AH231">
        <v>86</v>
      </c>
      <c r="AI231">
        <v>4.28</v>
      </c>
    </row>
    <row r="232" spans="1:35" x14ac:dyDescent="0.5">
      <c r="A232" s="35">
        <v>2007</v>
      </c>
      <c r="B232" t="s">
        <v>81</v>
      </c>
      <c r="C232" t="s">
        <v>38</v>
      </c>
      <c r="D232">
        <v>660</v>
      </c>
      <c r="E232">
        <v>162</v>
      </c>
      <c r="F232">
        <v>5</v>
      </c>
      <c r="G232">
        <v>5</v>
      </c>
      <c r="H232">
        <v>157</v>
      </c>
      <c r="I232">
        <v>42</v>
      </c>
      <c r="J232">
        <v>1458.1</v>
      </c>
      <c r="K232">
        <v>1555</v>
      </c>
      <c r="L232">
        <v>821</v>
      </c>
      <c r="M232" s="58">
        <f t="shared" si="12"/>
        <v>2007</v>
      </c>
      <c r="N232" s="58" t="s">
        <v>80</v>
      </c>
      <c r="O232" s="58" t="str">
        <f t="shared" si="15"/>
        <v>2007 Philadelphia Phillies</v>
      </c>
      <c r="P232" s="58">
        <v>6385</v>
      </c>
      <c r="Q232" s="58">
        <f t="shared" si="13"/>
        <v>986</v>
      </c>
      <c r="R232" s="58">
        <v>345</v>
      </c>
      <c r="S232" s="58">
        <v>26</v>
      </c>
      <c r="T232" s="58">
        <v>198</v>
      </c>
      <c r="U232" s="58">
        <v>558</v>
      </c>
      <c r="V232" s="58">
        <v>72</v>
      </c>
      <c r="W232" s="58">
        <f t="shared" si="14"/>
        <v>4200</v>
      </c>
      <c r="X232">
        <v>767</v>
      </c>
      <c r="Y232">
        <v>62</v>
      </c>
      <c r="Z232">
        <v>1050</v>
      </c>
      <c r="AA232">
        <v>66</v>
      </c>
      <c r="AB232">
        <v>47</v>
      </c>
      <c r="AC232">
        <v>46</v>
      </c>
      <c r="AD232">
        <v>3</v>
      </c>
      <c r="AE232">
        <v>135</v>
      </c>
      <c r="AF232">
        <v>64</v>
      </c>
      <c r="AG232">
        <v>89</v>
      </c>
      <c r="AH232">
        <v>73</v>
      </c>
      <c r="AI232">
        <v>4.7300000000000004</v>
      </c>
    </row>
    <row r="233" spans="1:35" x14ac:dyDescent="0.5">
      <c r="A233" s="35">
        <v>2007</v>
      </c>
      <c r="B233" t="s">
        <v>83</v>
      </c>
      <c r="C233" t="s">
        <v>38</v>
      </c>
      <c r="D233">
        <v>657</v>
      </c>
      <c r="E233">
        <v>162</v>
      </c>
      <c r="F233">
        <v>4</v>
      </c>
      <c r="G233">
        <v>5</v>
      </c>
      <c r="H233">
        <v>158</v>
      </c>
      <c r="I233">
        <v>32</v>
      </c>
      <c r="J233">
        <v>1447.2</v>
      </c>
      <c r="K233">
        <v>1627</v>
      </c>
      <c r="L233">
        <v>846</v>
      </c>
      <c r="M233" s="58">
        <f t="shared" si="12"/>
        <v>2007</v>
      </c>
      <c r="N233" s="58" t="s">
        <v>82</v>
      </c>
      <c r="O233" s="58" t="str">
        <f t="shared" si="15"/>
        <v>2007 Pittsburgh Pirates</v>
      </c>
      <c r="P233" s="58">
        <v>6374</v>
      </c>
      <c r="Q233" s="58">
        <f t="shared" si="13"/>
        <v>1095</v>
      </c>
      <c r="R233" s="58">
        <v>337</v>
      </c>
      <c r="S233" s="58">
        <v>21</v>
      </c>
      <c r="T233" s="58">
        <v>174</v>
      </c>
      <c r="U233" s="58">
        <v>518</v>
      </c>
      <c r="V233" s="58">
        <v>76</v>
      </c>
      <c r="W233" s="58">
        <f t="shared" si="14"/>
        <v>4153</v>
      </c>
      <c r="X233">
        <v>793</v>
      </c>
      <c r="Y233">
        <v>55</v>
      </c>
      <c r="Z233">
        <v>997</v>
      </c>
      <c r="AA233">
        <v>66</v>
      </c>
      <c r="AB233">
        <v>60</v>
      </c>
      <c r="AC233">
        <v>45</v>
      </c>
      <c r="AD233">
        <v>3</v>
      </c>
      <c r="AE233">
        <v>163</v>
      </c>
      <c r="AF233">
        <v>57</v>
      </c>
      <c r="AG233">
        <v>68</v>
      </c>
      <c r="AH233">
        <v>94</v>
      </c>
      <c r="AI233">
        <v>4.93</v>
      </c>
    </row>
    <row r="234" spans="1:35" x14ac:dyDescent="0.5">
      <c r="A234" s="35">
        <v>2007</v>
      </c>
      <c r="B234" t="s">
        <v>147</v>
      </c>
      <c r="C234" t="s">
        <v>38</v>
      </c>
      <c r="D234">
        <v>648</v>
      </c>
      <c r="E234">
        <v>163</v>
      </c>
      <c r="F234">
        <v>1</v>
      </c>
      <c r="G234">
        <v>20</v>
      </c>
      <c r="H234">
        <v>162</v>
      </c>
      <c r="I234">
        <v>45</v>
      </c>
      <c r="J234">
        <v>1484.2</v>
      </c>
      <c r="K234">
        <v>1406</v>
      </c>
      <c r="L234">
        <v>666</v>
      </c>
      <c r="M234" s="58">
        <f t="shared" si="12"/>
        <v>2007</v>
      </c>
      <c r="N234" s="58" t="s">
        <v>84</v>
      </c>
      <c r="O234" s="58" t="str">
        <f t="shared" si="15"/>
        <v>2007 San Diego Padres</v>
      </c>
      <c r="P234" s="58">
        <v>6254</v>
      </c>
      <c r="Q234" s="58">
        <f t="shared" si="13"/>
        <v>979</v>
      </c>
      <c r="R234" s="58">
        <v>270</v>
      </c>
      <c r="S234" s="58">
        <v>38</v>
      </c>
      <c r="T234" s="58">
        <v>119</v>
      </c>
      <c r="U234" s="58">
        <v>474</v>
      </c>
      <c r="V234" s="58">
        <v>48</v>
      </c>
      <c r="W234" s="58">
        <f t="shared" si="14"/>
        <v>4326</v>
      </c>
      <c r="X234">
        <v>611</v>
      </c>
      <c r="Y234">
        <v>48</v>
      </c>
      <c r="Z234">
        <v>1136</v>
      </c>
      <c r="AA234">
        <v>58</v>
      </c>
      <c r="AB234">
        <v>39</v>
      </c>
      <c r="AC234">
        <v>42</v>
      </c>
      <c r="AD234">
        <v>6</v>
      </c>
      <c r="AE234">
        <v>126</v>
      </c>
      <c r="AF234">
        <v>64</v>
      </c>
      <c r="AG234">
        <v>89</v>
      </c>
      <c r="AH234">
        <v>74</v>
      </c>
      <c r="AI234">
        <v>3.7</v>
      </c>
    </row>
    <row r="235" spans="1:35" x14ac:dyDescent="0.5">
      <c r="A235" s="35">
        <v>2007</v>
      </c>
      <c r="B235" t="s">
        <v>87</v>
      </c>
      <c r="C235" t="s">
        <v>149</v>
      </c>
      <c r="D235">
        <v>618</v>
      </c>
      <c r="E235">
        <v>162</v>
      </c>
      <c r="F235">
        <v>6</v>
      </c>
      <c r="G235">
        <v>12</v>
      </c>
      <c r="H235">
        <v>156</v>
      </c>
      <c r="I235">
        <v>43</v>
      </c>
      <c r="J235">
        <v>1434.1</v>
      </c>
      <c r="K235">
        <v>1578</v>
      </c>
      <c r="L235">
        <v>813</v>
      </c>
      <c r="M235" s="58">
        <f t="shared" si="12"/>
        <v>2007</v>
      </c>
      <c r="N235" s="58" t="s">
        <v>86</v>
      </c>
      <c r="O235" s="58" t="str">
        <f t="shared" si="15"/>
        <v>2007 Seattle Mariners</v>
      </c>
      <c r="P235" s="58">
        <v>6313</v>
      </c>
      <c r="Q235" s="58">
        <f t="shared" si="13"/>
        <v>1066</v>
      </c>
      <c r="R235" s="58">
        <v>331</v>
      </c>
      <c r="S235" s="58">
        <v>34</v>
      </c>
      <c r="T235" s="58">
        <v>147</v>
      </c>
      <c r="U235" s="58">
        <v>546</v>
      </c>
      <c r="V235" s="58">
        <v>62</v>
      </c>
      <c r="W235" s="58">
        <f t="shared" si="14"/>
        <v>4127</v>
      </c>
      <c r="X235">
        <v>754</v>
      </c>
      <c r="Y235">
        <v>39</v>
      </c>
      <c r="Z235">
        <v>1020</v>
      </c>
      <c r="AA235">
        <v>47</v>
      </c>
      <c r="AB235">
        <v>50</v>
      </c>
      <c r="AC235">
        <v>59</v>
      </c>
      <c r="AD235">
        <v>10</v>
      </c>
      <c r="AE235">
        <v>140</v>
      </c>
      <c r="AF235">
        <v>57</v>
      </c>
      <c r="AG235">
        <v>88</v>
      </c>
      <c r="AH235">
        <v>74</v>
      </c>
      <c r="AI235">
        <v>4.7300000000000004</v>
      </c>
    </row>
    <row r="236" spans="1:35" x14ac:dyDescent="0.5">
      <c r="A236" s="35">
        <v>2007</v>
      </c>
      <c r="B236" t="s">
        <v>21</v>
      </c>
      <c r="C236" t="s">
        <v>38</v>
      </c>
      <c r="D236">
        <v>658</v>
      </c>
      <c r="E236">
        <v>162</v>
      </c>
      <c r="F236">
        <v>5</v>
      </c>
      <c r="G236">
        <v>10</v>
      </c>
      <c r="H236">
        <v>157</v>
      </c>
      <c r="I236">
        <v>37</v>
      </c>
      <c r="J236">
        <v>1453.2</v>
      </c>
      <c r="K236">
        <v>1442</v>
      </c>
      <c r="L236">
        <v>720</v>
      </c>
      <c r="M236" s="58">
        <f t="shared" si="12"/>
        <v>2007</v>
      </c>
      <c r="N236" s="58" t="s">
        <v>88</v>
      </c>
      <c r="O236" s="58" t="str">
        <f t="shared" si="15"/>
        <v>2007 San Francisco Giants</v>
      </c>
      <c r="P236" s="58">
        <v>6299</v>
      </c>
      <c r="Q236" s="58">
        <f t="shared" si="13"/>
        <v>948</v>
      </c>
      <c r="R236" s="58">
        <v>320</v>
      </c>
      <c r="S236" s="58">
        <v>41</v>
      </c>
      <c r="T236" s="58">
        <v>133</v>
      </c>
      <c r="U236" s="58">
        <v>593</v>
      </c>
      <c r="V236" s="58">
        <v>47</v>
      </c>
      <c r="W236" s="58">
        <f t="shared" si="14"/>
        <v>4217</v>
      </c>
      <c r="X236">
        <v>677</v>
      </c>
      <c r="Y236">
        <v>41</v>
      </c>
      <c r="Z236">
        <v>1057</v>
      </c>
      <c r="AA236">
        <v>73</v>
      </c>
      <c r="AB236">
        <v>50</v>
      </c>
      <c r="AC236">
        <v>49</v>
      </c>
      <c r="AD236">
        <v>4</v>
      </c>
      <c r="AE236">
        <v>130</v>
      </c>
      <c r="AF236">
        <v>56</v>
      </c>
      <c r="AG236">
        <v>71</v>
      </c>
      <c r="AH236">
        <v>91</v>
      </c>
      <c r="AI236">
        <v>4.1900000000000004</v>
      </c>
    </row>
    <row r="237" spans="1:35" x14ac:dyDescent="0.5">
      <c r="A237" s="35">
        <v>2007</v>
      </c>
      <c r="B237" t="s">
        <v>142</v>
      </c>
      <c r="C237" t="s">
        <v>38</v>
      </c>
      <c r="D237">
        <v>678</v>
      </c>
      <c r="E237">
        <v>162</v>
      </c>
      <c r="F237">
        <v>2</v>
      </c>
      <c r="G237">
        <v>8</v>
      </c>
      <c r="H237">
        <v>160</v>
      </c>
      <c r="I237">
        <v>34</v>
      </c>
      <c r="J237">
        <v>1435.2</v>
      </c>
      <c r="K237">
        <v>1514</v>
      </c>
      <c r="L237">
        <v>829</v>
      </c>
      <c r="M237" s="58">
        <f t="shared" si="12"/>
        <v>2007</v>
      </c>
      <c r="N237" s="58" t="s">
        <v>90</v>
      </c>
      <c r="O237" s="58" t="str">
        <f t="shared" si="15"/>
        <v>2007 St. Louis Cardinals</v>
      </c>
      <c r="P237" s="58">
        <v>6283</v>
      </c>
      <c r="Q237" s="58">
        <f t="shared" si="13"/>
        <v>989</v>
      </c>
      <c r="R237" s="58">
        <v>319</v>
      </c>
      <c r="S237" s="58">
        <v>38</v>
      </c>
      <c r="T237" s="58">
        <v>168</v>
      </c>
      <c r="U237" s="58">
        <v>509</v>
      </c>
      <c r="V237" s="58">
        <v>73</v>
      </c>
      <c r="W237" s="58">
        <f t="shared" si="14"/>
        <v>4187</v>
      </c>
      <c r="X237">
        <v>741</v>
      </c>
      <c r="Y237">
        <v>25</v>
      </c>
      <c r="Z237">
        <v>945</v>
      </c>
      <c r="AA237">
        <v>53</v>
      </c>
      <c r="AB237">
        <v>53</v>
      </c>
      <c r="AC237">
        <v>39</v>
      </c>
      <c r="AD237">
        <v>6</v>
      </c>
      <c r="AE237">
        <v>131</v>
      </c>
      <c r="AF237">
        <v>92</v>
      </c>
      <c r="AG237">
        <v>78</v>
      </c>
      <c r="AH237">
        <v>84</v>
      </c>
      <c r="AI237">
        <v>4.6500000000000004</v>
      </c>
    </row>
    <row r="238" spans="1:35" x14ac:dyDescent="0.5">
      <c r="A238" s="35">
        <v>2007</v>
      </c>
      <c r="B238" t="s">
        <v>151</v>
      </c>
      <c r="C238" t="s">
        <v>149</v>
      </c>
      <c r="D238">
        <v>645</v>
      </c>
      <c r="E238">
        <v>162</v>
      </c>
      <c r="F238">
        <v>2</v>
      </c>
      <c r="G238">
        <v>2</v>
      </c>
      <c r="H238">
        <v>160</v>
      </c>
      <c r="I238">
        <v>28</v>
      </c>
      <c r="J238">
        <v>1429.2</v>
      </c>
      <c r="K238">
        <v>1649</v>
      </c>
      <c r="L238">
        <v>944</v>
      </c>
      <c r="M238" s="58">
        <f t="shared" si="12"/>
        <v>2007</v>
      </c>
      <c r="N238" s="58" t="s">
        <v>92</v>
      </c>
      <c r="O238" s="58" t="str">
        <f t="shared" si="15"/>
        <v>2007 Tampa Bay Devil Rays</v>
      </c>
      <c r="P238" s="58">
        <v>6403</v>
      </c>
      <c r="Q238" s="58">
        <f t="shared" si="13"/>
        <v>1078</v>
      </c>
      <c r="R238" s="58">
        <v>334</v>
      </c>
      <c r="S238" s="58">
        <v>38</v>
      </c>
      <c r="T238" s="58">
        <v>199</v>
      </c>
      <c r="U238" s="58">
        <v>568</v>
      </c>
      <c r="V238" s="58">
        <v>63</v>
      </c>
      <c r="W238" s="58">
        <f t="shared" si="14"/>
        <v>4123</v>
      </c>
      <c r="X238">
        <v>879</v>
      </c>
      <c r="Y238">
        <v>31</v>
      </c>
      <c r="Z238">
        <v>1194</v>
      </c>
      <c r="AA238">
        <v>41</v>
      </c>
      <c r="AB238">
        <v>47</v>
      </c>
      <c r="AC238">
        <v>55</v>
      </c>
      <c r="AD238">
        <v>2</v>
      </c>
      <c r="AE238">
        <v>128</v>
      </c>
      <c r="AF238">
        <v>61</v>
      </c>
      <c r="AG238">
        <v>66</v>
      </c>
      <c r="AH238">
        <v>96</v>
      </c>
      <c r="AI238">
        <v>5.53</v>
      </c>
    </row>
    <row r="239" spans="1:35" x14ac:dyDescent="0.5">
      <c r="A239" s="35">
        <v>2007</v>
      </c>
      <c r="B239" t="s">
        <v>95</v>
      </c>
      <c r="C239" t="s">
        <v>149</v>
      </c>
      <c r="D239">
        <v>629</v>
      </c>
      <c r="E239">
        <v>162</v>
      </c>
      <c r="F239">
        <v>0</v>
      </c>
      <c r="G239">
        <v>6</v>
      </c>
      <c r="H239">
        <v>162</v>
      </c>
      <c r="I239">
        <v>42</v>
      </c>
      <c r="J239">
        <v>1430</v>
      </c>
      <c r="K239">
        <v>1525</v>
      </c>
      <c r="L239">
        <v>844</v>
      </c>
      <c r="M239" s="58">
        <f t="shared" si="12"/>
        <v>2007</v>
      </c>
      <c r="N239" s="58" t="s">
        <v>94</v>
      </c>
      <c r="O239" s="58" t="str">
        <f t="shared" si="15"/>
        <v>2007 Texas Rangers</v>
      </c>
      <c r="P239" s="58">
        <v>6389</v>
      </c>
      <c r="Q239" s="58">
        <f t="shared" si="13"/>
        <v>1031</v>
      </c>
      <c r="R239" s="58">
        <v>314</v>
      </c>
      <c r="S239" s="58">
        <v>25</v>
      </c>
      <c r="T239" s="58">
        <v>155</v>
      </c>
      <c r="U239" s="58">
        <v>668</v>
      </c>
      <c r="V239" s="58">
        <v>70</v>
      </c>
      <c r="W239" s="58">
        <f t="shared" si="14"/>
        <v>4126</v>
      </c>
      <c r="X239">
        <v>755</v>
      </c>
      <c r="Y239">
        <v>38</v>
      </c>
      <c r="Z239">
        <v>976</v>
      </c>
      <c r="AA239">
        <v>38</v>
      </c>
      <c r="AB239">
        <v>51</v>
      </c>
      <c r="AC239">
        <v>66</v>
      </c>
      <c r="AD239">
        <v>4</v>
      </c>
      <c r="AE239">
        <v>143</v>
      </c>
      <c r="AF239">
        <v>80</v>
      </c>
      <c r="AG239">
        <v>75</v>
      </c>
      <c r="AH239">
        <v>87</v>
      </c>
      <c r="AI239">
        <v>4.75</v>
      </c>
    </row>
    <row r="240" spans="1:35" x14ac:dyDescent="0.5">
      <c r="A240" s="35">
        <v>2007</v>
      </c>
      <c r="B240" t="s">
        <v>97</v>
      </c>
      <c r="C240" t="s">
        <v>149</v>
      </c>
      <c r="D240">
        <v>582</v>
      </c>
      <c r="E240">
        <v>162</v>
      </c>
      <c r="F240">
        <v>11</v>
      </c>
      <c r="G240">
        <v>9</v>
      </c>
      <c r="H240">
        <v>151</v>
      </c>
      <c r="I240">
        <v>44</v>
      </c>
      <c r="J240">
        <v>1448.2</v>
      </c>
      <c r="K240">
        <v>1383</v>
      </c>
      <c r="L240">
        <v>699</v>
      </c>
      <c r="M240" s="58">
        <f t="shared" si="12"/>
        <v>2007</v>
      </c>
      <c r="N240" s="58" t="s">
        <v>96</v>
      </c>
      <c r="O240" s="58" t="str">
        <f t="shared" si="15"/>
        <v>2007 Toronto Blue Jays</v>
      </c>
      <c r="P240" s="58">
        <v>6108</v>
      </c>
      <c r="Q240" s="58">
        <f t="shared" si="13"/>
        <v>950</v>
      </c>
      <c r="R240" s="58">
        <v>252</v>
      </c>
      <c r="S240" s="58">
        <v>24</v>
      </c>
      <c r="T240" s="58">
        <v>157</v>
      </c>
      <c r="U240" s="58">
        <v>479</v>
      </c>
      <c r="V240" s="58">
        <v>55</v>
      </c>
      <c r="W240" s="58">
        <f t="shared" si="14"/>
        <v>4191</v>
      </c>
      <c r="X240">
        <v>644</v>
      </c>
      <c r="Y240">
        <v>34</v>
      </c>
      <c r="Z240">
        <v>1067</v>
      </c>
      <c r="AA240">
        <v>17</v>
      </c>
      <c r="AB240">
        <v>44</v>
      </c>
      <c r="AC240">
        <v>42</v>
      </c>
      <c r="AD240">
        <v>3</v>
      </c>
      <c r="AE240">
        <v>146</v>
      </c>
      <c r="AF240">
        <v>68</v>
      </c>
      <c r="AG240">
        <v>83</v>
      </c>
      <c r="AH240">
        <v>79</v>
      </c>
      <c r="AI240">
        <v>4</v>
      </c>
    </row>
    <row r="241" spans="1:35" x14ac:dyDescent="0.5">
      <c r="A241" s="35">
        <v>2007</v>
      </c>
      <c r="B241" t="s">
        <v>101</v>
      </c>
      <c r="C241" t="s">
        <v>38</v>
      </c>
      <c r="D241">
        <v>750</v>
      </c>
      <c r="E241">
        <v>162</v>
      </c>
      <c r="F241">
        <v>0</v>
      </c>
      <c r="G241">
        <v>6</v>
      </c>
      <c r="H241">
        <v>162</v>
      </c>
      <c r="I241">
        <v>46</v>
      </c>
      <c r="J241">
        <v>1446.2</v>
      </c>
      <c r="K241">
        <v>1502</v>
      </c>
      <c r="L241">
        <v>783</v>
      </c>
      <c r="M241" s="58">
        <f t="shared" si="12"/>
        <v>2007</v>
      </c>
      <c r="N241" s="58" t="s">
        <v>100</v>
      </c>
      <c r="O241" s="58" t="str">
        <f t="shared" si="15"/>
        <v>2007 Washington Nationals</v>
      </c>
      <c r="P241" s="58">
        <v>6333</v>
      </c>
      <c r="Q241" s="58">
        <f t="shared" si="13"/>
        <v>988</v>
      </c>
      <c r="R241" s="58">
        <v>300</v>
      </c>
      <c r="S241" s="58">
        <v>27</v>
      </c>
      <c r="T241" s="58">
        <v>187</v>
      </c>
      <c r="U241" s="58">
        <v>580</v>
      </c>
      <c r="V241" s="58">
        <v>42</v>
      </c>
      <c r="W241" s="58">
        <f t="shared" si="14"/>
        <v>4209</v>
      </c>
      <c r="X241">
        <v>736</v>
      </c>
      <c r="Y241">
        <v>44</v>
      </c>
      <c r="Z241">
        <v>931</v>
      </c>
      <c r="AA241">
        <v>66</v>
      </c>
      <c r="AB241">
        <v>61</v>
      </c>
      <c r="AC241">
        <v>52</v>
      </c>
      <c r="AD241">
        <v>4</v>
      </c>
      <c r="AE241">
        <v>134</v>
      </c>
      <c r="AF241">
        <v>80</v>
      </c>
      <c r="AG241">
        <v>73</v>
      </c>
      <c r="AH241">
        <v>89</v>
      </c>
      <c r="AI241">
        <v>4.58</v>
      </c>
    </row>
    <row r="242" spans="1:35" x14ac:dyDescent="0.5">
      <c r="A242" s="35">
        <v>2008</v>
      </c>
      <c r="B242" t="s">
        <v>37</v>
      </c>
      <c r="C242" t="s">
        <v>149</v>
      </c>
      <c r="D242">
        <v>545</v>
      </c>
      <c r="E242">
        <v>162</v>
      </c>
      <c r="F242">
        <v>7</v>
      </c>
      <c r="G242">
        <v>10</v>
      </c>
      <c r="H242">
        <v>155</v>
      </c>
      <c r="I242">
        <v>66</v>
      </c>
      <c r="J242">
        <v>1451.1</v>
      </c>
      <c r="K242">
        <v>1455</v>
      </c>
      <c r="L242">
        <v>697</v>
      </c>
      <c r="M242" s="58">
        <f t="shared" si="12"/>
        <v>2008</v>
      </c>
      <c r="N242" s="58" t="s">
        <v>36</v>
      </c>
      <c r="O242" s="58" t="str">
        <f t="shared" si="15"/>
        <v>2008 Anaheim Angels</v>
      </c>
      <c r="P242" s="58">
        <v>6161</v>
      </c>
      <c r="Q242" s="58">
        <f t="shared" si="13"/>
        <v>995</v>
      </c>
      <c r="R242" s="58">
        <v>272</v>
      </c>
      <c r="S242" s="58">
        <v>28</v>
      </c>
      <c r="T242" s="58">
        <v>160</v>
      </c>
      <c r="U242" s="58">
        <v>457</v>
      </c>
      <c r="V242" s="58">
        <v>63</v>
      </c>
      <c r="W242" s="58">
        <f t="shared" si="14"/>
        <v>4186</v>
      </c>
      <c r="X242">
        <v>644</v>
      </c>
      <c r="Y242">
        <v>32</v>
      </c>
      <c r="Z242">
        <v>1106</v>
      </c>
      <c r="AA242">
        <v>36</v>
      </c>
      <c r="AB242">
        <v>33</v>
      </c>
      <c r="AC242">
        <v>50</v>
      </c>
      <c r="AD242">
        <v>2</v>
      </c>
      <c r="AE242">
        <v>141</v>
      </c>
      <c r="AF242">
        <v>61</v>
      </c>
      <c r="AG242">
        <v>100</v>
      </c>
      <c r="AH242">
        <v>62</v>
      </c>
      <c r="AI242">
        <v>3.99</v>
      </c>
    </row>
    <row r="243" spans="1:35" x14ac:dyDescent="0.5">
      <c r="A243" s="35">
        <v>2008</v>
      </c>
      <c r="B243" t="s">
        <v>40</v>
      </c>
      <c r="C243" t="s">
        <v>38</v>
      </c>
      <c r="D243">
        <v>606</v>
      </c>
      <c r="E243">
        <v>162</v>
      </c>
      <c r="F243">
        <v>6</v>
      </c>
      <c r="G243">
        <v>9</v>
      </c>
      <c r="H243">
        <v>156</v>
      </c>
      <c r="I243">
        <v>39</v>
      </c>
      <c r="J243">
        <v>1434.2</v>
      </c>
      <c r="K243">
        <v>1403</v>
      </c>
      <c r="L243">
        <v>706</v>
      </c>
      <c r="M243" s="58">
        <f t="shared" si="12"/>
        <v>2008</v>
      </c>
      <c r="N243" s="58" t="s">
        <v>39</v>
      </c>
      <c r="O243" s="58" t="str">
        <f t="shared" si="15"/>
        <v>2008 Arizona Diamondbacks</v>
      </c>
      <c r="P243" s="58">
        <v>6119</v>
      </c>
      <c r="Q243" s="58">
        <f t="shared" si="13"/>
        <v>950</v>
      </c>
      <c r="R243" s="58">
        <v>276</v>
      </c>
      <c r="S243" s="58">
        <v>30</v>
      </c>
      <c r="T243" s="58">
        <v>147</v>
      </c>
      <c r="U243" s="58">
        <v>451</v>
      </c>
      <c r="V243" s="58">
        <v>68</v>
      </c>
      <c r="W243" s="58">
        <f t="shared" si="14"/>
        <v>4197</v>
      </c>
      <c r="X243">
        <v>635</v>
      </c>
      <c r="Y243">
        <v>41</v>
      </c>
      <c r="Z243">
        <v>1229</v>
      </c>
      <c r="AA243">
        <v>72</v>
      </c>
      <c r="AB243">
        <v>47</v>
      </c>
      <c r="AC243">
        <v>59</v>
      </c>
      <c r="AD243">
        <v>3</v>
      </c>
      <c r="AE243">
        <v>114</v>
      </c>
      <c r="AF243">
        <v>80</v>
      </c>
      <c r="AG243">
        <v>82</v>
      </c>
      <c r="AH243">
        <v>80</v>
      </c>
      <c r="AI243">
        <v>3.98</v>
      </c>
    </row>
    <row r="244" spans="1:35" x14ac:dyDescent="0.5">
      <c r="A244" s="35">
        <v>2008</v>
      </c>
      <c r="B244" t="s">
        <v>42</v>
      </c>
      <c r="C244" t="s">
        <v>38</v>
      </c>
      <c r="D244">
        <v>707</v>
      </c>
      <c r="E244">
        <v>162</v>
      </c>
      <c r="F244">
        <v>2</v>
      </c>
      <c r="G244">
        <v>7</v>
      </c>
      <c r="H244">
        <v>160</v>
      </c>
      <c r="I244">
        <v>26</v>
      </c>
      <c r="J244">
        <v>1440.2</v>
      </c>
      <c r="K244">
        <v>1439</v>
      </c>
      <c r="L244">
        <v>778</v>
      </c>
      <c r="M244" s="58">
        <f t="shared" si="12"/>
        <v>2008</v>
      </c>
      <c r="N244" s="58" t="s">
        <v>41</v>
      </c>
      <c r="O244" s="58" t="str">
        <f t="shared" si="15"/>
        <v>2008 Atlanta Braves</v>
      </c>
      <c r="P244" s="58">
        <v>6244</v>
      </c>
      <c r="Q244" s="58">
        <f t="shared" si="13"/>
        <v>916</v>
      </c>
      <c r="R244" s="58">
        <v>325</v>
      </c>
      <c r="S244" s="58">
        <v>42</v>
      </c>
      <c r="T244" s="58">
        <v>156</v>
      </c>
      <c r="U244" s="58">
        <v>586</v>
      </c>
      <c r="V244" s="58">
        <v>42</v>
      </c>
      <c r="W244" s="58">
        <f t="shared" si="14"/>
        <v>4177</v>
      </c>
      <c r="X244">
        <v>714</v>
      </c>
      <c r="Y244">
        <v>80</v>
      </c>
      <c r="Z244">
        <v>1076</v>
      </c>
      <c r="AA244">
        <v>86</v>
      </c>
      <c r="AB244">
        <v>50</v>
      </c>
      <c r="AC244">
        <v>42</v>
      </c>
      <c r="AD244">
        <v>5</v>
      </c>
      <c r="AE244">
        <v>129</v>
      </c>
      <c r="AF244">
        <v>68</v>
      </c>
      <c r="AG244">
        <v>72</v>
      </c>
      <c r="AH244">
        <v>90</v>
      </c>
      <c r="AI244">
        <v>4.46</v>
      </c>
    </row>
    <row r="245" spans="1:35" x14ac:dyDescent="0.5">
      <c r="A245" s="35">
        <v>2008</v>
      </c>
      <c r="B245" t="s">
        <v>45</v>
      </c>
      <c r="C245" t="s">
        <v>149</v>
      </c>
      <c r="D245">
        <v>653</v>
      </c>
      <c r="E245">
        <v>161</v>
      </c>
      <c r="F245">
        <v>4</v>
      </c>
      <c r="G245">
        <v>4</v>
      </c>
      <c r="H245">
        <v>157</v>
      </c>
      <c r="I245">
        <v>35</v>
      </c>
      <c r="J245">
        <v>1422</v>
      </c>
      <c r="K245">
        <v>1538</v>
      </c>
      <c r="L245">
        <v>869</v>
      </c>
      <c r="M245" s="58">
        <f t="shared" si="12"/>
        <v>2008</v>
      </c>
      <c r="N245" s="58" t="s">
        <v>44</v>
      </c>
      <c r="O245" s="58" t="str">
        <f t="shared" si="15"/>
        <v>2008 Baltimore Orioles</v>
      </c>
      <c r="P245" s="58">
        <v>6414</v>
      </c>
      <c r="Q245" s="58">
        <f t="shared" si="13"/>
        <v>1052</v>
      </c>
      <c r="R245" s="58">
        <v>279</v>
      </c>
      <c r="S245" s="58">
        <v>23</v>
      </c>
      <c r="T245" s="58">
        <v>184</v>
      </c>
      <c r="U245" s="58">
        <v>687</v>
      </c>
      <c r="V245" s="58">
        <v>80</v>
      </c>
      <c r="W245" s="58">
        <f t="shared" si="14"/>
        <v>4109</v>
      </c>
      <c r="X245">
        <v>810</v>
      </c>
      <c r="Y245">
        <v>44</v>
      </c>
      <c r="Z245">
        <v>922</v>
      </c>
      <c r="AA245">
        <v>32</v>
      </c>
      <c r="AB245">
        <v>63</v>
      </c>
      <c r="AC245">
        <v>72</v>
      </c>
      <c r="AD245">
        <v>7</v>
      </c>
      <c r="AE245">
        <v>141</v>
      </c>
      <c r="AF245">
        <v>68</v>
      </c>
      <c r="AG245">
        <v>68</v>
      </c>
      <c r="AH245">
        <v>93</v>
      </c>
      <c r="AI245">
        <v>5.13</v>
      </c>
    </row>
    <row r="246" spans="1:35" x14ac:dyDescent="0.5">
      <c r="A246" s="35">
        <v>2008</v>
      </c>
      <c r="B246" t="s">
        <v>47</v>
      </c>
      <c r="C246" t="s">
        <v>149</v>
      </c>
      <c r="D246">
        <v>628</v>
      </c>
      <c r="E246">
        <v>162</v>
      </c>
      <c r="F246">
        <v>5</v>
      </c>
      <c r="G246">
        <v>16</v>
      </c>
      <c r="H246">
        <v>157</v>
      </c>
      <c r="I246">
        <v>47</v>
      </c>
      <c r="J246">
        <v>1446.1</v>
      </c>
      <c r="K246">
        <v>1369</v>
      </c>
      <c r="L246">
        <v>694</v>
      </c>
      <c r="M246" s="58">
        <f t="shared" si="12"/>
        <v>2008</v>
      </c>
      <c r="N246" s="58" t="s">
        <v>46</v>
      </c>
      <c r="O246" s="58" t="str">
        <f t="shared" si="15"/>
        <v>2008 Boston Red Sox</v>
      </c>
      <c r="P246" s="58">
        <v>6180</v>
      </c>
      <c r="Q246" s="58">
        <f t="shared" si="13"/>
        <v>914</v>
      </c>
      <c r="R246" s="58">
        <v>289</v>
      </c>
      <c r="S246" s="58">
        <v>19</v>
      </c>
      <c r="T246" s="58">
        <v>147</v>
      </c>
      <c r="U246" s="58">
        <v>548</v>
      </c>
      <c r="V246" s="58">
        <v>68</v>
      </c>
      <c r="W246" s="58">
        <f t="shared" si="14"/>
        <v>4195</v>
      </c>
      <c r="X246">
        <v>645</v>
      </c>
      <c r="Y246">
        <v>17</v>
      </c>
      <c r="Z246">
        <v>1185</v>
      </c>
      <c r="AA246">
        <v>40</v>
      </c>
      <c r="AB246">
        <v>39</v>
      </c>
      <c r="AC246">
        <v>43</v>
      </c>
      <c r="AD246">
        <v>2</v>
      </c>
      <c r="AE246">
        <v>119</v>
      </c>
      <c r="AF246">
        <v>59</v>
      </c>
      <c r="AG246">
        <v>95</v>
      </c>
      <c r="AH246">
        <v>67</v>
      </c>
      <c r="AI246">
        <v>4.01</v>
      </c>
    </row>
    <row r="247" spans="1:35" x14ac:dyDescent="0.5">
      <c r="A247" s="35">
        <v>2008</v>
      </c>
      <c r="B247" t="s">
        <v>143</v>
      </c>
      <c r="C247" t="s">
        <v>38</v>
      </c>
      <c r="D247">
        <v>639</v>
      </c>
      <c r="E247">
        <v>161</v>
      </c>
      <c r="F247">
        <v>2</v>
      </c>
      <c r="G247">
        <v>8</v>
      </c>
      <c r="H247">
        <v>159</v>
      </c>
      <c r="I247">
        <v>44</v>
      </c>
      <c r="J247">
        <v>1450.2</v>
      </c>
      <c r="K247">
        <v>1329</v>
      </c>
      <c r="L247">
        <v>671</v>
      </c>
      <c r="M247" s="58">
        <f t="shared" si="12"/>
        <v>2008</v>
      </c>
      <c r="N247" s="58" t="s">
        <v>50</v>
      </c>
      <c r="O247" s="58" t="str">
        <f t="shared" si="15"/>
        <v>2008 Chicago Cubs</v>
      </c>
      <c r="P247" s="58">
        <v>6194</v>
      </c>
      <c r="Q247" s="58">
        <f t="shared" si="13"/>
        <v>847</v>
      </c>
      <c r="R247" s="58">
        <v>283</v>
      </c>
      <c r="S247" s="58">
        <v>39</v>
      </c>
      <c r="T247" s="58">
        <v>160</v>
      </c>
      <c r="U247" s="58">
        <v>548</v>
      </c>
      <c r="V247" s="58">
        <v>65</v>
      </c>
      <c r="W247" s="58">
        <f t="shared" si="14"/>
        <v>4252</v>
      </c>
      <c r="X247">
        <v>624</v>
      </c>
      <c r="Y247">
        <v>45</v>
      </c>
      <c r="Z247">
        <v>1264</v>
      </c>
      <c r="AA247">
        <v>47</v>
      </c>
      <c r="AB247">
        <v>38</v>
      </c>
      <c r="AC247">
        <v>48</v>
      </c>
      <c r="AD247">
        <v>7</v>
      </c>
      <c r="AE247">
        <v>97</v>
      </c>
      <c r="AF247">
        <v>67</v>
      </c>
      <c r="AG247">
        <v>97</v>
      </c>
      <c r="AH247">
        <v>64</v>
      </c>
      <c r="AI247">
        <v>3.87</v>
      </c>
    </row>
    <row r="248" spans="1:35" x14ac:dyDescent="0.5">
      <c r="A248" s="35">
        <v>2008</v>
      </c>
      <c r="B248" t="s">
        <v>143</v>
      </c>
      <c r="C248" t="s">
        <v>149</v>
      </c>
      <c r="D248">
        <v>626</v>
      </c>
      <c r="E248">
        <v>163</v>
      </c>
      <c r="F248">
        <v>4</v>
      </c>
      <c r="G248">
        <v>10</v>
      </c>
      <c r="H248">
        <v>159</v>
      </c>
      <c r="I248">
        <v>34</v>
      </c>
      <c r="J248">
        <v>1457.2</v>
      </c>
      <c r="K248">
        <v>1471</v>
      </c>
      <c r="L248">
        <v>729</v>
      </c>
      <c r="M248" s="58">
        <f t="shared" si="12"/>
        <v>2008</v>
      </c>
      <c r="N248" s="58" t="s">
        <v>48</v>
      </c>
      <c r="O248" s="58" t="str">
        <f t="shared" si="15"/>
        <v>2008 Chicago White Sox</v>
      </c>
      <c r="P248" s="58">
        <v>6218</v>
      </c>
      <c r="Q248" s="58">
        <f t="shared" si="13"/>
        <v>970</v>
      </c>
      <c r="R248" s="58">
        <v>314</v>
      </c>
      <c r="S248" s="58">
        <v>31</v>
      </c>
      <c r="T248" s="58">
        <v>156</v>
      </c>
      <c r="U248" s="58">
        <v>460</v>
      </c>
      <c r="V248" s="58">
        <v>48</v>
      </c>
      <c r="W248" s="58">
        <f t="shared" si="14"/>
        <v>4239</v>
      </c>
      <c r="X248">
        <v>658</v>
      </c>
      <c r="Y248">
        <v>42</v>
      </c>
      <c r="Z248">
        <v>1147</v>
      </c>
      <c r="AA248">
        <v>43</v>
      </c>
      <c r="AB248">
        <v>26</v>
      </c>
      <c r="AC248">
        <v>54</v>
      </c>
      <c r="AD248">
        <v>3</v>
      </c>
      <c r="AE248">
        <v>136</v>
      </c>
      <c r="AF248">
        <v>74</v>
      </c>
      <c r="AG248">
        <v>89</v>
      </c>
      <c r="AH248">
        <v>74</v>
      </c>
      <c r="AI248">
        <v>4.0599999999999996</v>
      </c>
    </row>
    <row r="249" spans="1:35" x14ac:dyDescent="0.5">
      <c r="A249" s="35">
        <v>2008</v>
      </c>
      <c r="B249" t="s">
        <v>53</v>
      </c>
      <c r="C249" t="s">
        <v>38</v>
      </c>
      <c r="D249">
        <v>669</v>
      </c>
      <c r="E249">
        <v>162</v>
      </c>
      <c r="F249">
        <v>2</v>
      </c>
      <c r="G249">
        <v>6</v>
      </c>
      <c r="H249">
        <v>160</v>
      </c>
      <c r="I249">
        <v>34</v>
      </c>
      <c r="J249">
        <v>1442.1</v>
      </c>
      <c r="K249">
        <v>1542</v>
      </c>
      <c r="L249">
        <v>800</v>
      </c>
      <c r="M249" s="58">
        <f t="shared" si="12"/>
        <v>2008</v>
      </c>
      <c r="N249" s="58" t="s">
        <v>52</v>
      </c>
      <c r="O249" s="58" t="str">
        <f t="shared" si="15"/>
        <v>2008 Cincinnati Reds</v>
      </c>
      <c r="P249" s="58">
        <v>6352</v>
      </c>
      <c r="Q249" s="58">
        <f t="shared" si="13"/>
        <v>990</v>
      </c>
      <c r="R249" s="58">
        <v>322</v>
      </c>
      <c r="S249" s="58">
        <v>29</v>
      </c>
      <c r="T249" s="58">
        <v>201</v>
      </c>
      <c r="U249" s="58">
        <v>557</v>
      </c>
      <c r="V249" s="58">
        <v>67</v>
      </c>
      <c r="W249" s="58">
        <f t="shared" si="14"/>
        <v>4186</v>
      </c>
      <c r="X249">
        <v>729</v>
      </c>
      <c r="Y249">
        <v>40</v>
      </c>
      <c r="Z249">
        <v>1227</v>
      </c>
      <c r="AA249">
        <v>77</v>
      </c>
      <c r="AB249">
        <v>45</v>
      </c>
      <c r="AC249">
        <v>52</v>
      </c>
      <c r="AD249">
        <v>7</v>
      </c>
      <c r="AE249">
        <v>130</v>
      </c>
      <c r="AF249">
        <v>70</v>
      </c>
      <c r="AG249">
        <v>74</v>
      </c>
      <c r="AH249">
        <v>88</v>
      </c>
      <c r="AI249">
        <v>4.55</v>
      </c>
    </row>
    <row r="250" spans="1:35" x14ac:dyDescent="0.5">
      <c r="A250" s="35">
        <v>2008</v>
      </c>
      <c r="B250" t="s">
        <v>55</v>
      </c>
      <c r="C250" t="s">
        <v>149</v>
      </c>
      <c r="D250">
        <v>561</v>
      </c>
      <c r="E250">
        <v>162</v>
      </c>
      <c r="F250">
        <v>10</v>
      </c>
      <c r="G250">
        <v>13</v>
      </c>
      <c r="H250">
        <v>152</v>
      </c>
      <c r="I250">
        <v>31</v>
      </c>
      <c r="J250">
        <v>1437</v>
      </c>
      <c r="K250">
        <v>1530</v>
      </c>
      <c r="L250">
        <v>761</v>
      </c>
      <c r="M250" s="58">
        <f t="shared" si="12"/>
        <v>2008</v>
      </c>
      <c r="N250" s="58" t="s">
        <v>54</v>
      </c>
      <c r="O250" s="58" t="str">
        <f t="shared" si="15"/>
        <v>2008 Cleveland Indians</v>
      </c>
      <c r="P250" s="58">
        <v>6164</v>
      </c>
      <c r="Q250" s="58">
        <f t="shared" si="13"/>
        <v>1049</v>
      </c>
      <c r="R250" s="58">
        <v>290</v>
      </c>
      <c r="S250" s="58">
        <v>21</v>
      </c>
      <c r="T250" s="58">
        <v>170</v>
      </c>
      <c r="U250" s="58">
        <v>444</v>
      </c>
      <c r="V250" s="58">
        <v>51</v>
      </c>
      <c r="W250" s="58">
        <f t="shared" si="14"/>
        <v>4139</v>
      </c>
      <c r="X250">
        <v>711</v>
      </c>
      <c r="Y250">
        <v>28</v>
      </c>
      <c r="Z250">
        <v>986</v>
      </c>
      <c r="AA250">
        <v>28</v>
      </c>
      <c r="AB250">
        <v>41</v>
      </c>
      <c r="AC250">
        <v>44</v>
      </c>
      <c r="AD250">
        <v>5</v>
      </c>
      <c r="AE250">
        <v>160</v>
      </c>
      <c r="AF250">
        <v>61</v>
      </c>
      <c r="AG250">
        <v>81</v>
      </c>
      <c r="AH250">
        <v>81</v>
      </c>
      <c r="AI250">
        <v>4.45</v>
      </c>
    </row>
    <row r="251" spans="1:35" x14ac:dyDescent="0.5">
      <c r="A251" s="35">
        <v>2008</v>
      </c>
      <c r="B251" t="s">
        <v>57</v>
      </c>
      <c r="C251" t="s">
        <v>38</v>
      </c>
      <c r="D251">
        <v>647</v>
      </c>
      <c r="E251">
        <v>162</v>
      </c>
      <c r="F251">
        <v>3</v>
      </c>
      <c r="G251">
        <v>8</v>
      </c>
      <c r="H251">
        <v>159</v>
      </c>
      <c r="I251">
        <v>36</v>
      </c>
      <c r="J251">
        <v>1446</v>
      </c>
      <c r="K251">
        <v>1547</v>
      </c>
      <c r="L251">
        <v>822</v>
      </c>
      <c r="M251" s="58">
        <f t="shared" si="12"/>
        <v>2008</v>
      </c>
      <c r="N251" s="58" t="s">
        <v>56</v>
      </c>
      <c r="O251" s="58" t="str">
        <f t="shared" si="15"/>
        <v>2008 Colorado Rockies</v>
      </c>
      <c r="P251" s="58">
        <v>6338</v>
      </c>
      <c r="Q251" s="58">
        <f t="shared" si="13"/>
        <v>1018</v>
      </c>
      <c r="R251" s="58">
        <v>335</v>
      </c>
      <c r="S251" s="58">
        <v>46</v>
      </c>
      <c r="T251" s="58">
        <v>148</v>
      </c>
      <c r="U251" s="58">
        <v>562</v>
      </c>
      <c r="V251" s="58">
        <v>53</v>
      </c>
      <c r="W251" s="58">
        <f t="shared" si="14"/>
        <v>4176</v>
      </c>
      <c r="X251">
        <v>766</v>
      </c>
      <c r="Y251">
        <v>49</v>
      </c>
      <c r="Z251">
        <v>1041</v>
      </c>
      <c r="AA251">
        <v>62</v>
      </c>
      <c r="AB251">
        <v>47</v>
      </c>
      <c r="AC251">
        <v>61</v>
      </c>
      <c r="AD251">
        <v>7</v>
      </c>
      <c r="AE251">
        <v>142</v>
      </c>
      <c r="AF251">
        <v>68</v>
      </c>
      <c r="AG251">
        <v>74</v>
      </c>
      <c r="AH251">
        <v>88</v>
      </c>
      <c r="AI251">
        <v>4.7699999999999996</v>
      </c>
    </row>
    <row r="252" spans="1:35" x14ac:dyDescent="0.5">
      <c r="A252" s="35">
        <v>2008</v>
      </c>
      <c r="B252" t="s">
        <v>59</v>
      </c>
      <c r="C252" t="s">
        <v>149</v>
      </c>
      <c r="D252">
        <v>602</v>
      </c>
      <c r="E252">
        <v>162</v>
      </c>
      <c r="F252">
        <v>1</v>
      </c>
      <c r="G252">
        <v>2</v>
      </c>
      <c r="H252">
        <v>161</v>
      </c>
      <c r="I252">
        <v>34</v>
      </c>
      <c r="J252">
        <v>1445</v>
      </c>
      <c r="K252">
        <v>1541</v>
      </c>
      <c r="L252">
        <v>857</v>
      </c>
      <c r="M252" s="58">
        <f t="shared" si="12"/>
        <v>2008</v>
      </c>
      <c r="N252" s="58" t="s">
        <v>58</v>
      </c>
      <c r="O252" s="58" t="str">
        <f t="shared" si="15"/>
        <v>2008 Detroit Tigers</v>
      </c>
      <c r="P252" s="58">
        <v>6411</v>
      </c>
      <c r="Q252" s="58">
        <f t="shared" si="13"/>
        <v>1002</v>
      </c>
      <c r="R252" s="58">
        <v>334</v>
      </c>
      <c r="S252" s="58">
        <v>33</v>
      </c>
      <c r="T252" s="58">
        <v>172</v>
      </c>
      <c r="U252" s="58">
        <v>644</v>
      </c>
      <c r="V252" s="58">
        <v>68</v>
      </c>
      <c r="W252" s="58">
        <f t="shared" si="14"/>
        <v>4158</v>
      </c>
      <c r="X252">
        <v>786</v>
      </c>
      <c r="Y252">
        <v>63</v>
      </c>
      <c r="Z252">
        <v>991</v>
      </c>
      <c r="AA252">
        <v>33</v>
      </c>
      <c r="AB252">
        <v>49</v>
      </c>
      <c r="AC252">
        <v>65</v>
      </c>
      <c r="AD252">
        <v>7</v>
      </c>
      <c r="AE252">
        <v>151</v>
      </c>
      <c r="AF252">
        <v>62</v>
      </c>
      <c r="AG252">
        <v>74</v>
      </c>
      <c r="AH252">
        <v>88</v>
      </c>
      <c r="AI252">
        <v>4.9000000000000004</v>
      </c>
    </row>
    <row r="253" spans="1:35" x14ac:dyDescent="0.5">
      <c r="A253" s="35">
        <v>2008</v>
      </c>
      <c r="B253" t="s">
        <v>146</v>
      </c>
      <c r="C253" t="s">
        <v>38</v>
      </c>
      <c r="D253">
        <v>672</v>
      </c>
      <c r="E253">
        <v>161</v>
      </c>
      <c r="F253">
        <v>2</v>
      </c>
      <c r="G253">
        <v>8</v>
      </c>
      <c r="H253">
        <v>159</v>
      </c>
      <c r="I253">
        <v>36</v>
      </c>
      <c r="J253">
        <v>1435.1</v>
      </c>
      <c r="K253">
        <v>1421</v>
      </c>
      <c r="L253">
        <v>767</v>
      </c>
      <c r="M253" s="58">
        <f t="shared" si="12"/>
        <v>2008</v>
      </c>
      <c r="N253" s="58" t="s">
        <v>60</v>
      </c>
      <c r="O253" s="58" t="str">
        <f t="shared" si="15"/>
        <v>2008 Florida Marlins</v>
      </c>
      <c r="P253" s="58">
        <v>6271</v>
      </c>
      <c r="Q253" s="58">
        <f t="shared" si="13"/>
        <v>947</v>
      </c>
      <c r="R253" s="58">
        <v>291</v>
      </c>
      <c r="S253" s="58">
        <v>22</v>
      </c>
      <c r="T253" s="58">
        <v>161</v>
      </c>
      <c r="U253" s="58">
        <v>586</v>
      </c>
      <c r="V253" s="58">
        <v>58</v>
      </c>
      <c r="W253" s="58">
        <f t="shared" si="14"/>
        <v>4206</v>
      </c>
      <c r="X253">
        <v>707</v>
      </c>
      <c r="Y253">
        <v>66</v>
      </c>
      <c r="Z253">
        <v>1127</v>
      </c>
      <c r="AA253">
        <v>77</v>
      </c>
      <c r="AB253">
        <v>45</v>
      </c>
      <c r="AC253">
        <v>59</v>
      </c>
      <c r="AD253">
        <v>4</v>
      </c>
      <c r="AE253">
        <v>100</v>
      </c>
      <c r="AF253">
        <v>79</v>
      </c>
      <c r="AG253">
        <v>84</v>
      </c>
      <c r="AH253">
        <v>77</v>
      </c>
      <c r="AI253">
        <v>4.43</v>
      </c>
    </row>
    <row r="254" spans="1:35" x14ac:dyDescent="0.5">
      <c r="A254" s="35">
        <v>2008</v>
      </c>
      <c r="B254" t="s">
        <v>63</v>
      </c>
      <c r="C254" t="s">
        <v>38</v>
      </c>
      <c r="D254">
        <v>649</v>
      </c>
      <c r="E254">
        <v>161</v>
      </c>
      <c r="F254">
        <v>4</v>
      </c>
      <c r="G254">
        <v>13</v>
      </c>
      <c r="H254">
        <v>157</v>
      </c>
      <c r="I254">
        <v>48</v>
      </c>
      <c r="J254">
        <v>1425.1</v>
      </c>
      <c r="K254">
        <v>1453</v>
      </c>
      <c r="L254">
        <v>743</v>
      </c>
      <c r="M254" s="58">
        <f t="shared" si="12"/>
        <v>2008</v>
      </c>
      <c r="N254" s="58" t="s">
        <v>62</v>
      </c>
      <c r="O254" s="58" t="str">
        <f t="shared" si="15"/>
        <v>2008 Houston Astros</v>
      </c>
      <c r="P254" s="58">
        <v>6125</v>
      </c>
      <c r="Q254" s="58">
        <f t="shared" si="13"/>
        <v>914</v>
      </c>
      <c r="R254" s="58">
        <v>309</v>
      </c>
      <c r="S254" s="58">
        <v>33</v>
      </c>
      <c r="T254" s="58">
        <v>197</v>
      </c>
      <c r="U254" s="58">
        <v>492</v>
      </c>
      <c r="V254" s="58">
        <v>50</v>
      </c>
      <c r="W254" s="58">
        <f t="shared" si="14"/>
        <v>4130</v>
      </c>
      <c r="X254">
        <v>691</v>
      </c>
      <c r="Y254">
        <v>53</v>
      </c>
      <c r="Z254">
        <v>1095</v>
      </c>
      <c r="AA254">
        <v>46</v>
      </c>
      <c r="AB254">
        <v>40</v>
      </c>
      <c r="AC254">
        <v>22</v>
      </c>
      <c r="AD254">
        <v>9</v>
      </c>
      <c r="AE254">
        <v>120</v>
      </c>
      <c r="AF254">
        <v>46</v>
      </c>
      <c r="AG254">
        <v>86</v>
      </c>
      <c r="AH254">
        <v>75</v>
      </c>
      <c r="AI254">
        <v>4.3600000000000003</v>
      </c>
    </row>
    <row r="255" spans="1:35" x14ac:dyDescent="0.5">
      <c r="A255" s="35">
        <v>2008</v>
      </c>
      <c r="B255" t="s">
        <v>150</v>
      </c>
      <c r="C255" t="s">
        <v>149</v>
      </c>
      <c r="D255">
        <v>601</v>
      </c>
      <c r="E255">
        <v>162</v>
      </c>
      <c r="F255">
        <v>2</v>
      </c>
      <c r="G255">
        <v>8</v>
      </c>
      <c r="H255">
        <v>160</v>
      </c>
      <c r="I255">
        <v>44</v>
      </c>
      <c r="J255">
        <v>1445.2</v>
      </c>
      <c r="K255">
        <v>1473</v>
      </c>
      <c r="L255">
        <v>781</v>
      </c>
      <c r="M255" s="58">
        <f t="shared" si="12"/>
        <v>2008</v>
      </c>
      <c r="N255" s="58" t="s">
        <v>64</v>
      </c>
      <c r="O255" s="58" t="str">
        <f t="shared" si="15"/>
        <v>2008 Kansas City Royals</v>
      </c>
      <c r="P255" s="58">
        <v>6214</v>
      </c>
      <c r="Q255" s="58">
        <f t="shared" si="13"/>
        <v>991</v>
      </c>
      <c r="R255" s="58">
        <v>282</v>
      </c>
      <c r="S255" s="58">
        <v>41</v>
      </c>
      <c r="T255" s="58">
        <v>159</v>
      </c>
      <c r="U255" s="58">
        <v>515</v>
      </c>
      <c r="V255" s="58">
        <v>41</v>
      </c>
      <c r="W255" s="58">
        <f t="shared" si="14"/>
        <v>4185</v>
      </c>
      <c r="X255">
        <v>720</v>
      </c>
      <c r="Y255">
        <v>15</v>
      </c>
      <c r="Z255">
        <v>1085</v>
      </c>
      <c r="AA255">
        <v>26</v>
      </c>
      <c r="AB255">
        <v>59</v>
      </c>
      <c r="AC255">
        <v>68</v>
      </c>
      <c r="AD255">
        <v>5</v>
      </c>
      <c r="AE255">
        <v>133</v>
      </c>
      <c r="AF255">
        <v>64</v>
      </c>
      <c r="AG255">
        <v>75</v>
      </c>
      <c r="AH255">
        <v>87</v>
      </c>
      <c r="AI255">
        <v>4.4800000000000004</v>
      </c>
    </row>
    <row r="256" spans="1:35" x14ac:dyDescent="0.5">
      <c r="A256" s="35">
        <v>2008</v>
      </c>
      <c r="B256" t="s">
        <v>145</v>
      </c>
      <c r="C256" t="s">
        <v>38</v>
      </c>
      <c r="D256">
        <v>623</v>
      </c>
      <c r="E256">
        <v>162</v>
      </c>
      <c r="F256">
        <v>5</v>
      </c>
      <c r="G256">
        <v>11</v>
      </c>
      <c r="H256">
        <v>157</v>
      </c>
      <c r="I256">
        <v>35</v>
      </c>
      <c r="J256">
        <v>1447.1</v>
      </c>
      <c r="K256">
        <v>1381</v>
      </c>
      <c r="L256">
        <v>648</v>
      </c>
      <c r="M256" s="58">
        <f t="shared" si="12"/>
        <v>2008</v>
      </c>
      <c r="N256" s="58" t="s">
        <v>66</v>
      </c>
      <c r="O256" s="58" t="str">
        <f t="shared" si="15"/>
        <v>2008 Los Angeles Dodgers</v>
      </c>
      <c r="P256" s="58">
        <v>6127</v>
      </c>
      <c r="Q256" s="58">
        <f t="shared" si="13"/>
        <v>971</v>
      </c>
      <c r="R256" s="58">
        <v>259</v>
      </c>
      <c r="S256" s="58">
        <v>28</v>
      </c>
      <c r="T256" s="58">
        <v>123</v>
      </c>
      <c r="U256" s="58">
        <v>480</v>
      </c>
      <c r="V256" s="58">
        <v>48</v>
      </c>
      <c r="W256" s="58">
        <f t="shared" si="14"/>
        <v>4218</v>
      </c>
      <c r="X256">
        <v>591</v>
      </c>
      <c r="Y256">
        <v>58</v>
      </c>
      <c r="Z256">
        <v>1205</v>
      </c>
      <c r="AA256">
        <v>63</v>
      </c>
      <c r="AB256">
        <v>43</v>
      </c>
      <c r="AC256">
        <v>47</v>
      </c>
      <c r="AD256">
        <v>4</v>
      </c>
      <c r="AE256">
        <v>124</v>
      </c>
      <c r="AF256">
        <v>76</v>
      </c>
      <c r="AG256">
        <v>84</v>
      </c>
      <c r="AH256">
        <v>78</v>
      </c>
      <c r="AI256">
        <v>3.68</v>
      </c>
    </row>
    <row r="257" spans="1:35" x14ac:dyDescent="0.5">
      <c r="A257" s="35">
        <v>2008</v>
      </c>
      <c r="B257" t="s">
        <v>69</v>
      </c>
      <c r="C257" t="s">
        <v>38</v>
      </c>
      <c r="D257">
        <v>607</v>
      </c>
      <c r="E257">
        <v>162</v>
      </c>
      <c r="F257">
        <v>12</v>
      </c>
      <c r="G257">
        <v>10</v>
      </c>
      <c r="H257">
        <v>150</v>
      </c>
      <c r="I257">
        <v>45</v>
      </c>
      <c r="J257">
        <v>1455.2</v>
      </c>
      <c r="K257">
        <v>1415</v>
      </c>
      <c r="L257">
        <v>689</v>
      </c>
      <c r="M257" s="58">
        <f t="shared" si="12"/>
        <v>2008</v>
      </c>
      <c r="N257" s="58" t="s">
        <v>68</v>
      </c>
      <c r="O257" s="58" t="str">
        <f t="shared" si="15"/>
        <v>2008 Milwaukee Brewers</v>
      </c>
      <c r="P257" s="58">
        <v>6209</v>
      </c>
      <c r="Q257" s="58">
        <f t="shared" si="13"/>
        <v>957</v>
      </c>
      <c r="R257" s="58">
        <v>261</v>
      </c>
      <c r="S257" s="58">
        <v>22</v>
      </c>
      <c r="T257" s="58">
        <v>175</v>
      </c>
      <c r="U257" s="58">
        <v>528</v>
      </c>
      <c r="V257" s="58">
        <v>42</v>
      </c>
      <c r="W257" s="58">
        <f t="shared" si="14"/>
        <v>4224</v>
      </c>
      <c r="X257">
        <v>623</v>
      </c>
      <c r="Y257">
        <v>32</v>
      </c>
      <c r="Z257">
        <v>1110</v>
      </c>
      <c r="AA257">
        <v>69</v>
      </c>
      <c r="AB257">
        <v>40</v>
      </c>
      <c r="AC257">
        <v>53</v>
      </c>
      <c r="AD257">
        <v>5</v>
      </c>
      <c r="AE257">
        <v>131</v>
      </c>
      <c r="AF257">
        <v>82</v>
      </c>
      <c r="AG257">
        <v>90</v>
      </c>
      <c r="AH257">
        <v>72</v>
      </c>
      <c r="AI257">
        <v>3.85</v>
      </c>
    </row>
    <row r="258" spans="1:35" x14ac:dyDescent="0.5">
      <c r="A258" s="35">
        <v>2008</v>
      </c>
      <c r="B258" t="s">
        <v>71</v>
      </c>
      <c r="C258" t="s">
        <v>149</v>
      </c>
      <c r="D258">
        <v>648</v>
      </c>
      <c r="E258">
        <v>163</v>
      </c>
      <c r="F258">
        <v>5</v>
      </c>
      <c r="G258">
        <v>10</v>
      </c>
      <c r="H258">
        <v>158</v>
      </c>
      <c r="I258">
        <v>42</v>
      </c>
      <c r="J258">
        <v>1459</v>
      </c>
      <c r="K258">
        <v>1568</v>
      </c>
      <c r="L258">
        <v>745</v>
      </c>
      <c r="M258" s="58">
        <f t="shared" ref="M258:M321" si="16">A258</f>
        <v>2008</v>
      </c>
      <c r="N258" s="58" t="s">
        <v>70</v>
      </c>
      <c r="O258" s="58" t="str">
        <f t="shared" si="15"/>
        <v>2008 Minnesota Twins</v>
      </c>
      <c r="P258" s="58">
        <v>6221</v>
      </c>
      <c r="Q258" s="58">
        <f t="shared" ref="Q258:Q321" si="17">K258-(R258+S258+T258)</f>
        <v>1063</v>
      </c>
      <c r="R258" s="58">
        <v>295</v>
      </c>
      <c r="S258" s="58">
        <v>27</v>
      </c>
      <c r="T258" s="58">
        <v>183</v>
      </c>
      <c r="U258" s="58">
        <v>406</v>
      </c>
      <c r="V258" s="58">
        <v>31</v>
      </c>
      <c r="W258" s="58">
        <f t="shared" ref="W258:W321" si="18">P258-(K258+U258+V258)</f>
        <v>4216</v>
      </c>
      <c r="X258">
        <v>675</v>
      </c>
      <c r="Y258">
        <v>38</v>
      </c>
      <c r="Z258">
        <v>995</v>
      </c>
      <c r="AA258">
        <v>32</v>
      </c>
      <c r="AB258">
        <v>37</v>
      </c>
      <c r="AC258">
        <v>45</v>
      </c>
      <c r="AD258">
        <v>4</v>
      </c>
      <c r="AE258">
        <v>143</v>
      </c>
      <c r="AF258">
        <v>67</v>
      </c>
      <c r="AG258">
        <v>88</v>
      </c>
      <c r="AH258">
        <v>75</v>
      </c>
      <c r="AI258">
        <v>4.16</v>
      </c>
    </row>
    <row r="259" spans="1:35" x14ac:dyDescent="0.5">
      <c r="A259" s="35">
        <v>2008</v>
      </c>
      <c r="B259" t="s">
        <v>144</v>
      </c>
      <c r="C259" t="s">
        <v>38</v>
      </c>
      <c r="D259">
        <v>719</v>
      </c>
      <c r="E259">
        <v>162</v>
      </c>
      <c r="F259">
        <v>5</v>
      </c>
      <c r="G259">
        <v>12</v>
      </c>
      <c r="H259">
        <v>157</v>
      </c>
      <c r="I259">
        <v>43</v>
      </c>
      <c r="J259">
        <v>1464.1</v>
      </c>
      <c r="K259">
        <v>1415</v>
      </c>
      <c r="L259">
        <v>715</v>
      </c>
      <c r="M259" s="58">
        <f t="shared" si="16"/>
        <v>2008</v>
      </c>
      <c r="N259" s="58" t="s">
        <v>76</v>
      </c>
      <c r="O259" s="58" t="str">
        <f t="shared" ref="O259:O322" si="19">M259&amp;" "&amp;N259</f>
        <v>2008 New York Mets</v>
      </c>
      <c r="P259" s="58">
        <v>6338</v>
      </c>
      <c r="Q259" s="58">
        <f t="shared" si="17"/>
        <v>966</v>
      </c>
      <c r="R259" s="58">
        <v>264</v>
      </c>
      <c r="S259" s="58">
        <v>22</v>
      </c>
      <c r="T259" s="58">
        <v>163</v>
      </c>
      <c r="U259" s="58">
        <v>590</v>
      </c>
      <c r="V259" s="58">
        <v>70</v>
      </c>
      <c r="W259" s="58">
        <f t="shared" si="18"/>
        <v>4263</v>
      </c>
      <c r="X259">
        <v>662</v>
      </c>
      <c r="Y259">
        <v>53</v>
      </c>
      <c r="Z259">
        <v>1181</v>
      </c>
      <c r="AA259">
        <v>73</v>
      </c>
      <c r="AB259">
        <v>40</v>
      </c>
      <c r="AC259">
        <v>55</v>
      </c>
      <c r="AD259">
        <v>4</v>
      </c>
      <c r="AE259">
        <v>112</v>
      </c>
      <c r="AF259">
        <v>58</v>
      </c>
      <c r="AG259">
        <v>89</v>
      </c>
      <c r="AH259">
        <v>73</v>
      </c>
      <c r="AI259">
        <v>4.07</v>
      </c>
    </row>
    <row r="260" spans="1:35" x14ac:dyDescent="0.5">
      <c r="A260" s="35">
        <v>2008</v>
      </c>
      <c r="B260" t="s">
        <v>144</v>
      </c>
      <c r="C260" t="s">
        <v>149</v>
      </c>
      <c r="D260">
        <v>637</v>
      </c>
      <c r="E260">
        <v>162</v>
      </c>
      <c r="F260">
        <v>1</v>
      </c>
      <c r="G260">
        <v>11</v>
      </c>
      <c r="H260">
        <v>161</v>
      </c>
      <c r="I260">
        <v>42</v>
      </c>
      <c r="J260">
        <v>1441.2</v>
      </c>
      <c r="K260">
        <v>1478</v>
      </c>
      <c r="L260">
        <v>727</v>
      </c>
      <c r="M260" s="58">
        <f t="shared" si="16"/>
        <v>2008</v>
      </c>
      <c r="N260" s="58" t="s">
        <v>74</v>
      </c>
      <c r="O260" s="58" t="str">
        <f t="shared" si="19"/>
        <v>2008 New York Yankees</v>
      </c>
      <c r="P260" s="58">
        <v>6175</v>
      </c>
      <c r="Q260" s="58">
        <f t="shared" si="17"/>
        <v>1022</v>
      </c>
      <c r="R260" s="58">
        <v>288</v>
      </c>
      <c r="S260" s="58">
        <v>25</v>
      </c>
      <c r="T260" s="58">
        <v>143</v>
      </c>
      <c r="U260" s="58">
        <v>489</v>
      </c>
      <c r="V260" s="58">
        <v>51</v>
      </c>
      <c r="W260" s="58">
        <f t="shared" si="18"/>
        <v>4157</v>
      </c>
      <c r="X260">
        <v>685</v>
      </c>
      <c r="Y260">
        <v>37</v>
      </c>
      <c r="Z260">
        <v>1141</v>
      </c>
      <c r="AA260">
        <v>35</v>
      </c>
      <c r="AB260">
        <v>52</v>
      </c>
      <c r="AC260">
        <v>55</v>
      </c>
      <c r="AD260">
        <v>5</v>
      </c>
      <c r="AE260">
        <v>111</v>
      </c>
      <c r="AF260">
        <v>55</v>
      </c>
      <c r="AG260">
        <v>89</v>
      </c>
      <c r="AH260">
        <v>73</v>
      </c>
      <c r="AI260">
        <v>4.28</v>
      </c>
    </row>
    <row r="261" spans="1:35" x14ac:dyDescent="0.5">
      <c r="A261" s="35">
        <v>2008</v>
      </c>
      <c r="B261" t="s">
        <v>79</v>
      </c>
      <c r="C261" t="s">
        <v>149</v>
      </c>
      <c r="D261">
        <v>602</v>
      </c>
      <c r="E261">
        <v>161</v>
      </c>
      <c r="F261">
        <v>4</v>
      </c>
      <c r="G261">
        <v>7</v>
      </c>
      <c r="H261">
        <v>157</v>
      </c>
      <c r="I261">
        <v>33</v>
      </c>
      <c r="J261">
        <v>1435</v>
      </c>
      <c r="K261">
        <v>1364</v>
      </c>
      <c r="L261">
        <v>690</v>
      </c>
      <c r="M261" s="58">
        <f t="shared" si="16"/>
        <v>2008</v>
      </c>
      <c r="N261" s="58" t="s">
        <v>78</v>
      </c>
      <c r="O261" s="58" t="str">
        <f t="shared" si="19"/>
        <v>2008 Oakland Athletics</v>
      </c>
      <c r="P261" s="58">
        <v>6112</v>
      </c>
      <c r="Q261" s="58">
        <f t="shared" si="17"/>
        <v>914</v>
      </c>
      <c r="R261" s="58">
        <v>284</v>
      </c>
      <c r="S261" s="58">
        <v>31</v>
      </c>
      <c r="T261" s="58">
        <v>135</v>
      </c>
      <c r="U261" s="58">
        <v>576</v>
      </c>
      <c r="V261" s="58">
        <v>54</v>
      </c>
      <c r="W261" s="58">
        <f t="shared" si="18"/>
        <v>4118</v>
      </c>
      <c r="X261">
        <v>640</v>
      </c>
      <c r="Y261">
        <v>45</v>
      </c>
      <c r="Z261">
        <v>1061</v>
      </c>
      <c r="AA261">
        <v>32</v>
      </c>
      <c r="AB261">
        <v>53</v>
      </c>
      <c r="AC261">
        <v>30</v>
      </c>
      <c r="AD261">
        <v>4</v>
      </c>
      <c r="AE261">
        <v>142</v>
      </c>
      <c r="AF261">
        <v>67</v>
      </c>
      <c r="AG261">
        <v>75</v>
      </c>
      <c r="AH261">
        <v>86</v>
      </c>
      <c r="AI261">
        <v>4.01</v>
      </c>
    </row>
    <row r="262" spans="1:35" x14ac:dyDescent="0.5">
      <c r="A262" s="35">
        <v>2008</v>
      </c>
      <c r="B262" t="s">
        <v>81</v>
      </c>
      <c r="C262" t="s">
        <v>38</v>
      </c>
      <c r="D262">
        <v>630</v>
      </c>
      <c r="E262">
        <v>162</v>
      </c>
      <c r="F262">
        <v>4</v>
      </c>
      <c r="G262">
        <v>11</v>
      </c>
      <c r="H262">
        <v>158</v>
      </c>
      <c r="I262">
        <v>47</v>
      </c>
      <c r="J262">
        <v>1449.2</v>
      </c>
      <c r="K262">
        <v>1444</v>
      </c>
      <c r="L262">
        <v>680</v>
      </c>
      <c r="M262" s="58">
        <f t="shared" si="16"/>
        <v>2008</v>
      </c>
      <c r="N262" s="58" t="s">
        <v>80</v>
      </c>
      <c r="O262" s="58" t="str">
        <f t="shared" si="19"/>
        <v>2008 Philadelphia Phillies</v>
      </c>
      <c r="P262" s="58">
        <v>6229</v>
      </c>
      <c r="Q262" s="58">
        <f t="shared" si="17"/>
        <v>953</v>
      </c>
      <c r="R262" s="58">
        <v>306</v>
      </c>
      <c r="S262" s="58">
        <v>25</v>
      </c>
      <c r="T262" s="58">
        <v>160</v>
      </c>
      <c r="U262" s="58">
        <v>533</v>
      </c>
      <c r="V262" s="58">
        <v>57</v>
      </c>
      <c r="W262" s="58">
        <f t="shared" si="18"/>
        <v>4195</v>
      </c>
      <c r="X262">
        <v>625</v>
      </c>
      <c r="Y262">
        <v>64</v>
      </c>
      <c r="Z262">
        <v>1081</v>
      </c>
      <c r="AA262">
        <v>50</v>
      </c>
      <c r="AB262">
        <v>24</v>
      </c>
      <c r="AC262">
        <v>34</v>
      </c>
      <c r="AD262">
        <v>3</v>
      </c>
      <c r="AE262">
        <v>127</v>
      </c>
      <c r="AF262">
        <v>59</v>
      </c>
      <c r="AG262">
        <v>92</v>
      </c>
      <c r="AH262">
        <v>70</v>
      </c>
      <c r="AI262">
        <v>3.88</v>
      </c>
    </row>
    <row r="263" spans="1:35" x14ac:dyDescent="0.5">
      <c r="A263" s="35">
        <v>2008</v>
      </c>
      <c r="B263" t="s">
        <v>83</v>
      </c>
      <c r="C263" t="s">
        <v>38</v>
      </c>
      <c r="D263">
        <v>659</v>
      </c>
      <c r="E263">
        <v>162</v>
      </c>
      <c r="F263">
        <v>3</v>
      </c>
      <c r="G263">
        <v>7</v>
      </c>
      <c r="H263">
        <v>159</v>
      </c>
      <c r="I263">
        <v>34</v>
      </c>
      <c r="J263">
        <v>1455</v>
      </c>
      <c r="K263">
        <v>1631</v>
      </c>
      <c r="L263">
        <v>884</v>
      </c>
      <c r="M263" s="58">
        <f t="shared" si="16"/>
        <v>2008</v>
      </c>
      <c r="N263" s="58" t="s">
        <v>82</v>
      </c>
      <c r="O263" s="58" t="str">
        <f t="shared" si="19"/>
        <v>2008 Pittsburgh Pirates</v>
      </c>
      <c r="P263" s="58">
        <v>6528</v>
      </c>
      <c r="Q263" s="58">
        <f t="shared" si="17"/>
        <v>1061</v>
      </c>
      <c r="R263" s="58">
        <v>361</v>
      </c>
      <c r="S263" s="58">
        <v>33</v>
      </c>
      <c r="T263" s="58">
        <v>176</v>
      </c>
      <c r="U263" s="58">
        <v>657</v>
      </c>
      <c r="V263" s="58">
        <v>49</v>
      </c>
      <c r="W263" s="58">
        <f t="shared" si="18"/>
        <v>4191</v>
      </c>
      <c r="X263">
        <v>822</v>
      </c>
      <c r="Y263">
        <v>31</v>
      </c>
      <c r="Z263">
        <v>963</v>
      </c>
      <c r="AA263">
        <v>72</v>
      </c>
      <c r="AB263">
        <v>56</v>
      </c>
      <c r="AC263">
        <v>64</v>
      </c>
      <c r="AD263">
        <v>9</v>
      </c>
      <c r="AE263">
        <v>157</v>
      </c>
      <c r="AF263">
        <v>72</v>
      </c>
      <c r="AG263">
        <v>67</v>
      </c>
      <c r="AH263">
        <v>95</v>
      </c>
      <c r="AI263">
        <v>5.08</v>
      </c>
    </row>
    <row r="264" spans="1:35" x14ac:dyDescent="0.5">
      <c r="A264" s="35">
        <v>2008</v>
      </c>
      <c r="B264" t="s">
        <v>147</v>
      </c>
      <c r="C264" t="s">
        <v>38</v>
      </c>
      <c r="D264">
        <v>653</v>
      </c>
      <c r="E264">
        <v>162</v>
      </c>
      <c r="F264">
        <v>3</v>
      </c>
      <c r="G264">
        <v>6</v>
      </c>
      <c r="H264">
        <v>159</v>
      </c>
      <c r="I264">
        <v>30</v>
      </c>
      <c r="J264">
        <v>1458.1</v>
      </c>
      <c r="K264">
        <v>1466</v>
      </c>
      <c r="L264">
        <v>764</v>
      </c>
      <c r="M264" s="58">
        <f t="shared" si="16"/>
        <v>2008</v>
      </c>
      <c r="N264" s="58" t="s">
        <v>84</v>
      </c>
      <c r="O264" s="58" t="str">
        <f t="shared" si="19"/>
        <v>2008 San Diego Padres</v>
      </c>
      <c r="P264" s="58">
        <v>6286</v>
      </c>
      <c r="Q264" s="58">
        <f t="shared" si="17"/>
        <v>1011</v>
      </c>
      <c r="R264" s="58">
        <v>261</v>
      </c>
      <c r="S264" s="58">
        <v>29</v>
      </c>
      <c r="T264" s="58">
        <v>165</v>
      </c>
      <c r="U264" s="58">
        <v>561</v>
      </c>
      <c r="V264" s="58">
        <v>38</v>
      </c>
      <c r="W264" s="58">
        <f t="shared" si="18"/>
        <v>4221</v>
      </c>
      <c r="X264">
        <v>714</v>
      </c>
      <c r="Y264">
        <v>61</v>
      </c>
      <c r="Z264">
        <v>1100</v>
      </c>
      <c r="AA264">
        <v>64</v>
      </c>
      <c r="AB264">
        <v>49</v>
      </c>
      <c r="AC264">
        <v>43</v>
      </c>
      <c r="AD264">
        <v>4</v>
      </c>
      <c r="AE264">
        <v>123</v>
      </c>
      <c r="AF264">
        <v>50</v>
      </c>
      <c r="AG264">
        <v>63</v>
      </c>
      <c r="AH264">
        <v>99</v>
      </c>
      <c r="AI264">
        <v>4.41</v>
      </c>
    </row>
    <row r="265" spans="1:35" x14ac:dyDescent="0.5">
      <c r="A265" s="35">
        <v>2008</v>
      </c>
      <c r="B265" t="s">
        <v>87</v>
      </c>
      <c r="C265" t="s">
        <v>149</v>
      </c>
      <c r="D265">
        <v>631</v>
      </c>
      <c r="E265">
        <v>162</v>
      </c>
      <c r="F265">
        <v>4</v>
      </c>
      <c r="G265">
        <v>4</v>
      </c>
      <c r="H265">
        <v>158</v>
      </c>
      <c r="I265">
        <v>36</v>
      </c>
      <c r="J265">
        <v>1435.1</v>
      </c>
      <c r="K265">
        <v>1544</v>
      </c>
      <c r="L265">
        <v>811</v>
      </c>
      <c r="M265" s="58">
        <f t="shared" si="16"/>
        <v>2008</v>
      </c>
      <c r="N265" s="58" t="s">
        <v>86</v>
      </c>
      <c r="O265" s="58" t="str">
        <f t="shared" si="19"/>
        <v>2008 Seattle Mariners</v>
      </c>
      <c r="P265" s="58">
        <v>6368</v>
      </c>
      <c r="Q265" s="58">
        <f t="shared" si="17"/>
        <v>1012</v>
      </c>
      <c r="R265" s="58">
        <v>351</v>
      </c>
      <c r="S265" s="58">
        <v>20</v>
      </c>
      <c r="T265" s="58">
        <v>161</v>
      </c>
      <c r="U265" s="58">
        <v>626</v>
      </c>
      <c r="V265" s="58">
        <v>53</v>
      </c>
      <c r="W265" s="58">
        <f t="shared" si="18"/>
        <v>4145</v>
      </c>
      <c r="X265">
        <v>754</v>
      </c>
      <c r="Y265">
        <v>37</v>
      </c>
      <c r="Z265">
        <v>1016</v>
      </c>
      <c r="AA265">
        <v>41</v>
      </c>
      <c r="AB265">
        <v>61</v>
      </c>
      <c r="AC265">
        <v>60</v>
      </c>
      <c r="AD265">
        <v>5</v>
      </c>
      <c r="AE265">
        <v>139</v>
      </c>
      <c r="AF265">
        <v>66</v>
      </c>
      <c r="AG265">
        <v>61</v>
      </c>
      <c r="AH265">
        <v>101</v>
      </c>
      <c r="AI265">
        <v>4.7300000000000004</v>
      </c>
    </row>
    <row r="266" spans="1:35" x14ac:dyDescent="0.5">
      <c r="A266" s="35">
        <v>2008</v>
      </c>
      <c r="B266" t="s">
        <v>21</v>
      </c>
      <c r="C266" t="s">
        <v>38</v>
      </c>
      <c r="D266">
        <v>640</v>
      </c>
      <c r="E266">
        <v>162</v>
      </c>
      <c r="F266">
        <v>4</v>
      </c>
      <c r="G266">
        <v>12</v>
      </c>
      <c r="H266">
        <v>158</v>
      </c>
      <c r="I266">
        <v>41</v>
      </c>
      <c r="J266">
        <v>1442</v>
      </c>
      <c r="K266">
        <v>1416</v>
      </c>
      <c r="L266">
        <v>759</v>
      </c>
      <c r="M266" s="58">
        <f t="shared" si="16"/>
        <v>2008</v>
      </c>
      <c r="N266" s="58" t="s">
        <v>88</v>
      </c>
      <c r="O266" s="58" t="str">
        <f t="shared" si="19"/>
        <v>2008 San Francisco Giants</v>
      </c>
      <c r="P266" s="58">
        <v>6341</v>
      </c>
      <c r="Q266" s="58">
        <f t="shared" si="17"/>
        <v>936</v>
      </c>
      <c r="R266" s="58">
        <v>301</v>
      </c>
      <c r="S266" s="58">
        <v>32</v>
      </c>
      <c r="T266" s="58">
        <v>147</v>
      </c>
      <c r="U266" s="58">
        <v>652</v>
      </c>
      <c r="V266" s="58">
        <v>70</v>
      </c>
      <c r="W266" s="58">
        <f t="shared" si="18"/>
        <v>4203</v>
      </c>
      <c r="X266">
        <v>701</v>
      </c>
      <c r="Y266">
        <v>59</v>
      </c>
      <c r="Z266">
        <v>1240</v>
      </c>
      <c r="AA266">
        <v>67</v>
      </c>
      <c r="AB266">
        <v>57</v>
      </c>
      <c r="AC266">
        <v>77</v>
      </c>
      <c r="AD266">
        <v>7</v>
      </c>
      <c r="AE266">
        <v>105</v>
      </c>
      <c r="AF266">
        <v>70</v>
      </c>
      <c r="AG266">
        <v>72</v>
      </c>
      <c r="AH266">
        <v>90</v>
      </c>
      <c r="AI266">
        <v>4.38</v>
      </c>
    </row>
    <row r="267" spans="1:35" x14ac:dyDescent="0.5">
      <c r="A267" s="35">
        <v>2008</v>
      </c>
      <c r="B267" t="s">
        <v>142</v>
      </c>
      <c r="C267" t="s">
        <v>38</v>
      </c>
      <c r="D267">
        <v>668</v>
      </c>
      <c r="E267">
        <v>162</v>
      </c>
      <c r="F267">
        <v>2</v>
      </c>
      <c r="G267">
        <v>7</v>
      </c>
      <c r="H267">
        <v>160</v>
      </c>
      <c r="I267">
        <v>42</v>
      </c>
      <c r="J267">
        <v>1454</v>
      </c>
      <c r="K267">
        <v>1517</v>
      </c>
      <c r="L267">
        <v>725</v>
      </c>
      <c r="M267" s="58">
        <f t="shared" si="16"/>
        <v>2008</v>
      </c>
      <c r="N267" s="58" t="s">
        <v>90</v>
      </c>
      <c r="O267" s="58" t="str">
        <f t="shared" si="19"/>
        <v>2008 St. Louis Cardinals</v>
      </c>
      <c r="P267" s="58">
        <v>6264</v>
      </c>
      <c r="Q267" s="58">
        <f t="shared" si="17"/>
        <v>968</v>
      </c>
      <c r="R267" s="58">
        <v>352</v>
      </c>
      <c r="S267" s="58">
        <v>34</v>
      </c>
      <c r="T267" s="58">
        <v>163</v>
      </c>
      <c r="U267" s="58">
        <v>496</v>
      </c>
      <c r="V267" s="58">
        <v>51</v>
      </c>
      <c r="W267" s="58">
        <f t="shared" si="18"/>
        <v>4200</v>
      </c>
      <c r="X267">
        <v>677</v>
      </c>
      <c r="Y267">
        <v>21</v>
      </c>
      <c r="Z267">
        <v>957</v>
      </c>
      <c r="AA267">
        <v>52</v>
      </c>
      <c r="AB267">
        <v>42</v>
      </c>
      <c r="AC267">
        <v>50</v>
      </c>
      <c r="AD267">
        <v>2</v>
      </c>
      <c r="AE267">
        <v>134</v>
      </c>
      <c r="AF267">
        <v>55</v>
      </c>
      <c r="AG267">
        <v>86</v>
      </c>
      <c r="AH267">
        <v>76</v>
      </c>
      <c r="AI267">
        <v>4.1900000000000004</v>
      </c>
    </row>
    <row r="268" spans="1:35" x14ac:dyDescent="0.5">
      <c r="A268" s="35">
        <v>2008</v>
      </c>
      <c r="B268" t="s">
        <v>151</v>
      </c>
      <c r="C268" t="s">
        <v>149</v>
      </c>
      <c r="D268">
        <v>610</v>
      </c>
      <c r="E268">
        <v>162</v>
      </c>
      <c r="F268">
        <v>7</v>
      </c>
      <c r="G268">
        <v>12</v>
      </c>
      <c r="H268">
        <v>155</v>
      </c>
      <c r="I268">
        <v>52</v>
      </c>
      <c r="J268">
        <v>1457.2</v>
      </c>
      <c r="K268">
        <v>1349</v>
      </c>
      <c r="L268">
        <v>671</v>
      </c>
      <c r="M268" s="58">
        <f t="shared" si="16"/>
        <v>2008</v>
      </c>
      <c r="N268" s="58" t="s">
        <v>92</v>
      </c>
      <c r="O268" s="58" t="str">
        <f t="shared" si="19"/>
        <v>2008 Tampa Bay Devil Rays</v>
      </c>
      <c r="P268" s="58">
        <v>6145</v>
      </c>
      <c r="Q268" s="58">
        <f t="shared" si="17"/>
        <v>862</v>
      </c>
      <c r="R268" s="58">
        <v>289</v>
      </c>
      <c r="S268" s="58">
        <v>32</v>
      </c>
      <c r="T268" s="58">
        <v>166</v>
      </c>
      <c r="U268" s="58">
        <v>526</v>
      </c>
      <c r="V268" s="58">
        <v>46</v>
      </c>
      <c r="W268" s="58">
        <f t="shared" si="18"/>
        <v>4224</v>
      </c>
      <c r="X268">
        <v>618</v>
      </c>
      <c r="Y268">
        <v>29</v>
      </c>
      <c r="Z268">
        <v>1143</v>
      </c>
      <c r="AA268">
        <v>34</v>
      </c>
      <c r="AB268">
        <v>45</v>
      </c>
      <c r="AC268">
        <v>52</v>
      </c>
      <c r="AD268">
        <v>3</v>
      </c>
      <c r="AE268">
        <v>132</v>
      </c>
      <c r="AF268">
        <v>64</v>
      </c>
      <c r="AG268">
        <v>97</v>
      </c>
      <c r="AH268">
        <v>65</v>
      </c>
      <c r="AI268">
        <v>3.82</v>
      </c>
    </row>
    <row r="269" spans="1:35" x14ac:dyDescent="0.5">
      <c r="A269" s="35">
        <v>2008</v>
      </c>
      <c r="B269" t="s">
        <v>95</v>
      </c>
      <c r="C269" t="s">
        <v>149</v>
      </c>
      <c r="D269">
        <v>619</v>
      </c>
      <c r="E269">
        <v>162</v>
      </c>
      <c r="F269">
        <v>6</v>
      </c>
      <c r="G269">
        <v>8</v>
      </c>
      <c r="H269">
        <v>156</v>
      </c>
      <c r="I269">
        <v>36</v>
      </c>
      <c r="J269">
        <v>1442</v>
      </c>
      <c r="K269">
        <v>1647</v>
      </c>
      <c r="L269">
        <v>967</v>
      </c>
      <c r="M269" s="58">
        <f t="shared" si="16"/>
        <v>2008</v>
      </c>
      <c r="N269" s="58" t="s">
        <v>94</v>
      </c>
      <c r="O269" s="58" t="str">
        <f t="shared" si="19"/>
        <v>2008 Texas Rangers</v>
      </c>
      <c r="P269" s="58">
        <v>6506</v>
      </c>
      <c r="Q269" s="58">
        <f t="shared" si="17"/>
        <v>1080</v>
      </c>
      <c r="R269" s="58">
        <v>355</v>
      </c>
      <c r="S269" s="58">
        <v>36</v>
      </c>
      <c r="T269" s="58">
        <v>176</v>
      </c>
      <c r="U269" s="58">
        <v>625</v>
      </c>
      <c r="V269" s="58">
        <v>72</v>
      </c>
      <c r="W269" s="58">
        <f t="shared" si="18"/>
        <v>4162</v>
      </c>
      <c r="X269">
        <v>860</v>
      </c>
      <c r="Y269">
        <v>44</v>
      </c>
      <c r="Z269">
        <v>963</v>
      </c>
      <c r="AA269">
        <v>30</v>
      </c>
      <c r="AB269">
        <v>55</v>
      </c>
      <c r="AC269">
        <v>62</v>
      </c>
      <c r="AD269">
        <v>9</v>
      </c>
      <c r="AE269">
        <v>160</v>
      </c>
      <c r="AF269">
        <v>80</v>
      </c>
      <c r="AG269">
        <v>79</v>
      </c>
      <c r="AH269">
        <v>83</v>
      </c>
      <c r="AI269">
        <v>5.37</v>
      </c>
    </row>
    <row r="270" spans="1:35" x14ac:dyDescent="0.5">
      <c r="A270" s="35">
        <v>2008</v>
      </c>
      <c r="B270" t="s">
        <v>97</v>
      </c>
      <c r="C270" t="s">
        <v>149</v>
      </c>
      <c r="D270">
        <v>583</v>
      </c>
      <c r="E270">
        <v>162</v>
      </c>
      <c r="F270">
        <v>15</v>
      </c>
      <c r="G270">
        <v>13</v>
      </c>
      <c r="H270">
        <v>147</v>
      </c>
      <c r="I270">
        <v>44</v>
      </c>
      <c r="J270">
        <v>1446.2</v>
      </c>
      <c r="K270">
        <v>1330</v>
      </c>
      <c r="L270">
        <v>610</v>
      </c>
      <c r="M270" s="58">
        <f t="shared" si="16"/>
        <v>2008</v>
      </c>
      <c r="N270" s="58" t="s">
        <v>96</v>
      </c>
      <c r="O270" s="58" t="str">
        <f t="shared" si="19"/>
        <v>2008 Toronto Blue Jays</v>
      </c>
      <c r="P270" s="58">
        <v>6067</v>
      </c>
      <c r="Q270" s="58">
        <f t="shared" si="17"/>
        <v>884</v>
      </c>
      <c r="R270" s="58">
        <v>281</v>
      </c>
      <c r="S270" s="58">
        <v>31</v>
      </c>
      <c r="T270" s="58">
        <v>134</v>
      </c>
      <c r="U270" s="58">
        <v>467</v>
      </c>
      <c r="V270" s="58">
        <v>67</v>
      </c>
      <c r="W270" s="58">
        <f t="shared" si="18"/>
        <v>4203</v>
      </c>
      <c r="X270">
        <v>561</v>
      </c>
      <c r="Y270">
        <v>42</v>
      </c>
      <c r="Z270">
        <v>1184</v>
      </c>
      <c r="AA270">
        <v>31</v>
      </c>
      <c r="AB270">
        <v>40</v>
      </c>
      <c r="AC270">
        <v>51</v>
      </c>
      <c r="AD270">
        <v>4</v>
      </c>
      <c r="AE270">
        <v>111</v>
      </c>
      <c r="AF270">
        <v>61</v>
      </c>
      <c r="AG270">
        <v>86</v>
      </c>
      <c r="AH270">
        <v>76</v>
      </c>
      <c r="AI270">
        <v>3.49</v>
      </c>
    </row>
    <row r="271" spans="1:35" x14ac:dyDescent="0.5">
      <c r="A271" s="35">
        <v>2008</v>
      </c>
      <c r="B271" t="s">
        <v>101</v>
      </c>
      <c r="C271" t="s">
        <v>38</v>
      </c>
      <c r="D271">
        <v>678</v>
      </c>
      <c r="E271">
        <v>161</v>
      </c>
      <c r="F271">
        <v>2</v>
      </c>
      <c r="G271">
        <v>8</v>
      </c>
      <c r="H271">
        <v>159</v>
      </c>
      <c r="I271">
        <v>28</v>
      </c>
      <c r="J271">
        <v>1434</v>
      </c>
      <c r="K271">
        <v>1496</v>
      </c>
      <c r="L271">
        <v>825</v>
      </c>
      <c r="M271" s="58">
        <f t="shared" si="16"/>
        <v>2008</v>
      </c>
      <c r="N271" s="58" t="s">
        <v>100</v>
      </c>
      <c r="O271" s="58" t="str">
        <f t="shared" si="19"/>
        <v>2008 Washington Nationals</v>
      </c>
      <c r="P271" s="58">
        <v>6310</v>
      </c>
      <c r="Q271" s="58">
        <f t="shared" si="17"/>
        <v>979</v>
      </c>
      <c r="R271" s="58">
        <v>305</v>
      </c>
      <c r="S271" s="58">
        <v>22</v>
      </c>
      <c r="T271" s="58">
        <v>190</v>
      </c>
      <c r="U271" s="58">
        <v>588</v>
      </c>
      <c r="V271" s="58">
        <v>51</v>
      </c>
      <c r="W271" s="58">
        <f t="shared" si="18"/>
        <v>4175</v>
      </c>
      <c r="X271">
        <v>742</v>
      </c>
      <c r="Y271">
        <v>44</v>
      </c>
      <c r="Z271">
        <v>1063</v>
      </c>
      <c r="AA271">
        <v>76</v>
      </c>
      <c r="AB271">
        <v>49</v>
      </c>
      <c r="AC271">
        <v>59</v>
      </c>
      <c r="AD271">
        <v>8</v>
      </c>
      <c r="AE271">
        <v>119</v>
      </c>
      <c r="AF271">
        <v>74</v>
      </c>
      <c r="AG271">
        <v>59</v>
      </c>
      <c r="AH271">
        <v>102</v>
      </c>
      <c r="AI271">
        <v>4.66</v>
      </c>
    </row>
    <row r="272" spans="1:35" x14ac:dyDescent="0.5">
      <c r="A272" s="35">
        <v>2009</v>
      </c>
      <c r="B272" t="s">
        <v>37</v>
      </c>
      <c r="C272" t="s">
        <v>149</v>
      </c>
      <c r="D272">
        <v>596</v>
      </c>
      <c r="E272">
        <v>162</v>
      </c>
      <c r="F272">
        <v>9</v>
      </c>
      <c r="G272">
        <v>13</v>
      </c>
      <c r="H272">
        <v>153</v>
      </c>
      <c r="I272">
        <v>51</v>
      </c>
      <c r="J272">
        <v>1445</v>
      </c>
      <c r="K272">
        <v>1513</v>
      </c>
      <c r="L272">
        <v>761</v>
      </c>
      <c r="M272" s="58">
        <f t="shared" si="16"/>
        <v>2009</v>
      </c>
      <c r="N272" s="58" t="s">
        <v>36</v>
      </c>
      <c r="O272" s="58" t="str">
        <f t="shared" si="19"/>
        <v>2009 Anaheim Angels</v>
      </c>
      <c r="P272" s="58">
        <v>6252</v>
      </c>
      <c r="Q272" s="58">
        <f t="shared" si="17"/>
        <v>1010</v>
      </c>
      <c r="R272" s="58">
        <v>298</v>
      </c>
      <c r="S272" s="58">
        <v>25</v>
      </c>
      <c r="T272" s="58">
        <v>180</v>
      </c>
      <c r="U272" s="58">
        <v>523</v>
      </c>
      <c r="V272" s="58">
        <v>58</v>
      </c>
      <c r="W272" s="58">
        <f t="shared" si="18"/>
        <v>4158</v>
      </c>
      <c r="X272">
        <v>715</v>
      </c>
      <c r="Y272">
        <v>35</v>
      </c>
      <c r="Z272">
        <v>1062</v>
      </c>
      <c r="AA272">
        <v>52</v>
      </c>
      <c r="AB272">
        <v>54</v>
      </c>
      <c r="AC272">
        <v>67</v>
      </c>
      <c r="AD272">
        <v>2</v>
      </c>
      <c r="AE272">
        <v>155</v>
      </c>
      <c r="AF272">
        <v>56</v>
      </c>
      <c r="AG272">
        <v>97</v>
      </c>
      <c r="AH272">
        <v>65</v>
      </c>
      <c r="AI272">
        <v>4.45</v>
      </c>
    </row>
    <row r="273" spans="1:35" x14ac:dyDescent="0.5">
      <c r="A273" s="35">
        <v>2009</v>
      </c>
      <c r="B273" t="s">
        <v>40</v>
      </c>
      <c r="C273" t="s">
        <v>38</v>
      </c>
      <c r="D273">
        <v>645</v>
      </c>
      <c r="E273">
        <v>162</v>
      </c>
      <c r="F273">
        <v>4</v>
      </c>
      <c r="G273">
        <v>12</v>
      </c>
      <c r="H273">
        <v>158</v>
      </c>
      <c r="I273">
        <v>36</v>
      </c>
      <c r="J273">
        <v>1447.2</v>
      </c>
      <c r="K273">
        <v>1470</v>
      </c>
      <c r="L273">
        <v>782</v>
      </c>
      <c r="M273" s="58">
        <f t="shared" si="16"/>
        <v>2009</v>
      </c>
      <c r="N273" s="58" t="s">
        <v>39</v>
      </c>
      <c r="O273" s="58" t="str">
        <f t="shared" si="19"/>
        <v>2009 Arizona Diamondbacks</v>
      </c>
      <c r="P273" s="58">
        <v>6267</v>
      </c>
      <c r="Q273" s="58">
        <f t="shared" si="17"/>
        <v>975</v>
      </c>
      <c r="R273" s="58">
        <v>285</v>
      </c>
      <c r="S273" s="58">
        <v>42</v>
      </c>
      <c r="T273" s="58">
        <v>168</v>
      </c>
      <c r="U273" s="58">
        <v>525</v>
      </c>
      <c r="V273" s="58">
        <v>53</v>
      </c>
      <c r="W273" s="58">
        <f t="shared" si="18"/>
        <v>4219</v>
      </c>
      <c r="X273">
        <v>711</v>
      </c>
      <c r="Y273">
        <v>27</v>
      </c>
      <c r="Z273">
        <v>1158</v>
      </c>
      <c r="AA273">
        <v>59</v>
      </c>
      <c r="AB273">
        <v>39</v>
      </c>
      <c r="AC273">
        <v>79</v>
      </c>
      <c r="AD273">
        <v>2</v>
      </c>
      <c r="AE273">
        <v>115</v>
      </c>
      <c r="AF273">
        <v>68</v>
      </c>
      <c r="AG273">
        <v>70</v>
      </c>
      <c r="AH273">
        <v>92</v>
      </c>
      <c r="AI273">
        <v>4.42</v>
      </c>
    </row>
    <row r="274" spans="1:35" x14ac:dyDescent="0.5">
      <c r="A274" s="35">
        <v>2009</v>
      </c>
      <c r="B274" t="s">
        <v>42</v>
      </c>
      <c r="C274" t="s">
        <v>38</v>
      </c>
      <c r="D274">
        <v>650</v>
      </c>
      <c r="E274">
        <v>162</v>
      </c>
      <c r="F274">
        <v>3</v>
      </c>
      <c r="G274">
        <v>10</v>
      </c>
      <c r="H274">
        <v>159</v>
      </c>
      <c r="I274">
        <v>38</v>
      </c>
      <c r="J274">
        <v>1462.2</v>
      </c>
      <c r="K274">
        <v>1399</v>
      </c>
      <c r="L274">
        <v>641</v>
      </c>
      <c r="M274" s="58">
        <f t="shared" si="16"/>
        <v>2009</v>
      </c>
      <c r="N274" s="58" t="s">
        <v>41</v>
      </c>
      <c r="O274" s="58" t="str">
        <f t="shared" si="19"/>
        <v>2009 Atlanta Braves</v>
      </c>
      <c r="P274" s="58">
        <v>6208</v>
      </c>
      <c r="Q274" s="58">
        <f t="shared" si="17"/>
        <v>936</v>
      </c>
      <c r="R274" s="58">
        <v>295</v>
      </c>
      <c r="S274" s="58">
        <v>49</v>
      </c>
      <c r="T274" s="58">
        <v>119</v>
      </c>
      <c r="U274" s="58">
        <v>530</v>
      </c>
      <c r="V274" s="58">
        <v>49</v>
      </c>
      <c r="W274" s="58">
        <f t="shared" si="18"/>
        <v>4230</v>
      </c>
      <c r="X274">
        <v>581</v>
      </c>
      <c r="Y274">
        <v>59</v>
      </c>
      <c r="Z274">
        <v>1232</v>
      </c>
      <c r="AA274">
        <v>86</v>
      </c>
      <c r="AB274">
        <v>34</v>
      </c>
      <c r="AC274">
        <v>40</v>
      </c>
      <c r="AD274">
        <v>6</v>
      </c>
      <c r="AE274">
        <v>138</v>
      </c>
      <c r="AF274">
        <v>68</v>
      </c>
      <c r="AG274">
        <v>86</v>
      </c>
      <c r="AH274">
        <v>76</v>
      </c>
      <c r="AI274">
        <v>3.57</v>
      </c>
    </row>
    <row r="275" spans="1:35" x14ac:dyDescent="0.5">
      <c r="A275" s="35">
        <v>2009</v>
      </c>
      <c r="B275" t="s">
        <v>45</v>
      </c>
      <c r="C275" t="s">
        <v>149</v>
      </c>
      <c r="D275">
        <v>646</v>
      </c>
      <c r="E275">
        <v>162</v>
      </c>
      <c r="F275">
        <v>2</v>
      </c>
      <c r="G275">
        <v>3</v>
      </c>
      <c r="H275">
        <v>160</v>
      </c>
      <c r="I275">
        <v>31</v>
      </c>
      <c r="J275">
        <v>1429</v>
      </c>
      <c r="K275">
        <v>1633</v>
      </c>
      <c r="L275">
        <v>876</v>
      </c>
      <c r="M275" s="58">
        <f t="shared" si="16"/>
        <v>2009</v>
      </c>
      <c r="N275" s="58" t="s">
        <v>44</v>
      </c>
      <c r="O275" s="58" t="str">
        <f t="shared" si="19"/>
        <v>2009 Baltimore Orioles</v>
      </c>
      <c r="P275" s="58">
        <v>6359</v>
      </c>
      <c r="Q275" s="58">
        <f t="shared" si="17"/>
        <v>1031</v>
      </c>
      <c r="R275" s="58">
        <v>356</v>
      </c>
      <c r="S275" s="58">
        <v>28</v>
      </c>
      <c r="T275" s="58">
        <v>218</v>
      </c>
      <c r="U275" s="58">
        <v>546</v>
      </c>
      <c r="V275" s="58">
        <v>51</v>
      </c>
      <c r="W275" s="58">
        <f t="shared" si="18"/>
        <v>4129</v>
      </c>
      <c r="X275">
        <v>817</v>
      </c>
      <c r="Y275">
        <v>45</v>
      </c>
      <c r="Z275">
        <v>933</v>
      </c>
      <c r="AA275">
        <v>35</v>
      </c>
      <c r="AB275">
        <v>51</v>
      </c>
      <c r="AC275">
        <v>31</v>
      </c>
      <c r="AD275">
        <v>7</v>
      </c>
      <c r="AE275">
        <v>132</v>
      </c>
      <c r="AF275">
        <v>57</v>
      </c>
      <c r="AG275">
        <v>64</v>
      </c>
      <c r="AH275">
        <v>98</v>
      </c>
      <c r="AI275">
        <v>5.15</v>
      </c>
    </row>
    <row r="276" spans="1:35" x14ac:dyDescent="0.5">
      <c r="A276" s="35">
        <v>2009</v>
      </c>
      <c r="B276" t="s">
        <v>47</v>
      </c>
      <c r="C276" t="s">
        <v>149</v>
      </c>
      <c r="D276">
        <v>625</v>
      </c>
      <c r="E276">
        <v>162</v>
      </c>
      <c r="F276">
        <v>8</v>
      </c>
      <c r="G276">
        <v>11</v>
      </c>
      <c r="H276">
        <v>154</v>
      </c>
      <c r="I276">
        <v>41</v>
      </c>
      <c r="J276">
        <v>1436.2</v>
      </c>
      <c r="K276">
        <v>1494</v>
      </c>
      <c r="L276">
        <v>736</v>
      </c>
      <c r="M276" s="58">
        <f t="shared" si="16"/>
        <v>2009</v>
      </c>
      <c r="N276" s="58" t="s">
        <v>46</v>
      </c>
      <c r="O276" s="58" t="str">
        <f t="shared" si="19"/>
        <v>2009 Boston Red Sox</v>
      </c>
      <c r="P276" s="58">
        <v>6283</v>
      </c>
      <c r="Q276" s="58">
        <f t="shared" si="17"/>
        <v>988</v>
      </c>
      <c r="R276" s="58">
        <v>312</v>
      </c>
      <c r="S276" s="58">
        <v>27</v>
      </c>
      <c r="T276" s="58">
        <v>167</v>
      </c>
      <c r="U276" s="58">
        <v>530</v>
      </c>
      <c r="V276" s="58">
        <v>68</v>
      </c>
      <c r="W276" s="58">
        <f t="shared" si="18"/>
        <v>4191</v>
      </c>
      <c r="X276">
        <v>695</v>
      </c>
      <c r="Y276">
        <v>24</v>
      </c>
      <c r="Z276">
        <v>1230</v>
      </c>
      <c r="AA276">
        <v>43</v>
      </c>
      <c r="AB276">
        <v>48</v>
      </c>
      <c r="AC276">
        <v>42</v>
      </c>
      <c r="AD276">
        <v>5</v>
      </c>
      <c r="AE276">
        <v>96</v>
      </c>
      <c r="AF276">
        <v>54</v>
      </c>
      <c r="AG276">
        <v>95</v>
      </c>
      <c r="AH276">
        <v>67</v>
      </c>
      <c r="AI276">
        <v>4.3499999999999996</v>
      </c>
    </row>
    <row r="277" spans="1:35" x14ac:dyDescent="0.5">
      <c r="A277" s="35">
        <v>2009</v>
      </c>
      <c r="B277" t="s">
        <v>143</v>
      </c>
      <c r="C277" t="s">
        <v>38</v>
      </c>
      <c r="D277">
        <v>641</v>
      </c>
      <c r="E277">
        <v>161</v>
      </c>
      <c r="F277">
        <v>3</v>
      </c>
      <c r="G277">
        <v>8</v>
      </c>
      <c r="H277">
        <v>158</v>
      </c>
      <c r="I277">
        <v>40</v>
      </c>
      <c r="J277">
        <v>1445.1</v>
      </c>
      <c r="K277">
        <v>1329</v>
      </c>
      <c r="L277">
        <v>672</v>
      </c>
      <c r="M277" s="58">
        <f t="shared" si="16"/>
        <v>2009</v>
      </c>
      <c r="N277" s="58" t="s">
        <v>50</v>
      </c>
      <c r="O277" s="58" t="str">
        <f t="shared" si="19"/>
        <v>2009 Chicago Cubs</v>
      </c>
      <c r="P277" s="58">
        <v>6177</v>
      </c>
      <c r="Q277" s="58">
        <f t="shared" si="17"/>
        <v>902</v>
      </c>
      <c r="R277" s="58">
        <v>233</v>
      </c>
      <c r="S277" s="58">
        <v>34</v>
      </c>
      <c r="T277" s="58">
        <v>160</v>
      </c>
      <c r="U277" s="58">
        <v>586</v>
      </c>
      <c r="V277" s="58">
        <v>59</v>
      </c>
      <c r="W277" s="58">
        <f t="shared" si="18"/>
        <v>4203</v>
      </c>
      <c r="X277">
        <v>616</v>
      </c>
      <c r="Y277">
        <v>46</v>
      </c>
      <c r="Z277">
        <v>1272</v>
      </c>
      <c r="AA277">
        <v>87</v>
      </c>
      <c r="AB277">
        <v>43</v>
      </c>
      <c r="AC277">
        <v>60</v>
      </c>
      <c r="AD277">
        <v>6</v>
      </c>
      <c r="AE277">
        <v>118</v>
      </c>
      <c r="AF277">
        <v>68</v>
      </c>
      <c r="AG277">
        <v>83</v>
      </c>
      <c r="AH277">
        <v>78</v>
      </c>
      <c r="AI277">
        <v>3.84</v>
      </c>
    </row>
    <row r="278" spans="1:35" x14ac:dyDescent="0.5">
      <c r="A278" s="35">
        <v>2009</v>
      </c>
      <c r="B278" t="s">
        <v>143</v>
      </c>
      <c r="C278" t="s">
        <v>149</v>
      </c>
      <c r="D278">
        <v>577</v>
      </c>
      <c r="E278">
        <v>162</v>
      </c>
      <c r="F278">
        <v>4</v>
      </c>
      <c r="G278">
        <v>11</v>
      </c>
      <c r="H278">
        <v>158</v>
      </c>
      <c r="I278">
        <v>36</v>
      </c>
      <c r="J278">
        <v>1439.2</v>
      </c>
      <c r="K278">
        <v>1438</v>
      </c>
      <c r="L278">
        <v>732</v>
      </c>
      <c r="M278" s="58">
        <f t="shared" si="16"/>
        <v>2009</v>
      </c>
      <c r="N278" s="58" t="s">
        <v>48</v>
      </c>
      <c r="O278" s="58" t="str">
        <f t="shared" si="19"/>
        <v>2009 Chicago White Sox</v>
      </c>
      <c r="P278" s="58">
        <v>6155</v>
      </c>
      <c r="Q278" s="58">
        <f t="shared" si="17"/>
        <v>955</v>
      </c>
      <c r="R278" s="58">
        <v>291</v>
      </c>
      <c r="S278" s="58">
        <v>23</v>
      </c>
      <c r="T278" s="58">
        <v>169</v>
      </c>
      <c r="U278" s="58">
        <v>507</v>
      </c>
      <c r="V278" s="58">
        <v>41</v>
      </c>
      <c r="W278" s="58">
        <f t="shared" si="18"/>
        <v>4169</v>
      </c>
      <c r="X278">
        <v>663</v>
      </c>
      <c r="Y278">
        <v>41</v>
      </c>
      <c r="Z278">
        <v>1119</v>
      </c>
      <c r="AA278">
        <v>46</v>
      </c>
      <c r="AB278">
        <v>47</v>
      </c>
      <c r="AC278">
        <v>55</v>
      </c>
      <c r="AD278">
        <v>5</v>
      </c>
      <c r="AE278">
        <v>131</v>
      </c>
      <c r="AF278">
        <v>77</v>
      </c>
      <c r="AG278">
        <v>79</v>
      </c>
      <c r="AH278">
        <v>83</v>
      </c>
      <c r="AI278">
        <v>4.1399999999999997</v>
      </c>
    </row>
    <row r="279" spans="1:35" x14ac:dyDescent="0.5">
      <c r="A279" s="35">
        <v>2009</v>
      </c>
      <c r="B279" t="s">
        <v>53</v>
      </c>
      <c r="C279" t="s">
        <v>38</v>
      </c>
      <c r="D279">
        <v>640</v>
      </c>
      <c r="E279">
        <v>162</v>
      </c>
      <c r="F279">
        <v>6</v>
      </c>
      <c r="G279">
        <v>12</v>
      </c>
      <c r="H279">
        <v>156</v>
      </c>
      <c r="I279">
        <v>41</v>
      </c>
      <c r="J279">
        <v>1458.1</v>
      </c>
      <c r="K279">
        <v>1420</v>
      </c>
      <c r="L279">
        <v>723</v>
      </c>
      <c r="M279" s="58">
        <f t="shared" si="16"/>
        <v>2009</v>
      </c>
      <c r="N279" s="58" t="s">
        <v>52</v>
      </c>
      <c r="O279" s="58" t="str">
        <f t="shared" si="19"/>
        <v>2009 Cincinnati Reds</v>
      </c>
      <c r="P279" s="58">
        <v>6253</v>
      </c>
      <c r="Q279" s="58">
        <f t="shared" si="17"/>
        <v>936</v>
      </c>
      <c r="R279" s="58">
        <v>273</v>
      </c>
      <c r="S279" s="58">
        <v>23</v>
      </c>
      <c r="T279" s="58">
        <v>188</v>
      </c>
      <c r="U279" s="58">
        <v>577</v>
      </c>
      <c r="V279" s="58">
        <v>65</v>
      </c>
      <c r="W279" s="58">
        <f t="shared" si="18"/>
        <v>4191</v>
      </c>
      <c r="X279">
        <v>677</v>
      </c>
      <c r="Y279">
        <v>36</v>
      </c>
      <c r="Z279">
        <v>1069</v>
      </c>
      <c r="AA279">
        <v>61</v>
      </c>
      <c r="AB279">
        <v>42</v>
      </c>
      <c r="AC279">
        <v>45</v>
      </c>
      <c r="AD279">
        <v>1</v>
      </c>
      <c r="AE279">
        <v>134</v>
      </c>
      <c r="AF279">
        <v>57</v>
      </c>
      <c r="AG279">
        <v>78</v>
      </c>
      <c r="AH279">
        <v>84</v>
      </c>
      <c r="AI279">
        <v>4.18</v>
      </c>
    </row>
    <row r="280" spans="1:35" x14ac:dyDescent="0.5">
      <c r="A280" s="35">
        <v>2009</v>
      </c>
      <c r="B280" t="s">
        <v>55</v>
      </c>
      <c r="C280" t="s">
        <v>149</v>
      </c>
      <c r="D280">
        <v>607</v>
      </c>
      <c r="E280">
        <v>162</v>
      </c>
      <c r="F280">
        <v>5</v>
      </c>
      <c r="G280">
        <v>6</v>
      </c>
      <c r="H280">
        <v>157</v>
      </c>
      <c r="I280">
        <v>25</v>
      </c>
      <c r="J280">
        <v>1434</v>
      </c>
      <c r="K280">
        <v>1570</v>
      </c>
      <c r="L280">
        <v>865</v>
      </c>
      <c r="M280" s="58">
        <f t="shared" si="16"/>
        <v>2009</v>
      </c>
      <c r="N280" s="58" t="s">
        <v>54</v>
      </c>
      <c r="O280" s="58" t="str">
        <f t="shared" si="19"/>
        <v>2009 Cleveland Indians</v>
      </c>
      <c r="P280" s="58">
        <v>6354</v>
      </c>
      <c r="Q280" s="58">
        <f t="shared" si="17"/>
        <v>1049</v>
      </c>
      <c r="R280" s="58">
        <v>311</v>
      </c>
      <c r="S280" s="58">
        <v>27</v>
      </c>
      <c r="T280" s="58">
        <v>183</v>
      </c>
      <c r="U280" s="58">
        <v>598</v>
      </c>
      <c r="V280" s="58">
        <v>45</v>
      </c>
      <c r="W280" s="58">
        <f t="shared" si="18"/>
        <v>4141</v>
      </c>
      <c r="X280">
        <v>806</v>
      </c>
      <c r="Y280">
        <v>31</v>
      </c>
      <c r="Z280">
        <v>986</v>
      </c>
      <c r="AA280">
        <v>44</v>
      </c>
      <c r="AB280">
        <v>55</v>
      </c>
      <c r="AC280">
        <v>49</v>
      </c>
      <c r="AD280">
        <v>7</v>
      </c>
      <c r="AE280">
        <v>149</v>
      </c>
      <c r="AF280">
        <v>66</v>
      </c>
      <c r="AG280">
        <v>65</v>
      </c>
      <c r="AH280">
        <v>97</v>
      </c>
      <c r="AI280">
        <v>5.0599999999999996</v>
      </c>
    </row>
    <row r="281" spans="1:35" x14ac:dyDescent="0.5">
      <c r="A281" s="35">
        <v>2009</v>
      </c>
      <c r="B281" t="s">
        <v>57</v>
      </c>
      <c r="C281" t="s">
        <v>38</v>
      </c>
      <c r="D281">
        <v>646</v>
      </c>
      <c r="E281">
        <v>162</v>
      </c>
      <c r="F281">
        <v>5</v>
      </c>
      <c r="G281">
        <v>7</v>
      </c>
      <c r="H281">
        <v>157</v>
      </c>
      <c r="I281">
        <v>45</v>
      </c>
      <c r="J281">
        <v>1438.1</v>
      </c>
      <c r="K281">
        <v>1427</v>
      </c>
      <c r="L281">
        <v>715</v>
      </c>
      <c r="M281" s="58">
        <f t="shared" si="16"/>
        <v>2009</v>
      </c>
      <c r="N281" s="58" t="s">
        <v>56</v>
      </c>
      <c r="O281" s="58" t="str">
        <f t="shared" si="19"/>
        <v>2009 Colorado Rockies</v>
      </c>
      <c r="P281" s="58">
        <v>6171</v>
      </c>
      <c r="Q281" s="58">
        <f t="shared" si="17"/>
        <v>968</v>
      </c>
      <c r="R281" s="58">
        <v>271</v>
      </c>
      <c r="S281" s="58">
        <v>47</v>
      </c>
      <c r="T281" s="58">
        <v>141</v>
      </c>
      <c r="U281" s="58">
        <v>528</v>
      </c>
      <c r="V281" s="58">
        <v>46</v>
      </c>
      <c r="W281" s="58">
        <f t="shared" si="18"/>
        <v>4170</v>
      </c>
      <c r="X281">
        <v>675</v>
      </c>
      <c r="Y281">
        <v>51</v>
      </c>
      <c r="Z281">
        <v>1154</v>
      </c>
      <c r="AA281">
        <v>74</v>
      </c>
      <c r="AB281">
        <v>56</v>
      </c>
      <c r="AC281">
        <v>48</v>
      </c>
      <c r="AD281">
        <v>5</v>
      </c>
      <c r="AE281">
        <v>119</v>
      </c>
      <c r="AF281">
        <v>57</v>
      </c>
      <c r="AG281">
        <v>92</v>
      </c>
      <c r="AH281">
        <v>70</v>
      </c>
      <c r="AI281">
        <v>4.22</v>
      </c>
    </row>
    <row r="282" spans="1:35" x14ac:dyDescent="0.5">
      <c r="A282" s="35">
        <v>2009</v>
      </c>
      <c r="B282" t="s">
        <v>59</v>
      </c>
      <c r="C282" t="s">
        <v>149</v>
      </c>
      <c r="D282">
        <v>602</v>
      </c>
      <c r="E282">
        <v>163</v>
      </c>
      <c r="F282">
        <v>4</v>
      </c>
      <c r="G282">
        <v>9</v>
      </c>
      <c r="H282">
        <v>159</v>
      </c>
      <c r="I282">
        <v>42</v>
      </c>
      <c r="J282">
        <v>1447</v>
      </c>
      <c r="K282">
        <v>1449</v>
      </c>
      <c r="L282">
        <v>745</v>
      </c>
      <c r="M282" s="58">
        <f t="shared" si="16"/>
        <v>2009</v>
      </c>
      <c r="N282" s="58" t="s">
        <v>58</v>
      </c>
      <c r="O282" s="58" t="str">
        <f t="shared" si="19"/>
        <v>2009 Detroit Tigers</v>
      </c>
      <c r="P282" s="58">
        <v>6240</v>
      </c>
      <c r="Q282" s="58">
        <f t="shared" si="17"/>
        <v>965</v>
      </c>
      <c r="R282" s="58">
        <v>271</v>
      </c>
      <c r="S282" s="58">
        <v>31</v>
      </c>
      <c r="T282" s="58">
        <v>182</v>
      </c>
      <c r="U282" s="58">
        <v>594</v>
      </c>
      <c r="V282" s="58">
        <v>41</v>
      </c>
      <c r="W282" s="58">
        <f t="shared" si="18"/>
        <v>4156</v>
      </c>
      <c r="X282">
        <v>690</v>
      </c>
      <c r="Y282">
        <v>42</v>
      </c>
      <c r="Z282">
        <v>1102</v>
      </c>
      <c r="AA282">
        <v>43</v>
      </c>
      <c r="AB282">
        <v>47</v>
      </c>
      <c r="AC282">
        <v>48</v>
      </c>
      <c r="AD282">
        <v>6</v>
      </c>
      <c r="AE282">
        <v>140</v>
      </c>
      <c r="AF282">
        <v>57</v>
      </c>
      <c r="AG282">
        <v>86</v>
      </c>
      <c r="AH282">
        <v>77</v>
      </c>
      <c r="AI282">
        <v>4.29</v>
      </c>
    </row>
    <row r="283" spans="1:35" x14ac:dyDescent="0.5">
      <c r="A283" s="35">
        <v>2009</v>
      </c>
      <c r="B283" t="s">
        <v>146</v>
      </c>
      <c r="C283" t="s">
        <v>38</v>
      </c>
      <c r="D283">
        <v>692</v>
      </c>
      <c r="E283">
        <v>162</v>
      </c>
      <c r="F283">
        <v>5</v>
      </c>
      <c r="G283">
        <v>5</v>
      </c>
      <c r="H283">
        <v>157</v>
      </c>
      <c r="I283">
        <v>45</v>
      </c>
      <c r="J283">
        <v>1446.1</v>
      </c>
      <c r="K283">
        <v>1425</v>
      </c>
      <c r="L283">
        <v>766</v>
      </c>
      <c r="M283" s="58">
        <f t="shared" si="16"/>
        <v>2009</v>
      </c>
      <c r="N283" s="58" t="s">
        <v>60</v>
      </c>
      <c r="O283" s="58" t="str">
        <f t="shared" si="19"/>
        <v>2009 Florida Marlins</v>
      </c>
      <c r="P283" s="58">
        <v>6299</v>
      </c>
      <c r="Q283" s="58">
        <f t="shared" si="17"/>
        <v>957</v>
      </c>
      <c r="R283" s="58">
        <v>261</v>
      </c>
      <c r="S283" s="58">
        <v>47</v>
      </c>
      <c r="T283" s="58">
        <v>160</v>
      </c>
      <c r="U283" s="58">
        <v>601</v>
      </c>
      <c r="V283" s="58">
        <v>45</v>
      </c>
      <c r="W283" s="58">
        <f t="shared" si="18"/>
        <v>4228</v>
      </c>
      <c r="X283">
        <v>690</v>
      </c>
      <c r="Y283">
        <v>60</v>
      </c>
      <c r="Z283">
        <v>1248</v>
      </c>
      <c r="AA283">
        <v>77</v>
      </c>
      <c r="AB283">
        <v>42</v>
      </c>
      <c r="AC283">
        <v>59</v>
      </c>
      <c r="AD283">
        <v>5</v>
      </c>
      <c r="AE283">
        <v>114</v>
      </c>
      <c r="AF283">
        <v>78</v>
      </c>
      <c r="AG283">
        <v>87</v>
      </c>
      <c r="AH283">
        <v>75</v>
      </c>
      <c r="AI283">
        <v>4.29</v>
      </c>
    </row>
    <row r="284" spans="1:35" x14ac:dyDescent="0.5">
      <c r="A284" s="35">
        <v>2009</v>
      </c>
      <c r="B284" t="s">
        <v>63</v>
      </c>
      <c r="C284" t="s">
        <v>38</v>
      </c>
      <c r="D284">
        <v>659</v>
      </c>
      <c r="E284">
        <v>162</v>
      </c>
      <c r="F284">
        <v>5</v>
      </c>
      <c r="G284">
        <v>10</v>
      </c>
      <c r="H284">
        <v>157</v>
      </c>
      <c r="I284">
        <v>39</v>
      </c>
      <c r="J284">
        <v>1430</v>
      </c>
      <c r="K284">
        <v>1521</v>
      </c>
      <c r="L284">
        <v>770</v>
      </c>
      <c r="M284" s="58">
        <f t="shared" si="16"/>
        <v>2009</v>
      </c>
      <c r="N284" s="58" t="s">
        <v>62</v>
      </c>
      <c r="O284" s="58" t="str">
        <f t="shared" si="19"/>
        <v>2009 Houston Astros</v>
      </c>
      <c r="P284" s="58">
        <v>6237</v>
      </c>
      <c r="Q284" s="58">
        <f t="shared" si="17"/>
        <v>1002</v>
      </c>
      <c r="R284" s="58">
        <v>305</v>
      </c>
      <c r="S284" s="58">
        <v>38</v>
      </c>
      <c r="T284" s="58">
        <v>176</v>
      </c>
      <c r="U284" s="58">
        <v>546</v>
      </c>
      <c r="V284" s="58">
        <v>50</v>
      </c>
      <c r="W284" s="58">
        <f t="shared" si="18"/>
        <v>4120</v>
      </c>
      <c r="X284">
        <v>722</v>
      </c>
      <c r="Y284">
        <v>56</v>
      </c>
      <c r="Z284">
        <v>1144</v>
      </c>
      <c r="AA284">
        <v>74</v>
      </c>
      <c r="AB284">
        <v>45</v>
      </c>
      <c r="AC284">
        <v>43</v>
      </c>
      <c r="AD284">
        <v>4</v>
      </c>
      <c r="AE284">
        <v>142</v>
      </c>
      <c r="AF284">
        <v>61</v>
      </c>
      <c r="AG284">
        <v>74</v>
      </c>
      <c r="AH284">
        <v>88</v>
      </c>
      <c r="AI284">
        <v>4.54</v>
      </c>
    </row>
    <row r="285" spans="1:35" x14ac:dyDescent="0.5">
      <c r="A285" s="35">
        <v>2009</v>
      </c>
      <c r="B285" t="s">
        <v>150</v>
      </c>
      <c r="C285" t="s">
        <v>149</v>
      </c>
      <c r="D285">
        <v>588</v>
      </c>
      <c r="E285">
        <v>162</v>
      </c>
      <c r="F285">
        <v>10</v>
      </c>
      <c r="G285">
        <v>9</v>
      </c>
      <c r="H285">
        <v>152</v>
      </c>
      <c r="I285">
        <v>34</v>
      </c>
      <c r="J285">
        <v>1426</v>
      </c>
      <c r="K285">
        <v>1486</v>
      </c>
      <c r="L285">
        <v>842</v>
      </c>
      <c r="M285" s="58">
        <f t="shared" si="16"/>
        <v>2009</v>
      </c>
      <c r="N285" s="58" t="s">
        <v>64</v>
      </c>
      <c r="O285" s="58" t="str">
        <f t="shared" si="19"/>
        <v>2009 Kansas City Royals</v>
      </c>
      <c r="P285" s="58">
        <v>6265</v>
      </c>
      <c r="Q285" s="58">
        <f t="shared" si="17"/>
        <v>1009</v>
      </c>
      <c r="R285" s="58">
        <v>273</v>
      </c>
      <c r="S285" s="58">
        <v>38</v>
      </c>
      <c r="T285" s="58">
        <v>166</v>
      </c>
      <c r="U285" s="58">
        <v>600</v>
      </c>
      <c r="V285" s="58">
        <v>51</v>
      </c>
      <c r="W285" s="58">
        <f t="shared" si="18"/>
        <v>4128</v>
      </c>
      <c r="X285">
        <v>765</v>
      </c>
      <c r="Y285">
        <v>28</v>
      </c>
      <c r="Z285">
        <v>1153</v>
      </c>
      <c r="AA285">
        <v>35</v>
      </c>
      <c r="AB285">
        <v>45</v>
      </c>
      <c r="AC285">
        <v>89</v>
      </c>
      <c r="AD285">
        <v>6</v>
      </c>
      <c r="AE285">
        <v>130</v>
      </c>
      <c r="AF285">
        <v>85</v>
      </c>
      <c r="AG285">
        <v>65</v>
      </c>
      <c r="AH285">
        <v>97</v>
      </c>
      <c r="AI285">
        <v>4.83</v>
      </c>
    </row>
    <row r="286" spans="1:35" x14ac:dyDescent="0.5">
      <c r="A286" s="35">
        <v>2009</v>
      </c>
      <c r="B286" t="s">
        <v>145</v>
      </c>
      <c r="C286" t="s">
        <v>38</v>
      </c>
      <c r="D286">
        <v>688</v>
      </c>
      <c r="E286">
        <v>162</v>
      </c>
      <c r="F286">
        <v>1</v>
      </c>
      <c r="G286">
        <v>9</v>
      </c>
      <c r="H286">
        <v>161</v>
      </c>
      <c r="I286">
        <v>44</v>
      </c>
      <c r="J286">
        <v>1473.1</v>
      </c>
      <c r="K286">
        <v>1265</v>
      </c>
      <c r="L286">
        <v>611</v>
      </c>
      <c r="M286" s="58">
        <f t="shared" si="16"/>
        <v>2009</v>
      </c>
      <c r="N286" s="58" t="s">
        <v>66</v>
      </c>
      <c r="O286" s="58" t="str">
        <f t="shared" si="19"/>
        <v>2009 Los Angeles Dodgers</v>
      </c>
      <c r="P286" s="58">
        <v>6182</v>
      </c>
      <c r="Q286" s="58">
        <f t="shared" si="17"/>
        <v>853</v>
      </c>
      <c r="R286" s="58">
        <v>255</v>
      </c>
      <c r="S286" s="58">
        <v>30</v>
      </c>
      <c r="T286" s="58">
        <v>127</v>
      </c>
      <c r="U286" s="58">
        <v>584</v>
      </c>
      <c r="V286" s="58">
        <v>57</v>
      </c>
      <c r="W286" s="58">
        <f t="shared" si="18"/>
        <v>4276</v>
      </c>
      <c r="X286">
        <v>558</v>
      </c>
      <c r="Y286">
        <v>68</v>
      </c>
      <c r="Z286">
        <v>1272</v>
      </c>
      <c r="AA286">
        <v>75</v>
      </c>
      <c r="AB286">
        <v>38</v>
      </c>
      <c r="AC286">
        <v>76</v>
      </c>
      <c r="AD286">
        <v>2</v>
      </c>
      <c r="AE286">
        <v>110</v>
      </c>
      <c r="AF286">
        <v>54</v>
      </c>
      <c r="AG286">
        <v>95</v>
      </c>
      <c r="AH286">
        <v>67</v>
      </c>
      <c r="AI286">
        <v>3.41</v>
      </c>
    </row>
    <row r="287" spans="1:35" x14ac:dyDescent="0.5">
      <c r="A287" s="35">
        <v>2009</v>
      </c>
      <c r="B287" t="s">
        <v>69</v>
      </c>
      <c r="C287" t="s">
        <v>38</v>
      </c>
      <c r="D287">
        <v>674</v>
      </c>
      <c r="E287">
        <v>162</v>
      </c>
      <c r="F287">
        <v>1</v>
      </c>
      <c r="G287">
        <v>8</v>
      </c>
      <c r="H287">
        <v>161</v>
      </c>
      <c r="I287">
        <v>44</v>
      </c>
      <c r="J287">
        <v>1435</v>
      </c>
      <c r="K287">
        <v>1498</v>
      </c>
      <c r="L287">
        <v>818</v>
      </c>
      <c r="M287" s="58">
        <f t="shared" si="16"/>
        <v>2009</v>
      </c>
      <c r="N287" s="58" t="s">
        <v>68</v>
      </c>
      <c r="O287" s="58" t="str">
        <f t="shared" si="19"/>
        <v>2009 Milwaukee Brewers</v>
      </c>
      <c r="P287" s="58">
        <v>6352</v>
      </c>
      <c r="Q287" s="58">
        <f t="shared" si="17"/>
        <v>927</v>
      </c>
      <c r="R287" s="58">
        <v>332</v>
      </c>
      <c r="S287" s="58">
        <v>32</v>
      </c>
      <c r="T287" s="58">
        <v>207</v>
      </c>
      <c r="U287" s="58">
        <v>607</v>
      </c>
      <c r="V287" s="58">
        <v>65</v>
      </c>
      <c r="W287" s="58">
        <f t="shared" si="18"/>
        <v>4182</v>
      </c>
      <c r="X287">
        <v>770</v>
      </c>
      <c r="Y287">
        <v>60</v>
      </c>
      <c r="Z287">
        <v>1104</v>
      </c>
      <c r="AA287">
        <v>55</v>
      </c>
      <c r="AB287">
        <v>41</v>
      </c>
      <c r="AC287">
        <v>61</v>
      </c>
      <c r="AD287">
        <v>1</v>
      </c>
      <c r="AE287">
        <v>135</v>
      </c>
      <c r="AF287">
        <v>77</v>
      </c>
      <c r="AG287">
        <v>80</v>
      </c>
      <c r="AH287">
        <v>82</v>
      </c>
      <c r="AI287">
        <v>4.83</v>
      </c>
    </row>
    <row r="288" spans="1:35" x14ac:dyDescent="0.5">
      <c r="A288" s="35">
        <v>2009</v>
      </c>
      <c r="B288" t="s">
        <v>71</v>
      </c>
      <c r="C288" t="s">
        <v>149</v>
      </c>
      <c r="D288">
        <v>643</v>
      </c>
      <c r="E288">
        <v>163</v>
      </c>
      <c r="F288">
        <v>4</v>
      </c>
      <c r="G288">
        <v>7</v>
      </c>
      <c r="H288">
        <v>159</v>
      </c>
      <c r="I288">
        <v>48</v>
      </c>
      <c r="J288">
        <v>1453</v>
      </c>
      <c r="K288">
        <v>1542</v>
      </c>
      <c r="L288">
        <v>765</v>
      </c>
      <c r="M288" s="58">
        <f t="shared" si="16"/>
        <v>2009</v>
      </c>
      <c r="N288" s="58" t="s">
        <v>70</v>
      </c>
      <c r="O288" s="58" t="str">
        <f t="shared" si="19"/>
        <v>2009 Minnesota Twins</v>
      </c>
      <c r="P288" s="58">
        <v>6274</v>
      </c>
      <c r="Q288" s="58">
        <f t="shared" si="17"/>
        <v>1040</v>
      </c>
      <c r="R288" s="58">
        <v>290</v>
      </c>
      <c r="S288" s="58">
        <v>27</v>
      </c>
      <c r="T288" s="58">
        <v>185</v>
      </c>
      <c r="U288" s="58">
        <v>466</v>
      </c>
      <c r="V288" s="58">
        <v>58</v>
      </c>
      <c r="W288" s="58">
        <f t="shared" si="18"/>
        <v>4208</v>
      </c>
      <c r="X288">
        <v>726</v>
      </c>
      <c r="Y288">
        <v>20</v>
      </c>
      <c r="Z288">
        <v>1052</v>
      </c>
      <c r="AA288">
        <v>38</v>
      </c>
      <c r="AB288">
        <v>49</v>
      </c>
      <c r="AC288">
        <v>43</v>
      </c>
      <c r="AD288">
        <v>3</v>
      </c>
      <c r="AE288">
        <v>114</v>
      </c>
      <c r="AF288">
        <v>42</v>
      </c>
      <c r="AG288">
        <v>87</v>
      </c>
      <c r="AH288">
        <v>76</v>
      </c>
      <c r="AI288">
        <v>4.5</v>
      </c>
    </row>
    <row r="289" spans="1:35" x14ac:dyDescent="0.5">
      <c r="A289" s="35">
        <v>2009</v>
      </c>
      <c r="B289" t="s">
        <v>144</v>
      </c>
      <c r="C289" t="s">
        <v>38</v>
      </c>
      <c r="D289">
        <v>673</v>
      </c>
      <c r="E289">
        <v>162</v>
      </c>
      <c r="F289">
        <v>3</v>
      </c>
      <c r="G289">
        <v>12</v>
      </c>
      <c r="H289">
        <v>159</v>
      </c>
      <c r="I289">
        <v>39</v>
      </c>
      <c r="J289">
        <v>1426</v>
      </c>
      <c r="K289">
        <v>1452</v>
      </c>
      <c r="L289">
        <v>757</v>
      </c>
      <c r="M289" s="58">
        <f t="shared" si="16"/>
        <v>2009</v>
      </c>
      <c r="N289" s="58" t="s">
        <v>76</v>
      </c>
      <c r="O289" s="58" t="str">
        <f t="shared" si="19"/>
        <v>2009 New York Mets</v>
      </c>
      <c r="P289" s="58">
        <v>6284</v>
      </c>
      <c r="Q289" s="58">
        <f t="shared" si="17"/>
        <v>955</v>
      </c>
      <c r="R289" s="58">
        <v>311</v>
      </c>
      <c r="S289" s="58">
        <v>28</v>
      </c>
      <c r="T289" s="58">
        <v>158</v>
      </c>
      <c r="U289" s="58">
        <v>616</v>
      </c>
      <c r="V289" s="58">
        <v>55</v>
      </c>
      <c r="W289" s="58">
        <f t="shared" si="18"/>
        <v>4161</v>
      </c>
      <c r="X289">
        <v>705</v>
      </c>
      <c r="Y289">
        <v>60</v>
      </c>
      <c r="Z289">
        <v>1031</v>
      </c>
      <c r="AA289">
        <v>71</v>
      </c>
      <c r="AB289">
        <v>49</v>
      </c>
      <c r="AC289">
        <v>41</v>
      </c>
      <c r="AD289">
        <v>10</v>
      </c>
      <c r="AE289">
        <v>116</v>
      </c>
      <c r="AF289">
        <v>70</v>
      </c>
      <c r="AG289">
        <v>70</v>
      </c>
      <c r="AH289">
        <v>92</v>
      </c>
      <c r="AI289">
        <v>4.45</v>
      </c>
    </row>
    <row r="290" spans="1:35" x14ac:dyDescent="0.5">
      <c r="A290" s="35">
        <v>2009</v>
      </c>
      <c r="B290" t="s">
        <v>144</v>
      </c>
      <c r="C290" t="s">
        <v>149</v>
      </c>
      <c r="D290">
        <v>623</v>
      </c>
      <c r="E290">
        <v>162</v>
      </c>
      <c r="F290">
        <v>3</v>
      </c>
      <c r="G290">
        <v>8</v>
      </c>
      <c r="H290">
        <v>159</v>
      </c>
      <c r="I290">
        <v>51</v>
      </c>
      <c r="J290">
        <v>1450</v>
      </c>
      <c r="K290">
        <v>1386</v>
      </c>
      <c r="L290">
        <v>753</v>
      </c>
      <c r="M290" s="58">
        <f t="shared" si="16"/>
        <v>2009</v>
      </c>
      <c r="N290" s="58" t="s">
        <v>74</v>
      </c>
      <c r="O290" s="58" t="str">
        <f t="shared" si="19"/>
        <v>2009 New York Yankees</v>
      </c>
      <c r="P290" s="58">
        <v>6247</v>
      </c>
      <c r="Q290" s="58">
        <f t="shared" si="17"/>
        <v>907</v>
      </c>
      <c r="R290" s="58">
        <v>274</v>
      </c>
      <c r="S290" s="58">
        <v>24</v>
      </c>
      <c r="T290" s="58">
        <v>181</v>
      </c>
      <c r="U290" s="58">
        <v>574</v>
      </c>
      <c r="V290" s="58">
        <v>71</v>
      </c>
      <c r="W290" s="58">
        <f t="shared" si="18"/>
        <v>4216</v>
      </c>
      <c r="X290">
        <v>687</v>
      </c>
      <c r="Y290">
        <v>28</v>
      </c>
      <c r="Z290">
        <v>1260</v>
      </c>
      <c r="AA290">
        <v>28</v>
      </c>
      <c r="AB290">
        <v>49</v>
      </c>
      <c r="AC290">
        <v>66</v>
      </c>
      <c r="AD290">
        <v>5</v>
      </c>
      <c r="AE290">
        <v>110</v>
      </c>
      <c r="AF290">
        <v>67</v>
      </c>
      <c r="AG290">
        <v>103</v>
      </c>
      <c r="AH290">
        <v>59</v>
      </c>
      <c r="AI290">
        <v>4.26</v>
      </c>
    </row>
    <row r="291" spans="1:35" x14ac:dyDescent="0.5">
      <c r="A291" s="35">
        <v>2009</v>
      </c>
      <c r="B291" t="s">
        <v>79</v>
      </c>
      <c r="C291" t="s">
        <v>149</v>
      </c>
      <c r="D291">
        <v>650</v>
      </c>
      <c r="E291">
        <v>162</v>
      </c>
      <c r="F291">
        <v>2</v>
      </c>
      <c r="G291">
        <v>10</v>
      </c>
      <c r="H291">
        <v>160</v>
      </c>
      <c r="I291">
        <v>38</v>
      </c>
      <c r="J291">
        <v>1447.1</v>
      </c>
      <c r="K291">
        <v>1486</v>
      </c>
      <c r="L291">
        <v>761</v>
      </c>
      <c r="M291" s="58">
        <f t="shared" si="16"/>
        <v>2009</v>
      </c>
      <c r="N291" s="58" t="s">
        <v>78</v>
      </c>
      <c r="O291" s="58" t="str">
        <f t="shared" si="19"/>
        <v>2009 Oakland Athletics</v>
      </c>
      <c r="P291" s="58">
        <v>6243</v>
      </c>
      <c r="Q291" s="58">
        <f t="shared" si="17"/>
        <v>997</v>
      </c>
      <c r="R291" s="58">
        <v>305</v>
      </c>
      <c r="S291" s="58">
        <v>28</v>
      </c>
      <c r="T291" s="58">
        <v>156</v>
      </c>
      <c r="U291" s="58">
        <v>523</v>
      </c>
      <c r="V291" s="58">
        <v>36</v>
      </c>
      <c r="W291" s="58">
        <f t="shared" si="18"/>
        <v>4198</v>
      </c>
      <c r="X291">
        <v>685</v>
      </c>
      <c r="Y291">
        <v>30</v>
      </c>
      <c r="Z291">
        <v>1124</v>
      </c>
      <c r="AA291">
        <v>33</v>
      </c>
      <c r="AB291">
        <v>47</v>
      </c>
      <c r="AC291">
        <v>43</v>
      </c>
      <c r="AD291">
        <v>2</v>
      </c>
      <c r="AE291">
        <v>129</v>
      </c>
      <c r="AF291">
        <v>70</v>
      </c>
      <c r="AG291">
        <v>75</v>
      </c>
      <c r="AH291">
        <v>87</v>
      </c>
      <c r="AI291">
        <v>4.26</v>
      </c>
    </row>
    <row r="292" spans="1:35" x14ac:dyDescent="0.5">
      <c r="A292" s="35">
        <v>2009</v>
      </c>
      <c r="B292" t="s">
        <v>81</v>
      </c>
      <c r="C292" t="s">
        <v>38</v>
      </c>
      <c r="D292">
        <v>621</v>
      </c>
      <c r="E292">
        <v>162</v>
      </c>
      <c r="F292">
        <v>8</v>
      </c>
      <c r="G292">
        <v>9</v>
      </c>
      <c r="H292">
        <v>154</v>
      </c>
      <c r="I292">
        <v>44</v>
      </c>
      <c r="J292">
        <v>1455.2</v>
      </c>
      <c r="K292">
        <v>1479</v>
      </c>
      <c r="L292">
        <v>709</v>
      </c>
      <c r="M292" s="58">
        <f t="shared" si="16"/>
        <v>2009</v>
      </c>
      <c r="N292" s="58" t="s">
        <v>80</v>
      </c>
      <c r="O292" s="58" t="str">
        <f t="shared" si="19"/>
        <v>2009 Philadelphia Phillies</v>
      </c>
      <c r="P292" s="58">
        <v>6263</v>
      </c>
      <c r="Q292" s="58">
        <f t="shared" si="17"/>
        <v>970</v>
      </c>
      <c r="R292" s="58">
        <v>296</v>
      </c>
      <c r="S292" s="58">
        <v>24</v>
      </c>
      <c r="T292" s="58">
        <v>189</v>
      </c>
      <c r="U292" s="58">
        <v>489</v>
      </c>
      <c r="V292" s="58">
        <v>75</v>
      </c>
      <c r="W292" s="58">
        <f t="shared" si="18"/>
        <v>4220</v>
      </c>
      <c r="X292">
        <v>673</v>
      </c>
      <c r="Y292">
        <v>31</v>
      </c>
      <c r="Z292">
        <v>1153</v>
      </c>
      <c r="AA292">
        <v>60</v>
      </c>
      <c r="AB292">
        <v>46</v>
      </c>
      <c r="AC292">
        <v>28</v>
      </c>
      <c r="AD292">
        <v>2</v>
      </c>
      <c r="AE292">
        <v>107</v>
      </c>
      <c r="AF292">
        <v>53</v>
      </c>
      <c r="AG292">
        <v>93</v>
      </c>
      <c r="AH292">
        <v>69</v>
      </c>
      <c r="AI292">
        <v>4.16</v>
      </c>
    </row>
    <row r="293" spans="1:35" x14ac:dyDescent="0.5">
      <c r="A293" s="35">
        <v>2009</v>
      </c>
      <c r="B293" t="s">
        <v>83</v>
      </c>
      <c r="C293" t="s">
        <v>38</v>
      </c>
      <c r="D293">
        <v>617</v>
      </c>
      <c r="E293">
        <v>161</v>
      </c>
      <c r="F293">
        <v>5</v>
      </c>
      <c r="G293">
        <v>7</v>
      </c>
      <c r="H293">
        <v>156</v>
      </c>
      <c r="I293">
        <v>28</v>
      </c>
      <c r="J293">
        <v>1418.1</v>
      </c>
      <c r="K293">
        <v>1491</v>
      </c>
      <c r="L293">
        <v>768</v>
      </c>
      <c r="M293" s="58">
        <f t="shared" si="16"/>
        <v>2009</v>
      </c>
      <c r="N293" s="58" t="s">
        <v>82</v>
      </c>
      <c r="O293" s="58" t="str">
        <f t="shared" si="19"/>
        <v>2009 Pittsburgh Pirates</v>
      </c>
      <c r="P293" s="58">
        <v>6144</v>
      </c>
      <c r="Q293" s="58">
        <f t="shared" si="17"/>
        <v>943</v>
      </c>
      <c r="R293" s="58">
        <v>349</v>
      </c>
      <c r="S293" s="58">
        <v>47</v>
      </c>
      <c r="T293" s="58">
        <v>152</v>
      </c>
      <c r="U293" s="58">
        <v>563</v>
      </c>
      <c r="V293" s="58">
        <v>47</v>
      </c>
      <c r="W293" s="58">
        <f t="shared" si="18"/>
        <v>4043</v>
      </c>
      <c r="X293">
        <v>723</v>
      </c>
      <c r="Y293">
        <v>37</v>
      </c>
      <c r="Z293">
        <v>919</v>
      </c>
      <c r="AA293">
        <v>73</v>
      </c>
      <c r="AB293">
        <v>53</v>
      </c>
      <c r="AC293">
        <v>52</v>
      </c>
      <c r="AD293">
        <v>3</v>
      </c>
      <c r="AE293">
        <v>138</v>
      </c>
      <c r="AF293">
        <v>49</v>
      </c>
      <c r="AG293">
        <v>62</v>
      </c>
      <c r="AH293">
        <v>99</v>
      </c>
      <c r="AI293">
        <v>4.59</v>
      </c>
    </row>
    <row r="294" spans="1:35" x14ac:dyDescent="0.5">
      <c r="A294" s="35">
        <v>2009</v>
      </c>
      <c r="B294" t="s">
        <v>147</v>
      </c>
      <c r="C294" t="s">
        <v>38</v>
      </c>
      <c r="D294">
        <v>689</v>
      </c>
      <c r="E294">
        <v>162</v>
      </c>
      <c r="F294">
        <v>2</v>
      </c>
      <c r="G294">
        <v>9</v>
      </c>
      <c r="H294">
        <v>160</v>
      </c>
      <c r="I294">
        <v>45</v>
      </c>
      <c r="J294">
        <v>1450.2</v>
      </c>
      <c r="K294">
        <v>1422</v>
      </c>
      <c r="L294">
        <v>769</v>
      </c>
      <c r="M294" s="58">
        <f t="shared" si="16"/>
        <v>2009</v>
      </c>
      <c r="N294" s="58" t="s">
        <v>84</v>
      </c>
      <c r="O294" s="58" t="str">
        <f t="shared" si="19"/>
        <v>2009 San Diego Padres</v>
      </c>
      <c r="P294" s="58">
        <v>6273</v>
      </c>
      <c r="Q294" s="58">
        <f t="shared" si="17"/>
        <v>972</v>
      </c>
      <c r="R294" s="58">
        <v>250</v>
      </c>
      <c r="S294" s="58">
        <v>33</v>
      </c>
      <c r="T294" s="58">
        <v>167</v>
      </c>
      <c r="U294" s="58">
        <v>603</v>
      </c>
      <c r="V294" s="58">
        <v>45</v>
      </c>
      <c r="W294" s="58">
        <f t="shared" si="18"/>
        <v>4203</v>
      </c>
      <c r="X294">
        <v>704</v>
      </c>
      <c r="Y294">
        <v>58</v>
      </c>
      <c r="Z294">
        <v>1187</v>
      </c>
      <c r="AA294">
        <v>60</v>
      </c>
      <c r="AB294">
        <v>45</v>
      </c>
      <c r="AC294">
        <v>52</v>
      </c>
      <c r="AD294">
        <v>8</v>
      </c>
      <c r="AE294">
        <v>118</v>
      </c>
      <c r="AF294">
        <v>59</v>
      </c>
      <c r="AG294">
        <v>75</v>
      </c>
      <c r="AH294">
        <v>87</v>
      </c>
      <c r="AI294">
        <v>4.37</v>
      </c>
    </row>
    <row r="295" spans="1:35" x14ac:dyDescent="0.5">
      <c r="A295" s="35">
        <v>2009</v>
      </c>
      <c r="B295" t="s">
        <v>87</v>
      </c>
      <c r="C295" t="s">
        <v>149</v>
      </c>
      <c r="D295">
        <v>572</v>
      </c>
      <c r="E295">
        <v>162</v>
      </c>
      <c r="F295">
        <v>4</v>
      </c>
      <c r="G295">
        <v>10</v>
      </c>
      <c r="H295">
        <v>158</v>
      </c>
      <c r="I295">
        <v>49</v>
      </c>
      <c r="J295">
        <v>1452.2</v>
      </c>
      <c r="K295">
        <v>1359</v>
      </c>
      <c r="L295">
        <v>692</v>
      </c>
      <c r="M295" s="58">
        <f t="shared" si="16"/>
        <v>2009</v>
      </c>
      <c r="N295" s="58" t="s">
        <v>86</v>
      </c>
      <c r="O295" s="58" t="str">
        <f t="shared" si="19"/>
        <v>2009 Seattle Mariners</v>
      </c>
      <c r="P295" s="58">
        <v>6159</v>
      </c>
      <c r="Q295" s="58">
        <f t="shared" si="17"/>
        <v>912</v>
      </c>
      <c r="R295" s="58">
        <v>259</v>
      </c>
      <c r="S295" s="58">
        <v>16</v>
      </c>
      <c r="T295" s="58">
        <v>172</v>
      </c>
      <c r="U295" s="58">
        <v>534</v>
      </c>
      <c r="V295" s="58">
        <v>43</v>
      </c>
      <c r="W295" s="58">
        <f t="shared" si="18"/>
        <v>4223</v>
      </c>
      <c r="X295">
        <v>625</v>
      </c>
      <c r="Y295">
        <v>13</v>
      </c>
      <c r="Z295">
        <v>1043</v>
      </c>
      <c r="AA295">
        <v>33</v>
      </c>
      <c r="AB295">
        <v>51</v>
      </c>
      <c r="AC295">
        <v>61</v>
      </c>
      <c r="AD295">
        <v>5</v>
      </c>
      <c r="AE295">
        <v>128</v>
      </c>
      <c r="AF295">
        <v>86</v>
      </c>
      <c r="AG295">
        <v>85</v>
      </c>
      <c r="AH295">
        <v>77</v>
      </c>
      <c r="AI295">
        <v>3.87</v>
      </c>
    </row>
    <row r="296" spans="1:35" x14ac:dyDescent="0.5">
      <c r="A296" s="35">
        <v>2009</v>
      </c>
      <c r="B296" t="s">
        <v>21</v>
      </c>
      <c r="C296" t="s">
        <v>38</v>
      </c>
      <c r="D296">
        <v>619</v>
      </c>
      <c r="E296">
        <v>162</v>
      </c>
      <c r="F296">
        <v>11</v>
      </c>
      <c r="G296">
        <v>18</v>
      </c>
      <c r="H296">
        <v>151</v>
      </c>
      <c r="I296">
        <v>41</v>
      </c>
      <c r="J296">
        <v>1446</v>
      </c>
      <c r="K296">
        <v>1268</v>
      </c>
      <c r="L296">
        <v>611</v>
      </c>
      <c r="M296" s="58">
        <f t="shared" si="16"/>
        <v>2009</v>
      </c>
      <c r="N296" s="58" t="s">
        <v>88</v>
      </c>
      <c r="O296" s="58" t="str">
        <f t="shared" si="19"/>
        <v>2009 San Francisco Giants</v>
      </c>
      <c r="P296" s="58">
        <v>6103</v>
      </c>
      <c r="Q296" s="58">
        <f t="shared" si="17"/>
        <v>852</v>
      </c>
      <c r="R296" s="58">
        <v>243</v>
      </c>
      <c r="S296" s="58">
        <v>33</v>
      </c>
      <c r="T296" s="58">
        <v>140</v>
      </c>
      <c r="U296" s="58">
        <v>584</v>
      </c>
      <c r="V296" s="58">
        <v>41</v>
      </c>
      <c r="W296" s="58">
        <f t="shared" si="18"/>
        <v>4210</v>
      </c>
      <c r="X296">
        <v>571</v>
      </c>
      <c r="Y296">
        <v>49</v>
      </c>
      <c r="Z296">
        <v>1302</v>
      </c>
      <c r="AA296">
        <v>67</v>
      </c>
      <c r="AB296">
        <v>41</v>
      </c>
      <c r="AC296">
        <v>71</v>
      </c>
      <c r="AD296">
        <v>3</v>
      </c>
      <c r="AE296">
        <v>112</v>
      </c>
      <c r="AF296">
        <v>68</v>
      </c>
      <c r="AG296">
        <v>88</v>
      </c>
      <c r="AH296">
        <v>74</v>
      </c>
      <c r="AI296">
        <v>3.55</v>
      </c>
    </row>
    <row r="297" spans="1:35" x14ac:dyDescent="0.5">
      <c r="A297" s="35">
        <v>2009</v>
      </c>
      <c r="B297" t="s">
        <v>142</v>
      </c>
      <c r="C297" t="s">
        <v>38</v>
      </c>
      <c r="D297">
        <v>643</v>
      </c>
      <c r="E297">
        <v>162</v>
      </c>
      <c r="F297">
        <v>8</v>
      </c>
      <c r="G297">
        <v>11</v>
      </c>
      <c r="H297">
        <v>154</v>
      </c>
      <c r="I297">
        <v>43</v>
      </c>
      <c r="J297">
        <v>1440.2</v>
      </c>
      <c r="K297">
        <v>1407</v>
      </c>
      <c r="L297">
        <v>640</v>
      </c>
      <c r="M297" s="58">
        <f t="shared" si="16"/>
        <v>2009</v>
      </c>
      <c r="N297" s="58" t="s">
        <v>90</v>
      </c>
      <c r="O297" s="58" t="str">
        <f t="shared" si="19"/>
        <v>2009 St. Louis Cardinals</v>
      </c>
      <c r="P297" s="58">
        <v>6087</v>
      </c>
      <c r="Q297" s="58">
        <f t="shared" si="17"/>
        <v>980</v>
      </c>
      <c r="R297" s="58">
        <v>274</v>
      </c>
      <c r="S297" s="58">
        <v>30</v>
      </c>
      <c r="T297" s="58">
        <v>123</v>
      </c>
      <c r="U297" s="58">
        <v>460</v>
      </c>
      <c r="V297" s="58">
        <v>53</v>
      </c>
      <c r="W297" s="58">
        <f t="shared" si="18"/>
        <v>4167</v>
      </c>
      <c r="X297">
        <v>586</v>
      </c>
      <c r="Y297">
        <v>23</v>
      </c>
      <c r="Z297">
        <v>1049</v>
      </c>
      <c r="AA297">
        <v>70</v>
      </c>
      <c r="AB297">
        <v>44</v>
      </c>
      <c r="AC297">
        <v>43</v>
      </c>
      <c r="AD297">
        <v>5</v>
      </c>
      <c r="AE297">
        <v>147</v>
      </c>
      <c r="AF297">
        <v>71</v>
      </c>
      <c r="AG297">
        <v>91</v>
      </c>
      <c r="AH297">
        <v>71</v>
      </c>
      <c r="AI297">
        <v>3.66</v>
      </c>
    </row>
    <row r="298" spans="1:35" x14ac:dyDescent="0.5">
      <c r="A298" s="35">
        <v>2009</v>
      </c>
      <c r="B298" t="s">
        <v>151</v>
      </c>
      <c r="C298" t="s">
        <v>149</v>
      </c>
      <c r="D298">
        <v>672</v>
      </c>
      <c r="E298">
        <v>162</v>
      </c>
      <c r="F298">
        <v>3</v>
      </c>
      <c r="G298">
        <v>5</v>
      </c>
      <c r="H298">
        <v>159</v>
      </c>
      <c r="I298">
        <v>41</v>
      </c>
      <c r="J298">
        <v>1427.1</v>
      </c>
      <c r="K298">
        <v>1421</v>
      </c>
      <c r="L298">
        <v>754</v>
      </c>
      <c r="M298" s="58">
        <f t="shared" si="16"/>
        <v>2009</v>
      </c>
      <c r="N298" s="58" t="s">
        <v>92</v>
      </c>
      <c r="O298" s="58" t="str">
        <f t="shared" si="19"/>
        <v>2009 Tampa Bay Devil Rays</v>
      </c>
      <c r="P298" s="58">
        <v>6146</v>
      </c>
      <c r="Q298" s="58">
        <f t="shared" si="17"/>
        <v>927</v>
      </c>
      <c r="R298" s="58">
        <v>287</v>
      </c>
      <c r="S298" s="58">
        <v>24</v>
      </c>
      <c r="T298" s="58">
        <v>183</v>
      </c>
      <c r="U298" s="58">
        <v>515</v>
      </c>
      <c r="V298" s="58">
        <v>46</v>
      </c>
      <c r="W298" s="58">
        <f t="shared" si="18"/>
        <v>4164</v>
      </c>
      <c r="X298">
        <v>686</v>
      </c>
      <c r="Y298">
        <v>22</v>
      </c>
      <c r="Z298">
        <v>1125</v>
      </c>
      <c r="AA298">
        <v>25</v>
      </c>
      <c r="AB298">
        <v>36</v>
      </c>
      <c r="AC298">
        <v>46</v>
      </c>
      <c r="AD298">
        <v>5</v>
      </c>
      <c r="AE298">
        <v>114</v>
      </c>
      <c r="AF298">
        <v>70</v>
      </c>
      <c r="AG298">
        <v>84</v>
      </c>
      <c r="AH298">
        <v>78</v>
      </c>
      <c r="AI298">
        <v>4.33</v>
      </c>
    </row>
    <row r="299" spans="1:35" x14ac:dyDescent="0.5">
      <c r="A299" s="35">
        <v>2009</v>
      </c>
      <c r="B299" t="s">
        <v>95</v>
      </c>
      <c r="C299" t="s">
        <v>149</v>
      </c>
      <c r="D299">
        <v>598</v>
      </c>
      <c r="E299">
        <v>162</v>
      </c>
      <c r="F299">
        <v>8</v>
      </c>
      <c r="G299">
        <v>11</v>
      </c>
      <c r="H299">
        <v>154</v>
      </c>
      <c r="I299">
        <v>45</v>
      </c>
      <c r="J299">
        <v>1434.2</v>
      </c>
      <c r="K299">
        <v>1432</v>
      </c>
      <c r="L299">
        <v>740</v>
      </c>
      <c r="M299" s="58">
        <f t="shared" si="16"/>
        <v>2009</v>
      </c>
      <c r="N299" s="58" t="s">
        <v>94</v>
      </c>
      <c r="O299" s="58" t="str">
        <f t="shared" si="19"/>
        <v>2009 Texas Rangers</v>
      </c>
      <c r="P299" s="58">
        <v>6172</v>
      </c>
      <c r="Q299" s="58">
        <f t="shared" si="17"/>
        <v>941</v>
      </c>
      <c r="R299" s="58">
        <v>293</v>
      </c>
      <c r="S299" s="58">
        <v>27</v>
      </c>
      <c r="T299" s="58">
        <v>171</v>
      </c>
      <c r="U299" s="58">
        <v>531</v>
      </c>
      <c r="V299" s="58">
        <v>70</v>
      </c>
      <c r="W299" s="58">
        <f t="shared" si="18"/>
        <v>4139</v>
      </c>
      <c r="X299">
        <v>698</v>
      </c>
      <c r="Y299">
        <v>14</v>
      </c>
      <c r="Z299">
        <v>1016</v>
      </c>
      <c r="AA299">
        <v>28</v>
      </c>
      <c r="AB299">
        <v>35</v>
      </c>
      <c r="AC299">
        <v>45</v>
      </c>
      <c r="AD299">
        <v>8</v>
      </c>
      <c r="AE299">
        <v>136</v>
      </c>
      <c r="AF299">
        <v>68</v>
      </c>
      <c r="AG299">
        <v>87</v>
      </c>
      <c r="AH299">
        <v>75</v>
      </c>
      <c r="AI299">
        <v>4.38</v>
      </c>
    </row>
    <row r="300" spans="1:35" x14ac:dyDescent="0.5">
      <c r="A300" s="35">
        <v>2009</v>
      </c>
      <c r="B300" t="s">
        <v>97</v>
      </c>
      <c r="C300" t="s">
        <v>149</v>
      </c>
      <c r="D300">
        <v>607</v>
      </c>
      <c r="E300">
        <v>162</v>
      </c>
      <c r="F300">
        <v>10</v>
      </c>
      <c r="G300">
        <v>10</v>
      </c>
      <c r="H300">
        <v>152</v>
      </c>
      <c r="I300">
        <v>25</v>
      </c>
      <c r="J300">
        <v>1451</v>
      </c>
      <c r="K300">
        <v>1509</v>
      </c>
      <c r="L300">
        <v>771</v>
      </c>
      <c r="M300" s="58">
        <f t="shared" si="16"/>
        <v>2009</v>
      </c>
      <c r="N300" s="58" t="s">
        <v>96</v>
      </c>
      <c r="O300" s="58" t="str">
        <f t="shared" si="19"/>
        <v>2009 Toronto Blue Jays</v>
      </c>
      <c r="P300" s="58">
        <v>6281</v>
      </c>
      <c r="Q300" s="58">
        <f t="shared" si="17"/>
        <v>979</v>
      </c>
      <c r="R300" s="58">
        <v>323</v>
      </c>
      <c r="S300" s="58">
        <v>26</v>
      </c>
      <c r="T300" s="58">
        <v>181</v>
      </c>
      <c r="U300" s="58">
        <v>551</v>
      </c>
      <c r="V300" s="58">
        <v>58</v>
      </c>
      <c r="W300" s="58">
        <f t="shared" si="18"/>
        <v>4163</v>
      </c>
      <c r="X300">
        <v>720</v>
      </c>
      <c r="Y300">
        <v>26</v>
      </c>
      <c r="Z300">
        <v>1181</v>
      </c>
      <c r="AA300">
        <v>25</v>
      </c>
      <c r="AB300">
        <v>49</v>
      </c>
      <c r="AC300">
        <v>43</v>
      </c>
      <c r="AD300">
        <v>4</v>
      </c>
      <c r="AE300">
        <v>143</v>
      </c>
      <c r="AF300">
        <v>48</v>
      </c>
      <c r="AG300">
        <v>75</v>
      </c>
      <c r="AH300">
        <v>87</v>
      </c>
      <c r="AI300">
        <v>4.47</v>
      </c>
    </row>
    <row r="301" spans="1:35" x14ac:dyDescent="0.5">
      <c r="A301" s="35">
        <v>2009</v>
      </c>
      <c r="B301" t="s">
        <v>101</v>
      </c>
      <c r="C301" t="s">
        <v>38</v>
      </c>
      <c r="D301">
        <v>694</v>
      </c>
      <c r="E301">
        <v>162</v>
      </c>
      <c r="F301">
        <v>6</v>
      </c>
      <c r="G301">
        <v>3</v>
      </c>
      <c r="H301">
        <v>156</v>
      </c>
      <c r="I301">
        <v>33</v>
      </c>
      <c r="J301">
        <v>1424.1</v>
      </c>
      <c r="K301">
        <v>1533</v>
      </c>
      <c r="L301">
        <v>874</v>
      </c>
      <c r="M301" s="58">
        <f t="shared" si="16"/>
        <v>2009</v>
      </c>
      <c r="N301" s="58" t="s">
        <v>100</v>
      </c>
      <c r="O301" s="58" t="str">
        <f t="shared" si="19"/>
        <v>2009 Washington Nationals</v>
      </c>
      <c r="P301" s="58">
        <v>6349</v>
      </c>
      <c r="Q301" s="58">
        <f t="shared" si="17"/>
        <v>958</v>
      </c>
      <c r="R301" s="58">
        <v>361</v>
      </c>
      <c r="S301" s="58">
        <v>41</v>
      </c>
      <c r="T301" s="58">
        <v>173</v>
      </c>
      <c r="U301" s="58">
        <v>629</v>
      </c>
      <c r="V301" s="58">
        <v>48</v>
      </c>
      <c r="W301" s="58">
        <f t="shared" si="18"/>
        <v>4139</v>
      </c>
      <c r="X301">
        <v>791</v>
      </c>
      <c r="Y301">
        <v>59</v>
      </c>
      <c r="Z301">
        <v>911</v>
      </c>
      <c r="AA301">
        <v>78</v>
      </c>
      <c r="AB301">
        <v>45</v>
      </c>
      <c r="AC301">
        <v>74</v>
      </c>
      <c r="AD301">
        <v>5</v>
      </c>
      <c r="AE301">
        <v>126</v>
      </c>
      <c r="AF301">
        <v>89</v>
      </c>
      <c r="AG301">
        <v>59</v>
      </c>
      <c r="AH301">
        <v>103</v>
      </c>
      <c r="AI301">
        <v>5</v>
      </c>
    </row>
    <row r="302" spans="1:35" x14ac:dyDescent="0.5">
      <c r="A302" s="35">
        <v>2010</v>
      </c>
      <c r="B302" t="s">
        <v>37</v>
      </c>
      <c r="C302" t="s">
        <v>149</v>
      </c>
      <c r="D302">
        <v>572</v>
      </c>
      <c r="E302">
        <v>162</v>
      </c>
      <c r="F302">
        <v>10</v>
      </c>
      <c r="G302">
        <v>9</v>
      </c>
      <c r="H302">
        <v>152</v>
      </c>
      <c r="I302">
        <v>39</v>
      </c>
      <c r="J302">
        <v>1449.1</v>
      </c>
      <c r="K302">
        <v>1422</v>
      </c>
      <c r="L302">
        <v>702</v>
      </c>
      <c r="M302" s="58">
        <f t="shared" si="16"/>
        <v>2010</v>
      </c>
      <c r="N302" s="58" t="s">
        <v>36</v>
      </c>
      <c r="O302" s="58" t="str">
        <f t="shared" si="19"/>
        <v>2010 Anaheim Angels</v>
      </c>
      <c r="P302" s="58">
        <v>6252</v>
      </c>
      <c r="Q302" s="58">
        <f t="shared" si="17"/>
        <v>930</v>
      </c>
      <c r="R302" s="58">
        <v>313</v>
      </c>
      <c r="S302" s="58">
        <v>31</v>
      </c>
      <c r="T302" s="58">
        <v>148</v>
      </c>
      <c r="U302" s="58">
        <v>565</v>
      </c>
      <c r="V302" s="58">
        <v>46</v>
      </c>
      <c r="W302" s="58">
        <f t="shared" si="18"/>
        <v>4219</v>
      </c>
      <c r="X302">
        <v>651</v>
      </c>
      <c r="Y302">
        <v>33</v>
      </c>
      <c r="Z302">
        <v>1130</v>
      </c>
      <c r="AA302">
        <v>41</v>
      </c>
      <c r="AB302">
        <v>42</v>
      </c>
      <c r="AC302">
        <v>80</v>
      </c>
      <c r="AD302">
        <v>6</v>
      </c>
      <c r="AE302">
        <v>96</v>
      </c>
      <c r="AF302">
        <v>71</v>
      </c>
      <c r="AG302">
        <v>80</v>
      </c>
      <c r="AH302">
        <v>82</v>
      </c>
      <c r="AI302">
        <v>4.04</v>
      </c>
    </row>
    <row r="303" spans="1:35" x14ac:dyDescent="0.5">
      <c r="A303" s="35">
        <v>2010</v>
      </c>
      <c r="B303" t="s">
        <v>40</v>
      </c>
      <c r="C303" t="s">
        <v>38</v>
      </c>
      <c r="D303">
        <v>616</v>
      </c>
      <c r="E303">
        <v>162</v>
      </c>
      <c r="F303">
        <v>3</v>
      </c>
      <c r="G303">
        <v>3</v>
      </c>
      <c r="H303">
        <v>159</v>
      </c>
      <c r="I303">
        <v>35</v>
      </c>
      <c r="J303">
        <v>1432</v>
      </c>
      <c r="K303">
        <v>1503</v>
      </c>
      <c r="L303">
        <v>836</v>
      </c>
      <c r="M303" s="58">
        <f t="shared" si="16"/>
        <v>2010</v>
      </c>
      <c r="N303" s="58" t="s">
        <v>39</v>
      </c>
      <c r="O303" s="58" t="str">
        <f t="shared" si="19"/>
        <v>2010 Arizona Diamondbacks</v>
      </c>
      <c r="P303" s="58">
        <v>6260</v>
      </c>
      <c r="Q303" s="58">
        <f t="shared" si="17"/>
        <v>977</v>
      </c>
      <c r="R303" s="58">
        <v>284</v>
      </c>
      <c r="S303" s="58">
        <v>32</v>
      </c>
      <c r="T303" s="58">
        <v>210</v>
      </c>
      <c r="U303" s="58">
        <v>548</v>
      </c>
      <c r="V303" s="58">
        <v>58</v>
      </c>
      <c r="W303" s="58">
        <f t="shared" si="18"/>
        <v>4151</v>
      </c>
      <c r="X303">
        <v>765</v>
      </c>
      <c r="Y303">
        <v>38</v>
      </c>
      <c r="Z303">
        <v>1070</v>
      </c>
      <c r="AA303">
        <v>63</v>
      </c>
      <c r="AB303">
        <v>50</v>
      </c>
      <c r="AC303">
        <v>82</v>
      </c>
      <c r="AD303">
        <v>4</v>
      </c>
      <c r="AE303">
        <v>125</v>
      </c>
      <c r="AF303">
        <v>68</v>
      </c>
      <c r="AG303">
        <v>65</v>
      </c>
      <c r="AH303">
        <v>97</v>
      </c>
      <c r="AI303">
        <v>4.8099999999999996</v>
      </c>
    </row>
    <row r="304" spans="1:35" x14ac:dyDescent="0.5">
      <c r="A304" s="35">
        <v>2010</v>
      </c>
      <c r="B304" t="s">
        <v>42</v>
      </c>
      <c r="C304" t="s">
        <v>38</v>
      </c>
      <c r="D304">
        <v>652</v>
      </c>
      <c r="E304">
        <v>162</v>
      </c>
      <c r="F304">
        <v>2</v>
      </c>
      <c r="G304">
        <v>9</v>
      </c>
      <c r="H304">
        <v>160</v>
      </c>
      <c r="I304">
        <v>41</v>
      </c>
      <c r="J304">
        <v>1439.1</v>
      </c>
      <c r="K304">
        <v>1326</v>
      </c>
      <c r="L304">
        <v>629</v>
      </c>
      <c r="M304" s="58">
        <f t="shared" si="16"/>
        <v>2010</v>
      </c>
      <c r="N304" s="58" t="s">
        <v>41</v>
      </c>
      <c r="O304" s="58" t="str">
        <f t="shared" si="19"/>
        <v>2010 Atlanta Braves</v>
      </c>
      <c r="P304" s="58">
        <v>6052</v>
      </c>
      <c r="Q304" s="58">
        <f t="shared" si="17"/>
        <v>906</v>
      </c>
      <c r="R304" s="58">
        <v>262</v>
      </c>
      <c r="S304" s="58">
        <v>32</v>
      </c>
      <c r="T304" s="58">
        <v>126</v>
      </c>
      <c r="U304" s="58">
        <v>505</v>
      </c>
      <c r="V304" s="58">
        <v>49</v>
      </c>
      <c r="W304" s="58">
        <f t="shared" si="18"/>
        <v>4172</v>
      </c>
      <c r="X304">
        <v>569</v>
      </c>
      <c r="Y304">
        <v>64</v>
      </c>
      <c r="Z304">
        <v>1241</v>
      </c>
      <c r="AA304">
        <v>67</v>
      </c>
      <c r="AB304">
        <v>34</v>
      </c>
      <c r="AC304">
        <v>42</v>
      </c>
      <c r="AD304">
        <v>3</v>
      </c>
      <c r="AE304">
        <v>139</v>
      </c>
      <c r="AF304">
        <v>77</v>
      </c>
      <c r="AG304">
        <v>91</v>
      </c>
      <c r="AH304">
        <v>71</v>
      </c>
      <c r="AI304">
        <v>3.56</v>
      </c>
    </row>
    <row r="305" spans="1:35" x14ac:dyDescent="0.5">
      <c r="A305" s="35">
        <v>2010</v>
      </c>
      <c r="B305" t="s">
        <v>45</v>
      </c>
      <c r="C305" t="s">
        <v>149</v>
      </c>
      <c r="D305">
        <v>616</v>
      </c>
      <c r="E305">
        <v>162</v>
      </c>
      <c r="F305">
        <v>3</v>
      </c>
      <c r="G305">
        <v>7</v>
      </c>
      <c r="H305">
        <v>159</v>
      </c>
      <c r="I305">
        <v>35</v>
      </c>
      <c r="J305">
        <v>1436.1</v>
      </c>
      <c r="K305">
        <v>1508</v>
      </c>
      <c r="L305">
        <v>785</v>
      </c>
      <c r="M305" s="58">
        <f t="shared" si="16"/>
        <v>2010</v>
      </c>
      <c r="N305" s="58" t="s">
        <v>44</v>
      </c>
      <c r="O305" s="58" t="str">
        <f t="shared" si="19"/>
        <v>2010 Baltimore Orioles</v>
      </c>
      <c r="P305" s="58">
        <v>6262</v>
      </c>
      <c r="Q305" s="58">
        <f t="shared" si="17"/>
        <v>992</v>
      </c>
      <c r="R305" s="58">
        <v>298</v>
      </c>
      <c r="S305" s="58">
        <v>32</v>
      </c>
      <c r="T305" s="58">
        <v>186</v>
      </c>
      <c r="U305" s="58">
        <v>520</v>
      </c>
      <c r="V305" s="58">
        <v>59</v>
      </c>
      <c r="W305" s="58">
        <f t="shared" si="18"/>
        <v>4175</v>
      </c>
      <c r="X305">
        <v>733</v>
      </c>
      <c r="Y305">
        <v>45</v>
      </c>
      <c r="Z305">
        <v>1007</v>
      </c>
      <c r="AA305">
        <v>47</v>
      </c>
      <c r="AB305">
        <v>43</v>
      </c>
      <c r="AC305">
        <v>45</v>
      </c>
      <c r="AD305">
        <v>5</v>
      </c>
      <c r="AE305">
        <v>115</v>
      </c>
      <c r="AF305">
        <v>61</v>
      </c>
      <c r="AG305">
        <v>66</v>
      </c>
      <c r="AH305">
        <v>96</v>
      </c>
      <c r="AI305">
        <v>4.59</v>
      </c>
    </row>
    <row r="306" spans="1:35" x14ac:dyDescent="0.5">
      <c r="A306" s="35">
        <v>2010</v>
      </c>
      <c r="B306" t="s">
        <v>47</v>
      </c>
      <c r="C306" t="s">
        <v>149</v>
      </c>
      <c r="D306">
        <v>605</v>
      </c>
      <c r="E306">
        <v>162</v>
      </c>
      <c r="F306">
        <v>3</v>
      </c>
      <c r="G306">
        <v>9</v>
      </c>
      <c r="H306">
        <v>159</v>
      </c>
      <c r="I306">
        <v>44</v>
      </c>
      <c r="J306">
        <v>1456.2</v>
      </c>
      <c r="K306">
        <v>1402</v>
      </c>
      <c r="L306">
        <v>744</v>
      </c>
      <c r="M306" s="58">
        <f t="shared" si="16"/>
        <v>2010</v>
      </c>
      <c r="N306" s="58" t="s">
        <v>46</v>
      </c>
      <c r="O306" s="58" t="str">
        <f t="shared" si="19"/>
        <v>2010 Boston Red Sox</v>
      </c>
      <c r="P306" s="58">
        <v>6267</v>
      </c>
      <c r="Q306" s="58">
        <f t="shared" si="17"/>
        <v>917</v>
      </c>
      <c r="R306" s="58">
        <v>308</v>
      </c>
      <c r="S306" s="58">
        <v>25</v>
      </c>
      <c r="T306" s="58">
        <v>152</v>
      </c>
      <c r="U306" s="58">
        <v>580</v>
      </c>
      <c r="V306" s="58">
        <v>53</v>
      </c>
      <c r="W306" s="58">
        <f t="shared" si="18"/>
        <v>4232</v>
      </c>
      <c r="X306">
        <v>679</v>
      </c>
      <c r="Y306">
        <v>30</v>
      </c>
      <c r="Z306">
        <v>1207</v>
      </c>
      <c r="AA306">
        <v>40</v>
      </c>
      <c r="AB306">
        <v>47</v>
      </c>
      <c r="AC306">
        <v>58</v>
      </c>
      <c r="AD306">
        <v>3</v>
      </c>
      <c r="AE306">
        <v>115</v>
      </c>
      <c r="AF306">
        <v>66</v>
      </c>
      <c r="AG306">
        <v>89</v>
      </c>
      <c r="AH306">
        <v>73</v>
      </c>
      <c r="AI306">
        <v>4.2</v>
      </c>
    </row>
    <row r="307" spans="1:35" x14ac:dyDescent="0.5">
      <c r="A307" s="35">
        <v>2010</v>
      </c>
      <c r="B307" t="s">
        <v>143</v>
      </c>
      <c r="C307" t="s">
        <v>38</v>
      </c>
      <c r="D307">
        <v>644</v>
      </c>
      <c r="E307">
        <v>162</v>
      </c>
      <c r="F307">
        <v>1</v>
      </c>
      <c r="G307">
        <v>14</v>
      </c>
      <c r="H307">
        <v>161</v>
      </c>
      <c r="I307">
        <v>40</v>
      </c>
      <c r="J307">
        <v>1436.2</v>
      </c>
      <c r="K307">
        <v>1409</v>
      </c>
      <c r="L307">
        <v>767</v>
      </c>
      <c r="M307" s="58">
        <f t="shared" si="16"/>
        <v>2010</v>
      </c>
      <c r="N307" s="58" t="s">
        <v>50</v>
      </c>
      <c r="O307" s="58" t="str">
        <f t="shared" si="19"/>
        <v>2010 Chicago Cubs</v>
      </c>
      <c r="P307" s="58">
        <v>6298</v>
      </c>
      <c r="Q307" s="58">
        <f t="shared" si="17"/>
        <v>960</v>
      </c>
      <c r="R307" s="58">
        <v>263</v>
      </c>
      <c r="S307" s="58">
        <v>32</v>
      </c>
      <c r="T307" s="58">
        <v>154</v>
      </c>
      <c r="U307" s="58">
        <v>605</v>
      </c>
      <c r="V307" s="58">
        <v>65</v>
      </c>
      <c r="W307" s="58">
        <f t="shared" si="18"/>
        <v>4219</v>
      </c>
      <c r="X307">
        <v>668</v>
      </c>
      <c r="Y307">
        <v>42</v>
      </c>
      <c r="Z307">
        <v>1268</v>
      </c>
      <c r="AA307">
        <v>65</v>
      </c>
      <c r="AB307">
        <v>40</v>
      </c>
      <c r="AC307">
        <v>46</v>
      </c>
      <c r="AD307">
        <v>6</v>
      </c>
      <c r="AE307">
        <v>119</v>
      </c>
      <c r="AF307">
        <v>97</v>
      </c>
      <c r="AG307">
        <v>75</v>
      </c>
      <c r="AH307">
        <v>87</v>
      </c>
      <c r="AI307">
        <v>4.18</v>
      </c>
    </row>
    <row r="308" spans="1:35" x14ac:dyDescent="0.5">
      <c r="A308" s="35">
        <v>2010</v>
      </c>
      <c r="B308" t="s">
        <v>143</v>
      </c>
      <c r="C308" t="s">
        <v>149</v>
      </c>
      <c r="D308">
        <v>569</v>
      </c>
      <c r="E308">
        <v>162</v>
      </c>
      <c r="F308">
        <v>6</v>
      </c>
      <c r="G308">
        <v>11</v>
      </c>
      <c r="H308">
        <v>156</v>
      </c>
      <c r="I308">
        <v>43</v>
      </c>
      <c r="J308">
        <v>1446.1</v>
      </c>
      <c r="K308">
        <v>1471</v>
      </c>
      <c r="L308">
        <v>704</v>
      </c>
      <c r="M308" s="58">
        <f t="shared" si="16"/>
        <v>2010</v>
      </c>
      <c r="N308" s="58" t="s">
        <v>48</v>
      </c>
      <c r="O308" s="58" t="str">
        <f t="shared" si="19"/>
        <v>2010 Chicago White Sox</v>
      </c>
      <c r="P308" s="58">
        <v>6180</v>
      </c>
      <c r="Q308" s="58">
        <f t="shared" si="17"/>
        <v>1030</v>
      </c>
      <c r="R308" s="58">
        <v>285</v>
      </c>
      <c r="S308" s="58">
        <v>20</v>
      </c>
      <c r="T308" s="58">
        <v>136</v>
      </c>
      <c r="U308" s="58">
        <v>490</v>
      </c>
      <c r="V308" s="58">
        <v>34</v>
      </c>
      <c r="W308" s="58">
        <f t="shared" si="18"/>
        <v>4185</v>
      </c>
      <c r="X308">
        <v>658</v>
      </c>
      <c r="Y308">
        <v>41</v>
      </c>
      <c r="Z308">
        <v>1149</v>
      </c>
      <c r="AA308">
        <v>38</v>
      </c>
      <c r="AB308">
        <v>36</v>
      </c>
      <c r="AC308">
        <v>59</v>
      </c>
      <c r="AD308">
        <v>9</v>
      </c>
      <c r="AE308">
        <v>140</v>
      </c>
      <c r="AF308">
        <v>70</v>
      </c>
      <c r="AG308">
        <v>88</v>
      </c>
      <c r="AH308">
        <v>74</v>
      </c>
      <c r="AI308">
        <v>4.09</v>
      </c>
    </row>
    <row r="309" spans="1:35" x14ac:dyDescent="0.5">
      <c r="A309" s="35">
        <v>2010</v>
      </c>
      <c r="B309" t="s">
        <v>53</v>
      </c>
      <c r="C309" t="s">
        <v>38</v>
      </c>
      <c r="D309">
        <v>663</v>
      </c>
      <c r="E309">
        <v>162</v>
      </c>
      <c r="F309">
        <v>4</v>
      </c>
      <c r="G309">
        <v>9</v>
      </c>
      <c r="H309">
        <v>158</v>
      </c>
      <c r="I309">
        <v>43</v>
      </c>
      <c r="J309">
        <v>1453</v>
      </c>
      <c r="K309">
        <v>1404</v>
      </c>
      <c r="L309">
        <v>685</v>
      </c>
      <c r="M309" s="58">
        <f t="shared" si="16"/>
        <v>2010</v>
      </c>
      <c r="N309" s="58" t="s">
        <v>52</v>
      </c>
      <c r="O309" s="58" t="str">
        <f t="shared" si="19"/>
        <v>2010 Cincinnati Reds</v>
      </c>
      <c r="P309" s="58">
        <v>6182</v>
      </c>
      <c r="Q309" s="58">
        <f t="shared" si="17"/>
        <v>952</v>
      </c>
      <c r="R309" s="58">
        <v>276</v>
      </c>
      <c r="S309" s="58">
        <v>18</v>
      </c>
      <c r="T309" s="58">
        <v>158</v>
      </c>
      <c r="U309" s="58">
        <v>524</v>
      </c>
      <c r="V309" s="58">
        <v>50</v>
      </c>
      <c r="W309" s="58">
        <f t="shared" si="18"/>
        <v>4204</v>
      </c>
      <c r="X309">
        <v>648</v>
      </c>
      <c r="Y309">
        <v>32</v>
      </c>
      <c r="Z309">
        <v>1130</v>
      </c>
      <c r="AA309">
        <v>51</v>
      </c>
      <c r="AB309">
        <v>32</v>
      </c>
      <c r="AC309">
        <v>48</v>
      </c>
      <c r="AD309">
        <v>6</v>
      </c>
      <c r="AE309">
        <v>121</v>
      </c>
      <c r="AF309">
        <v>41</v>
      </c>
      <c r="AG309">
        <v>91</v>
      </c>
      <c r="AH309">
        <v>71</v>
      </c>
      <c r="AI309">
        <v>4.01</v>
      </c>
    </row>
    <row r="310" spans="1:35" x14ac:dyDescent="0.5">
      <c r="A310" s="35">
        <v>2010</v>
      </c>
      <c r="B310" t="s">
        <v>55</v>
      </c>
      <c r="C310" t="s">
        <v>149</v>
      </c>
      <c r="D310">
        <v>632</v>
      </c>
      <c r="E310">
        <v>162</v>
      </c>
      <c r="F310">
        <v>10</v>
      </c>
      <c r="G310">
        <v>4</v>
      </c>
      <c r="H310">
        <v>152</v>
      </c>
      <c r="I310">
        <v>34</v>
      </c>
      <c r="J310">
        <v>1433</v>
      </c>
      <c r="K310">
        <v>1477</v>
      </c>
      <c r="L310">
        <v>752</v>
      </c>
      <c r="M310" s="58">
        <f t="shared" si="16"/>
        <v>2010</v>
      </c>
      <c r="N310" s="58" t="s">
        <v>54</v>
      </c>
      <c r="O310" s="58" t="str">
        <f t="shared" si="19"/>
        <v>2010 Cleveland Indians</v>
      </c>
      <c r="P310" s="58">
        <v>6224</v>
      </c>
      <c r="Q310" s="58">
        <f t="shared" si="17"/>
        <v>994</v>
      </c>
      <c r="R310" s="58">
        <v>307</v>
      </c>
      <c r="S310" s="58">
        <v>29</v>
      </c>
      <c r="T310" s="58">
        <v>147</v>
      </c>
      <c r="U310" s="58">
        <v>572</v>
      </c>
      <c r="V310" s="58">
        <v>66</v>
      </c>
      <c r="W310" s="58">
        <f t="shared" si="18"/>
        <v>4109</v>
      </c>
      <c r="X310">
        <v>684</v>
      </c>
      <c r="Y310">
        <v>36</v>
      </c>
      <c r="Z310">
        <v>967</v>
      </c>
      <c r="AA310">
        <v>43</v>
      </c>
      <c r="AB310">
        <v>47</v>
      </c>
      <c r="AC310">
        <v>54</v>
      </c>
      <c r="AD310">
        <v>3</v>
      </c>
      <c r="AE310">
        <v>158</v>
      </c>
      <c r="AF310">
        <v>77</v>
      </c>
      <c r="AG310">
        <v>69</v>
      </c>
      <c r="AH310">
        <v>93</v>
      </c>
      <c r="AI310">
        <v>4.3</v>
      </c>
    </row>
    <row r="311" spans="1:35" x14ac:dyDescent="0.5">
      <c r="A311" s="35">
        <v>2010</v>
      </c>
      <c r="B311" t="s">
        <v>57</v>
      </c>
      <c r="C311" t="s">
        <v>38</v>
      </c>
      <c r="D311">
        <v>675</v>
      </c>
      <c r="E311">
        <v>162</v>
      </c>
      <c r="F311">
        <v>6</v>
      </c>
      <c r="G311">
        <v>12</v>
      </c>
      <c r="H311">
        <v>156</v>
      </c>
      <c r="I311">
        <v>35</v>
      </c>
      <c r="J311">
        <v>1442</v>
      </c>
      <c r="K311">
        <v>1405</v>
      </c>
      <c r="L311">
        <v>717</v>
      </c>
      <c r="M311" s="58">
        <f t="shared" si="16"/>
        <v>2010</v>
      </c>
      <c r="N311" s="58" t="s">
        <v>56</v>
      </c>
      <c r="O311" s="58" t="str">
        <f t="shared" si="19"/>
        <v>2010 Colorado Rockies</v>
      </c>
      <c r="P311" s="58">
        <v>6143</v>
      </c>
      <c r="Q311" s="58">
        <f t="shared" si="17"/>
        <v>948</v>
      </c>
      <c r="R311" s="58">
        <v>289</v>
      </c>
      <c r="S311" s="58">
        <v>29</v>
      </c>
      <c r="T311" s="58">
        <v>139</v>
      </c>
      <c r="U311" s="58">
        <v>525</v>
      </c>
      <c r="V311" s="58">
        <v>56</v>
      </c>
      <c r="W311" s="58">
        <f t="shared" si="18"/>
        <v>4157</v>
      </c>
      <c r="X311">
        <v>663</v>
      </c>
      <c r="Y311">
        <v>54</v>
      </c>
      <c r="Z311">
        <v>1234</v>
      </c>
      <c r="AA311">
        <v>59</v>
      </c>
      <c r="AB311">
        <v>44</v>
      </c>
      <c r="AC311">
        <v>77</v>
      </c>
      <c r="AD311">
        <v>12</v>
      </c>
      <c r="AE311">
        <v>155</v>
      </c>
      <c r="AF311">
        <v>76</v>
      </c>
      <c r="AG311">
        <v>83</v>
      </c>
      <c r="AH311">
        <v>79</v>
      </c>
      <c r="AI311">
        <v>4.1399999999999997</v>
      </c>
    </row>
    <row r="312" spans="1:35" x14ac:dyDescent="0.5">
      <c r="A312" s="35">
        <v>2010</v>
      </c>
      <c r="B312" t="s">
        <v>59</v>
      </c>
      <c r="C312" t="s">
        <v>149</v>
      </c>
      <c r="D312">
        <v>578</v>
      </c>
      <c r="E312">
        <v>162</v>
      </c>
      <c r="F312">
        <v>6</v>
      </c>
      <c r="G312">
        <v>5</v>
      </c>
      <c r="H312">
        <v>156</v>
      </c>
      <c r="I312">
        <v>32</v>
      </c>
      <c r="J312">
        <v>1444.1</v>
      </c>
      <c r="K312">
        <v>1445</v>
      </c>
      <c r="L312">
        <v>743</v>
      </c>
      <c r="M312" s="58">
        <f t="shared" si="16"/>
        <v>2010</v>
      </c>
      <c r="N312" s="58" t="s">
        <v>58</v>
      </c>
      <c r="O312" s="58" t="str">
        <f t="shared" si="19"/>
        <v>2010 Detroit Tigers</v>
      </c>
      <c r="P312" s="58">
        <v>6198</v>
      </c>
      <c r="Q312" s="58">
        <f t="shared" si="17"/>
        <v>1017</v>
      </c>
      <c r="R312" s="58">
        <v>243</v>
      </c>
      <c r="S312" s="58">
        <v>43</v>
      </c>
      <c r="T312" s="58">
        <v>142</v>
      </c>
      <c r="U312" s="58">
        <v>537</v>
      </c>
      <c r="V312" s="58">
        <v>65</v>
      </c>
      <c r="W312" s="58">
        <f t="shared" si="18"/>
        <v>4151</v>
      </c>
      <c r="X312">
        <v>690</v>
      </c>
      <c r="Y312">
        <v>29</v>
      </c>
      <c r="Z312">
        <v>1056</v>
      </c>
      <c r="AA312">
        <v>37</v>
      </c>
      <c r="AB312">
        <v>52</v>
      </c>
      <c r="AC312">
        <v>75</v>
      </c>
      <c r="AD312">
        <v>9</v>
      </c>
      <c r="AE312">
        <v>147</v>
      </c>
      <c r="AF312">
        <v>66</v>
      </c>
      <c r="AG312">
        <v>81</v>
      </c>
      <c r="AH312">
        <v>81</v>
      </c>
      <c r="AI312">
        <v>4.3</v>
      </c>
    </row>
    <row r="313" spans="1:35" x14ac:dyDescent="0.5">
      <c r="A313" s="35">
        <v>2010</v>
      </c>
      <c r="B313" t="s">
        <v>146</v>
      </c>
      <c r="C313" t="s">
        <v>38</v>
      </c>
      <c r="D313">
        <v>643</v>
      </c>
      <c r="E313">
        <v>162</v>
      </c>
      <c r="F313">
        <v>5</v>
      </c>
      <c r="G313">
        <v>17</v>
      </c>
      <c r="H313">
        <v>157</v>
      </c>
      <c r="I313">
        <v>39</v>
      </c>
      <c r="J313">
        <v>1438.1</v>
      </c>
      <c r="K313">
        <v>1433</v>
      </c>
      <c r="L313">
        <v>717</v>
      </c>
      <c r="M313" s="58">
        <f t="shared" si="16"/>
        <v>2010</v>
      </c>
      <c r="N313" s="58" t="s">
        <v>60</v>
      </c>
      <c r="O313" s="58" t="str">
        <f t="shared" si="19"/>
        <v>2010 Florida Marlins</v>
      </c>
      <c r="P313" s="58">
        <v>6217</v>
      </c>
      <c r="Q313" s="58">
        <f t="shared" si="17"/>
        <v>982</v>
      </c>
      <c r="R313" s="58">
        <v>282</v>
      </c>
      <c r="S313" s="58">
        <v>35</v>
      </c>
      <c r="T313" s="58">
        <v>134</v>
      </c>
      <c r="U313" s="58">
        <v>549</v>
      </c>
      <c r="V313" s="58">
        <v>51</v>
      </c>
      <c r="W313" s="58">
        <f t="shared" si="18"/>
        <v>4184</v>
      </c>
      <c r="X313">
        <v>652</v>
      </c>
      <c r="Y313">
        <v>42</v>
      </c>
      <c r="Z313">
        <v>1168</v>
      </c>
      <c r="AA313">
        <v>70</v>
      </c>
      <c r="AB313">
        <v>46</v>
      </c>
      <c r="AC313">
        <v>49</v>
      </c>
      <c r="AD313">
        <v>4</v>
      </c>
      <c r="AE313">
        <v>103</v>
      </c>
      <c r="AF313">
        <v>77</v>
      </c>
      <c r="AG313">
        <v>80</v>
      </c>
      <c r="AH313">
        <v>82</v>
      </c>
      <c r="AI313">
        <v>4.08</v>
      </c>
    </row>
    <row r="314" spans="1:35" x14ac:dyDescent="0.5">
      <c r="A314" s="35">
        <v>2010</v>
      </c>
      <c r="B314" t="s">
        <v>63</v>
      </c>
      <c r="C314" t="s">
        <v>38</v>
      </c>
      <c r="D314">
        <v>669</v>
      </c>
      <c r="E314">
        <v>162</v>
      </c>
      <c r="F314">
        <v>4</v>
      </c>
      <c r="G314">
        <v>11</v>
      </c>
      <c r="H314">
        <v>158</v>
      </c>
      <c r="I314">
        <v>45</v>
      </c>
      <c r="J314">
        <v>1439.1</v>
      </c>
      <c r="K314">
        <v>1446</v>
      </c>
      <c r="L314">
        <v>729</v>
      </c>
      <c r="M314" s="58">
        <f t="shared" si="16"/>
        <v>2010</v>
      </c>
      <c r="N314" s="58" t="s">
        <v>62</v>
      </c>
      <c r="O314" s="58" t="str">
        <f t="shared" si="19"/>
        <v>2010 Houston Astros</v>
      </c>
      <c r="P314" s="58">
        <v>6221</v>
      </c>
      <c r="Q314" s="58">
        <f t="shared" si="17"/>
        <v>980</v>
      </c>
      <c r="R314" s="58">
        <v>289</v>
      </c>
      <c r="S314" s="58">
        <v>37</v>
      </c>
      <c r="T314" s="58">
        <v>140</v>
      </c>
      <c r="U314" s="58">
        <v>548</v>
      </c>
      <c r="V314" s="58">
        <v>40</v>
      </c>
      <c r="W314" s="58">
        <f t="shared" si="18"/>
        <v>4187</v>
      </c>
      <c r="X314">
        <v>654</v>
      </c>
      <c r="Y314">
        <v>39</v>
      </c>
      <c r="Z314">
        <v>1210</v>
      </c>
      <c r="AA314">
        <v>53</v>
      </c>
      <c r="AB314">
        <v>38</v>
      </c>
      <c r="AC314">
        <v>57</v>
      </c>
      <c r="AD314">
        <v>9</v>
      </c>
      <c r="AE314">
        <v>113</v>
      </c>
      <c r="AF314">
        <v>74</v>
      </c>
      <c r="AG314">
        <v>76</v>
      </c>
      <c r="AH314">
        <v>86</v>
      </c>
      <c r="AI314">
        <v>4.09</v>
      </c>
    </row>
    <row r="315" spans="1:35" x14ac:dyDescent="0.5">
      <c r="A315" s="35">
        <v>2010</v>
      </c>
      <c r="B315" t="s">
        <v>150</v>
      </c>
      <c r="C315" t="s">
        <v>149</v>
      </c>
      <c r="D315">
        <v>603</v>
      </c>
      <c r="E315">
        <v>162</v>
      </c>
      <c r="F315">
        <v>7</v>
      </c>
      <c r="G315">
        <v>3</v>
      </c>
      <c r="H315">
        <v>155</v>
      </c>
      <c r="I315">
        <v>44</v>
      </c>
      <c r="J315">
        <v>1436.2</v>
      </c>
      <c r="K315">
        <v>1553</v>
      </c>
      <c r="L315">
        <v>845</v>
      </c>
      <c r="M315" s="58">
        <f t="shared" si="16"/>
        <v>2010</v>
      </c>
      <c r="N315" s="58" t="s">
        <v>64</v>
      </c>
      <c r="O315" s="58" t="str">
        <f t="shared" si="19"/>
        <v>2010 Kansas City Royals</v>
      </c>
      <c r="P315" s="58">
        <v>6333</v>
      </c>
      <c r="Q315" s="58">
        <f t="shared" si="17"/>
        <v>1033</v>
      </c>
      <c r="R315" s="58">
        <v>321</v>
      </c>
      <c r="S315" s="58">
        <v>23</v>
      </c>
      <c r="T315" s="58">
        <v>176</v>
      </c>
      <c r="U315" s="58">
        <v>551</v>
      </c>
      <c r="V315" s="58">
        <v>47</v>
      </c>
      <c r="W315" s="58">
        <f t="shared" si="18"/>
        <v>4182</v>
      </c>
      <c r="X315">
        <v>794</v>
      </c>
      <c r="Y315">
        <v>28</v>
      </c>
      <c r="Z315">
        <v>1035</v>
      </c>
      <c r="AA315">
        <v>41</v>
      </c>
      <c r="AB315">
        <v>60</v>
      </c>
      <c r="AC315">
        <v>55</v>
      </c>
      <c r="AD315">
        <v>7</v>
      </c>
      <c r="AE315">
        <v>109</v>
      </c>
      <c r="AF315">
        <v>81</v>
      </c>
      <c r="AG315">
        <v>67</v>
      </c>
      <c r="AH315">
        <v>95</v>
      </c>
      <c r="AI315">
        <v>4.97</v>
      </c>
    </row>
    <row r="316" spans="1:35" x14ac:dyDescent="0.5">
      <c r="A316" s="35">
        <v>2010</v>
      </c>
      <c r="B316" t="s">
        <v>145</v>
      </c>
      <c r="C316" t="s">
        <v>38</v>
      </c>
      <c r="D316">
        <v>636</v>
      </c>
      <c r="E316">
        <v>162</v>
      </c>
      <c r="F316">
        <v>4</v>
      </c>
      <c r="G316">
        <v>16</v>
      </c>
      <c r="H316">
        <v>158</v>
      </c>
      <c r="I316">
        <v>41</v>
      </c>
      <c r="J316">
        <v>1441.2</v>
      </c>
      <c r="K316">
        <v>1323</v>
      </c>
      <c r="L316">
        <v>692</v>
      </c>
      <c r="M316" s="58">
        <f t="shared" si="16"/>
        <v>2010</v>
      </c>
      <c r="N316" s="58" t="s">
        <v>66</v>
      </c>
      <c r="O316" s="58" t="str">
        <f t="shared" si="19"/>
        <v>2010 Los Angeles Dodgers</v>
      </c>
      <c r="P316" s="58">
        <v>6141</v>
      </c>
      <c r="Q316" s="58">
        <f t="shared" si="17"/>
        <v>907</v>
      </c>
      <c r="R316" s="58">
        <v>242</v>
      </c>
      <c r="S316" s="58">
        <v>40</v>
      </c>
      <c r="T316" s="58">
        <v>134</v>
      </c>
      <c r="U316" s="58">
        <v>539</v>
      </c>
      <c r="V316" s="58">
        <v>58</v>
      </c>
      <c r="W316" s="58">
        <f t="shared" si="18"/>
        <v>4221</v>
      </c>
      <c r="X316">
        <v>643</v>
      </c>
      <c r="Y316">
        <v>75</v>
      </c>
      <c r="Z316">
        <v>1274</v>
      </c>
      <c r="AA316">
        <v>69</v>
      </c>
      <c r="AB316">
        <v>53</v>
      </c>
      <c r="AC316">
        <v>58</v>
      </c>
      <c r="AD316">
        <v>8</v>
      </c>
      <c r="AE316">
        <v>101</v>
      </c>
      <c r="AF316">
        <v>77</v>
      </c>
      <c r="AG316">
        <v>80</v>
      </c>
      <c r="AH316">
        <v>82</v>
      </c>
      <c r="AI316">
        <v>4.01</v>
      </c>
    </row>
    <row r="317" spans="1:35" x14ac:dyDescent="0.5">
      <c r="A317" s="35">
        <v>2010</v>
      </c>
      <c r="B317" t="s">
        <v>69</v>
      </c>
      <c r="C317" t="s">
        <v>38</v>
      </c>
      <c r="D317">
        <v>657</v>
      </c>
      <c r="E317">
        <v>162</v>
      </c>
      <c r="F317">
        <v>3</v>
      </c>
      <c r="G317">
        <v>7</v>
      </c>
      <c r="H317">
        <v>159</v>
      </c>
      <c r="I317">
        <v>35</v>
      </c>
      <c r="J317">
        <v>1439</v>
      </c>
      <c r="K317">
        <v>1487</v>
      </c>
      <c r="L317">
        <v>804</v>
      </c>
      <c r="M317" s="58">
        <f t="shared" si="16"/>
        <v>2010</v>
      </c>
      <c r="N317" s="58" t="s">
        <v>68</v>
      </c>
      <c r="O317" s="58" t="str">
        <f t="shared" si="19"/>
        <v>2010 Milwaukee Brewers</v>
      </c>
      <c r="P317" s="58">
        <v>6324</v>
      </c>
      <c r="Q317" s="58">
        <f t="shared" si="17"/>
        <v>962</v>
      </c>
      <c r="R317" s="58">
        <v>329</v>
      </c>
      <c r="S317" s="58">
        <v>23</v>
      </c>
      <c r="T317" s="58">
        <v>173</v>
      </c>
      <c r="U317" s="58">
        <v>582</v>
      </c>
      <c r="V317" s="58">
        <v>48</v>
      </c>
      <c r="W317" s="58">
        <f t="shared" si="18"/>
        <v>4207</v>
      </c>
      <c r="X317">
        <v>733</v>
      </c>
      <c r="Y317">
        <v>42</v>
      </c>
      <c r="Z317">
        <v>1258</v>
      </c>
      <c r="AA317">
        <v>65</v>
      </c>
      <c r="AB317">
        <v>54</v>
      </c>
      <c r="AC317">
        <v>71</v>
      </c>
      <c r="AD317">
        <v>3</v>
      </c>
      <c r="AE317">
        <v>112</v>
      </c>
      <c r="AF317">
        <v>74</v>
      </c>
      <c r="AG317">
        <v>77</v>
      </c>
      <c r="AH317">
        <v>85</v>
      </c>
      <c r="AI317">
        <v>4.58</v>
      </c>
    </row>
    <row r="318" spans="1:35" x14ac:dyDescent="0.5">
      <c r="A318" s="35">
        <v>2010</v>
      </c>
      <c r="B318" t="s">
        <v>71</v>
      </c>
      <c r="C318" t="s">
        <v>149</v>
      </c>
      <c r="D318">
        <v>627</v>
      </c>
      <c r="E318">
        <v>162</v>
      </c>
      <c r="F318">
        <v>9</v>
      </c>
      <c r="G318">
        <v>13</v>
      </c>
      <c r="H318">
        <v>153</v>
      </c>
      <c r="I318">
        <v>40</v>
      </c>
      <c r="J318">
        <v>1452.2</v>
      </c>
      <c r="K318">
        <v>1493</v>
      </c>
      <c r="L318">
        <v>671</v>
      </c>
      <c r="M318" s="58">
        <f t="shared" si="16"/>
        <v>2010</v>
      </c>
      <c r="N318" s="58" t="s">
        <v>70</v>
      </c>
      <c r="O318" s="58" t="str">
        <f t="shared" si="19"/>
        <v>2010 Minnesota Twins</v>
      </c>
      <c r="P318" s="58">
        <v>6106</v>
      </c>
      <c r="Q318" s="58">
        <f t="shared" si="17"/>
        <v>996</v>
      </c>
      <c r="R318" s="58">
        <v>307</v>
      </c>
      <c r="S318" s="58">
        <v>35</v>
      </c>
      <c r="T318" s="58">
        <v>155</v>
      </c>
      <c r="U318" s="58">
        <v>383</v>
      </c>
      <c r="V318" s="58">
        <v>47</v>
      </c>
      <c r="W318" s="58">
        <f t="shared" si="18"/>
        <v>4183</v>
      </c>
      <c r="X318">
        <v>638</v>
      </c>
      <c r="Y318">
        <v>19</v>
      </c>
      <c r="Z318">
        <v>1048</v>
      </c>
      <c r="AA318">
        <v>35</v>
      </c>
      <c r="AB318">
        <v>37</v>
      </c>
      <c r="AC318">
        <v>41</v>
      </c>
      <c r="AD318">
        <v>4</v>
      </c>
      <c r="AE318">
        <v>123</v>
      </c>
      <c r="AF318">
        <v>40</v>
      </c>
      <c r="AG318">
        <v>94</v>
      </c>
      <c r="AH318">
        <v>68</v>
      </c>
      <c r="AI318">
        <v>3.95</v>
      </c>
    </row>
    <row r="319" spans="1:35" x14ac:dyDescent="0.5">
      <c r="A319" s="35">
        <v>2010</v>
      </c>
      <c r="B319" t="s">
        <v>144</v>
      </c>
      <c r="C319" t="s">
        <v>38</v>
      </c>
      <c r="D319">
        <v>653</v>
      </c>
      <c r="E319">
        <v>162</v>
      </c>
      <c r="F319">
        <v>8</v>
      </c>
      <c r="G319">
        <v>19</v>
      </c>
      <c r="H319">
        <v>154</v>
      </c>
      <c r="I319">
        <v>36</v>
      </c>
      <c r="J319">
        <v>1453</v>
      </c>
      <c r="K319">
        <v>1438</v>
      </c>
      <c r="L319">
        <v>652</v>
      </c>
      <c r="M319" s="58">
        <f t="shared" si="16"/>
        <v>2010</v>
      </c>
      <c r="N319" s="58" t="s">
        <v>76</v>
      </c>
      <c r="O319" s="58" t="str">
        <f t="shared" si="19"/>
        <v>2010 New York Mets</v>
      </c>
      <c r="P319" s="58">
        <v>6245</v>
      </c>
      <c r="Q319" s="58">
        <f t="shared" si="17"/>
        <v>994</v>
      </c>
      <c r="R319" s="58">
        <v>282</v>
      </c>
      <c r="S319" s="58">
        <v>27</v>
      </c>
      <c r="T319" s="58">
        <v>135</v>
      </c>
      <c r="U319" s="58">
        <v>545</v>
      </c>
      <c r="V319" s="58">
        <v>52</v>
      </c>
      <c r="W319" s="58">
        <f t="shared" si="18"/>
        <v>4210</v>
      </c>
      <c r="X319">
        <v>597</v>
      </c>
      <c r="Y319">
        <v>55</v>
      </c>
      <c r="Z319">
        <v>1106</v>
      </c>
      <c r="AA319">
        <v>74</v>
      </c>
      <c r="AB319">
        <v>35</v>
      </c>
      <c r="AC319">
        <v>48</v>
      </c>
      <c r="AD319">
        <v>5</v>
      </c>
      <c r="AE319">
        <v>136</v>
      </c>
      <c r="AF319">
        <v>61</v>
      </c>
      <c r="AG319">
        <v>79</v>
      </c>
      <c r="AH319">
        <v>83</v>
      </c>
      <c r="AI319">
        <v>3.7</v>
      </c>
    </row>
    <row r="320" spans="1:35" x14ac:dyDescent="0.5">
      <c r="A320" s="35">
        <v>2010</v>
      </c>
      <c r="B320" t="s">
        <v>144</v>
      </c>
      <c r="C320" t="s">
        <v>149</v>
      </c>
      <c r="D320">
        <v>592</v>
      </c>
      <c r="E320">
        <v>162</v>
      </c>
      <c r="F320">
        <v>3</v>
      </c>
      <c r="G320">
        <v>8</v>
      </c>
      <c r="H320">
        <v>159</v>
      </c>
      <c r="I320">
        <v>39</v>
      </c>
      <c r="J320">
        <v>1442.1</v>
      </c>
      <c r="K320">
        <v>1349</v>
      </c>
      <c r="L320">
        <v>693</v>
      </c>
      <c r="M320" s="58">
        <f t="shared" si="16"/>
        <v>2010</v>
      </c>
      <c r="N320" s="58" t="s">
        <v>74</v>
      </c>
      <c r="O320" s="58" t="str">
        <f t="shared" si="19"/>
        <v>2010 New York Yankees</v>
      </c>
      <c r="P320" s="58">
        <v>6102</v>
      </c>
      <c r="Q320" s="58">
        <f t="shared" si="17"/>
        <v>910</v>
      </c>
      <c r="R320" s="58">
        <v>246</v>
      </c>
      <c r="S320" s="58">
        <v>14</v>
      </c>
      <c r="T320" s="58">
        <v>179</v>
      </c>
      <c r="U320" s="58">
        <v>540</v>
      </c>
      <c r="V320" s="58">
        <v>62</v>
      </c>
      <c r="W320" s="58">
        <f t="shared" si="18"/>
        <v>4151</v>
      </c>
      <c r="X320">
        <v>651</v>
      </c>
      <c r="Y320">
        <v>37</v>
      </c>
      <c r="Z320">
        <v>1154</v>
      </c>
      <c r="AA320">
        <v>36</v>
      </c>
      <c r="AB320">
        <v>52</v>
      </c>
      <c r="AC320">
        <v>69</v>
      </c>
      <c r="AD320">
        <v>6</v>
      </c>
      <c r="AE320">
        <v>137</v>
      </c>
      <c r="AF320">
        <v>42</v>
      </c>
      <c r="AG320">
        <v>95</v>
      </c>
      <c r="AH320">
        <v>67</v>
      </c>
      <c r="AI320">
        <v>4.0599999999999996</v>
      </c>
    </row>
    <row r="321" spans="1:35" x14ac:dyDescent="0.5">
      <c r="A321" s="35">
        <v>2010</v>
      </c>
      <c r="B321" t="s">
        <v>79</v>
      </c>
      <c r="C321" t="s">
        <v>149</v>
      </c>
      <c r="D321">
        <v>585</v>
      </c>
      <c r="E321">
        <v>162</v>
      </c>
      <c r="F321">
        <v>7</v>
      </c>
      <c r="G321">
        <v>17</v>
      </c>
      <c r="H321">
        <v>155</v>
      </c>
      <c r="I321">
        <v>38</v>
      </c>
      <c r="J321">
        <v>1431.2</v>
      </c>
      <c r="K321">
        <v>1315</v>
      </c>
      <c r="L321">
        <v>626</v>
      </c>
      <c r="M321" s="58">
        <f t="shared" si="16"/>
        <v>2010</v>
      </c>
      <c r="N321" s="58" t="s">
        <v>78</v>
      </c>
      <c r="O321" s="58" t="str">
        <f t="shared" si="19"/>
        <v>2010 Oakland Athletics</v>
      </c>
      <c r="P321" s="58">
        <v>6011</v>
      </c>
      <c r="Q321" s="58">
        <f t="shared" si="17"/>
        <v>913</v>
      </c>
      <c r="R321" s="58">
        <v>232</v>
      </c>
      <c r="S321" s="58">
        <v>17</v>
      </c>
      <c r="T321" s="58">
        <v>153</v>
      </c>
      <c r="U321" s="58">
        <v>512</v>
      </c>
      <c r="V321" s="58">
        <v>38</v>
      </c>
      <c r="W321" s="58">
        <f t="shared" si="18"/>
        <v>4146</v>
      </c>
      <c r="X321">
        <v>566</v>
      </c>
      <c r="Y321">
        <v>29</v>
      </c>
      <c r="Z321">
        <v>1070</v>
      </c>
      <c r="AA321">
        <v>48</v>
      </c>
      <c r="AB321">
        <v>34</v>
      </c>
      <c r="AC321">
        <v>42</v>
      </c>
      <c r="AD321">
        <v>8</v>
      </c>
      <c r="AE321">
        <v>132</v>
      </c>
      <c r="AF321">
        <v>65</v>
      </c>
      <c r="AG321">
        <v>81</v>
      </c>
      <c r="AH321">
        <v>81</v>
      </c>
      <c r="AI321">
        <v>3.56</v>
      </c>
    </row>
    <row r="322" spans="1:35" x14ac:dyDescent="0.5">
      <c r="A322" s="35">
        <v>2010</v>
      </c>
      <c r="B322" t="s">
        <v>81</v>
      </c>
      <c r="C322" t="s">
        <v>38</v>
      </c>
      <c r="D322">
        <v>613</v>
      </c>
      <c r="E322">
        <v>162</v>
      </c>
      <c r="F322">
        <v>14</v>
      </c>
      <c r="G322">
        <v>21</v>
      </c>
      <c r="H322">
        <v>148</v>
      </c>
      <c r="I322">
        <v>40</v>
      </c>
      <c r="J322">
        <v>1456.1</v>
      </c>
      <c r="K322">
        <v>1402</v>
      </c>
      <c r="L322">
        <v>640</v>
      </c>
      <c r="M322" s="58">
        <f t="shared" ref="M322:M385" si="20">A322</f>
        <v>2010</v>
      </c>
      <c r="N322" s="58" t="s">
        <v>80</v>
      </c>
      <c r="O322" s="58" t="str">
        <f t="shared" si="19"/>
        <v>2010 Philadelphia Phillies</v>
      </c>
      <c r="P322" s="58">
        <v>6095</v>
      </c>
      <c r="Q322" s="58">
        <f t="shared" ref="Q322:Q385" si="21">K322-(R322+S322+T322)</f>
        <v>927</v>
      </c>
      <c r="R322" s="58">
        <v>283</v>
      </c>
      <c r="S322" s="58">
        <v>24</v>
      </c>
      <c r="T322" s="58">
        <v>168</v>
      </c>
      <c r="U322" s="58">
        <v>416</v>
      </c>
      <c r="V322" s="58">
        <v>57</v>
      </c>
      <c r="W322" s="58">
        <f t="shared" ref="W322:W385" si="22">P322-(K322+U322+V322)</f>
        <v>4220</v>
      </c>
      <c r="X322">
        <v>594</v>
      </c>
      <c r="Y322">
        <v>42</v>
      </c>
      <c r="Z322">
        <v>1183</v>
      </c>
      <c r="AA322">
        <v>67</v>
      </c>
      <c r="AB322">
        <v>30</v>
      </c>
      <c r="AC322">
        <v>26</v>
      </c>
      <c r="AD322">
        <v>5</v>
      </c>
      <c r="AE322">
        <v>132</v>
      </c>
      <c r="AF322">
        <v>60</v>
      </c>
      <c r="AG322">
        <v>97</v>
      </c>
      <c r="AH322">
        <v>65</v>
      </c>
      <c r="AI322">
        <v>3.67</v>
      </c>
    </row>
    <row r="323" spans="1:35" x14ac:dyDescent="0.5">
      <c r="A323" s="35">
        <v>2010</v>
      </c>
      <c r="B323" t="s">
        <v>83</v>
      </c>
      <c r="C323" t="s">
        <v>38</v>
      </c>
      <c r="D323">
        <v>679</v>
      </c>
      <c r="E323">
        <v>162</v>
      </c>
      <c r="F323">
        <v>1</v>
      </c>
      <c r="G323">
        <v>6</v>
      </c>
      <c r="H323">
        <v>161</v>
      </c>
      <c r="I323">
        <v>31</v>
      </c>
      <c r="J323">
        <v>1411.2</v>
      </c>
      <c r="K323">
        <v>1567</v>
      </c>
      <c r="L323">
        <v>866</v>
      </c>
      <c r="M323" s="58">
        <f t="shared" si="20"/>
        <v>2010</v>
      </c>
      <c r="N323" s="58" t="s">
        <v>82</v>
      </c>
      <c r="O323" s="58" t="str">
        <f t="shared" ref="O323:O386" si="23">M323&amp;" "&amp;N323</f>
        <v>2010 Pittsburgh Pirates</v>
      </c>
      <c r="P323" s="58">
        <v>6300</v>
      </c>
      <c r="Q323" s="58">
        <f t="shared" si="21"/>
        <v>1005</v>
      </c>
      <c r="R323" s="58">
        <v>360</v>
      </c>
      <c r="S323" s="58">
        <v>35</v>
      </c>
      <c r="T323" s="58">
        <v>167</v>
      </c>
      <c r="U323" s="58">
        <v>538</v>
      </c>
      <c r="V323" s="58">
        <v>66</v>
      </c>
      <c r="W323" s="58">
        <f t="shared" si="22"/>
        <v>4129</v>
      </c>
      <c r="X323">
        <v>784</v>
      </c>
      <c r="Y323">
        <v>40</v>
      </c>
      <c r="Z323">
        <v>1026</v>
      </c>
      <c r="AA323">
        <v>68</v>
      </c>
      <c r="AB323">
        <v>67</v>
      </c>
      <c r="AC323">
        <v>56</v>
      </c>
      <c r="AD323">
        <v>10</v>
      </c>
      <c r="AE323">
        <v>102</v>
      </c>
      <c r="AF323">
        <v>81</v>
      </c>
      <c r="AG323">
        <v>57</v>
      </c>
      <c r="AH323">
        <v>105</v>
      </c>
      <c r="AI323">
        <v>5</v>
      </c>
    </row>
    <row r="324" spans="1:35" x14ac:dyDescent="0.5">
      <c r="A324" s="35">
        <v>2010</v>
      </c>
      <c r="B324" t="s">
        <v>147</v>
      </c>
      <c r="C324" t="s">
        <v>38</v>
      </c>
      <c r="D324">
        <v>661</v>
      </c>
      <c r="E324">
        <v>162</v>
      </c>
      <c r="F324">
        <v>2</v>
      </c>
      <c r="G324">
        <v>20</v>
      </c>
      <c r="H324">
        <v>160</v>
      </c>
      <c r="I324">
        <v>49</v>
      </c>
      <c r="J324">
        <v>1456.1</v>
      </c>
      <c r="K324">
        <v>1305</v>
      </c>
      <c r="L324">
        <v>581</v>
      </c>
      <c r="M324" s="58">
        <f t="shared" si="20"/>
        <v>2010</v>
      </c>
      <c r="N324" s="58" t="s">
        <v>84</v>
      </c>
      <c r="O324" s="58" t="str">
        <f t="shared" si="23"/>
        <v>2010 San Diego Padres</v>
      </c>
      <c r="P324" s="58">
        <v>6058</v>
      </c>
      <c r="Q324" s="58">
        <f t="shared" si="21"/>
        <v>904</v>
      </c>
      <c r="R324" s="58">
        <v>240</v>
      </c>
      <c r="S324" s="58">
        <v>22</v>
      </c>
      <c r="T324" s="58">
        <v>139</v>
      </c>
      <c r="U324" s="58">
        <v>517</v>
      </c>
      <c r="V324" s="58">
        <v>28</v>
      </c>
      <c r="W324" s="58">
        <f t="shared" si="22"/>
        <v>4208</v>
      </c>
      <c r="X324">
        <v>549</v>
      </c>
      <c r="Y324">
        <v>51</v>
      </c>
      <c r="Z324">
        <v>1295</v>
      </c>
      <c r="AA324">
        <v>46</v>
      </c>
      <c r="AB324">
        <v>21</v>
      </c>
      <c r="AC324">
        <v>29</v>
      </c>
      <c r="AD324">
        <v>5</v>
      </c>
      <c r="AE324">
        <v>116</v>
      </c>
      <c r="AF324">
        <v>46</v>
      </c>
      <c r="AG324">
        <v>90</v>
      </c>
      <c r="AH324">
        <v>72</v>
      </c>
      <c r="AI324">
        <v>3.39</v>
      </c>
    </row>
    <row r="325" spans="1:35" x14ac:dyDescent="0.5">
      <c r="A325" s="35">
        <v>2010</v>
      </c>
      <c r="B325" t="s">
        <v>87</v>
      </c>
      <c r="C325" t="s">
        <v>149</v>
      </c>
      <c r="D325">
        <v>520</v>
      </c>
      <c r="E325">
        <v>162</v>
      </c>
      <c r="F325">
        <v>11</v>
      </c>
      <c r="G325">
        <v>10</v>
      </c>
      <c r="H325">
        <v>151</v>
      </c>
      <c r="I325">
        <v>38</v>
      </c>
      <c r="J325">
        <v>1438</v>
      </c>
      <c r="K325">
        <v>1402</v>
      </c>
      <c r="L325">
        <v>698</v>
      </c>
      <c r="M325" s="58">
        <f t="shared" si="20"/>
        <v>2010</v>
      </c>
      <c r="N325" s="58" t="s">
        <v>86</v>
      </c>
      <c r="O325" s="58" t="str">
        <f t="shared" si="23"/>
        <v>2010 Seattle Mariners</v>
      </c>
      <c r="P325" s="58">
        <v>6091</v>
      </c>
      <c r="Q325" s="58">
        <f t="shared" si="21"/>
        <v>930</v>
      </c>
      <c r="R325" s="58">
        <v>293</v>
      </c>
      <c r="S325" s="58">
        <v>22</v>
      </c>
      <c r="T325" s="58">
        <v>157</v>
      </c>
      <c r="U325" s="58">
        <v>452</v>
      </c>
      <c r="V325" s="58">
        <v>40</v>
      </c>
      <c r="W325" s="58">
        <f t="shared" si="22"/>
        <v>4197</v>
      </c>
      <c r="X325">
        <v>628</v>
      </c>
      <c r="Y325">
        <v>33</v>
      </c>
      <c r="Z325">
        <v>973</v>
      </c>
      <c r="AA325">
        <v>37</v>
      </c>
      <c r="AB325">
        <v>51</v>
      </c>
      <c r="AC325">
        <v>73</v>
      </c>
      <c r="AD325">
        <v>11</v>
      </c>
      <c r="AE325">
        <v>124</v>
      </c>
      <c r="AF325">
        <v>87</v>
      </c>
      <c r="AG325">
        <v>61</v>
      </c>
      <c r="AH325">
        <v>101</v>
      </c>
      <c r="AI325">
        <v>3.93</v>
      </c>
    </row>
    <row r="326" spans="1:35" x14ac:dyDescent="0.5">
      <c r="A326" s="35">
        <v>2010</v>
      </c>
      <c r="B326" t="s">
        <v>21</v>
      </c>
      <c r="C326" t="s">
        <v>38</v>
      </c>
      <c r="D326">
        <v>638</v>
      </c>
      <c r="E326">
        <v>162</v>
      </c>
      <c r="F326">
        <v>6</v>
      </c>
      <c r="G326">
        <v>17</v>
      </c>
      <c r="H326">
        <v>156</v>
      </c>
      <c r="I326">
        <v>57</v>
      </c>
      <c r="J326">
        <v>1461</v>
      </c>
      <c r="K326">
        <v>1279</v>
      </c>
      <c r="L326">
        <v>583</v>
      </c>
      <c r="M326" s="58">
        <f t="shared" si="20"/>
        <v>2010</v>
      </c>
      <c r="N326" s="58" t="s">
        <v>88</v>
      </c>
      <c r="O326" s="58" t="str">
        <f t="shared" si="23"/>
        <v>2010 San Francisco Giants</v>
      </c>
      <c r="P326" s="58">
        <v>6159</v>
      </c>
      <c r="Q326" s="58">
        <f t="shared" si="21"/>
        <v>859</v>
      </c>
      <c r="R326" s="58">
        <v>246</v>
      </c>
      <c r="S326" s="58">
        <v>40</v>
      </c>
      <c r="T326" s="58">
        <v>134</v>
      </c>
      <c r="U326" s="58">
        <v>578</v>
      </c>
      <c r="V326" s="58">
        <v>51</v>
      </c>
      <c r="W326" s="58">
        <f t="shared" si="22"/>
        <v>4251</v>
      </c>
      <c r="X326">
        <v>546</v>
      </c>
      <c r="Y326">
        <v>58</v>
      </c>
      <c r="Z326">
        <v>1331</v>
      </c>
      <c r="AA326">
        <v>64</v>
      </c>
      <c r="AB326">
        <v>41</v>
      </c>
      <c r="AC326">
        <v>74</v>
      </c>
      <c r="AD326">
        <v>4</v>
      </c>
      <c r="AE326">
        <v>91</v>
      </c>
      <c r="AF326">
        <v>51</v>
      </c>
      <c r="AG326">
        <v>92</v>
      </c>
      <c r="AH326">
        <v>70</v>
      </c>
      <c r="AI326">
        <v>3.36</v>
      </c>
    </row>
    <row r="327" spans="1:35" x14ac:dyDescent="0.5">
      <c r="A327" s="35">
        <v>2010</v>
      </c>
      <c r="B327" t="s">
        <v>142</v>
      </c>
      <c r="C327" t="s">
        <v>38</v>
      </c>
      <c r="D327">
        <v>617</v>
      </c>
      <c r="E327">
        <v>162</v>
      </c>
      <c r="F327">
        <v>7</v>
      </c>
      <c r="G327">
        <v>16</v>
      </c>
      <c r="H327">
        <v>155</v>
      </c>
      <c r="I327">
        <v>32</v>
      </c>
      <c r="J327">
        <v>1453.2</v>
      </c>
      <c r="K327">
        <v>1412</v>
      </c>
      <c r="L327">
        <v>641</v>
      </c>
      <c r="M327" s="58">
        <f t="shared" si="20"/>
        <v>2010</v>
      </c>
      <c r="N327" s="58" t="s">
        <v>90</v>
      </c>
      <c r="O327" s="58" t="str">
        <f t="shared" si="23"/>
        <v>2010 St. Louis Cardinals</v>
      </c>
      <c r="P327" s="58">
        <v>6137</v>
      </c>
      <c r="Q327" s="58">
        <f t="shared" si="21"/>
        <v>985</v>
      </c>
      <c r="R327" s="58">
        <v>266</v>
      </c>
      <c r="S327" s="58">
        <v>28</v>
      </c>
      <c r="T327" s="58">
        <v>133</v>
      </c>
      <c r="U327" s="58">
        <v>477</v>
      </c>
      <c r="V327" s="58">
        <v>48</v>
      </c>
      <c r="W327" s="58">
        <f t="shared" si="22"/>
        <v>4200</v>
      </c>
      <c r="X327">
        <v>577</v>
      </c>
      <c r="Y327">
        <v>32</v>
      </c>
      <c r="Z327">
        <v>1094</v>
      </c>
      <c r="AA327">
        <v>62</v>
      </c>
      <c r="AB327">
        <v>44</v>
      </c>
      <c r="AC327">
        <v>42</v>
      </c>
      <c r="AD327">
        <v>4</v>
      </c>
      <c r="AE327">
        <v>152</v>
      </c>
      <c r="AF327">
        <v>75</v>
      </c>
      <c r="AG327">
        <v>86</v>
      </c>
      <c r="AH327">
        <v>76</v>
      </c>
      <c r="AI327">
        <v>3.57</v>
      </c>
    </row>
    <row r="328" spans="1:35" x14ac:dyDescent="0.5">
      <c r="A328" s="35">
        <v>2010</v>
      </c>
      <c r="B328" t="s">
        <v>151</v>
      </c>
      <c r="C328" t="s">
        <v>149</v>
      </c>
      <c r="D328">
        <v>653</v>
      </c>
      <c r="E328">
        <v>162</v>
      </c>
      <c r="F328">
        <v>6</v>
      </c>
      <c r="G328">
        <v>12</v>
      </c>
      <c r="H328">
        <v>156</v>
      </c>
      <c r="I328">
        <v>51</v>
      </c>
      <c r="J328">
        <v>1453.2</v>
      </c>
      <c r="K328">
        <v>1347</v>
      </c>
      <c r="L328">
        <v>649</v>
      </c>
      <c r="M328" s="58">
        <f t="shared" si="20"/>
        <v>2010</v>
      </c>
      <c r="N328" s="58" t="s">
        <v>92</v>
      </c>
      <c r="O328" s="58" t="str">
        <f t="shared" si="23"/>
        <v>2010 Tampa Bay Devil Rays</v>
      </c>
      <c r="P328" s="58">
        <v>6103</v>
      </c>
      <c r="Q328" s="58">
        <f t="shared" si="21"/>
        <v>852</v>
      </c>
      <c r="R328" s="58">
        <v>286</v>
      </c>
      <c r="S328" s="58">
        <v>34</v>
      </c>
      <c r="T328" s="58">
        <v>175</v>
      </c>
      <c r="U328" s="58">
        <v>478</v>
      </c>
      <c r="V328" s="58">
        <v>46</v>
      </c>
      <c r="W328" s="58">
        <f t="shared" si="22"/>
        <v>4232</v>
      </c>
      <c r="X328">
        <v>611</v>
      </c>
      <c r="Y328">
        <v>34</v>
      </c>
      <c r="Z328">
        <v>1189</v>
      </c>
      <c r="AA328">
        <v>25</v>
      </c>
      <c r="AB328">
        <v>37</v>
      </c>
      <c r="AC328">
        <v>60</v>
      </c>
      <c r="AD328">
        <v>9</v>
      </c>
      <c r="AE328">
        <v>114</v>
      </c>
      <c r="AF328">
        <v>58</v>
      </c>
      <c r="AG328">
        <v>96</v>
      </c>
      <c r="AH328">
        <v>66</v>
      </c>
      <c r="AI328">
        <v>3.78</v>
      </c>
    </row>
    <row r="329" spans="1:35" x14ac:dyDescent="0.5">
      <c r="A329" s="35">
        <v>2010</v>
      </c>
      <c r="B329" t="s">
        <v>95</v>
      </c>
      <c r="C329" t="s">
        <v>149</v>
      </c>
      <c r="D329">
        <v>643</v>
      </c>
      <c r="E329">
        <v>162</v>
      </c>
      <c r="F329">
        <v>7</v>
      </c>
      <c r="G329">
        <v>8</v>
      </c>
      <c r="H329">
        <v>155</v>
      </c>
      <c r="I329">
        <v>46</v>
      </c>
      <c r="J329">
        <v>1455.1</v>
      </c>
      <c r="K329">
        <v>1355</v>
      </c>
      <c r="L329">
        <v>687</v>
      </c>
      <c r="M329" s="58">
        <f t="shared" si="20"/>
        <v>2010</v>
      </c>
      <c r="N329" s="58" t="s">
        <v>94</v>
      </c>
      <c r="O329" s="58" t="str">
        <f t="shared" si="23"/>
        <v>2010 Texas Rangers</v>
      </c>
      <c r="P329" s="58">
        <v>6213</v>
      </c>
      <c r="Q329" s="58">
        <f t="shared" si="21"/>
        <v>903</v>
      </c>
      <c r="R329" s="58">
        <v>269</v>
      </c>
      <c r="S329" s="58">
        <v>21</v>
      </c>
      <c r="T329" s="58">
        <v>162</v>
      </c>
      <c r="U329" s="58">
        <v>551</v>
      </c>
      <c r="V329" s="58">
        <v>63</v>
      </c>
      <c r="W329" s="58">
        <f t="shared" si="22"/>
        <v>4244</v>
      </c>
      <c r="X329">
        <v>636</v>
      </c>
      <c r="Y329">
        <v>24</v>
      </c>
      <c r="Z329">
        <v>1181</v>
      </c>
      <c r="AA329">
        <v>36</v>
      </c>
      <c r="AB329">
        <v>46</v>
      </c>
      <c r="AC329">
        <v>56</v>
      </c>
      <c r="AD329">
        <v>4</v>
      </c>
      <c r="AE329">
        <v>119</v>
      </c>
      <c r="AF329">
        <v>67</v>
      </c>
      <c r="AG329">
        <v>90</v>
      </c>
      <c r="AH329">
        <v>72</v>
      </c>
      <c r="AI329">
        <v>3.93</v>
      </c>
    </row>
    <row r="330" spans="1:35" x14ac:dyDescent="0.5">
      <c r="A330" s="35">
        <v>2010</v>
      </c>
      <c r="B330" t="s">
        <v>97</v>
      </c>
      <c r="C330" t="s">
        <v>149</v>
      </c>
      <c r="D330">
        <v>617</v>
      </c>
      <c r="E330">
        <v>162</v>
      </c>
      <c r="F330">
        <v>5</v>
      </c>
      <c r="G330">
        <v>11</v>
      </c>
      <c r="H330">
        <v>157</v>
      </c>
      <c r="I330">
        <v>45</v>
      </c>
      <c r="J330">
        <v>1440.2</v>
      </c>
      <c r="K330">
        <v>1407</v>
      </c>
      <c r="L330">
        <v>728</v>
      </c>
      <c r="M330" s="58">
        <f t="shared" si="20"/>
        <v>2010</v>
      </c>
      <c r="N330" s="58" t="s">
        <v>96</v>
      </c>
      <c r="O330" s="58" t="str">
        <f t="shared" si="23"/>
        <v>2010 Toronto Blue Jays</v>
      </c>
      <c r="P330" s="58">
        <v>6165</v>
      </c>
      <c r="Q330" s="58">
        <f t="shared" si="21"/>
        <v>916</v>
      </c>
      <c r="R330" s="58">
        <v>310</v>
      </c>
      <c r="S330" s="58">
        <v>31</v>
      </c>
      <c r="T330" s="58">
        <v>150</v>
      </c>
      <c r="U330" s="58">
        <v>539</v>
      </c>
      <c r="V330" s="58">
        <v>60</v>
      </c>
      <c r="W330" s="58">
        <f t="shared" si="22"/>
        <v>4159</v>
      </c>
      <c r="X330">
        <v>676</v>
      </c>
      <c r="Y330">
        <v>35</v>
      </c>
      <c r="Z330">
        <v>1184</v>
      </c>
      <c r="AA330">
        <v>21</v>
      </c>
      <c r="AB330">
        <v>37</v>
      </c>
      <c r="AC330">
        <v>69</v>
      </c>
      <c r="AD330">
        <v>3</v>
      </c>
      <c r="AE330">
        <v>148</v>
      </c>
      <c r="AF330">
        <v>64</v>
      </c>
      <c r="AG330">
        <v>85</v>
      </c>
      <c r="AH330">
        <v>77</v>
      </c>
      <c r="AI330">
        <v>4.22</v>
      </c>
    </row>
    <row r="331" spans="1:35" x14ac:dyDescent="0.5">
      <c r="A331" s="35">
        <v>2010</v>
      </c>
      <c r="B331" t="s">
        <v>101</v>
      </c>
      <c r="C331" t="s">
        <v>38</v>
      </c>
      <c r="D331">
        <v>656</v>
      </c>
      <c r="E331">
        <v>162</v>
      </c>
      <c r="F331">
        <v>2</v>
      </c>
      <c r="G331">
        <v>5</v>
      </c>
      <c r="H331">
        <v>160</v>
      </c>
      <c r="I331">
        <v>37</v>
      </c>
      <c r="J331">
        <v>1435</v>
      </c>
      <c r="K331">
        <v>1469</v>
      </c>
      <c r="L331">
        <v>742</v>
      </c>
      <c r="M331" s="58">
        <f t="shared" si="20"/>
        <v>2010</v>
      </c>
      <c r="N331" s="58" t="s">
        <v>100</v>
      </c>
      <c r="O331" s="58" t="str">
        <f t="shared" si="23"/>
        <v>2010 Washington Nationals</v>
      </c>
      <c r="P331" s="58">
        <v>6214</v>
      </c>
      <c r="Q331" s="58">
        <f t="shared" si="21"/>
        <v>1008</v>
      </c>
      <c r="R331" s="58">
        <v>275</v>
      </c>
      <c r="S331" s="58">
        <v>35</v>
      </c>
      <c r="T331" s="58">
        <v>151</v>
      </c>
      <c r="U331" s="58">
        <v>512</v>
      </c>
      <c r="V331" s="58">
        <v>46</v>
      </c>
      <c r="W331" s="58">
        <f t="shared" si="22"/>
        <v>4187</v>
      </c>
      <c r="X331">
        <v>658</v>
      </c>
      <c r="Y331">
        <v>57</v>
      </c>
      <c r="Z331">
        <v>1068</v>
      </c>
      <c r="AA331">
        <v>76</v>
      </c>
      <c r="AB331">
        <v>51</v>
      </c>
      <c r="AC331">
        <v>33</v>
      </c>
      <c r="AD331">
        <v>7</v>
      </c>
      <c r="AE331">
        <v>126</v>
      </c>
      <c r="AF331">
        <v>86</v>
      </c>
      <c r="AG331">
        <v>69</v>
      </c>
      <c r="AH331">
        <v>93</v>
      </c>
      <c r="AI331">
        <v>4.13</v>
      </c>
    </row>
    <row r="332" spans="1:35" x14ac:dyDescent="0.5">
      <c r="A332" s="35">
        <v>2011</v>
      </c>
      <c r="B332" t="s">
        <v>37</v>
      </c>
      <c r="C332" t="s">
        <v>149</v>
      </c>
      <c r="D332">
        <v>548</v>
      </c>
      <c r="E332">
        <v>162</v>
      </c>
      <c r="F332">
        <v>12</v>
      </c>
      <c r="G332">
        <v>11</v>
      </c>
      <c r="H332">
        <v>150</v>
      </c>
      <c r="I332">
        <v>39</v>
      </c>
      <c r="J332">
        <v>1465</v>
      </c>
      <c r="K332">
        <v>1388</v>
      </c>
      <c r="L332">
        <v>633</v>
      </c>
      <c r="M332" s="58">
        <f t="shared" si="20"/>
        <v>2011</v>
      </c>
      <c r="N332" s="58" t="s">
        <v>36</v>
      </c>
      <c r="O332" s="58" t="str">
        <f t="shared" si="23"/>
        <v>2011 Anaheim Angels</v>
      </c>
      <c r="P332" s="58">
        <v>6124</v>
      </c>
      <c r="Q332" s="58">
        <f t="shared" si="21"/>
        <v>939</v>
      </c>
      <c r="R332" s="58">
        <v>287</v>
      </c>
      <c r="S332" s="58">
        <v>20</v>
      </c>
      <c r="T332" s="58">
        <v>142</v>
      </c>
      <c r="U332" s="58">
        <v>476</v>
      </c>
      <c r="V332" s="58">
        <v>36</v>
      </c>
      <c r="W332" s="58">
        <f t="shared" si="22"/>
        <v>4224</v>
      </c>
      <c r="X332">
        <v>581</v>
      </c>
      <c r="Y332">
        <v>34</v>
      </c>
      <c r="Z332">
        <v>1058</v>
      </c>
      <c r="AA332">
        <v>46</v>
      </c>
      <c r="AB332">
        <v>41</v>
      </c>
      <c r="AC332">
        <v>55</v>
      </c>
      <c r="AD332">
        <v>4</v>
      </c>
      <c r="AE332">
        <v>140</v>
      </c>
      <c r="AF332">
        <v>67</v>
      </c>
      <c r="AG332">
        <v>86</v>
      </c>
      <c r="AH332">
        <v>76</v>
      </c>
      <c r="AI332">
        <v>3.57</v>
      </c>
    </row>
    <row r="333" spans="1:35" x14ac:dyDescent="0.5">
      <c r="A333" s="35">
        <v>2011</v>
      </c>
      <c r="B333" t="s">
        <v>40</v>
      </c>
      <c r="C333" t="s">
        <v>38</v>
      </c>
      <c r="D333">
        <v>625</v>
      </c>
      <c r="E333">
        <v>162</v>
      </c>
      <c r="F333">
        <v>5</v>
      </c>
      <c r="G333">
        <v>12</v>
      </c>
      <c r="H333">
        <v>157</v>
      </c>
      <c r="I333">
        <v>58</v>
      </c>
      <c r="J333">
        <v>1443.1</v>
      </c>
      <c r="K333">
        <v>1414</v>
      </c>
      <c r="L333">
        <v>662</v>
      </c>
      <c r="M333" s="58">
        <f t="shared" si="20"/>
        <v>2011</v>
      </c>
      <c r="N333" s="58" t="s">
        <v>39</v>
      </c>
      <c r="O333" s="58" t="str">
        <f t="shared" si="23"/>
        <v>2011 Arizona Diamondbacks</v>
      </c>
      <c r="P333" s="58">
        <v>6102</v>
      </c>
      <c r="Q333" s="58">
        <f t="shared" si="21"/>
        <v>931</v>
      </c>
      <c r="R333" s="58">
        <v>292</v>
      </c>
      <c r="S333" s="58">
        <v>32</v>
      </c>
      <c r="T333" s="58">
        <v>159</v>
      </c>
      <c r="U333" s="58">
        <v>442</v>
      </c>
      <c r="V333" s="58">
        <v>53</v>
      </c>
      <c r="W333" s="58">
        <f t="shared" si="22"/>
        <v>4193</v>
      </c>
      <c r="X333">
        <v>609</v>
      </c>
      <c r="Y333">
        <v>16</v>
      </c>
      <c r="Z333">
        <v>1058</v>
      </c>
      <c r="AA333">
        <v>62</v>
      </c>
      <c r="AB333">
        <v>46</v>
      </c>
      <c r="AC333">
        <v>39</v>
      </c>
      <c r="AD333">
        <v>7</v>
      </c>
      <c r="AE333">
        <v>107</v>
      </c>
      <c r="AF333">
        <v>57</v>
      </c>
      <c r="AG333">
        <v>94</v>
      </c>
      <c r="AH333">
        <v>68</v>
      </c>
      <c r="AI333">
        <v>3.8</v>
      </c>
    </row>
    <row r="334" spans="1:35" x14ac:dyDescent="0.5">
      <c r="A334" s="35">
        <v>2011</v>
      </c>
      <c r="B334" t="s">
        <v>42</v>
      </c>
      <c r="C334" t="s">
        <v>38</v>
      </c>
      <c r="D334">
        <v>672</v>
      </c>
      <c r="E334">
        <v>162</v>
      </c>
      <c r="F334">
        <v>3</v>
      </c>
      <c r="G334">
        <v>16</v>
      </c>
      <c r="H334">
        <v>159</v>
      </c>
      <c r="I334">
        <v>52</v>
      </c>
      <c r="J334">
        <v>1479.2</v>
      </c>
      <c r="K334">
        <v>1332</v>
      </c>
      <c r="L334">
        <v>605</v>
      </c>
      <c r="M334" s="58">
        <f t="shared" si="20"/>
        <v>2011</v>
      </c>
      <c r="N334" s="58" t="s">
        <v>41</v>
      </c>
      <c r="O334" s="58" t="str">
        <f t="shared" si="23"/>
        <v>2011 Atlanta Braves</v>
      </c>
      <c r="P334" s="58">
        <v>6220</v>
      </c>
      <c r="Q334" s="58">
        <f t="shared" si="21"/>
        <v>946</v>
      </c>
      <c r="R334" s="58">
        <v>228</v>
      </c>
      <c r="S334" s="58">
        <v>33</v>
      </c>
      <c r="T334" s="58">
        <v>125</v>
      </c>
      <c r="U334" s="58">
        <v>521</v>
      </c>
      <c r="V334" s="58">
        <v>53</v>
      </c>
      <c r="W334" s="58">
        <f t="shared" si="22"/>
        <v>4314</v>
      </c>
      <c r="X334">
        <v>572</v>
      </c>
      <c r="Y334">
        <v>73</v>
      </c>
      <c r="Z334">
        <v>1332</v>
      </c>
      <c r="AA334">
        <v>65</v>
      </c>
      <c r="AB334">
        <v>39</v>
      </c>
      <c r="AC334">
        <v>61</v>
      </c>
      <c r="AD334">
        <v>5</v>
      </c>
      <c r="AE334">
        <v>110</v>
      </c>
      <c r="AF334">
        <v>62</v>
      </c>
      <c r="AG334">
        <v>89</v>
      </c>
      <c r="AH334">
        <v>73</v>
      </c>
      <c r="AI334">
        <v>3.48</v>
      </c>
    </row>
    <row r="335" spans="1:35" x14ac:dyDescent="0.5">
      <c r="A335" s="35">
        <v>2011</v>
      </c>
      <c r="B335" t="s">
        <v>45</v>
      </c>
      <c r="C335" t="s">
        <v>149</v>
      </c>
      <c r="D335">
        <v>640</v>
      </c>
      <c r="E335">
        <v>162</v>
      </c>
      <c r="F335">
        <v>3</v>
      </c>
      <c r="G335">
        <v>7</v>
      </c>
      <c r="H335">
        <v>159</v>
      </c>
      <c r="I335">
        <v>32</v>
      </c>
      <c r="J335">
        <v>1446.2</v>
      </c>
      <c r="K335">
        <v>1568</v>
      </c>
      <c r="L335">
        <v>860</v>
      </c>
      <c r="M335" s="58">
        <f t="shared" si="20"/>
        <v>2011</v>
      </c>
      <c r="N335" s="58" t="s">
        <v>44</v>
      </c>
      <c r="O335" s="58" t="str">
        <f t="shared" si="23"/>
        <v>2011 Baltimore Orioles</v>
      </c>
      <c r="P335" s="58">
        <v>6332</v>
      </c>
      <c r="Q335" s="58">
        <f t="shared" si="21"/>
        <v>977</v>
      </c>
      <c r="R335" s="58">
        <v>354</v>
      </c>
      <c r="S335" s="58">
        <v>27</v>
      </c>
      <c r="T335" s="58">
        <v>210</v>
      </c>
      <c r="U335" s="58">
        <v>535</v>
      </c>
      <c r="V335" s="58">
        <v>45</v>
      </c>
      <c r="W335" s="58">
        <f t="shared" si="22"/>
        <v>4184</v>
      </c>
      <c r="X335">
        <v>786</v>
      </c>
      <c r="Y335">
        <v>42</v>
      </c>
      <c r="Z335">
        <v>1044</v>
      </c>
      <c r="AA335">
        <v>37</v>
      </c>
      <c r="AB335">
        <v>49</v>
      </c>
      <c r="AC335">
        <v>32</v>
      </c>
      <c r="AD335">
        <v>4</v>
      </c>
      <c r="AE335">
        <v>135</v>
      </c>
      <c r="AF335">
        <v>70</v>
      </c>
      <c r="AG335">
        <v>69</v>
      </c>
      <c r="AH335">
        <v>93</v>
      </c>
      <c r="AI335">
        <v>4.8899999999999997</v>
      </c>
    </row>
    <row r="336" spans="1:35" x14ac:dyDescent="0.5">
      <c r="A336" s="35">
        <v>2011</v>
      </c>
      <c r="B336" t="s">
        <v>47</v>
      </c>
      <c r="C336" t="s">
        <v>149</v>
      </c>
      <c r="D336">
        <v>606</v>
      </c>
      <c r="E336">
        <v>162</v>
      </c>
      <c r="F336">
        <v>2</v>
      </c>
      <c r="G336">
        <v>13</v>
      </c>
      <c r="H336">
        <v>160</v>
      </c>
      <c r="I336">
        <v>36</v>
      </c>
      <c r="J336">
        <v>1457.1</v>
      </c>
      <c r="K336">
        <v>1366</v>
      </c>
      <c r="L336">
        <v>737</v>
      </c>
      <c r="M336" s="58">
        <f t="shared" si="20"/>
        <v>2011</v>
      </c>
      <c r="N336" s="58" t="s">
        <v>46</v>
      </c>
      <c r="O336" s="58" t="str">
        <f t="shared" si="23"/>
        <v>2011 Boston Red Sox</v>
      </c>
      <c r="P336" s="58">
        <v>6242</v>
      </c>
      <c r="Q336" s="58">
        <f t="shared" si="21"/>
        <v>901</v>
      </c>
      <c r="R336" s="58">
        <v>286</v>
      </c>
      <c r="S336" s="58">
        <v>23</v>
      </c>
      <c r="T336" s="58">
        <v>156</v>
      </c>
      <c r="U336" s="58">
        <v>540</v>
      </c>
      <c r="V336" s="58">
        <v>90</v>
      </c>
      <c r="W336" s="58">
        <f t="shared" si="22"/>
        <v>4246</v>
      </c>
      <c r="X336">
        <v>680</v>
      </c>
      <c r="Y336">
        <v>11</v>
      </c>
      <c r="Z336">
        <v>1213</v>
      </c>
      <c r="AA336">
        <v>40</v>
      </c>
      <c r="AB336">
        <v>43</v>
      </c>
      <c r="AC336">
        <v>58</v>
      </c>
      <c r="AD336">
        <v>7</v>
      </c>
      <c r="AE336">
        <v>99</v>
      </c>
      <c r="AF336">
        <v>62</v>
      </c>
      <c r="AG336">
        <v>90</v>
      </c>
      <c r="AH336">
        <v>72</v>
      </c>
      <c r="AI336">
        <v>4.2</v>
      </c>
    </row>
    <row r="337" spans="1:35" x14ac:dyDescent="0.5">
      <c r="A337" s="35">
        <v>2011</v>
      </c>
      <c r="B337" t="s">
        <v>143</v>
      </c>
      <c r="C337" t="s">
        <v>38</v>
      </c>
      <c r="D337">
        <v>657</v>
      </c>
      <c r="E337">
        <v>162</v>
      </c>
      <c r="F337">
        <v>4</v>
      </c>
      <c r="G337">
        <v>5</v>
      </c>
      <c r="H337">
        <v>158</v>
      </c>
      <c r="I337">
        <v>40</v>
      </c>
      <c r="J337">
        <v>1434.1</v>
      </c>
      <c r="K337">
        <v>1439</v>
      </c>
      <c r="L337">
        <v>756</v>
      </c>
      <c r="M337" s="58">
        <f t="shared" si="20"/>
        <v>2011</v>
      </c>
      <c r="N337" s="58" t="s">
        <v>50</v>
      </c>
      <c r="O337" s="58" t="str">
        <f t="shared" si="23"/>
        <v>2011 Chicago Cubs</v>
      </c>
      <c r="P337" s="58">
        <v>6262</v>
      </c>
      <c r="Q337" s="58">
        <f t="shared" si="21"/>
        <v>959</v>
      </c>
      <c r="R337" s="58">
        <v>289</v>
      </c>
      <c r="S337" s="58">
        <v>29</v>
      </c>
      <c r="T337" s="58">
        <v>162</v>
      </c>
      <c r="U337" s="58">
        <v>580</v>
      </c>
      <c r="V337" s="58">
        <v>53</v>
      </c>
      <c r="W337" s="58">
        <f t="shared" si="22"/>
        <v>4190</v>
      </c>
      <c r="X337">
        <v>690</v>
      </c>
      <c r="Y337">
        <v>45</v>
      </c>
      <c r="Z337">
        <v>1224</v>
      </c>
      <c r="AA337">
        <v>81</v>
      </c>
      <c r="AB337">
        <v>44</v>
      </c>
      <c r="AC337">
        <v>51</v>
      </c>
      <c r="AD337">
        <v>5</v>
      </c>
      <c r="AE337">
        <v>103</v>
      </c>
      <c r="AF337">
        <v>86</v>
      </c>
      <c r="AG337">
        <v>71</v>
      </c>
      <c r="AH337">
        <v>91</v>
      </c>
      <c r="AI337">
        <v>4.33</v>
      </c>
    </row>
    <row r="338" spans="1:35" x14ac:dyDescent="0.5">
      <c r="A338" s="35">
        <v>2011</v>
      </c>
      <c r="B338" t="s">
        <v>143</v>
      </c>
      <c r="C338" t="s">
        <v>149</v>
      </c>
      <c r="D338">
        <v>572</v>
      </c>
      <c r="E338">
        <v>162</v>
      </c>
      <c r="F338">
        <v>6</v>
      </c>
      <c r="G338">
        <v>14</v>
      </c>
      <c r="H338">
        <v>156</v>
      </c>
      <c r="I338">
        <v>42</v>
      </c>
      <c r="J338">
        <v>1460</v>
      </c>
      <c r="K338">
        <v>1463</v>
      </c>
      <c r="L338">
        <v>706</v>
      </c>
      <c r="M338" s="58">
        <f t="shared" si="20"/>
        <v>2011</v>
      </c>
      <c r="N338" s="58" t="s">
        <v>48</v>
      </c>
      <c r="O338" s="58" t="str">
        <f t="shared" si="23"/>
        <v>2011 Chicago White Sox</v>
      </c>
      <c r="P338" s="58">
        <v>6188</v>
      </c>
      <c r="Q338" s="58">
        <f t="shared" si="21"/>
        <v>1020</v>
      </c>
      <c r="R338" s="58">
        <v>265</v>
      </c>
      <c r="S338" s="58">
        <v>31</v>
      </c>
      <c r="T338" s="58">
        <v>147</v>
      </c>
      <c r="U338" s="58">
        <v>439</v>
      </c>
      <c r="V338" s="58">
        <v>44</v>
      </c>
      <c r="W338" s="58">
        <f t="shared" si="22"/>
        <v>4242</v>
      </c>
      <c r="X338">
        <v>665</v>
      </c>
      <c r="Y338">
        <v>50</v>
      </c>
      <c r="Z338">
        <v>1220</v>
      </c>
      <c r="AA338">
        <v>41</v>
      </c>
      <c r="AB338">
        <v>50</v>
      </c>
      <c r="AC338">
        <v>55</v>
      </c>
      <c r="AD338">
        <v>4</v>
      </c>
      <c r="AE338">
        <v>113</v>
      </c>
      <c r="AF338">
        <v>53</v>
      </c>
      <c r="AG338">
        <v>79</v>
      </c>
      <c r="AH338">
        <v>83</v>
      </c>
      <c r="AI338">
        <v>4.0999999999999996</v>
      </c>
    </row>
    <row r="339" spans="1:35" x14ac:dyDescent="0.5">
      <c r="A339" s="35">
        <v>2011</v>
      </c>
      <c r="B339" t="s">
        <v>53</v>
      </c>
      <c r="C339" t="s">
        <v>38</v>
      </c>
      <c r="D339">
        <v>663</v>
      </c>
      <c r="E339">
        <v>162</v>
      </c>
      <c r="F339">
        <v>4</v>
      </c>
      <c r="G339">
        <v>5</v>
      </c>
      <c r="H339">
        <v>158</v>
      </c>
      <c r="I339">
        <v>39</v>
      </c>
      <c r="J339">
        <v>1467.2</v>
      </c>
      <c r="K339">
        <v>1414</v>
      </c>
      <c r="L339">
        <v>720</v>
      </c>
      <c r="M339" s="58">
        <f t="shared" si="20"/>
        <v>2011</v>
      </c>
      <c r="N339" s="58" t="s">
        <v>52</v>
      </c>
      <c r="O339" s="58" t="str">
        <f t="shared" si="23"/>
        <v>2011 Cincinnati Reds</v>
      </c>
      <c r="P339" s="58">
        <v>6259</v>
      </c>
      <c r="Q339" s="58">
        <f t="shared" si="21"/>
        <v>923</v>
      </c>
      <c r="R339" s="58">
        <v>279</v>
      </c>
      <c r="S339" s="58">
        <v>27</v>
      </c>
      <c r="T339" s="58">
        <v>185</v>
      </c>
      <c r="U339" s="58">
        <v>539</v>
      </c>
      <c r="V339" s="58">
        <v>59</v>
      </c>
      <c r="W339" s="58">
        <f t="shared" si="22"/>
        <v>4247</v>
      </c>
      <c r="X339">
        <v>678</v>
      </c>
      <c r="Y339">
        <v>47</v>
      </c>
      <c r="Z339">
        <v>1112</v>
      </c>
      <c r="AA339">
        <v>60</v>
      </c>
      <c r="AB339">
        <v>52</v>
      </c>
      <c r="AC339">
        <v>51</v>
      </c>
      <c r="AD339">
        <v>13</v>
      </c>
      <c r="AE339">
        <v>121</v>
      </c>
      <c r="AF339">
        <v>60</v>
      </c>
      <c r="AG339">
        <v>79</v>
      </c>
      <c r="AH339">
        <v>83</v>
      </c>
      <c r="AI339">
        <v>4.16</v>
      </c>
    </row>
    <row r="340" spans="1:35" x14ac:dyDescent="0.5">
      <c r="A340" s="35">
        <v>2011</v>
      </c>
      <c r="B340" t="s">
        <v>55</v>
      </c>
      <c r="C340" t="s">
        <v>149</v>
      </c>
      <c r="D340">
        <v>644</v>
      </c>
      <c r="E340">
        <v>162</v>
      </c>
      <c r="F340">
        <v>2</v>
      </c>
      <c r="G340">
        <v>4</v>
      </c>
      <c r="H340">
        <v>160</v>
      </c>
      <c r="I340">
        <v>38</v>
      </c>
      <c r="J340">
        <v>1453.1</v>
      </c>
      <c r="K340">
        <v>1482</v>
      </c>
      <c r="L340">
        <v>760</v>
      </c>
      <c r="M340" s="58">
        <f t="shared" si="20"/>
        <v>2011</v>
      </c>
      <c r="N340" s="58" t="s">
        <v>54</v>
      </c>
      <c r="O340" s="58" t="str">
        <f t="shared" si="23"/>
        <v>2011 Cleveland Indians</v>
      </c>
      <c r="P340" s="58">
        <v>6235</v>
      </c>
      <c r="Q340" s="58">
        <f t="shared" si="21"/>
        <v>975</v>
      </c>
      <c r="R340" s="58">
        <v>323</v>
      </c>
      <c r="S340" s="58">
        <v>31</v>
      </c>
      <c r="T340" s="58">
        <v>153</v>
      </c>
      <c r="U340" s="58">
        <v>463</v>
      </c>
      <c r="V340" s="58">
        <v>60</v>
      </c>
      <c r="W340" s="58">
        <f t="shared" si="22"/>
        <v>4230</v>
      </c>
      <c r="X340">
        <v>683</v>
      </c>
      <c r="Y340">
        <v>34</v>
      </c>
      <c r="Z340">
        <v>1024</v>
      </c>
      <c r="AA340">
        <v>35</v>
      </c>
      <c r="AB340">
        <v>49</v>
      </c>
      <c r="AC340">
        <v>42</v>
      </c>
      <c r="AD340">
        <v>3</v>
      </c>
      <c r="AE340">
        <v>105</v>
      </c>
      <c r="AF340">
        <v>75</v>
      </c>
      <c r="AG340">
        <v>80</v>
      </c>
      <c r="AH340">
        <v>82</v>
      </c>
      <c r="AI340">
        <v>4.2300000000000004</v>
      </c>
    </row>
    <row r="341" spans="1:35" x14ac:dyDescent="0.5">
      <c r="A341" s="35">
        <v>2011</v>
      </c>
      <c r="B341" t="s">
        <v>57</v>
      </c>
      <c r="C341" t="s">
        <v>38</v>
      </c>
      <c r="D341">
        <v>679</v>
      </c>
      <c r="E341">
        <v>162</v>
      </c>
      <c r="F341">
        <v>5</v>
      </c>
      <c r="G341">
        <v>7</v>
      </c>
      <c r="H341">
        <v>157</v>
      </c>
      <c r="I341">
        <v>41</v>
      </c>
      <c r="J341">
        <v>1447.2</v>
      </c>
      <c r="K341">
        <v>1471</v>
      </c>
      <c r="L341">
        <v>774</v>
      </c>
      <c r="M341" s="58">
        <f t="shared" si="20"/>
        <v>2011</v>
      </c>
      <c r="N341" s="58" t="s">
        <v>56</v>
      </c>
      <c r="O341" s="58" t="str">
        <f t="shared" si="23"/>
        <v>2011 Colorado Rockies</v>
      </c>
      <c r="P341" s="58">
        <v>6215</v>
      </c>
      <c r="Q341" s="58">
        <f t="shared" si="21"/>
        <v>951</v>
      </c>
      <c r="R341" s="58">
        <v>292</v>
      </c>
      <c r="S341" s="58">
        <v>52</v>
      </c>
      <c r="T341" s="58">
        <v>176</v>
      </c>
      <c r="U341" s="58">
        <v>522</v>
      </c>
      <c r="V341" s="58">
        <v>48</v>
      </c>
      <c r="W341" s="58">
        <f t="shared" si="22"/>
        <v>4174</v>
      </c>
      <c r="X341">
        <v>713</v>
      </c>
      <c r="Y341">
        <v>47</v>
      </c>
      <c r="Z341">
        <v>1118</v>
      </c>
      <c r="AA341">
        <v>51</v>
      </c>
      <c r="AB341">
        <v>41</v>
      </c>
      <c r="AC341">
        <v>65</v>
      </c>
      <c r="AD341">
        <v>7</v>
      </c>
      <c r="AE341">
        <v>131</v>
      </c>
      <c r="AF341">
        <v>63</v>
      </c>
      <c r="AG341">
        <v>73</v>
      </c>
      <c r="AH341">
        <v>89</v>
      </c>
      <c r="AI341">
        <v>4.43</v>
      </c>
    </row>
    <row r="342" spans="1:35" x14ac:dyDescent="0.5">
      <c r="A342" s="35">
        <v>2011</v>
      </c>
      <c r="B342" t="s">
        <v>59</v>
      </c>
      <c r="C342" t="s">
        <v>149</v>
      </c>
      <c r="D342">
        <v>583</v>
      </c>
      <c r="E342">
        <v>162</v>
      </c>
      <c r="F342">
        <v>4</v>
      </c>
      <c r="G342">
        <v>14</v>
      </c>
      <c r="H342">
        <v>158</v>
      </c>
      <c r="I342">
        <v>52</v>
      </c>
      <c r="J342">
        <v>1440</v>
      </c>
      <c r="K342">
        <v>1406</v>
      </c>
      <c r="L342">
        <v>711</v>
      </c>
      <c r="M342" s="58">
        <f t="shared" si="20"/>
        <v>2011</v>
      </c>
      <c r="N342" s="58" t="s">
        <v>58</v>
      </c>
      <c r="O342" s="58" t="str">
        <f t="shared" si="23"/>
        <v>2011 Detroit Tigers</v>
      </c>
      <c r="P342" s="58">
        <v>6108</v>
      </c>
      <c r="Q342" s="58">
        <f t="shared" si="21"/>
        <v>969</v>
      </c>
      <c r="R342" s="58">
        <v>259</v>
      </c>
      <c r="S342" s="58">
        <v>29</v>
      </c>
      <c r="T342" s="58">
        <v>149</v>
      </c>
      <c r="U342" s="58">
        <v>492</v>
      </c>
      <c r="V342" s="58">
        <v>52</v>
      </c>
      <c r="W342" s="58">
        <f t="shared" si="22"/>
        <v>4158</v>
      </c>
      <c r="X342">
        <v>647</v>
      </c>
      <c r="Y342">
        <v>34</v>
      </c>
      <c r="Z342">
        <v>1115</v>
      </c>
      <c r="AA342">
        <v>36</v>
      </c>
      <c r="AB342">
        <v>50</v>
      </c>
      <c r="AC342">
        <v>69</v>
      </c>
      <c r="AD342">
        <v>5</v>
      </c>
      <c r="AE342">
        <v>120</v>
      </c>
      <c r="AF342">
        <v>60</v>
      </c>
      <c r="AG342">
        <v>95</v>
      </c>
      <c r="AH342">
        <v>67</v>
      </c>
      <c r="AI342">
        <v>4.04</v>
      </c>
    </row>
    <row r="343" spans="1:35" x14ac:dyDescent="0.5">
      <c r="A343" s="35">
        <v>2011</v>
      </c>
      <c r="B343" t="s">
        <v>146</v>
      </c>
      <c r="C343" t="s">
        <v>38</v>
      </c>
      <c r="D343">
        <v>670</v>
      </c>
      <c r="E343">
        <v>162</v>
      </c>
      <c r="F343">
        <v>7</v>
      </c>
      <c r="G343">
        <v>11</v>
      </c>
      <c r="H343">
        <v>155</v>
      </c>
      <c r="I343">
        <v>40</v>
      </c>
      <c r="J343">
        <v>1459.2</v>
      </c>
      <c r="K343">
        <v>1403</v>
      </c>
      <c r="L343">
        <v>702</v>
      </c>
      <c r="M343" s="58">
        <f t="shared" si="20"/>
        <v>2011</v>
      </c>
      <c r="N343" s="58" t="s">
        <v>60</v>
      </c>
      <c r="O343" s="58" t="str">
        <f t="shared" si="23"/>
        <v>2011 Florida Marlins</v>
      </c>
      <c r="P343" s="58">
        <v>6200</v>
      </c>
      <c r="Q343" s="58">
        <f t="shared" si="21"/>
        <v>917</v>
      </c>
      <c r="R343" s="58">
        <v>296</v>
      </c>
      <c r="S343" s="58">
        <v>41</v>
      </c>
      <c r="T343" s="58">
        <v>149</v>
      </c>
      <c r="U343" s="58">
        <v>500</v>
      </c>
      <c r="V343" s="58">
        <v>37</v>
      </c>
      <c r="W343" s="58">
        <f t="shared" si="22"/>
        <v>4260</v>
      </c>
      <c r="X343">
        <v>640</v>
      </c>
      <c r="Y343">
        <v>72</v>
      </c>
      <c r="Z343">
        <v>1218</v>
      </c>
      <c r="AA343">
        <v>69</v>
      </c>
      <c r="AB343">
        <v>40</v>
      </c>
      <c r="AC343">
        <v>43</v>
      </c>
      <c r="AD343">
        <v>10</v>
      </c>
      <c r="AE343">
        <v>102</v>
      </c>
      <c r="AF343">
        <v>71</v>
      </c>
      <c r="AG343">
        <v>72</v>
      </c>
      <c r="AH343">
        <v>90</v>
      </c>
      <c r="AI343">
        <v>3.95</v>
      </c>
    </row>
    <row r="344" spans="1:35" x14ac:dyDescent="0.5">
      <c r="A344" s="35">
        <v>2011</v>
      </c>
      <c r="B344" t="s">
        <v>63</v>
      </c>
      <c r="C344" t="s">
        <v>38</v>
      </c>
      <c r="D344">
        <v>665</v>
      </c>
      <c r="E344">
        <v>162</v>
      </c>
      <c r="F344">
        <v>2</v>
      </c>
      <c r="G344">
        <v>6</v>
      </c>
      <c r="H344">
        <v>160</v>
      </c>
      <c r="I344">
        <v>25</v>
      </c>
      <c r="J344">
        <v>1435</v>
      </c>
      <c r="K344">
        <v>1477</v>
      </c>
      <c r="L344">
        <v>796</v>
      </c>
      <c r="M344" s="58">
        <f t="shared" si="20"/>
        <v>2011</v>
      </c>
      <c r="N344" s="58" t="s">
        <v>62</v>
      </c>
      <c r="O344" s="58" t="str">
        <f t="shared" si="23"/>
        <v>2011 Houston Astros</v>
      </c>
      <c r="P344" s="58">
        <v>6268</v>
      </c>
      <c r="Q344" s="58">
        <f t="shared" si="21"/>
        <v>964</v>
      </c>
      <c r="R344" s="58">
        <v>294</v>
      </c>
      <c r="S344" s="58">
        <v>31</v>
      </c>
      <c r="T344" s="58">
        <v>188</v>
      </c>
      <c r="U344" s="58">
        <v>560</v>
      </c>
      <c r="V344" s="58">
        <v>53</v>
      </c>
      <c r="W344" s="58">
        <f t="shared" si="22"/>
        <v>4178</v>
      </c>
      <c r="X344">
        <v>719</v>
      </c>
      <c r="Y344">
        <v>59</v>
      </c>
      <c r="Z344">
        <v>1191</v>
      </c>
      <c r="AA344">
        <v>72</v>
      </c>
      <c r="AB344">
        <v>37</v>
      </c>
      <c r="AC344">
        <v>39</v>
      </c>
      <c r="AD344">
        <v>9</v>
      </c>
      <c r="AE344">
        <v>113</v>
      </c>
      <c r="AF344">
        <v>79</v>
      </c>
      <c r="AG344">
        <v>56</v>
      </c>
      <c r="AH344">
        <v>106</v>
      </c>
      <c r="AI344">
        <v>4.51</v>
      </c>
    </row>
    <row r="345" spans="1:35" x14ac:dyDescent="0.5">
      <c r="A345" s="35">
        <v>2011</v>
      </c>
      <c r="B345" t="s">
        <v>150</v>
      </c>
      <c r="C345" t="s">
        <v>149</v>
      </c>
      <c r="D345">
        <v>582</v>
      </c>
      <c r="E345">
        <v>162</v>
      </c>
      <c r="F345">
        <v>2</v>
      </c>
      <c r="G345">
        <v>6</v>
      </c>
      <c r="H345">
        <v>160</v>
      </c>
      <c r="I345">
        <v>37</v>
      </c>
      <c r="J345">
        <v>1451.1</v>
      </c>
      <c r="K345">
        <v>1487</v>
      </c>
      <c r="L345">
        <v>762</v>
      </c>
      <c r="M345" s="58">
        <f t="shared" si="20"/>
        <v>2011</v>
      </c>
      <c r="N345" s="58" t="s">
        <v>64</v>
      </c>
      <c r="O345" s="58" t="str">
        <f t="shared" si="23"/>
        <v>2011 Kansas City Royals</v>
      </c>
      <c r="P345" s="58">
        <v>6280</v>
      </c>
      <c r="Q345" s="58">
        <f t="shared" si="21"/>
        <v>980</v>
      </c>
      <c r="R345" s="58">
        <v>301</v>
      </c>
      <c r="S345" s="58">
        <v>43</v>
      </c>
      <c r="T345" s="58">
        <v>163</v>
      </c>
      <c r="U345" s="58">
        <v>557</v>
      </c>
      <c r="V345" s="58">
        <v>58</v>
      </c>
      <c r="W345" s="58">
        <f t="shared" si="22"/>
        <v>4178</v>
      </c>
      <c r="X345">
        <v>716</v>
      </c>
      <c r="Y345">
        <v>42</v>
      </c>
      <c r="Z345">
        <v>1080</v>
      </c>
      <c r="AA345">
        <v>51</v>
      </c>
      <c r="AB345">
        <v>51</v>
      </c>
      <c r="AC345">
        <v>69</v>
      </c>
      <c r="AD345">
        <v>7</v>
      </c>
      <c r="AE345">
        <v>117</v>
      </c>
      <c r="AF345">
        <v>61</v>
      </c>
      <c r="AG345">
        <v>71</v>
      </c>
      <c r="AH345">
        <v>91</v>
      </c>
      <c r="AI345">
        <v>4.4400000000000004</v>
      </c>
    </row>
    <row r="346" spans="1:35" x14ac:dyDescent="0.5">
      <c r="A346" s="35">
        <v>2011</v>
      </c>
      <c r="B346" t="s">
        <v>145</v>
      </c>
      <c r="C346" t="s">
        <v>38</v>
      </c>
      <c r="D346">
        <v>622</v>
      </c>
      <c r="E346">
        <v>161</v>
      </c>
      <c r="F346">
        <v>7</v>
      </c>
      <c r="G346">
        <v>17</v>
      </c>
      <c r="H346">
        <v>154</v>
      </c>
      <c r="I346">
        <v>40</v>
      </c>
      <c r="J346">
        <v>1432</v>
      </c>
      <c r="K346">
        <v>1287</v>
      </c>
      <c r="L346">
        <v>612</v>
      </c>
      <c r="M346" s="58">
        <f t="shared" si="20"/>
        <v>2011</v>
      </c>
      <c r="N346" s="58" t="s">
        <v>66</v>
      </c>
      <c r="O346" s="58" t="str">
        <f t="shared" si="23"/>
        <v>2011 Los Angeles Dodgers</v>
      </c>
      <c r="P346" s="58">
        <v>5997</v>
      </c>
      <c r="Q346" s="58">
        <f t="shared" si="21"/>
        <v>873</v>
      </c>
      <c r="R346" s="58">
        <v>263</v>
      </c>
      <c r="S346" s="58">
        <v>19</v>
      </c>
      <c r="T346" s="58">
        <v>132</v>
      </c>
      <c r="U346" s="58">
        <v>507</v>
      </c>
      <c r="V346" s="58">
        <v>43</v>
      </c>
      <c r="W346" s="58">
        <f t="shared" si="22"/>
        <v>4160</v>
      </c>
      <c r="X346">
        <v>563</v>
      </c>
      <c r="Y346">
        <v>48</v>
      </c>
      <c r="Z346">
        <v>1265</v>
      </c>
      <c r="AA346">
        <v>69</v>
      </c>
      <c r="AB346">
        <v>33</v>
      </c>
      <c r="AC346">
        <v>50</v>
      </c>
      <c r="AD346">
        <v>7</v>
      </c>
      <c r="AE346">
        <v>95</v>
      </c>
      <c r="AF346">
        <v>56</v>
      </c>
      <c r="AG346">
        <v>82</v>
      </c>
      <c r="AH346">
        <v>79</v>
      </c>
      <c r="AI346">
        <v>3.54</v>
      </c>
    </row>
    <row r="347" spans="1:35" x14ac:dyDescent="0.5">
      <c r="A347" s="35">
        <v>2011</v>
      </c>
      <c r="B347" t="s">
        <v>69</v>
      </c>
      <c r="C347" t="s">
        <v>38</v>
      </c>
      <c r="D347">
        <v>596</v>
      </c>
      <c r="E347">
        <v>162</v>
      </c>
      <c r="F347">
        <v>1</v>
      </c>
      <c r="G347">
        <v>13</v>
      </c>
      <c r="H347">
        <v>161</v>
      </c>
      <c r="I347">
        <v>47</v>
      </c>
      <c r="J347">
        <v>1441.2</v>
      </c>
      <c r="K347">
        <v>1348</v>
      </c>
      <c r="L347">
        <v>638</v>
      </c>
      <c r="M347" s="58">
        <f t="shared" si="20"/>
        <v>2011</v>
      </c>
      <c r="N347" s="58" t="s">
        <v>68</v>
      </c>
      <c r="O347" s="58" t="str">
        <f t="shared" si="23"/>
        <v>2011 Milwaukee Brewers</v>
      </c>
      <c r="P347" s="58">
        <v>6048</v>
      </c>
      <c r="Q347" s="58">
        <f t="shared" si="21"/>
        <v>910</v>
      </c>
      <c r="R347" s="58">
        <v>263</v>
      </c>
      <c r="S347" s="58">
        <v>28</v>
      </c>
      <c r="T347" s="58">
        <v>147</v>
      </c>
      <c r="U347" s="58">
        <v>440</v>
      </c>
      <c r="V347" s="58">
        <v>33</v>
      </c>
      <c r="W347" s="58">
        <f t="shared" si="22"/>
        <v>4227</v>
      </c>
      <c r="X347">
        <v>582</v>
      </c>
      <c r="Y347">
        <v>16</v>
      </c>
      <c r="Z347">
        <v>1257</v>
      </c>
      <c r="AA347">
        <v>57</v>
      </c>
      <c r="AB347">
        <v>35</v>
      </c>
      <c r="AC347">
        <v>70</v>
      </c>
      <c r="AD347">
        <v>5</v>
      </c>
      <c r="AE347">
        <v>111</v>
      </c>
      <c r="AF347">
        <v>88</v>
      </c>
      <c r="AG347">
        <v>96</v>
      </c>
      <c r="AH347">
        <v>66</v>
      </c>
      <c r="AI347">
        <v>3.63</v>
      </c>
    </row>
    <row r="348" spans="1:35" x14ac:dyDescent="0.5">
      <c r="A348" s="35">
        <v>2011</v>
      </c>
      <c r="B348" t="s">
        <v>71</v>
      </c>
      <c r="C348" t="s">
        <v>149</v>
      </c>
      <c r="D348">
        <v>619</v>
      </c>
      <c r="E348">
        <v>162</v>
      </c>
      <c r="F348">
        <v>7</v>
      </c>
      <c r="G348">
        <v>8</v>
      </c>
      <c r="H348">
        <v>155</v>
      </c>
      <c r="I348">
        <v>32</v>
      </c>
      <c r="J348">
        <v>1421.2</v>
      </c>
      <c r="K348">
        <v>1564</v>
      </c>
      <c r="L348">
        <v>804</v>
      </c>
      <c r="M348" s="58">
        <f t="shared" si="20"/>
        <v>2011</v>
      </c>
      <c r="N348" s="58" t="s">
        <v>70</v>
      </c>
      <c r="O348" s="58" t="str">
        <f t="shared" si="23"/>
        <v>2011 Minnesota Twins</v>
      </c>
      <c r="P348" s="58">
        <v>6210</v>
      </c>
      <c r="Q348" s="58">
        <f t="shared" si="21"/>
        <v>1069</v>
      </c>
      <c r="R348" s="58">
        <v>291</v>
      </c>
      <c r="S348" s="58">
        <v>43</v>
      </c>
      <c r="T348" s="58">
        <v>161</v>
      </c>
      <c r="U348" s="58">
        <v>480</v>
      </c>
      <c r="V348" s="58">
        <v>54</v>
      </c>
      <c r="W348" s="58">
        <f t="shared" si="22"/>
        <v>4112</v>
      </c>
      <c r="X348">
        <v>724</v>
      </c>
      <c r="Y348">
        <v>37</v>
      </c>
      <c r="Z348">
        <v>940</v>
      </c>
      <c r="AA348">
        <v>43</v>
      </c>
      <c r="AB348">
        <v>62</v>
      </c>
      <c r="AC348">
        <v>47</v>
      </c>
      <c r="AD348">
        <v>5</v>
      </c>
      <c r="AE348">
        <v>128</v>
      </c>
      <c r="AF348">
        <v>71</v>
      </c>
      <c r="AG348">
        <v>63</v>
      </c>
      <c r="AH348">
        <v>99</v>
      </c>
      <c r="AI348">
        <v>4.58</v>
      </c>
    </row>
    <row r="349" spans="1:35" x14ac:dyDescent="0.5">
      <c r="A349" s="35">
        <v>2011</v>
      </c>
      <c r="B349" t="s">
        <v>144</v>
      </c>
      <c r="C349" t="s">
        <v>38</v>
      </c>
      <c r="D349">
        <v>676</v>
      </c>
      <c r="E349">
        <v>162</v>
      </c>
      <c r="F349">
        <v>6</v>
      </c>
      <c r="G349">
        <v>9</v>
      </c>
      <c r="H349">
        <v>156</v>
      </c>
      <c r="I349">
        <v>43</v>
      </c>
      <c r="J349">
        <v>1448</v>
      </c>
      <c r="K349">
        <v>1482</v>
      </c>
      <c r="L349">
        <v>742</v>
      </c>
      <c r="M349" s="58">
        <f t="shared" si="20"/>
        <v>2011</v>
      </c>
      <c r="N349" s="58" t="s">
        <v>76</v>
      </c>
      <c r="O349" s="58" t="str">
        <f t="shared" si="23"/>
        <v>2011 New York Mets</v>
      </c>
      <c r="P349" s="58">
        <v>6316</v>
      </c>
      <c r="Q349" s="58">
        <f t="shared" si="21"/>
        <v>997</v>
      </c>
      <c r="R349" s="58">
        <v>302</v>
      </c>
      <c r="S349" s="58">
        <v>36</v>
      </c>
      <c r="T349" s="58">
        <v>147</v>
      </c>
      <c r="U349" s="58">
        <v>514</v>
      </c>
      <c r="V349" s="58">
        <v>70</v>
      </c>
      <c r="W349" s="58">
        <f t="shared" si="22"/>
        <v>4250</v>
      </c>
      <c r="X349">
        <v>674</v>
      </c>
      <c r="Y349">
        <v>48</v>
      </c>
      <c r="Z349">
        <v>1126</v>
      </c>
      <c r="AA349">
        <v>95</v>
      </c>
      <c r="AB349">
        <v>42</v>
      </c>
      <c r="AC349">
        <v>46</v>
      </c>
      <c r="AD349">
        <v>7</v>
      </c>
      <c r="AE349">
        <v>111</v>
      </c>
      <c r="AF349">
        <v>85</v>
      </c>
      <c r="AG349">
        <v>77</v>
      </c>
      <c r="AH349">
        <v>85</v>
      </c>
      <c r="AI349">
        <v>4.1900000000000004</v>
      </c>
    </row>
    <row r="350" spans="1:35" x14ac:dyDescent="0.5">
      <c r="A350" s="35">
        <v>2011</v>
      </c>
      <c r="B350" t="s">
        <v>144</v>
      </c>
      <c r="C350" t="s">
        <v>149</v>
      </c>
      <c r="D350">
        <v>627</v>
      </c>
      <c r="E350">
        <v>162</v>
      </c>
      <c r="F350">
        <v>5</v>
      </c>
      <c r="G350">
        <v>8</v>
      </c>
      <c r="H350">
        <v>157</v>
      </c>
      <c r="I350">
        <v>47</v>
      </c>
      <c r="J350">
        <v>1458.1</v>
      </c>
      <c r="K350">
        <v>1423</v>
      </c>
      <c r="L350">
        <v>657</v>
      </c>
      <c r="M350" s="58">
        <f t="shared" si="20"/>
        <v>2011</v>
      </c>
      <c r="N350" s="58" t="s">
        <v>74</v>
      </c>
      <c r="O350" s="58" t="str">
        <f t="shared" si="23"/>
        <v>2011 New York Yankees</v>
      </c>
      <c r="P350" s="58">
        <v>6216</v>
      </c>
      <c r="Q350" s="58">
        <f t="shared" si="21"/>
        <v>955</v>
      </c>
      <c r="R350" s="58">
        <v>292</v>
      </c>
      <c r="S350" s="58">
        <v>24</v>
      </c>
      <c r="T350" s="58">
        <v>152</v>
      </c>
      <c r="U350" s="58">
        <v>507</v>
      </c>
      <c r="V350" s="58">
        <v>58</v>
      </c>
      <c r="W350" s="58">
        <f t="shared" si="22"/>
        <v>4228</v>
      </c>
      <c r="X350">
        <v>605</v>
      </c>
      <c r="Y350">
        <v>43</v>
      </c>
      <c r="Z350">
        <v>1222</v>
      </c>
      <c r="AA350">
        <v>36</v>
      </c>
      <c r="AB350">
        <v>54</v>
      </c>
      <c r="AC350">
        <v>67</v>
      </c>
      <c r="AD350">
        <v>3</v>
      </c>
      <c r="AE350">
        <v>114</v>
      </c>
      <c r="AF350">
        <v>77</v>
      </c>
      <c r="AG350">
        <v>97</v>
      </c>
      <c r="AH350">
        <v>65</v>
      </c>
      <c r="AI350">
        <v>3.73</v>
      </c>
    </row>
    <row r="351" spans="1:35" x14ac:dyDescent="0.5">
      <c r="A351" s="35">
        <v>2011</v>
      </c>
      <c r="B351" t="s">
        <v>79</v>
      </c>
      <c r="C351" t="s">
        <v>149</v>
      </c>
      <c r="D351">
        <v>622</v>
      </c>
      <c r="E351">
        <v>162</v>
      </c>
      <c r="F351">
        <v>6</v>
      </c>
      <c r="G351">
        <v>12</v>
      </c>
      <c r="H351">
        <v>156</v>
      </c>
      <c r="I351">
        <v>39</v>
      </c>
      <c r="J351">
        <v>1447.2</v>
      </c>
      <c r="K351">
        <v>1380</v>
      </c>
      <c r="L351">
        <v>679</v>
      </c>
      <c r="M351" s="58">
        <f t="shared" si="20"/>
        <v>2011</v>
      </c>
      <c r="N351" s="58" t="s">
        <v>78</v>
      </c>
      <c r="O351" s="58" t="str">
        <f t="shared" si="23"/>
        <v>2011 Oakland Athletics</v>
      </c>
      <c r="P351" s="58">
        <v>6159</v>
      </c>
      <c r="Q351" s="58">
        <f t="shared" si="21"/>
        <v>973</v>
      </c>
      <c r="R351" s="58">
        <v>245</v>
      </c>
      <c r="S351" s="58">
        <v>26</v>
      </c>
      <c r="T351" s="58">
        <v>136</v>
      </c>
      <c r="U351" s="58">
        <v>519</v>
      </c>
      <c r="V351" s="58">
        <v>41</v>
      </c>
      <c r="W351" s="58">
        <f t="shared" si="22"/>
        <v>4219</v>
      </c>
      <c r="X351">
        <v>597</v>
      </c>
      <c r="Y351">
        <v>24</v>
      </c>
      <c r="Z351">
        <v>1160</v>
      </c>
      <c r="AA351">
        <v>45</v>
      </c>
      <c r="AB351">
        <v>41</v>
      </c>
      <c r="AC351">
        <v>53</v>
      </c>
      <c r="AD351">
        <v>3</v>
      </c>
      <c r="AE351">
        <v>120</v>
      </c>
      <c r="AF351">
        <v>89</v>
      </c>
      <c r="AG351">
        <v>74</v>
      </c>
      <c r="AH351">
        <v>88</v>
      </c>
      <c r="AI351">
        <v>3.71</v>
      </c>
    </row>
    <row r="352" spans="1:35" x14ac:dyDescent="0.5">
      <c r="A352" s="35">
        <v>2011</v>
      </c>
      <c r="B352" t="s">
        <v>81</v>
      </c>
      <c r="C352" t="s">
        <v>38</v>
      </c>
      <c r="D352">
        <v>556</v>
      </c>
      <c r="E352">
        <v>162</v>
      </c>
      <c r="F352">
        <v>18</v>
      </c>
      <c r="G352">
        <v>21</v>
      </c>
      <c r="H352">
        <v>144</v>
      </c>
      <c r="I352">
        <v>47</v>
      </c>
      <c r="J352">
        <v>1477</v>
      </c>
      <c r="K352">
        <v>1320</v>
      </c>
      <c r="L352">
        <v>529</v>
      </c>
      <c r="M352" s="58">
        <f t="shared" si="20"/>
        <v>2011</v>
      </c>
      <c r="N352" s="58" t="s">
        <v>80</v>
      </c>
      <c r="O352" s="58" t="str">
        <f t="shared" si="23"/>
        <v>2011 Philadelphia Phillies</v>
      </c>
      <c r="P352" s="58">
        <v>6069</v>
      </c>
      <c r="Q352" s="58">
        <f t="shared" si="21"/>
        <v>921</v>
      </c>
      <c r="R352" s="58">
        <v>252</v>
      </c>
      <c r="S352" s="58">
        <v>27</v>
      </c>
      <c r="T352" s="58">
        <v>120</v>
      </c>
      <c r="U352" s="58">
        <v>404</v>
      </c>
      <c r="V352" s="58">
        <v>47</v>
      </c>
      <c r="W352" s="58">
        <f t="shared" si="22"/>
        <v>4298</v>
      </c>
      <c r="X352">
        <v>495</v>
      </c>
      <c r="Y352">
        <v>41</v>
      </c>
      <c r="Z352">
        <v>1299</v>
      </c>
      <c r="AA352">
        <v>83</v>
      </c>
      <c r="AB352">
        <v>33</v>
      </c>
      <c r="AC352">
        <v>23</v>
      </c>
      <c r="AD352">
        <v>6</v>
      </c>
      <c r="AE352">
        <v>122</v>
      </c>
      <c r="AF352">
        <v>47</v>
      </c>
      <c r="AG352">
        <v>102</v>
      </c>
      <c r="AH352">
        <v>60</v>
      </c>
      <c r="AI352">
        <v>3.02</v>
      </c>
    </row>
    <row r="353" spans="1:35" x14ac:dyDescent="0.5">
      <c r="A353" s="35">
        <v>2011</v>
      </c>
      <c r="B353" t="s">
        <v>83</v>
      </c>
      <c r="C353" t="s">
        <v>38</v>
      </c>
      <c r="D353">
        <v>711</v>
      </c>
      <c r="E353">
        <v>162</v>
      </c>
      <c r="F353">
        <v>5</v>
      </c>
      <c r="G353">
        <v>11</v>
      </c>
      <c r="H353">
        <v>157</v>
      </c>
      <c r="I353">
        <v>43</v>
      </c>
      <c r="J353">
        <v>1449.1</v>
      </c>
      <c r="K353">
        <v>1513</v>
      </c>
      <c r="L353">
        <v>712</v>
      </c>
      <c r="M353" s="58">
        <f t="shared" si="20"/>
        <v>2011</v>
      </c>
      <c r="N353" s="58" t="s">
        <v>82</v>
      </c>
      <c r="O353" s="58" t="str">
        <f t="shared" si="23"/>
        <v>2011 Pittsburgh Pirates</v>
      </c>
      <c r="P353" s="58">
        <v>6317</v>
      </c>
      <c r="Q353" s="58">
        <f t="shared" si="21"/>
        <v>1064</v>
      </c>
      <c r="R353" s="58">
        <v>275</v>
      </c>
      <c r="S353" s="58">
        <v>22</v>
      </c>
      <c r="T353" s="58">
        <v>152</v>
      </c>
      <c r="U353" s="58">
        <v>535</v>
      </c>
      <c r="V353" s="58">
        <v>62</v>
      </c>
      <c r="W353" s="58">
        <f t="shared" si="22"/>
        <v>4207</v>
      </c>
      <c r="X353">
        <v>650</v>
      </c>
      <c r="Y353">
        <v>65</v>
      </c>
      <c r="Z353">
        <v>1031</v>
      </c>
      <c r="AA353">
        <v>69</v>
      </c>
      <c r="AB353">
        <v>53</v>
      </c>
      <c r="AC353">
        <v>60</v>
      </c>
      <c r="AD353">
        <v>6</v>
      </c>
      <c r="AE353">
        <v>130</v>
      </c>
      <c r="AF353">
        <v>78</v>
      </c>
      <c r="AG353">
        <v>72</v>
      </c>
      <c r="AH353">
        <v>90</v>
      </c>
      <c r="AI353">
        <v>4.04</v>
      </c>
    </row>
    <row r="354" spans="1:35" x14ac:dyDescent="0.5">
      <c r="A354" s="35">
        <v>2011</v>
      </c>
      <c r="B354" t="s">
        <v>147</v>
      </c>
      <c r="C354" t="s">
        <v>38</v>
      </c>
      <c r="D354">
        <v>651</v>
      </c>
      <c r="E354">
        <v>162</v>
      </c>
      <c r="F354">
        <v>0</v>
      </c>
      <c r="G354">
        <v>10</v>
      </c>
      <c r="H354">
        <v>162</v>
      </c>
      <c r="I354">
        <v>44</v>
      </c>
      <c r="J354">
        <v>1449.1</v>
      </c>
      <c r="K354">
        <v>1324</v>
      </c>
      <c r="L354">
        <v>611</v>
      </c>
      <c r="M354" s="58">
        <f t="shared" si="20"/>
        <v>2011</v>
      </c>
      <c r="N354" s="58" t="s">
        <v>84</v>
      </c>
      <c r="O354" s="58" t="str">
        <f t="shared" si="23"/>
        <v>2011 San Diego Padres</v>
      </c>
      <c r="P354" s="58">
        <v>6065</v>
      </c>
      <c r="Q354" s="58">
        <f t="shared" si="21"/>
        <v>900</v>
      </c>
      <c r="R354" s="58">
        <v>267</v>
      </c>
      <c r="S354" s="58">
        <v>32</v>
      </c>
      <c r="T354" s="58">
        <v>125</v>
      </c>
      <c r="U354" s="58">
        <v>521</v>
      </c>
      <c r="V354" s="58">
        <v>37</v>
      </c>
      <c r="W354" s="58">
        <f t="shared" si="22"/>
        <v>4183</v>
      </c>
      <c r="X354">
        <v>551</v>
      </c>
      <c r="Y354">
        <v>56</v>
      </c>
      <c r="Z354">
        <v>1139</v>
      </c>
      <c r="AA354">
        <v>68</v>
      </c>
      <c r="AB354">
        <v>30</v>
      </c>
      <c r="AC354">
        <v>45</v>
      </c>
      <c r="AD354">
        <v>6</v>
      </c>
      <c r="AE354">
        <v>117</v>
      </c>
      <c r="AF354">
        <v>61</v>
      </c>
      <c r="AG354">
        <v>71</v>
      </c>
      <c r="AH354">
        <v>91</v>
      </c>
      <c r="AI354">
        <v>3.42</v>
      </c>
    </row>
    <row r="355" spans="1:35" x14ac:dyDescent="0.5">
      <c r="A355" s="35">
        <v>2011</v>
      </c>
      <c r="B355" t="s">
        <v>87</v>
      </c>
      <c r="C355" t="s">
        <v>149</v>
      </c>
      <c r="D355">
        <v>513</v>
      </c>
      <c r="E355">
        <v>162</v>
      </c>
      <c r="F355">
        <v>12</v>
      </c>
      <c r="G355">
        <v>10</v>
      </c>
      <c r="H355">
        <v>150</v>
      </c>
      <c r="I355">
        <v>39</v>
      </c>
      <c r="J355">
        <v>1433</v>
      </c>
      <c r="K355">
        <v>1369</v>
      </c>
      <c r="L355">
        <v>675</v>
      </c>
      <c r="M355" s="58">
        <f t="shared" si="20"/>
        <v>2011</v>
      </c>
      <c r="N355" s="58" t="s">
        <v>86</v>
      </c>
      <c r="O355" s="58" t="str">
        <f t="shared" si="23"/>
        <v>2011 Seattle Mariners</v>
      </c>
      <c r="P355" s="58">
        <v>6014</v>
      </c>
      <c r="Q355" s="58">
        <f t="shared" si="21"/>
        <v>947</v>
      </c>
      <c r="R355" s="58">
        <v>253</v>
      </c>
      <c r="S355" s="58">
        <v>24</v>
      </c>
      <c r="T355" s="58">
        <v>145</v>
      </c>
      <c r="U355" s="58">
        <v>436</v>
      </c>
      <c r="V355" s="58">
        <v>51</v>
      </c>
      <c r="W355" s="58">
        <f t="shared" si="22"/>
        <v>4158</v>
      </c>
      <c r="X355">
        <v>621</v>
      </c>
      <c r="Y355">
        <v>27</v>
      </c>
      <c r="Z355">
        <v>1088</v>
      </c>
      <c r="AA355">
        <v>31</v>
      </c>
      <c r="AB355">
        <v>41</v>
      </c>
      <c r="AC355">
        <v>68</v>
      </c>
      <c r="AD355">
        <v>6</v>
      </c>
      <c r="AE355">
        <v>124</v>
      </c>
      <c r="AF355">
        <v>77</v>
      </c>
      <c r="AG355">
        <v>67</v>
      </c>
      <c r="AH355">
        <v>95</v>
      </c>
      <c r="AI355">
        <v>3.9</v>
      </c>
    </row>
    <row r="356" spans="1:35" x14ac:dyDescent="0.5">
      <c r="A356" s="35">
        <v>2011</v>
      </c>
      <c r="B356" t="s">
        <v>21</v>
      </c>
      <c r="C356" t="s">
        <v>38</v>
      </c>
      <c r="D356">
        <v>642</v>
      </c>
      <c r="E356">
        <v>162</v>
      </c>
      <c r="F356">
        <v>3</v>
      </c>
      <c r="G356">
        <v>12</v>
      </c>
      <c r="H356">
        <v>159</v>
      </c>
      <c r="I356">
        <v>52</v>
      </c>
      <c r="J356">
        <v>1468</v>
      </c>
      <c r="K356">
        <v>1260</v>
      </c>
      <c r="L356">
        <v>578</v>
      </c>
      <c r="M356" s="58">
        <f t="shared" si="20"/>
        <v>2011</v>
      </c>
      <c r="N356" s="58" t="s">
        <v>88</v>
      </c>
      <c r="O356" s="58" t="str">
        <f t="shared" si="23"/>
        <v>2011 San Francisco Giants</v>
      </c>
      <c r="P356" s="58">
        <v>6130</v>
      </c>
      <c r="Q356" s="58">
        <f t="shared" si="21"/>
        <v>863</v>
      </c>
      <c r="R356" s="58">
        <v>272</v>
      </c>
      <c r="S356" s="58">
        <v>29</v>
      </c>
      <c r="T356" s="58">
        <v>96</v>
      </c>
      <c r="U356" s="58">
        <v>559</v>
      </c>
      <c r="V356" s="58">
        <v>50</v>
      </c>
      <c r="W356" s="58">
        <f t="shared" si="22"/>
        <v>4261</v>
      </c>
      <c r="X356">
        <v>522</v>
      </c>
      <c r="Y356">
        <v>46</v>
      </c>
      <c r="Z356">
        <v>1316</v>
      </c>
      <c r="AA356">
        <v>71</v>
      </c>
      <c r="AB356">
        <v>28</v>
      </c>
      <c r="AC356">
        <v>42</v>
      </c>
      <c r="AD356">
        <v>4</v>
      </c>
      <c r="AE356">
        <v>100</v>
      </c>
      <c r="AF356">
        <v>71</v>
      </c>
      <c r="AG356">
        <v>86</v>
      </c>
      <c r="AH356">
        <v>76</v>
      </c>
      <c r="AI356">
        <v>3.2</v>
      </c>
    </row>
    <row r="357" spans="1:35" x14ac:dyDescent="0.5">
      <c r="A357" s="35">
        <v>2011</v>
      </c>
      <c r="B357" t="s">
        <v>142</v>
      </c>
      <c r="C357" t="s">
        <v>38</v>
      </c>
      <c r="D357">
        <v>630</v>
      </c>
      <c r="E357">
        <v>162</v>
      </c>
      <c r="F357">
        <v>7</v>
      </c>
      <c r="G357">
        <v>9</v>
      </c>
      <c r="H357">
        <v>155</v>
      </c>
      <c r="I357">
        <v>47</v>
      </c>
      <c r="J357">
        <v>1462</v>
      </c>
      <c r="K357">
        <v>1461</v>
      </c>
      <c r="L357">
        <v>692</v>
      </c>
      <c r="M357" s="58">
        <f t="shared" si="20"/>
        <v>2011</v>
      </c>
      <c r="N357" s="58" t="s">
        <v>90</v>
      </c>
      <c r="O357" s="58" t="str">
        <f t="shared" si="23"/>
        <v>2011 St. Louis Cardinals</v>
      </c>
      <c r="P357" s="58">
        <v>6211</v>
      </c>
      <c r="Q357" s="58">
        <f t="shared" si="21"/>
        <v>995</v>
      </c>
      <c r="R357" s="58">
        <v>295</v>
      </c>
      <c r="S357" s="58">
        <v>35</v>
      </c>
      <c r="T357" s="58">
        <v>136</v>
      </c>
      <c r="U357" s="58">
        <v>448</v>
      </c>
      <c r="V357" s="58">
        <v>46</v>
      </c>
      <c r="W357" s="58">
        <f t="shared" si="22"/>
        <v>4256</v>
      </c>
      <c r="X357">
        <v>608</v>
      </c>
      <c r="Y357">
        <v>44</v>
      </c>
      <c r="Z357">
        <v>1098</v>
      </c>
      <c r="AA357">
        <v>73</v>
      </c>
      <c r="AB357">
        <v>36</v>
      </c>
      <c r="AC357">
        <v>48</v>
      </c>
      <c r="AD357">
        <v>3</v>
      </c>
      <c r="AE357">
        <v>144</v>
      </c>
      <c r="AF357">
        <v>89</v>
      </c>
      <c r="AG357">
        <v>90</v>
      </c>
      <c r="AH357">
        <v>72</v>
      </c>
      <c r="AI357">
        <v>3.74</v>
      </c>
    </row>
    <row r="358" spans="1:35" x14ac:dyDescent="0.5">
      <c r="A358" s="35">
        <v>2011</v>
      </c>
      <c r="B358" t="s">
        <v>151</v>
      </c>
      <c r="C358" t="s">
        <v>149</v>
      </c>
      <c r="D358">
        <v>600</v>
      </c>
      <c r="E358">
        <v>162</v>
      </c>
      <c r="F358">
        <v>15</v>
      </c>
      <c r="G358">
        <v>13</v>
      </c>
      <c r="H358">
        <v>147</v>
      </c>
      <c r="I358">
        <v>32</v>
      </c>
      <c r="J358">
        <v>1449</v>
      </c>
      <c r="K358">
        <v>1263</v>
      </c>
      <c r="L358">
        <v>614</v>
      </c>
      <c r="M358" s="58">
        <f t="shared" si="20"/>
        <v>2011</v>
      </c>
      <c r="N358" s="58" t="s">
        <v>92</v>
      </c>
      <c r="O358" s="58" t="str">
        <f t="shared" si="23"/>
        <v>2011 Tampa Bay Devil Rays</v>
      </c>
      <c r="P358" s="58">
        <v>6010</v>
      </c>
      <c r="Q358" s="58">
        <f t="shared" si="21"/>
        <v>812</v>
      </c>
      <c r="R358" s="58">
        <v>260</v>
      </c>
      <c r="S358" s="58">
        <v>30</v>
      </c>
      <c r="T358" s="58">
        <v>161</v>
      </c>
      <c r="U358" s="58">
        <v>504</v>
      </c>
      <c r="V358" s="58">
        <v>46</v>
      </c>
      <c r="W358" s="58">
        <f t="shared" si="22"/>
        <v>4197</v>
      </c>
      <c r="X358">
        <v>577</v>
      </c>
      <c r="Y358">
        <v>38</v>
      </c>
      <c r="Z358">
        <v>1143</v>
      </c>
      <c r="AA358">
        <v>27</v>
      </c>
      <c r="AB358">
        <v>37</v>
      </c>
      <c r="AC358">
        <v>45</v>
      </c>
      <c r="AD358">
        <v>3</v>
      </c>
      <c r="AE358">
        <v>111</v>
      </c>
      <c r="AF358">
        <v>54</v>
      </c>
      <c r="AG358">
        <v>91</v>
      </c>
      <c r="AH358">
        <v>71</v>
      </c>
      <c r="AI358">
        <v>3.58</v>
      </c>
    </row>
    <row r="359" spans="1:35" x14ac:dyDescent="0.5">
      <c r="A359" s="35">
        <v>2011</v>
      </c>
      <c r="B359" t="s">
        <v>95</v>
      </c>
      <c r="C359" t="s">
        <v>149</v>
      </c>
      <c r="D359">
        <v>579</v>
      </c>
      <c r="E359">
        <v>162</v>
      </c>
      <c r="F359">
        <v>10</v>
      </c>
      <c r="G359">
        <v>19</v>
      </c>
      <c r="H359">
        <v>152</v>
      </c>
      <c r="I359">
        <v>38</v>
      </c>
      <c r="J359">
        <v>1441.1</v>
      </c>
      <c r="K359">
        <v>1327</v>
      </c>
      <c r="L359">
        <v>677</v>
      </c>
      <c r="M359" s="58">
        <f t="shared" si="20"/>
        <v>2011</v>
      </c>
      <c r="N359" s="58" t="s">
        <v>94</v>
      </c>
      <c r="O359" s="58" t="str">
        <f t="shared" si="23"/>
        <v>2011 Texas Rangers</v>
      </c>
      <c r="P359" s="58">
        <v>6021</v>
      </c>
      <c r="Q359" s="58">
        <f t="shared" si="21"/>
        <v>880</v>
      </c>
      <c r="R359" s="58">
        <v>259</v>
      </c>
      <c r="S359" s="58">
        <v>18</v>
      </c>
      <c r="T359" s="58">
        <v>170</v>
      </c>
      <c r="U359" s="58">
        <v>461</v>
      </c>
      <c r="V359" s="58">
        <v>46</v>
      </c>
      <c r="W359" s="58">
        <f t="shared" si="22"/>
        <v>4187</v>
      </c>
      <c r="X359">
        <v>607</v>
      </c>
      <c r="Y359">
        <v>21</v>
      </c>
      <c r="Z359">
        <v>1179</v>
      </c>
      <c r="AA359">
        <v>36</v>
      </c>
      <c r="AB359">
        <v>32</v>
      </c>
      <c r="AC359">
        <v>43</v>
      </c>
      <c r="AD359">
        <v>6</v>
      </c>
      <c r="AE359">
        <v>141</v>
      </c>
      <c r="AF359">
        <v>88</v>
      </c>
      <c r="AG359">
        <v>96</v>
      </c>
      <c r="AH359">
        <v>66</v>
      </c>
      <c r="AI359">
        <v>3.79</v>
      </c>
    </row>
    <row r="360" spans="1:35" x14ac:dyDescent="0.5">
      <c r="A360" s="35">
        <v>2011</v>
      </c>
      <c r="B360" t="s">
        <v>97</v>
      </c>
      <c r="C360" t="s">
        <v>149</v>
      </c>
      <c r="D360">
        <v>636</v>
      </c>
      <c r="E360">
        <v>162</v>
      </c>
      <c r="F360">
        <v>7</v>
      </c>
      <c r="G360">
        <v>10</v>
      </c>
      <c r="H360">
        <v>155</v>
      </c>
      <c r="I360">
        <v>33</v>
      </c>
      <c r="J360">
        <v>1458.2</v>
      </c>
      <c r="K360">
        <v>1433</v>
      </c>
      <c r="L360">
        <v>761</v>
      </c>
      <c r="M360" s="58">
        <f t="shared" si="20"/>
        <v>2011</v>
      </c>
      <c r="N360" s="58" t="s">
        <v>96</v>
      </c>
      <c r="O360" s="58" t="str">
        <f t="shared" si="23"/>
        <v>2011 Toronto Blue Jays</v>
      </c>
      <c r="P360" s="58">
        <v>6286</v>
      </c>
      <c r="Q360" s="58">
        <f t="shared" si="21"/>
        <v>914</v>
      </c>
      <c r="R360" s="58">
        <v>307</v>
      </c>
      <c r="S360" s="58">
        <v>33</v>
      </c>
      <c r="T360" s="58">
        <v>179</v>
      </c>
      <c r="U360" s="58">
        <v>540</v>
      </c>
      <c r="V360" s="58">
        <v>77</v>
      </c>
      <c r="W360" s="58">
        <f t="shared" si="22"/>
        <v>4236</v>
      </c>
      <c r="X360">
        <v>701</v>
      </c>
      <c r="Y360">
        <v>28</v>
      </c>
      <c r="Z360">
        <v>1169</v>
      </c>
      <c r="AA360">
        <v>34</v>
      </c>
      <c r="AB360">
        <v>44</v>
      </c>
      <c r="AC360">
        <v>73</v>
      </c>
      <c r="AD360">
        <v>3</v>
      </c>
      <c r="AE360">
        <v>124</v>
      </c>
      <c r="AF360">
        <v>76</v>
      </c>
      <c r="AG360">
        <v>81</v>
      </c>
      <c r="AH360">
        <v>81</v>
      </c>
      <c r="AI360">
        <v>4.33</v>
      </c>
    </row>
    <row r="361" spans="1:35" x14ac:dyDescent="0.5">
      <c r="A361" s="35">
        <v>2011</v>
      </c>
      <c r="B361" t="s">
        <v>101</v>
      </c>
      <c r="C361" t="s">
        <v>38</v>
      </c>
      <c r="D361">
        <v>664</v>
      </c>
      <c r="E361">
        <v>161</v>
      </c>
      <c r="F361">
        <v>3</v>
      </c>
      <c r="G361">
        <v>10</v>
      </c>
      <c r="H361">
        <v>158</v>
      </c>
      <c r="I361">
        <v>49</v>
      </c>
      <c r="J361">
        <v>1449.1</v>
      </c>
      <c r="K361">
        <v>1403</v>
      </c>
      <c r="L361">
        <v>643</v>
      </c>
      <c r="M361" s="58">
        <f t="shared" si="20"/>
        <v>2011</v>
      </c>
      <c r="N361" s="58" t="s">
        <v>100</v>
      </c>
      <c r="O361" s="58" t="str">
        <f t="shared" si="23"/>
        <v>2011 Washington Nationals</v>
      </c>
      <c r="P361" s="58">
        <v>6141</v>
      </c>
      <c r="Q361" s="58">
        <f t="shared" si="21"/>
        <v>993</v>
      </c>
      <c r="R361" s="58">
        <v>258</v>
      </c>
      <c r="S361" s="58">
        <v>23</v>
      </c>
      <c r="T361" s="58">
        <v>129</v>
      </c>
      <c r="U361" s="58">
        <v>477</v>
      </c>
      <c r="V361" s="58">
        <v>52</v>
      </c>
      <c r="W361" s="58">
        <f t="shared" si="22"/>
        <v>4209</v>
      </c>
      <c r="X361">
        <v>577</v>
      </c>
      <c r="Y361">
        <v>43</v>
      </c>
      <c r="Z361">
        <v>1049</v>
      </c>
      <c r="AA361">
        <v>84</v>
      </c>
      <c r="AB361">
        <v>41</v>
      </c>
      <c r="AC361">
        <v>49</v>
      </c>
      <c r="AD361">
        <v>6</v>
      </c>
      <c r="AE361">
        <v>115</v>
      </c>
      <c r="AF361">
        <v>76</v>
      </c>
      <c r="AG361">
        <v>80</v>
      </c>
      <c r="AH361">
        <v>81</v>
      </c>
      <c r="AI361">
        <v>3.58</v>
      </c>
    </row>
    <row r="362" spans="1:35" x14ac:dyDescent="0.5">
      <c r="A362" s="35">
        <v>2012</v>
      </c>
      <c r="B362" t="s">
        <v>37</v>
      </c>
      <c r="C362" t="s">
        <v>149</v>
      </c>
      <c r="D362">
        <v>606</v>
      </c>
      <c r="E362">
        <v>162</v>
      </c>
      <c r="F362">
        <v>6</v>
      </c>
      <c r="G362">
        <v>16</v>
      </c>
      <c r="H362">
        <v>156</v>
      </c>
      <c r="I362">
        <v>38</v>
      </c>
      <c r="J362">
        <v>1433.1</v>
      </c>
      <c r="K362">
        <v>1339</v>
      </c>
      <c r="L362">
        <v>699</v>
      </c>
      <c r="M362" s="58">
        <f t="shared" si="20"/>
        <v>2012</v>
      </c>
      <c r="N362" s="58" t="s">
        <v>36</v>
      </c>
      <c r="O362" s="58" t="str">
        <f t="shared" si="23"/>
        <v>2012 Anaheim Angels</v>
      </c>
      <c r="P362" s="58">
        <v>6034</v>
      </c>
      <c r="Q362" s="58">
        <f t="shared" si="21"/>
        <v>881</v>
      </c>
      <c r="R362" s="58">
        <v>250</v>
      </c>
      <c r="S362" s="58">
        <v>22</v>
      </c>
      <c r="T362" s="58">
        <v>186</v>
      </c>
      <c r="U362" s="58">
        <v>483</v>
      </c>
      <c r="V362" s="58">
        <v>40</v>
      </c>
      <c r="W362" s="58">
        <f t="shared" si="22"/>
        <v>4172</v>
      </c>
      <c r="X362">
        <v>640</v>
      </c>
      <c r="Y362">
        <v>20</v>
      </c>
      <c r="Z362">
        <v>1157</v>
      </c>
      <c r="AA362">
        <v>31</v>
      </c>
      <c r="AB362">
        <v>45</v>
      </c>
      <c r="AC362">
        <v>38</v>
      </c>
      <c r="AD362">
        <v>2</v>
      </c>
      <c r="AE362">
        <v>112</v>
      </c>
      <c r="AF362">
        <v>77</v>
      </c>
      <c r="AG362">
        <v>89</v>
      </c>
      <c r="AH362">
        <v>73</v>
      </c>
      <c r="AI362">
        <v>4.0199999999999996</v>
      </c>
    </row>
    <row r="363" spans="1:35" x14ac:dyDescent="0.5">
      <c r="A363" s="35">
        <v>2012</v>
      </c>
      <c r="B363" t="s">
        <v>40</v>
      </c>
      <c r="C363" t="s">
        <v>38</v>
      </c>
      <c r="D363">
        <v>623</v>
      </c>
      <c r="E363">
        <v>162</v>
      </c>
      <c r="F363">
        <v>4</v>
      </c>
      <c r="G363">
        <v>9</v>
      </c>
      <c r="H363">
        <v>158</v>
      </c>
      <c r="I363">
        <v>39</v>
      </c>
      <c r="J363">
        <v>1433.2</v>
      </c>
      <c r="K363">
        <v>1432</v>
      </c>
      <c r="L363">
        <v>688</v>
      </c>
      <c r="M363" s="58">
        <f t="shared" si="20"/>
        <v>2012</v>
      </c>
      <c r="N363" s="58" t="s">
        <v>39</v>
      </c>
      <c r="O363" s="58" t="str">
        <f t="shared" si="23"/>
        <v>2012 Arizona Diamondbacks</v>
      </c>
      <c r="P363" s="58">
        <v>6063</v>
      </c>
      <c r="Q363" s="58">
        <f t="shared" si="21"/>
        <v>936</v>
      </c>
      <c r="R363" s="58">
        <v>300</v>
      </c>
      <c r="S363" s="58">
        <v>41</v>
      </c>
      <c r="T363" s="58">
        <v>155</v>
      </c>
      <c r="U363" s="58">
        <v>417</v>
      </c>
      <c r="V363" s="58">
        <v>51</v>
      </c>
      <c r="W363" s="58">
        <f t="shared" si="22"/>
        <v>4163</v>
      </c>
      <c r="X363">
        <v>626</v>
      </c>
      <c r="Y363">
        <v>18</v>
      </c>
      <c r="Z363">
        <v>1200</v>
      </c>
      <c r="AA363">
        <v>67</v>
      </c>
      <c r="AB363">
        <v>37</v>
      </c>
      <c r="AC363">
        <v>52</v>
      </c>
      <c r="AD363">
        <v>10</v>
      </c>
      <c r="AE363">
        <v>126</v>
      </c>
      <c r="AF363">
        <v>70</v>
      </c>
      <c r="AG363">
        <v>81</v>
      </c>
      <c r="AH363">
        <v>81</v>
      </c>
      <c r="AI363">
        <v>3.93</v>
      </c>
    </row>
    <row r="364" spans="1:35" x14ac:dyDescent="0.5">
      <c r="A364" s="35">
        <v>2012</v>
      </c>
      <c r="B364" t="s">
        <v>42</v>
      </c>
      <c r="C364" t="s">
        <v>38</v>
      </c>
      <c r="D364">
        <v>622</v>
      </c>
      <c r="E364">
        <v>162</v>
      </c>
      <c r="F364">
        <v>5</v>
      </c>
      <c r="G364">
        <v>16</v>
      </c>
      <c r="H364">
        <v>157</v>
      </c>
      <c r="I364">
        <v>47</v>
      </c>
      <c r="J364">
        <v>1445.1</v>
      </c>
      <c r="K364">
        <v>1310</v>
      </c>
      <c r="L364">
        <v>600</v>
      </c>
      <c r="M364" s="58">
        <f t="shared" si="20"/>
        <v>2012</v>
      </c>
      <c r="N364" s="58" t="s">
        <v>41</v>
      </c>
      <c r="O364" s="58" t="str">
        <f t="shared" si="23"/>
        <v>2012 Atlanta Braves</v>
      </c>
      <c r="P364" s="58">
        <v>5991</v>
      </c>
      <c r="Q364" s="58">
        <f t="shared" si="21"/>
        <v>893</v>
      </c>
      <c r="R364" s="58">
        <v>251</v>
      </c>
      <c r="S364" s="58">
        <v>21</v>
      </c>
      <c r="T364" s="58">
        <v>145</v>
      </c>
      <c r="U364" s="58">
        <v>464</v>
      </c>
      <c r="V364" s="58">
        <v>41</v>
      </c>
      <c r="W364" s="58">
        <f t="shared" si="22"/>
        <v>4176</v>
      </c>
      <c r="X364">
        <v>549</v>
      </c>
      <c r="Y364">
        <v>40</v>
      </c>
      <c r="Z364">
        <v>1232</v>
      </c>
      <c r="AA364">
        <v>62</v>
      </c>
      <c r="AB364">
        <v>26</v>
      </c>
      <c r="AC364">
        <v>54</v>
      </c>
      <c r="AD364">
        <v>3</v>
      </c>
      <c r="AE364">
        <v>123</v>
      </c>
      <c r="AF364">
        <v>55</v>
      </c>
      <c r="AG364">
        <v>94</v>
      </c>
      <c r="AH364">
        <v>68</v>
      </c>
      <c r="AI364">
        <v>3.42</v>
      </c>
    </row>
    <row r="365" spans="1:35" x14ac:dyDescent="0.5">
      <c r="A365" s="35">
        <v>2012</v>
      </c>
      <c r="B365" t="s">
        <v>45</v>
      </c>
      <c r="C365" t="s">
        <v>149</v>
      </c>
      <c r="D365">
        <v>654</v>
      </c>
      <c r="E365">
        <v>162</v>
      </c>
      <c r="F365">
        <v>1</v>
      </c>
      <c r="G365">
        <v>10</v>
      </c>
      <c r="H365">
        <v>161</v>
      </c>
      <c r="I365">
        <v>55</v>
      </c>
      <c r="J365">
        <v>1483</v>
      </c>
      <c r="K365">
        <v>1433</v>
      </c>
      <c r="L365">
        <v>705</v>
      </c>
      <c r="M365" s="58">
        <f t="shared" si="20"/>
        <v>2012</v>
      </c>
      <c r="N365" s="58" t="s">
        <v>44</v>
      </c>
      <c r="O365" s="58" t="str">
        <f t="shared" si="23"/>
        <v>2012 Baltimore Orioles</v>
      </c>
      <c r="P365" s="58">
        <v>6278</v>
      </c>
      <c r="Q365" s="58">
        <f t="shared" si="21"/>
        <v>962</v>
      </c>
      <c r="R365" s="58">
        <v>271</v>
      </c>
      <c r="S365" s="58">
        <v>16</v>
      </c>
      <c r="T365" s="58">
        <v>184</v>
      </c>
      <c r="U365" s="58">
        <v>481</v>
      </c>
      <c r="V365" s="58">
        <v>53</v>
      </c>
      <c r="W365" s="58">
        <f t="shared" si="22"/>
        <v>4311</v>
      </c>
      <c r="X365">
        <v>642</v>
      </c>
      <c r="Y365">
        <v>36</v>
      </c>
      <c r="Z365">
        <v>1177</v>
      </c>
      <c r="AA365">
        <v>30</v>
      </c>
      <c r="AB365">
        <v>38</v>
      </c>
      <c r="AC365">
        <v>34</v>
      </c>
      <c r="AD365">
        <v>6</v>
      </c>
      <c r="AE365">
        <v>131</v>
      </c>
      <c r="AF365">
        <v>67</v>
      </c>
      <c r="AG365">
        <v>93</v>
      </c>
      <c r="AH365">
        <v>69</v>
      </c>
      <c r="AI365">
        <v>3.9</v>
      </c>
    </row>
    <row r="366" spans="1:35" x14ac:dyDescent="0.5">
      <c r="A366" s="35">
        <v>2012</v>
      </c>
      <c r="B366" t="s">
        <v>47</v>
      </c>
      <c r="C366" t="s">
        <v>149</v>
      </c>
      <c r="D366">
        <v>651</v>
      </c>
      <c r="E366">
        <v>162</v>
      </c>
      <c r="F366">
        <v>6</v>
      </c>
      <c r="G366">
        <v>4</v>
      </c>
      <c r="H366">
        <v>156</v>
      </c>
      <c r="I366">
        <v>35</v>
      </c>
      <c r="J366">
        <v>1443</v>
      </c>
      <c r="K366">
        <v>1449</v>
      </c>
      <c r="L366">
        <v>806</v>
      </c>
      <c r="M366" s="58">
        <f t="shared" si="20"/>
        <v>2012</v>
      </c>
      <c r="N366" s="58" t="s">
        <v>46</v>
      </c>
      <c r="O366" s="58" t="str">
        <f t="shared" si="23"/>
        <v>2012 Boston Red Sox</v>
      </c>
      <c r="P366" s="58">
        <v>6209</v>
      </c>
      <c r="Q366" s="58">
        <f t="shared" si="21"/>
        <v>940</v>
      </c>
      <c r="R366" s="58">
        <v>292</v>
      </c>
      <c r="S366" s="58">
        <v>27</v>
      </c>
      <c r="T366" s="58">
        <v>190</v>
      </c>
      <c r="U366" s="58">
        <v>529</v>
      </c>
      <c r="V366" s="58">
        <v>66</v>
      </c>
      <c r="W366" s="58">
        <f t="shared" si="22"/>
        <v>4165</v>
      </c>
      <c r="X366">
        <v>754</v>
      </c>
      <c r="Y366">
        <v>33</v>
      </c>
      <c r="Z366">
        <v>1176</v>
      </c>
      <c r="AA366">
        <v>27</v>
      </c>
      <c r="AB366">
        <v>64</v>
      </c>
      <c r="AC366">
        <v>42</v>
      </c>
      <c r="AD366">
        <v>11</v>
      </c>
      <c r="AE366">
        <v>139</v>
      </c>
      <c r="AF366">
        <v>60</v>
      </c>
      <c r="AG366">
        <v>69</v>
      </c>
      <c r="AH366">
        <v>93</v>
      </c>
      <c r="AI366">
        <v>4.7</v>
      </c>
    </row>
    <row r="367" spans="1:35" x14ac:dyDescent="0.5">
      <c r="A367" s="35">
        <v>2012</v>
      </c>
      <c r="B367" t="s">
        <v>143</v>
      </c>
      <c r="C367" t="s">
        <v>38</v>
      </c>
      <c r="D367">
        <v>655</v>
      </c>
      <c r="E367">
        <v>162</v>
      </c>
      <c r="F367">
        <v>1</v>
      </c>
      <c r="G367">
        <v>9</v>
      </c>
      <c r="H367">
        <v>161</v>
      </c>
      <c r="I367">
        <v>28</v>
      </c>
      <c r="J367">
        <v>1413.2</v>
      </c>
      <c r="K367">
        <v>1399</v>
      </c>
      <c r="L367">
        <v>759</v>
      </c>
      <c r="M367" s="58">
        <f t="shared" si="20"/>
        <v>2012</v>
      </c>
      <c r="N367" s="58" t="s">
        <v>50</v>
      </c>
      <c r="O367" s="58" t="str">
        <f t="shared" si="23"/>
        <v>2012 Chicago Cubs</v>
      </c>
      <c r="P367" s="58">
        <v>6140</v>
      </c>
      <c r="Q367" s="58">
        <f t="shared" si="21"/>
        <v>904</v>
      </c>
      <c r="R367" s="58">
        <v>273</v>
      </c>
      <c r="S367" s="58">
        <v>47</v>
      </c>
      <c r="T367" s="58">
        <v>175</v>
      </c>
      <c r="U367" s="58">
        <v>573</v>
      </c>
      <c r="V367" s="58">
        <v>65</v>
      </c>
      <c r="W367" s="58">
        <f t="shared" si="22"/>
        <v>4103</v>
      </c>
      <c r="X367">
        <v>708</v>
      </c>
      <c r="Y367">
        <v>36</v>
      </c>
      <c r="Z367">
        <v>1128</v>
      </c>
      <c r="AA367">
        <v>58</v>
      </c>
      <c r="AB367">
        <v>42</v>
      </c>
      <c r="AC367">
        <v>44</v>
      </c>
      <c r="AD367">
        <v>5</v>
      </c>
      <c r="AE367">
        <v>121</v>
      </c>
      <c r="AF367">
        <v>69</v>
      </c>
      <c r="AG367">
        <v>61</v>
      </c>
      <c r="AH367">
        <v>101</v>
      </c>
      <c r="AI367">
        <v>4.51</v>
      </c>
    </row>
    <row r="368" spans="1:35" x14ac:dyDescent="0.5">
      <c r="A368" s="35">
        <v>2012</v>
      </c>
      <c r="B368" t="s">
        <v>143</v>
      </c>
      <c r="C368" t="s">
        <v>149</v>
      </c>
      <c r="D368">
        <v>628</v>
      </c>
      <c r="E368">
        <v>162</v>
      </c>
      <c r="F368">
        <v>6</v>
      </c>
      <c r="G368">
        <v>11</v>
      </c>
      <c r="H368">
        <v>156</v>
      </c>
      <c r="I368">
        <v>37</v>
      </c>
      <c r="J368">
        <v>1445.2</v>
      </c>
      <c r="K368">
        <v>1365</v>
      </c>
      <c r="L368">
        <v>676</v>
      </c>
      <c r="M368" s="58">
        <f t="shared" si="20"/>
        <v>2012</v>
      </c>
      <c r="N368" s="58" t="s">
        <v>48</v>
      </c>
      <c r="O368" s="58" t="str">
        <f t="shared" si="23"/>
        <v>2012 Chicago White Sox</v>
      </c>
      <c r="P368" s="58">
        <v>6098</v>
      </c>
      <c r="Q368" s="58">
        <f t="shared" si="21"/>
        <v>907</v>
      </c>
      <c r="R368" s="58">
        <v>252</v>
      </c>
      <c r="S368" s="58">
        <v>20</v>
      </c>
      <c r="T368" s="58">
        <v>186</v>
      </c>
      <c r="U368" s="58">
        <v>503</v>
      </c>
      <c r="V368" s="58">
        <v>68</v>
      </c>
      <c r="W368" s="58">
        <f t="shared" si="22"/>
        <v>4162</v>
      </c>
      <c r="X368">
        <v>646</v>
      </c>
      <c r="Y368">
        <v>29</v>
      </c>
      <c r="Z368">
        <v>1246</v>
      </c>
      <c r="AA368">
        <v>24</v>
      </c>
      <c r="AB368">
        <v>33</v>
      </c>
      <c r="AC368">
        <v>66</v>
      </c>
      <c r="AD368">
        <v>9</v>
      </c>
      <c r="AE368">
        <v>129</v>
      </c>
      <c r="AF368">
        <v>47</v>
      </c>
      <c r="AG368">
        <v>85</v>
      </c>
      <c r="AH368">
        <v>77</v>
      </c>
      <c r="AI368">
        <v>4.0199999999999996</v>
      </c>
    </row>
    <row r="369" spans="1:35" x14ac:dyDescent="0.5">
      <c r="A369" s="35">
        <v>2012</v>
      </c>
      <c r="B369" t="s">
        <v>53</v>
      </c>
      <c r="C369" t="s">
        <v>38</v>
      </c>
      <c r="D369">
        <v>587</v>
      </c>
      <c r="E369">
        <v>162</v>
      </c>
      <c r="F369">
        <v>9</v>
      </c>
      <c r="G369">
        <v>12</v>
      </c>
      <c r="H369">
        <v>153</v>
      </c>
      <c r="I369">
        <v>56</v>
      </c>
      <c r="J369">
        <v>1453</v>
      </c>
      <c r="K369">
        <v>1356</v>
      </c>
      <c r="L369">
        <v>588</v>
      </c>
      <c r="M369" s="58">
        <f t="shared" si="20"/>
        <v>2012</v>
      </c>
      <c r="N369" s="58" t="s">
        <v>52</v>
      </c>
      <c r="O369" s="58" t="str">
        <f t="shared" si="23"/>
        <v>2012 Cincinnati Reds</v>
      </c>
      <c r="P369" s="58">
        <v>6056</v>
      </c>
      <c r="Q369" s="58">
        <f t="shared" si="21"/>
        <v>907</v>
      </c>
      <c r="R369" s="58">
        <v>262</v>
      </c>
      <c r="S369" s="58">
        <v>35</v>
      </c>
      <c r="T369" s="58">
        <v>152</v>
      </c>
      <c r="U369" s="58">
        <v>427</v>
      </c>
      <c r="V369" s="58">
        <v>51</v>
      </c>
      <c r="W369" s="58">
        <f t="shared" si="22"/>
        <v>4222</v>
      </c>
      <c r="X369">
        <v>540</v>
      </c>
      <c r="Y369">
        <v>33</v>
      </c>
      <c r="Z369">
        <v>1248</v>
      </c>
      <c r="AA369">
        <v>44</v>
      </c>
      <c r="AB369">
        <v>41</v>
      </c>
      <c r="AC369">
        <v>34</v>
      </c>
      <c r="AD369">
        <v>7</v>
      </c>
      <c r="AE369">
        <v>101</v>
      </c>
      <c r="AF369">
        <v>56</v>
      </c>
      <c r="AG369">
        <v>97</v>
      </c>
      <c r="AH369">
        <v>65</v>
      </c>
      <c r="AI369">
        <v>3.34</v>
      </c>
    </row>
    <row r="370" spans="1:35" x14ac:dyDescent="0.5">
      <c r="A370" s="35">
        <v>2012</v>
      </c>
      <c r="B370" t="s">
        <v>55</v>
      </c>
      <c r="C370" t="s">
        <v>149</v>
      </c>
      <c r="D370">
        <v>655</v>
      </c>
      <c r="E370">
        <v>162</v>
      </c>
      <c r="F370">
        <v>2</v>
      </c>
      <c r="G370">
        <v>6</v>
      </c>
      <c r="H370">
        <v>160</v>
      </c>
      <c r="I370">
        <v>43</v>
      </c>
      <c r="J370">
        <v>1442</v>
      </c>
      <c r="K370">
        <v>1503</v>
      </c>
      <c r="L370">
        <v>845</v>
      </c>
      <c r="M370" s="58">
        <f t="shared" si="20"/>
        <v>2012</v>
      </c>
      <c r="N370" s="58" t="s">
        <v>54</v>
      </c>
      <c r="O370" s="58" t="str">
        <f t="shared" si="23"/>
        <v>2012 Cleveland Indians</v>
      </c>
      <c r="P370" s="58">
        <v>6283</v>
      </c>
      <c r="Q370" s="58">
        <f t="shared" si="21"/>
        <v>979</v>
      </c>
      <c r="R370" s="58">
        <v>317</v>
      </c>
      <c r="S370" s="58">
        <v>33</v>
      </c>
      <c r="T370" s="58">
        <v>174</v>
      </c>
      <c r="U370" s="58">
        <v>543</v>
      </c>
      <c r="V370" s="58">
        <v>55</v>
      </c>
      <c r="W370" s="58">
        <f t="shared" si="22"/>
        <v>4182</v>
      </c>
      <c r="X370">
        <v>766</v>
      </c>
      <c r="Y370">
        <v>27</v>
      </c>
      <c r="Z370">
        <v>1086</v>
      </c>
      <c r="AA370">
        <v>25</v>
      </c>
      <c r="AB370">
        <v>57</v>
      </c>
      <c r="AC370">
        <v>67</v>
      </c>
      <c r="AD370">
        <v>6</v>
      </c>
      <c r="AE370">
        <v>137</v>
      </c>
      <c r="AF370">
        <v>74</v>
      </c>
      <c r="AG370">
        <v>68</v>
      </c>
      <c r="AH370">
        <v>94</v>
      </c>
      <c r="AI370">
        <v>4.78</v>
      </c>
    </row>
    <row r="371" spans="1:35" x14ac:dyDescent="0.5">
      <c r="A371" s="35">
        <v>2012</v>
      </c>
      <c r="B371" t="s">
        <v>57</v>
      </c>
      <c r="C371" t="s">
        <v>38</v>
      </c>
      <c r="D371">
        <v>737</v>
      </c>
      <c r="E371">
        <v>162</v>
      </c>
      <c r="F371">
        <v>0</v>
      </c>
      <c r="G371">
        <v>7</v>
      </c>
      <c r="H371">
        <v>162</v>
      </c>
      <c r="I371">
        <v>36</v>
      </c>
      <c r="J371">
        <v>1422</v>
      </c>
      <c r="K371">
        <v>1637</v>
      </c>
      <c r="L371">
        <v>890</v>
      </c>
      <c r="M371" s="58">
        <f t="shared" si="20"/>
        <v>2012</v>
      </c>
      <c r="N371" s="58" t="s">
        <v>56</v>
      </c>
      <c r="O371" s="58" t="str">
        <f t="shared" si="23"/>
        <v>2012 Colorado Rockies</v>
      </c>
      <c r="P371" s="58">
        <v>6384</v>
      </c>
      <c r="Q371" s="58">
        <f t="shared" si="21"/>
        <v>1069</v>
      </c>
      <c r="R371" s="58">
        <v>321</v>
      </c>
      <c r="S371" s="58">
        <v>49</v>
      </c>
      <c r="T371" s="58">
        <v>198</v>
      </c>
      <c r="U371" s="58">
        <v>566</v>
      </c>
      <c r="V371" s="58">
        <v>47</v>
      </c>
      <c r="W371" s="58">
        <f t="shared" si="22"/>
        <v>4134</v>
      </c>
      <c r="X371">
        <v>824</v>
      </c>
      <c r="Y371">
        <v>61</v>
      </c>
      <c r="Z371">
        <v>1144</v>
      </c>
      <c r="AA371">
        <v>87</v>
      </c>
      <c r="AB371">
        <v>45</v>
      </c>
      <c r="AC371">
        <v>94</v>
      </c>
      <c r="AD371">
        <v>6</v>
      </c>
      <c r="AE371">
        <v>119</v>
      </c>
      <c r="AF371">
        <v>83</v>
      </c>
      <c r="AG371">
        <v>64</v>
      </c>
      <c r="AH371">
        <v>98</v>
      </c>
      <c r="AI371">
        <v>5.22</v>
      </c>
    </row>
    <row r="372" spans="1:35" x14ac:dyDescent="0.5">
      <c r="A372" s="35">
        <v>2012</v>
      </c>
      <c r="B372" t="s">
        <v>59</v>
      </c>
      <c r="C372" t="s">
        <v>149</v>
      </c>
      <c r="D372">
        <v>582</v>
      </c>
      <c r="E372">
        <v>162</v>
      </c>
      <c r="F372">
        <v>9</v>
      </c>
      <c r="G372">
        <v>8</v>
      </c>
      <c r="H372">
        <v>153</v>
      </c>
      <c r="I372">
        <v>40</v>
      </c>
      <c r="J372">
        <v>1430.2</v>
      </c>
      <c r="K372">
        <v>1409</v>
      </c>
      <c r="L372">
        <v>670</v>
      </c>
      <c r="M372" s="58">
        <f t="shared" si="20"/>
        <v>2012</v>
      </c>
      <c r="N372" s="58" t="s">
        <v>58</v>
      </c>
      <c r="O372" s="58" t="str">
        <f t="shared" si="23"/>
        <v>2012 Detroit Tigers</v>
      </c>
      <c r="P372" s="58">
        <v>6045</v>
      </c>
      <c r="Q372" s="58">
        <f t="shared" si="21"/>
        <v>950</v>
      </c>
      <c r="R372" s="58">
        <v>271</v>
      </c>
      <c r="S372" s="58">
        <v>37</v>
      </c>
      <c r="T372" s="58">
        <v>151</v>
      </c>
      <c r="U372" s="58">
        <v>438</v>
      </c>
      <c r="V372" s="58">
        <v>42</v>
      </c>
      <c r="W372" s="58">
        <f t="shared" si="22"/>
        <v>4156</v>
      </c>
      <c r="X372">
        <v>596</v>
      </c>
      <c r="Y372">
        <v>35</v>
      </c>
      <c r="Z372">
        <v>1318</v>
      </c>
      <c r="AA372">
        <v>33</v>
      </c>
      <c r="AB372">
        <v>35</v>
      </c>
      <c r="AC372">
        <v>46</v>
      </c>
      <c r="AD372">
        <v>6</v>
      </c>
      <c r="AE372">
        <v>112</v>
      </c>
      <c r="AF372">
        <v>59</v>
      </c>
      <c r="AG372">
        <v>88</v>
      </c>
      <c r="AH372">
        <v>74</v>
      </c>
      <c r="AI372">
        <v>3.75</v>
      </c>
    </row>
    <row r="373" spans="1:35" x14ac:dyDescent="0.5">
      <c r="A373" s="35">
        <v>2012</v>
      </c>
      <c r="B373" t="s">
        <v>63</v>
      </c>
      <c r="C373" t="s">
        <v>38</v>
      </c>
      <c r="D373">
        <v>703</v>
      </c>
      <c r="E373">
        <v>162</v>
      </c>
      <c r="F373">
        <v>3</v>
      </c>
      <c r="G373">
        <v>11</v>
      </c>
      <c r="H373">
        <v>159</v>
      </c>
      <c r="I373">
        <v>31</v>
      </c>
      <c r="J373">
        <v>1423.1</v>
      </c>
      <c r="K373">
        <v>1493</v>
      </c>
      <c r="L373">
        <v>794</v>
      </c>
      <c r="M373" s="58">
        <f t="shared" si="20"/>
        <v>2012</v>
      </c>
      <c r="N373" s="58" t="s">
        <v>60</v>
      </c>
      <c r="O373" s="58" t="str">
        <f t="shared" si="23"/>
        <v>2012 Florida Marlins</v>
      </c>
      <c r="P373" s="58">
        <v>6238</v>
      </c>
      <c r="Q373" s="58">
        <f t="shared" si="21"/>
        <v>1005</v>
      </c>
      <c r="R373" s="58">
        <v>276</v>
      </c>
      <c r="S373" s="58">
        <v>39</v>
      </c>
      <c r="T373" s="58">
        <v>173</v>
      </c>
      <c r="U373" s="58">
        <v>540</v>
      </c>
      <c r="V373" s="58">
        <v>48</v>
      </c>
      <c r="W373" s="58">
        <f t="shared" si="22"/>
        <v>4157</v>
      </c>
      <c r="X373">
        <v>721</v>
      </c>
      <c r="Y373">
        <v>40</v>
      </c>
      <c r="Z373">
        <v>1170</v>
      </c>
      <c r="AA373">
        <v>69</v>
      </c>
      <c r="AB373">
        <v>41</v>
      </c>
      <c r="AC373">
        <v>75</v>
      </c>
      <c r="AD373">
        <v>6</v>
      </c>
      <c r="AE373">
        <v>108</v>
      </c>
      <c r="AF373">
        <v>83</v>
      </c>
      <c r="AG373">
        <v>55</v>
      </c>
      <c r="AH373">
        <v>107</v>
      </c>
      <c r="AI373">
        <v>4.5599999999999996</v>
      </c>
    </row>
    <row r="374" spans="1:35" x14ac:dyDescent="0.5">
      <c r="A374" s="35">
        <v>2012</v>
      </c>
      <c r="B374" t="s">
        <v>150</v>
      </c>
      <c r="C374" t="s">
        <v>149</v>
      </c>
      <c r="D374">
        <v>662</v>
      </c>
      <c r="E374">
        <v>162</v>
      </c>
      <c r="F374">
        <v>2</v>
      </c>
      <c r="G374">
        <v>12</v>
      </c>
      <c r="H374">
        <v>160</v>
      </c>
      <c r="I374">
        <v>44</v>
      </c>
      <c r="J374">
        <v>1451.1</v>
      </c>
      <c r="K374">
        <v>1504</v>
      </c>
      <c r="L374">
        <v>746</v>
      </c>
      <c r="M374" s="58">
        <f t="shared" si="20"/>
        <v>2012</v>
      </c>
      <c r="N374" s="58" t="s">
        <v>62</v>
      </c>
      <c r="O374" s="58" t="str">
        <f t="shared" si="23"/>
        <v>2012 Houston Astros</v>
      </c>
      <c r="P374" s="58">
        <v>6251</v>
      </c>
      <c r="Q374" s="58">
        <f t="shared" si="21"/>
        <v>1019</v>
      </c>
      <c r="R374" s="58">
        <v>280</v>
      </c>
      <c r="S374" s="58">
        <v>42</v>
      </c>
      <c r="T374" s="58">
        <v>163</v>
      </c>
      <c r="U374" s="58">
        <v>542</v>
      </c>
      <c r="V374" s="58">
        <v>60</v>
      </c>
      <c r="W374" s="58">
        <f t="shared" si="22"/>
        <v>4145</v>
      </c>
      <c r="X374">
        <v>693</v>
      </c>
      <c r="Y374">
        <v>44</v>
      </c>
      <c r="Z374">
        <v>1177</v>
      </c>
      <c r="AA374">
        <v>40</v>
      </c>
      <c r="AB374">
        <v>42</v>
      </c>
      <c r="AC374">
        <v>49</v>
      </c>
      <c r="AD374">
        <v>8</v>
      </c>
      <c r="AE374">
        <v>137</v>
      </c>
      <c r="AF374">
        <v>61</v>
      </c>
      <c r="AG374">
        <v>72</v>
      </c>
      <c r="AH374">
        <v>90</v>
      </c>
      <c r="AI374">
        <v>4.3</v>
      </c>
    </row>
    <row r="375" spans="1:35" x14ac:dyDescent="0.5">
      <c r="A375" s="35">
        <v>2012</v>
      </c>
      <c r="B375" t="s">
        <v>145</v>
      </c>
      <c r="C375" t="s">
        <v>38</v>
      </c>
      <c r="D375">
        <v>668</v>
      </c>
      <c r="E375">
        <v>162</v>
      </c>
      <c r="F375">
        <v>2</v>
      </c>
      <c r="G375">
        <v>10</v>
      </c>
      <c r="H375">
        <v>160</v>
      </c>
      <c r="I375">
        <v>40</v>
      </c>
      <c r="J375">
        <v>1449.2</v>
      </c>
      <c r="K375">
        <v>1277</v>
      </c>
      <c r="L375">
        <v>597</v>
      </c>
      <c r="M375" s="58">
        <f t="shared" si="20"/>
        <v>2012</v>
      </c>
      <c r="N375" s="58" t="s">
        <v>64</v>
      </c>
      <c r="O375" s="58" t="str">
        <f t="shared" si="23"/>
        <v>2012 Kansas City Royals</v>
      </c>
      <c r="P375" s="58">
        <v>6068</v>
      </c>
      <c r="Q375" s="58">
        <f t="shared" si="21"/>
        <v>874</v>
      </c>
      <c r="R375" s="58">
        <v>249</v>
      </c>
      <c r="S375" s="58">
        <v>32</v>
      </c>
      <c r="T375" s="58">
        <v>122</v>
      </c>
      <c r="U375" s="58">
        <v>539</v>
      </c>
      <c r="V375" s="58">
        <v>45</v>
      </c>
      <c r="W375" s="58">
        <f t="shared" si="22"/>
        <v>4207</v>
      </c>
      <c r="X375">
        <v>538</v>
      </c>
      <c r="Y375">
        <v>62</v>
      </c>
      <c r="Z375">
        <v>1276</v>
      </c>
      <c r="AA375">
        <v>73</v>
      </c>
      <c r="AB375">
        <v>38</v>
      </c>
      <c r="AC375">
        <v>46</v>
      </c>
      <c r="AD375">
        <v>2</v>
      </c>
      <c r="AE375">
        <v>114</v>
      </c>
      <c r="AF375">
        <v>69</v>
      </c>
      <c r="AG375">
        <v>86</v>
      </c>
      <c r="AH375">
        <v>76</v>
      </c>
      <c r="AI375">
        <v>3.34</v>
      </c>
    </row>
    <row r="376" spans="1:35" x14ac:dyDescent="0.5">
      <c r="A376" s="35">
        <v>2012</v>
      </c>
      <c r="B376" t="s">
        <v>104</v>
      </c>
      <c r="C376" t="s">
        <v>38</v>
      </c>
      <c r="D376">
        <v>645</v>
      </c>
      <c r="E376">
        <v>162</v>
      </c>
      <c r="F376">
        <v>5</v>
      </c>
      <c r="G376">
        <v>7</v>
      </c>
      <c r="H376">
        <v>157</v>
      </c>
      <c r="I376">
        <v>38</v>
      </c>
      <c r="J376">
        <v>1440.2</v>
      </c>
      <c r="K376">
        <v>1448</v>
      </c>
      <c r="L376">
        <v>724</v>
      </c>
      <c r="M376" s="58">
        <f t="shared" si="20"/>
        <v>2012</v>
      </c>
      <c r="N376" s="58" t="s">
        <v>66</v>
      </c>
      <c r="O376" s="58" t="str">
        <f t="shared" si="23"/>
        <v>2012 Los Angeles Dodgers</v>
      </c>
      <c r="P376" s="58">
        <v>6186</v>
      </c>
      <c r="Q376" s="58">
        <f t="shared" si="21"/>
        <v>1005</v>
      </c>
      <c r="R376" s="58">
        <v>270</v>
      </c>
      <c r="S376" s="58">
        <v>40</v>
      </c>
      <c r="T376" s="58">
        <v>133</v>
      </c>
      <c r="U376" s="58">
        <v>495</v>
      </c>
      <c r="V376" s="58">
        <v>55</v>
      </c>
      <c r="W376" s="58">
        <f t="shared" si="22"/>
        <v>4188</v>
      </c>
      <c r="X376">
        <v>655</v>
      </c>
      <c r="Y376">
        <v>61</v>
      </c>
      <c r="Z376">
        <v>1113</v>
      </c>
      <c r="AA376">
        <v>75</v>
      </c>
      <c r="AB376">
        <v>55</v>
      </c>
      <c r="AC376">
        <v>36</v>
      </c>
      <c r="AD376">
        <v>4</v>
      </c>
      <c r="AE376">
        <v>133</v>
      </c>
      <c r="AF376">
        <v>73</v>
      </c>
      <c r="AG376">
        <v>69</v>
      </c>
      <c r="AH376">
        <v>93</v>
      </c>
      <c r="AI376">
        <v>4.09</v>
      </c>
    </row>
    <row r="377" spans="1:35" x14ac:dyDescent="0.5">
      <c r="A377" s="35">
        <v>2012</v>
      </c>
      <c r="B377" t="s">
        <v>69</v>
      </c>
      <c r="C377" t="s">
        <v>38</v>
      </c>
      <c r="D377">
        <v>674</v>
      </c>
      <c r="E377">
        <v>162</v>
      </c>
      <c r="F377">
        <v>0</v>
      </c>
      <c r="G377">
        <v>9</v>
      </c>
      <c r="H377">
        <v>162</v>
      </c>
      <c r="I377">
        <v>44</v>
      </c>
      <c r="J377">
        <v>1453.2</v>
      </c>
      <c r="K377">
        <v>1458</v>
      </c>
      <c r="L377">
        <v>733</v>
      </c>
      <c r="M377" s="58">
        <f t="shared" si="20"/>
        <v>2012</v>
      </c>
      <c r="N377" s="58" t="s">
        <v>68</v>
      </c>
      <c r="O377" s="58" t="str">
        <f t="shared" si="23"/>
        <v>2012 Milwaukee Brewers</v>
      </c>
      <c r="P377" s="58">
        <v>6245</v>
      </c>
      <c r="Q377" s="58">
        <f t="shared" si="21"/>
        <v>968</v>
      </c>
      <c r="R377" s="58">
        <v>290</v>
      </c>
      <c r="S377" s="58">
        <v>31</v>
      </c>
      <c r="T377" s="58">
        <v>169</v>
      </c>
      <c r="U377" s="58">
        <v>525</v>
      </c>
      <c r="V377" s="58">
        <v>31</v>
      </c>
      <c r="W377" s="58">
        <f t="shared" si="22"/>
        <v>4231</v>
      </c>
      <c r="X377">
        <v>682</v>
      </c>
      <c r="Y377">
        <v>20</v>
      </c>
      <c r="Z377">
        <v>1402</v>
      </c>
      <c r="AA377">
        <v>61</v>
      </c>
      <c r="AB377">
        <v>34</v>
      </c>
      <c r="AC377">
        <v>57</v>
      </c>
      <c r="AD377">
        <v>5</v>
      </c>
      <c r="AE377">
        <v>104</v>
      </c>
      <c r="AF377">
        <v>58</v>
      </c>
      <c r="AG377">
        <v>83</v>
      </c>
      <c r="AH377">
        <v>79</v>
      </c>
      <c r="AI377">
        <v>4.22</v>
      </c>
    </row>
    <row r="378" spans="1:35" x14ac:dyDescent="0.5">
      <c r="A378" s="35">
        <v>2012</v>
      </c>
      <c r="B378" t="s">
        <v>71</v>
      </c>
      <c r="C378" t="s">
        <v>149</v>
      </c>
      <c r="D378">
        <v>661</v>
      </c>
      <c r="E378">
        <v>162</v>
      </c>
      <c r="F378">
        <v>3</v>
      </c>
      <c r="G378">
        <v>6</v>
      </c>
      <c r="H378">
        <v>159</v>
      </c>
      <c r="I378">
        <v>35</v>
      </c>
      <c r="J378">
        <v>1438.2</v>
      </c>
      <c r="K378">
        <v>1536</v>
      </c>
      <c r="L378">
        <v>832</v>
      </c>
      <c r="M378" s="58">
        <f t="shared" si="20"/>
        <v>2012</v>
      </c>
      <c r="N378" s="58" t="s">
        <v>70</v>
      </c>
      <c r="O378" s="58" t="str">
        <f t="shared" si="23"/>
        <v>2012 Minnesota Twins</v>
      </c>
      <c r="P378" s="58">
        <v>6214</v>
      </c>
      <c r="Q378" s="58">
        <f t="shared" si="21"/>
        <v>1022</v>
      </c>
      <c r="R378" s="58">
        <v>285</v>
      </c>
      <c r="S378" s="58">
        <v>31</v>
      </c>
      <c r="T378" s="58">
        <v>198</v>
      </c>
      <c r="U378" s="58">
        <v>465</v>
      </c>
      <c r="V378" s="58">
        <v>57</v>
      </c>
      <c r="W378" s="58">
        <f t="shared" si="22"/>
        <v>4156</v>
      </c>
      <c r="X378">
        <v>762</v>
      </c>
      <c r="Y378">
        <v>43</v>
      </c>
      <c r="Z378">
        <v>943</v>
      </c>
      <c r="AA378">
        <v>34</v>
      </c>
      <c r="AB378">
        <v>48</v>
      </c>
      <c r="AC378">
        <v>60</v>
      </c>
      <c r="AD378">
        <v>2</v>
      </c>
      <c r="AE378">
        <v>158</v>
      </c>
      <c r="AF378">
        <v>74</v>
      </c>
      <c r="AG378">
        <v>66</v>
      </c>
      <c r="AH378">
        <v>96</v>
      </c>
      <c r="AI378">
        <v>4.7699999999999996</v>
      </c>
    </row>
    <row r="379" spans="1:35" x14ac:dyDescent="0.5">
      <c r="A379" s="35">
        <v>2012</v>
      </c>
      <c r="B379" t="s">
        <v>144</v>
      </c>
      <c r="C379" t="s">
        <v>38</v>
      </c>
      <c r="D379">
        <v>667</v>
      </c>
      <c r="E379">
        <v>162</v>
      </c>
      <c r="F379">
        <v>7</v>
      </c>
      <c r="G379">
        <v>13</v>
      </c>
      <c r="H379">
        <v>155</v>
      </c>
      <c r="I379">
        <v>36</v>
      </c>
      <c r="J379">
        <v>1434</v>
      </c>
      <c r="K379">
        <v>1368</v>
      </c>
      <c r="L379">
        <v>709</v>
      </c>
      <c r="M379" s="58">
        <f t="shared" si="20"/>
        <v>2012</v>
      </c>
      <c r="N379" s="58" t="s">
        <v>76</v>
      </c>
      <c r="O379" s="58" t="str">
        <f t="shared" si="23"/>
        <v>2012 New York Mets</v>
      </c>
      <c r="P379" s="58">
        <v>6086</v>
      </c>
      <c r="Q379" s="58">
        <f t="shared" si="21"/>
        <v>909</v>
      </c>
      <c r="R379" s="58">
        <v>262</v>
      </c>
      <c r="S379" s="58">
        <v>36</v>
      </c>
      <c r="T379" s="58">
        <v>161</v>
      </c>
      <c r="U379" s="58">
        <v>488</v>
      </c>
      <c r="V379" s="58">
        <v>40</v>
      </c>
      <c r="W379" s="58">
        <f t="shared" si="22"/>
        <v>4190</v>
      </c>
      <c r="X379">
        <v>651</v>
      </c>
      <c r="Y379">
        <v>29</v>
      </c>
      <c r="Z379">
        <v>1240</v>
      </c>
      <c r="AA379">
        <v>64</v>
      </c>
      <c r="AB379">
        <v>43</v>
      </c>
      <c r="AC379">
        <v>40</v>
      </c>
      <c r="AD379">
        <v>3</v>
      </c>
      <c r="AE379">
        <v>115</v>
      </c>
      <c r="AF379">
        <v>72</v>
      </c>
      <c r="AG379">
        <v>74</v>
      </c>
      <c r="AH379">
        <v>88</v>
      </c>
      <c r="AI379">
        <v>4.09</v>
      </c>
    </row>
    <row r="380" spans="1:35" x14ac:dyDescent="0.5">
      <c r="A380" s="35">
        <v>2012</v>
      </c>
      <c r="B380" t="s">
        <v>144</v>
      </c>
      <c r="C380" t="s">
        <v>149</v>
      </c>
      <c r="D380">
        <v>647</v>
      </c>
      <c r="E380">
        <v>162</v>
      </c>
      <c r="F380">
        <v>6</v>
      </c>
      <c r="G380">
        <v>9</v>
      </c>
      <c r="H380">
        <v>156</v>
      </c>
      <c r="I380">
        <v>51</v>
      </c>
      <c r="J380">
        <v>1445.1</v>
      </c>
      <c r="K380">
        <v>1401</v>
      </c>
      <c r="L380">
        <v>668</v>
      </c>
      <c r="M380" s="58">
        <f t="shared" si="20"/>
        <v>2012</v>
      </c>
      <c r="N380" s="58" t="s">
        <v>74</v>
      </c>
      <c r="O380" s="58" t="str">
        <f t="shared" si="23"/>
        <v>2012 New York Yankees</v>
      </c>
      <c r="P380" s="58">
        <v>6085</v>
      </c>
      <c r="Q380" s="58">
        <f t="shared" si="21"/>
        <v>884</v>
      </c>
      <c r="R380" s="58">
        <v>303</v>
      </c>
      <c r="S380" s="58">
        <v>24</v>
      </c>
      <c r="T380" s="58">
        <v>190</v>
      </c>
      <c r="U380" s="58">
        <v>431</v>
      </c>
      <c r="V380" s="58">
        <v>49</v>
      </c>
      <c r="W380" s="58">
        <f t="shared" si="22"/>
        <v>4204</v>
      </c>
      <c r="X380">
        <v>617</v>
      </c>
      <c r="Y380">
        <v>32</v>
      </c>
      <c r="Z380">
        <v>1318</v>
      </c>
      <c r="AA380">
        <v>31</v>
      </c>
      <c r="AB380">
        <v>32</v>
      </c>
      <c r="AC380">
        <v>53</v>
      </c>
      <c r="AD380">
        <v>9</v>
      </c>
      <c r="AE380">
        <v>115</v>
      </c>
      <c r="AF380">
        <v>56</v>
      </c>
      <c r="AG380">
        <v>95</v>
      </c>
      <c r="AH380">
        <v>67</v>
      </c>
      <c r="AI380">
        <v>3.84</v>
      </c>
    </row>
    <row r="381" spans="1:35" x14ac:dyDescent="0.5">
      <c r="A381" s="35">
        <v>2012</v>
      </c>
      <c r="B381" t="s">
        <v>79</v>
      </c>
      <c r="C381" t="s">
        <v>149</v>
      </c>
      <c r="D381">
        <v>624</v>
      </c>
      <c r="E381">
        <v>162</v>
      </c>
      <c r="F381">
        <v>1</v>
      </c>
      <c r="G381">
        <v>13</v>
      </c>
      <c r="H381">
        <v>161</v>
      </c>
      <c r="I381">
        <v>47</v>
      </c>
      <c r="J381">
        <v>1470</v>
      </c>
      <c r="K381">
        <v>1360</v>
      </c>
      <c r="L381">
        <v>614</v>
      </c>
      <c r="M381" s="58">
        <f t="shared" si="20"/>
        <v>2012</v>
      </c>
      <c r="N381" s="58" t="s">
        <v>78</v>
      </c>
      <c r="O381" s="58" t="str">
        <f t="shared" si="23"/>
        <v>2012 Oakland Athletics</v>
      </c>
      <c r="P381" s="58">
        <v>6131</v>
      </c>
      <c r="Q381" s="58">
        <f t="shared" si="21"/>
        <v>935</v>
      </c>
      <c r="R381" s="58">
        <v>264</v>
      </c>
      <c r="S381" s="58">
        <v>14</v>
      </c>
      <c r="T381" s="58">
        <v>147</v>
      </c>
      <c r="U381" s="58">
        <v>462</v>
      </c>
      <c r="V381" s="58">
        <v>46</v>
      </c>
      <c r="W381" s="58">
        <f t="shared" si="22"/>
        <v>4263</v>
      </c>
      <c r="X381">
        <v>569</v>
      </c>
      <c r="Y381">
        <v>34</v>
      </c>
      <c r="Z381">
        <v>1136</v>
      </c>
      <c r="AA381">
        <v>36</v>
      </c>
      <c r="AB381">
        <v>47</v>
      </c>
      <c r="AC381">
        <v>40</v>
      </c>
      <c r="AD381">
        <v>5</v>
      </c>
      <c r="AE381">
        <v>112</v>
      </c>
      <c r="AF381">
        <v>73</v>
      </c>
      <c r="AG381">
        <v>94</v>
      </c>
      <c r="AH381">
        <v>68</v>
      </c>
      <c r="AI381">
        <v>3.48</v>
      </c>
    </row>
    <row r="382" spans="1:35" x14ac:dyDescent="0.5">
      <c r="A382" s="35">
        <v>2012</v>
      </c>
      <c r="B382" t="s">
        <v>81</v>
      </c>
      <c r="C382" t="s">
        <v>38</v>
      </c>
      <c r="D382">
        <v>602</v>
      </c>
      <c r="E382">
        <v>162</v>
      </c>
      <c r="F382">
        <v>5</v>
      </c>
      <c r="G382">
        <v>11</v>
      </c>
      <c r="H382">
        <v>157</v>
      </c>
      <c r="I382">
        <v>42</v>
      </c>
      <c r="J382">
        <v>1451.1</v>
      </c>
      <c r="K382">
        <v>1387</v>
      </c>
      <c r="L382">
        <v>680</v>
      </c>
      <c r="M382" s="58">
        <f t="shared" si="20"/>
        <v>2012</v>
      </c>
      <c r="N382" s="58" t="s">
        <v>80</v>
      </c>
      <c r="O382" s="58" t="str">
        <f t="shared" si="23"/>
        <v>2012 Philadelphia Phillies</v>
      </c>
      <c r="P382" s="58">
        <v>6072</v>
      </c>
      <c r="Q382" s="58">
        <f t="shared" si="21"/>
        <v>908</v>
      </c>
      <c r="R382" s="58">
        <v>276</v>
      </c>
      <c r="S382" s="58">
        <v>25</v>
      </c>
      <c r="T382" s="58">
        <v>178</v>
      </c>
      <c r="U382" s="58">
        <v>409</v>
      </c>
      <c r="V382" s="58">
        <v>44</v>
      </c>
      <c r="W382" s="58">
        <f t="shared" si="22"/>
        <v>4232</v>
      </c>
      <c r="X382">
        <v>618</v>
      </c>
      <c r="Y382">
        <v>33</v>
      </c>
      <c r="Z382">
        <v>1385</v>
      </c>
      <c r="AA382">
        <v>60</v>
      </c>
      <c r="AB382">
        <v>32</v>
      </c>
      <c r="AC382">
        <v>30</v>
      </c>
      <c r="AD382">
        <v>3</v>
      </c>
      <c r="AE382">
        <v>98</v>
      </c>
      <c r="AF382">
        <v>79</v>
      </c>
      <c r="AG382">
        <v>81</v>
      </c>
      <c r="AH382">
        <v>81</v>
      </c>
      <c r="AI382">
        <v>3.83</v>
      </c>
    </row>
    <row r="383" spans="1:35" x14ac:dyDescent="0.5">
      <c r="A383" s="35">
        <v>2012</v>
      </c>
      <c r="B383" t="s">
        <v>83</v>
      </c>
      <c r="C383" t="s">
        <v>38</v>
      </c>
      <c r="D383">
        <v>645</v>
      </c>
      <c r="E383">
        <v>162</v>
      </c>
      <c r="F383">
        <v>2</v>
      </c>
      <c r="G383">
        <v>10</v>
      </c>
      <c r="H383">
        <v>160</v>
      </c>
      <c r="I383">
        <v>45</v>
      </c>
      <c r="J383">
        <v>1433.1</v>
      </c>
      <c r="K383">
        <v>1357</v>
      </c>
      <c r="L383">
        <v>674</v>
      </c>
      <c r="M383" s="58">
        <f t="shared" si="20"/>
        <v>2012</v>
      </c>
      <c r="N383" s="58" t="s">
        <v>82</v>
      </c>
      <c r="O383" s="58" t="str">
        <f t="shared" si="23"/>
        <v>2012 Pittsburgh Pirates</v>
      </c>
      <c r="P383" s="58">
        <v>6097</v>
      </c>
      <c r="Q383" s="58">
        <f t="shared" si="21"/>
        <v>924</v>
      </c>
      <c r="R383" s="58">
        <v>250</v>
      </c>
      <c r="S383" s="58">
        <v>30</v>
      </c>
      <c r="T383" s="58">
        <v>153</v>
      </c>
      <c r="U383" s="58">
        <v>490</v>
      </c>
      <c r="V383" s="58">
        <v>45</v>
      </c>
      <c r="W383" s="58">
        <f t="shared" si="22"/>
        <v>4205</v>
      </c>
      <c r="X383">
        <v>615</v>
      </c>
      <c r="Y383">
        <v>30</v>
      </c>
      <c r="Z383">
        <v>1192</v>
      </c>
      <c r="AA383">
        <v>67</v>
      </c>
      <c r="AB383">
        <v>40</v>
      </c>
      <c r="AC383">
        <v>45</v>
      </c>
      <c r="AD383">
        <v>3</v>
      </c>
      <c r="AE383">
        <v>111</v>
      </c>
      <c r="AF383">
        <v>75</v>
      </c>
      <c r="AG383">
        <v>79</v>
      </c>
      <c r="AH383">
        <v>83</v>
      </c>
      <c r="AI383">
        <v>3.86</v>
      </c>
    </row>
    <row r="384" spans="1:35" x14ac:dyDescent="0.5">
      <c r="A384" s="35">
        <v>2012</v>
      </c>
      <c r="B384" t="s">
        <v>147</v>
      </c>
      <c r="C384" t="s">
        <v>38</v>
      </c>
      <c r="D384">
        <v>691</v>
      </c>
      <c r="E384">
        <v>162</v>
      </c>
      <c r="F384">
        <v>4</v>
      </c>
      <c r="G384">
        <v>11</v>
      </c>
      <c r="H384">
        <v>158</v>
      </c>
      <c r="I384">
        <v>43</v>
      </c>
      <c r="J384">
        <v>1434.2</v>
      </c>
      <c r="K384">
        <v>1356</v>
      </c>
      <c r="L384">
        <v>710</v>
      </c>
      <c r="M384" s="58">
        <f t="shared" si="20"/>
        <v>2012</v>
      </c>
      <c r="N384" s="58" t="s">
        <v>84</v>
      </c>
      <c r="O384" s="58" t="str">
        <f t="shared" si="23"/>
        <v>2012 San Diego Padres</v>
      </c>
      <c r="P384" s="58">
        <v>6151</v>
      </c>
      <c r="Q384" s="58">
        <f t="shared" si="21"/>
        <v>895</v>
      </c>
      <c r="R384" s="58">
        <v>263</v>
      </c>
      <c r="S384" s="58">
        <v>36</v>
      </c>
      <c r="T384" s="58">
        <v>162</v>
      </c>
      <c r="U384" s="58">
        <v>539</v>
      </c>
      <c r="V384" s="58">
        <v>48</v>
      </c>
      <c r="W384" s="58">
        <f t="shared" si="22"/>
        <v>4208</v>
      </c>
      <c r="X384">
        <v>640</v>
      </c>
      <c r="Y384">
        <v>48</v>
      </c>
      <c r="Z384">
        <v>1205</v>
      </c>
      <c r="AA384">
        <v>62</v>
      </c>
      <c r="AB384">
        <v>38</v>
      </c>
      <c r="AC384">
        <v>49</v>
      </c>
      <c r="AD384">
        <v>8</v>
      </c>
      <c r="AE384">
        <v>78</v>
      </c>
      <c r="AF384">
        <v>77</v>
      </c>
      <c r="AG384">
        <v>76</v>
      </c>
      <c r="AH384">
        <v>86</v>
      </c>
      <c r="AI384">
        <v>4.01</v>
      </c>
    </row>
    <row r="385" spans="1:35" x14ac:dyDescent="0.5">
      <c r="A385" s="35">
        <v>2012</v>
      </c>
      <c r="B385" t="s">
        <v>87</v>
      </c>
      <c r="C385" t="s">
        <v>149</v>
      </c>
      <c r="D385">
        <v>613</v>
      </c>
      <c r="E385">
        <v>162</v>
      </c>
      <c r="F385">
        <v>8</v>
      </c>
      <c r="G385">
        <v>11</v>
      </c>
      <c r="H385">
        <v>154</v>
      </c>
      <c r="I385">
        <v>43</v>
      </c>
      <c r="J385">
        <v>1456.2</v>
      </c>
      <c r="K385">
        <v>1359</v>
      </c>
      <c r="L385">
        <v>651</v>
      </c>
      <c r="M385" s="58">
        <f t="shared" si="20"/>
        <v>2012</v>
      </c>
      <c r="N385" s="58" t="s">
        <v>86</v>
      </c>
      <c r="O385" s="58" t="str">
        <f t="shared" si="23"/>
        <v>2012 Seattle Mariners</v>
      </c>
      <c r="P385" s="58">
        <v>6062</v>
      </c>
      <c r="Q385" s="58">
        <f t="shared" si="21"/>
        <v>919</v>
      </c>
      <c r="R385" s="58">
        <v>246</v>
      </c>
      <c r="S385" s="58">
        <v>28</v>
      </c>
      <c r="T385" s="58">
        <v>166</v>
      </c>
      <c r="U385" s="58">
        <v>449</v>
      </c>
      <c r="V385" s="58">
        <v>49</v>
      </c>
      <c r="W385" s="58">
        <f t="shared" si="22"/>
        <v>4205</v>
      </c>
      <c r="X385">
        <v>608</v>
      </c>
      <c r="Y385">
        <v>39</v>
      </c>
      <c r="Z385">
        <v>1166</v>
      </c>
      <c r="AA385">
        <v>35</v>
      </c>
      <c r="AB385">
        <v>45</v>
      </c>
      <c r="AC385">
        <v>61</v>
      </c>
      <c r="AD385">
        <v>5</v>
      </c>
      <c r="AE385">
        <v>137</v>
      </c>
      <c r="AF385">
        <v>44</v>
      </c>
      <c r="AG385">
        <v>75</v>
      </c>
      <c r="AH385">
        <v>87</v>
      </c>
      <c r="AI385">
        <v>3.76</v>
      </c>
    </row>
    <row r="386" spans="1:35" x14ac:dyDescent="0.5">
      <c r="A386" s="35">
        <v>2012</v>
      </c>
      <c r="B386" t="s">
        <v>21</v>
      </c>
      <c r="C386" t="s">
        <v>38</v>
      </c>
      <c r="D386">
        <v>688</v>
      </c>
      <c r="E386">
        <v>162</v>
      </c>
      <c r="F386">
        <v>5</v>
      </c>
      <c r="G386">
        <v>14</v>
      </c>
      <c r="H386">
        <v>157</v>
      </c>
      <c r="I386">
        <v>53</v>
      </c>
      <c r="J386">
        <v>1451</v>
      </c>
      <c r="K386">
        <v>1361</v>
      </c>
      <c r="L386">
        <v>649</v>
      </c>
      <c r="M386" s="58">
        <f t="shared" ref="M386:M449" si="24">A386</f>
        <v>2012</v>
      </c>
      <c r="N386" s="58" t="s">
        <v>88</v>
      </c>
      <c r="O386" s="58" t="str">
        <f t="shared" si="23"/>
        <v>2012 San Francisco Giants</v>
      </c>
      <c r="P386" s="58">
        <v>6138</v>
      </c>
      <c r="Q386" s="58">
        <f t="shared" ref="Q386:Q449" si="25">K386-(R386+S386+T386)</f>
        <v>886</v>
      </c>
      <c r="R386" s="58">
        <v>296</v>
      </c>
      <c r="S386" s="58">
        <v>37</v>
      </c>
      <c r="T386" s="58">
        <v>142</v>
      </c>
      <c r="U386" s="58">
        <v>489</v>
      </c>
      <c r="V386" s="58">
        <v>51</v>
      </c>
      <c r="W386" s="58">
        <f t="shared" ref="W386:W449" si="26">P386-(K386+U386+V386)</f>
        <v>4237</v>
      </c>
      <c r="X386">
        <v>593</v>
      </c>
      <c r="Y386">
        <v>42</v>
      </c>
      <c r="Z386">
        <v>1237</v>
      </c>
      <c r="AA386">
        <v>66</v>
      </c>
      <c r="AB386">
        <v>36</v>
      </c>
      <c r="AC386">
        <v>54</v>
      </c>
      <c r="AD386">
        <v>4</v>
      </c>
      <c r="AE386">
        <v>110</v>
      </c>
      <c r="AF386">
        <v>86</v>
      </c>
      <c r="AG386">
        <v>94</v>
      </c>
      <c r="AH386">
        <v>68</v>
      </c>
      <c r="AI386">
        <v>3.68</v>
      </c>
    </row>
    <row r="387" spans="1:35" x14ac:dyDescent="0.5">
      <c r="A387" s="35">
        <v>2012</v>
      </c>
      <c r="B387" t="s">
        <v>142</v>
      </c>
      <c r="C387" t="s">
        <v>38</v>
      </c>
      <c r="D387">
        <v>668</v>
      </c>
      <c r="E387">
        <v>162</v>
      </c>
      <c r="F387">
        <v>4</v>
      </c>
      <c r="G387">
        <v>10</v>
      </c>
      <c r="H387">
        <v>158</v>
      </c>
      <c r="I387">
        <v>42</v>
      </c>
      <c r="J387">
        <v>1462.2</v>
      </c>
      <c r="K387">
        <v>1420</v>
      </c>
      <c r="L387">
        <v>648</v>
      </c>
      <c r="M387" s="58">
        <f t="shared" si="24"/>
        <v>2012</v>
      </c>
      <c r="N387" s="58" t="s">
        <v>90</v>
      </c>
      <c r="O387" s="58" t="str">
        <f t="shared" ref="O387:O450" si="27">M387&amp;" "&amp;N387</f>
        <v>2012 St. Louis Cardinals</v>
      </c>
      <c r="P387" s="58">
        <v>6158</v>
      </c>
      <c r="Q387" s="58">
        <f t="shared" si="25"/>
        <v>982</v>
      </c>
      <c r="R387" s="58">
        <v>272</v>
      </c>
      <c r="S387" s="58">
        <v>32</v>
      </c>
      <c r="T387" s="58">
        <v>134</v>
      </c>
      <c r="U387" s="58">
        <v>436</v>
      </c>
      <c r="V387" s="58">
        <v>50</v>
      </c>
      <c r="W387" s="58">
        <f t="shared" si="26"/>
        <v>4252</v>
      </c>
      <c r="X387">
        <v>603</v>
      </c>
      <c r="Y387">
        <v>28</v>
      </c>
      <c r="Z387">
        <v>1218</v>
      </c>
      <c r="AA387">
        <v>66</v>
      </c>
      <c r="AB387">
        <v>35</v>
      </c>
      <c r="AC387">
        <v>46</v>
      </c>
      <c r="AD387">
        <v>4</v>
      </c>
      <c r="AE387">
        <v>130</v>
      </c>
      <c r="AF387">
        <v>81</v>
      </c>
      <c r="AG387">
        <v>88</v>
      </c>
      <c r="AH387">
        <v>74</v>
      </c>
      <c r="AI387">
        <v>3.71</v>
      </c>
    </row>
    <row r="388" spans="1:35" x14ac:dyDescent="0.5">
      <c r="A388" s="35">
        <v>2012</v>
      </c>
      <c r="B388" t="s">
        <v>151</v>
      </c>
      <c r="C388" t="s">
        <v>149</v>
      </c>
      <c r="D388">
        <v>633</v>
      </c>
      <c r="E388">
        <v>162</v>
      </c>
      <c r="F388">
        <v>7</v>
      </c>
      <c r="G388">
        <v>15</v>
      </c>
      <c r="H388">
        <v>155</v>
      </c>
      <c r="I388">
        <v>50</v>
      </c>
      <c r="J388">
        <v>1459.2</v>
      </c>
      <c r="K388">
        <v>1233</v>
      </c>
      <c r="L388">
        <v>577</v>
      </c>
      <c r="M388" s="58">
        <f t="shared" si="24"/>
        <v>2012</v>
      </c>
      <c r="N388" s="58" t="s">
        <v>92</v>
      </c>
      <c r="O388" s="58" t="str">
        <f t="shared" si="27"/>
        <v>2012 Tampa Bay Devil Rays</v>
      </c>
      <c r="P388" s="58">
        <v>6000</v>
      </c>
      <c r="Q388" s="58">
        <f t="shared" si="25"/>
        <v>857</v>
      </c>
      <c r="R388" s="58">
        <v>219</v>
      </c>
      <c r="S388" s="58">
        <v>18</v>
      </c>
      <c r="T388" s="58">
        <v>139</v>
      </c>
      <c r="U388" s="58">
        <v>469</v>
      </c>
      <c r="V388" s="58">
        <v>54</v>
      </c>
      <c r="W388" s="58">
        <f t="shared" si="26"/>
        <v>4244</v>
      </c>
      <c r="X388">
        <v>518</v>
      </c>
      <c r="Y388">
        <v>35</v>
      </c>
      <c r="Z388">
        <v>1383</v>
      </c>
      <c r="AA388">
        <v>26</v>
      </c>
      <c r="AB388">
        <v>33</v>
      </c>
      <c r="AC388">
        <v>59</v>
      </c>
      <c r="AD388">
        <v>4</v>
      </c>
      <c r="AE388">
        <v>126</v>
      </c>
      <c r="AF388">
        <v>78</v>
      </c>
      <c r="AG388">
        <v>90</v>
      </c>
      <c r="AH388">
        <v>72</v>
      </c>
      <c r="AI388">
        <v>3.19</v>
      </c>
    </row>
    <row r="389" spans="1:35" x14ac:dyDescent="0.5">
      <c r="A389" s="35">
        <v>2012</v>
      </c>
      <c r="B389" t="s">
        <v>95</v>
      </c>
      <c r="C389" t="s">
        <v>149</v>
      </c>
      <c r="D389">
        <v>590</v>
      </c>
      <c r="E389">
        <v>162</v>
      </c>
      <c r="F389">
        <v>7</v>
      </c>
      <c r="G389">
        <v>10</v>
      </c>
      <c r="H389">
        <v>155</v>
      </c>
      <c r="I389">
        <v>43</v>
      </c>
      <c r="J389">
        <v>1442</v>
      </c>
      <c r="K389">
        <v>1378</v>
      </c>
      <c r="L389">
        <v>707</v>
      </c>
      <c r="M389" s="58">
        <f t="shared" si="24"/>
        <v>2012</v>
      </c>
      <c r="N389" s="58" t="s">
        <v>94</v>
      </c>
      <c r="O389" s="58" t="str">
        <f t="shared" si="27"/>
        <v>2012 Texas Rangers</v>
      </c>
      <c r="P389" s="58">
        <v>6067</v>
      </c>
      <c r="Q389" s="58">
        <f t="shared" si="25"/>
        <v>893</v>
      </c>
      <c r="R389" s="58">
        <v>273</v>
      </c>
      <c r="S389" s="58">
        <v>37</v>
      </c>
      <c r="T389" s="58">
        <v>175</v>
      </c>
      <c r="U389" s="58">
        <v>446</v>
      </c>
      <c r="V389" s="58">
        <v>41</v>
      </c>
      <c r="W389" s="58">
        <f t="shared" si="26"/>
        <v>4202</v>
      </c>
      <c r="X389">
        <v>639</v>
      </c>
      <c r="Y389">
        <v>15</v>
      </c>
      <c r="Z389">
        <v>1286</v>
      </c>
      <c r="AA389">
        <v>22</v>
      </c>
      <c r="AB389">
        <v>40</v>
      </c>
      <c r="AC389">
        <v>53</v>
      </c>
      <c r="AD389">
        <v>8</v>
      </c>
      <c r="AE389">
        <v>115</v>
      </c>
      <c r="AF389">
        <v>63</v>
      </c>
      <c r="AG389">
        <v>93</v>
      </c>
      <c r="AH389">
        <v>69</v>
      </c>
      <c r="AI389">
        <v>3.99</v>
      </c>
    </row>
    <row r="390" spans="1:35" x14ac:dyDescent="0.5">
      <c r="A390" s="35">
        <v>2012</v>
      </c>
      <c r="B390" t="s">
        <v>97</v>
      </c>
      <c r="C390" t="s">
        <v>149</v>
      </c>
      <c r="D390">
        <v>657</v>
      </c>
      <c r="E390">
        <v>162</v>
      </c>
      <c r="F390">
        <v>5</v>
      </c>
      <c r="G390">
        <v>11</v>
      </c>
      <c r="H390">
        <v>157</v>
      </c>
      <c r="I390">
        <v>29</v>
      </c>
      <c r="J390">
        <v>1443.2</v>
      </c>
      <c r="K390">
        <v>1439</v>
      </c>
      <c r="L390">
        <v>784</v>
      </c>
      <c r="M390" s="58">
        <f t="shared" si="24"/>
        <v>2012</v>
      </c>
      <c r="N390" s="58" t="s">
        <v>96</v>
      </c>
      <c r="O390" s="58" t="str">
        <f t="shared" si="27"/>
        <v>2012 Toronto Blue Jays</v>
      </c>
      <c r="P390" s="58">
        <v>6216</v>
      </c>
      <c r="Q390" s="58">
        <f t="shared" si="25"/>
        <v>886</v>
      </c>
      <c r="R390" s="58">
        <v>334</v>
      </c>
      <c r="S390" s="58">
        <v>15</v>
      </c>
      <c r="T390" s="58">
        <v>204</v>
      </c>
      <c r="U390" s="58">
        <v>574</v>
      </c>
      <c r="V390" s="58">
        <v>55</v>
      </c>
      <c r="W390" s="58">
        <f t="shared" si="26"/>
        <v>4148</v>
      </c>
      <c r="X390">
        <v>745</v>
      </c>
      <c r="Y390">
        <v>20</v>
      </c>
      <c r="Z390">
        <v>1142</v>
      </c>
      <c r="AA390">
        <v>35</v>
      </c>
      <c r="AB390">
        <v>35</v>
      </c>
      <c r="AC390">
        <v>56</v>
      </c>
      <c r="AD390">
        <v>7</v>
      </c>
      <c r="AE390">
        <v>143</v>
      </c>
      <c r="AF390">
        <v>60</v>
      </c>
      <c r="AG390">
        <v>73</v>
      </c>
      <c r="AH390">
        <v>89</v>
      </c>
      <c r="AI390">
        <v>4.6399999999999997</v>
      </c>
    </row>
    <row r="391" spans="1:35" x14ac:dyDescent="0.5">
      <c r="A391" s="35">
        <v>2012</v>
      </c>
      <c r="B391" t="s">
        <v>101</v>
      </c>
      <c r="C391" t="s">
        <v>38</v>
      </c>
      <c r="D391">
        <v>644</v>
      </c>
      <c r="E391">
        <v>162</v>
      </c>
      <c r="F391">
        <v>3</v>
      </c>
      <c r="G391">
        <v>9</v>
      </c>
      <c r="H391">
        <v>159</v>
      </c>
      <c r="I391">
        <v>51</v>
      </c>
      <c r="J391">
        <v>1468.1</v>
      </c>
      <c r="K391">
        <v>1296</v>
      </c>
      <c r="L391">
        <v>594</v>
      </c>
      <c r="M391" s="58">
        <f t="shared" si="24"/>
        <v>2012</v>
      </c>
      <c r="N391" s="58" t="s">
        <v>100</v>
      </c>
      <c r="O391" s="58" t="str">
        <f t="shared" si="27"/>
        <v>2012 Washington Nationals</v>
      </c>
      <c r="P391" s="58">
        <v>6133</v>
      </c>
      <c r="Q391" s="58">
        <f t="shared" si="25"/>
        <v>842</v>
      </c>
      <c r="R391" s="58">
        <v>293</v>
      </c>
      <c r="S391" s="58">
        <v>32</v>
      </c>
      <c r="T391" s="58">
        <v>129</v>
      </c>
      <c r="U391" s="58">
        <v>497</v>
      </c>
      <c r="V391" s="58">
        <v>47</v>
      </c>
      <c r="W391" s="58">
        <f t="shared" si="26"/>
        <v>4293</v>
      </c>
      <c r="X391">
        <v>543</v>
      </c>
      <c r="Y391">
        <v>32</v>
      </c>
      <c r="Z391">
        <v>1325</v>
      </c>
      <c r="AA391">
        <v>69</v>
      </c>
      <c r="AB391">
        <v>46</v>
      </c>
      <c r="AC391">
        <v>62</v>
      </c>
      <c r="AD391">
        <v>4</v>
      </c>
      <c r="AE391">
        <v>120</v>
      </c>
      <c r="AF391">
        <v>67</v>
      </c>
      <c r="AG391">
        <v>98</v>
      </c>
      <c r="AH391">
        <v>64</v>
      </c>
      <c r="AI391">
        <v>3.33</v>
      </c>
    </row>
    <row r="392" spans="1:35" x14ac:dyDescent="0.5">
      <c r="A392" s="35">
        <v>2013</v>
      </c>
      <c r="B392" t="s">
        <v>37</v>
      </c>
      <c r="C392" t="s">
        <v>149</v>
      </c>
      <c r="D392">
        <v>658</v>
      </c>
      <c r="E392">
        <v>162</v>
      </c>
      <c r="F392">
        <v>4</v>
      </c>
      <c r="G392">
        <v>12</v>
      </c>
      <c r="H392">
        <v>158</v>
      </c>
      <c r="I392">
        <v>41</v>
      </c>
      <c r="J392">
        <v>1457.2</v>
      </c>
      <c r="K392">
        <v>1475</v>
      </c>
      <c r="L392">
        <v>737</v>
      </c>
      <c r="M392" s="58">
        <f t="shared" si="24"/>
        <v>2013</v>
      </c>
      <c r="N392" s="58" t="s">
        <v>36</v>
      </c>
      <c r="O392" s="58" t="str">
        <f t="shared" si="27"/>
        <v>2013 Anaheim Angels</v>
      </c>
      <c r="P392" s="58">
        <v>6298</v>
      </c>
      <c r="Q392" s="58">
        <f t="shared" si="25"/>
        <v>1001</v>
      </c>
      <c r="R392" s="58">
        <v>286</v>
      </c>
      <c r="S392" s="58">
        <v>21</v>
      </c>
      <c r="T392" s="58">
        <v>167</v>
      </c>
      <c r="U392" s="58">
        <v>533</v>
      </c>
      <c r="V392" s="58">
        <v>45</v>
      </c>
      <c r="W392" s="58">
        <f t="shared" si="26"/>
        <v>4245</v>
      </c>
      <c r="X392">
        <v>685</v>
      </c>
      <c r="Y392">
        <v>36</v>
      </c>
      <c r="Z392">
        <v>1200</v>
      </c>
      <c r="AA392">
        <v>37</v>
      </c>
      <c r="AB392">
        <v>35</v>
      </c>
      <c r="AC392">
        <v>74</v>
      </c>
      <c r="AD392">
        <v>4</v>
      </c>
      <c r="AE392">
        <v>118</v>
      </c>
      <c r="AF392">
        <v>64</v>
      </c>
      <c r="AG392">
        <v>78</v>
      </c>
      <c r="AH392">
        <v>84</v>
      </c>
      <c r="AI392">
        <v>4.2300000000000004</v>
      </c>
    </row>
    <row r="393" spans="1:35" x14ac:dyDescent="0.5">
      <c r="A393" s="35">
        <v>2013</v>
      </c>
      <c r="B393" t="s">
        <v>40</v>
      </c>
      <c r="C393" t="s">
        <v>38</v>
      </c>
      <c r="D393">
        <v>689</v>
      </c>
      <c r="E393">
        <v>162</v>
      </c>
      <c r="F393">
        <v>6</v>
      </c>
      <c r="G393">
        <v>7</v>
      </c>
      <c r="H393">
        <v>156</v>
      </c>
      <c r="I393">
        <v>38</v>
      </c>
      <c r="J393">
        <v>1495</v>
      </c>
      <c r="K393">
        <v>1460</v>
      </c>
      <c r="L393">
        <v>695</v>
      </c>
      <c r="M393" s="58">
        <f t="shared" si="24"/>
        <v>2013</v>
      </c>
      <c r="N393" s="58" t="s">
        <v>39</v>
      </c>
      <c r="O393" s="58" t="str">
        <f t="shared" si="27"/>
        <v>2013 Arizona Diamondbacks</v>
      </c>
      <c r="P393" s="58">
        <v>6338</v>
      </c>
      <c r="Q393" s="58">
        <f t="shared" si="25"/>
        <v>959</v>
      </c>
      <c r="R393" s="58">
        <v>299</v>
      </c>
      <c r="S393" s="58">
        <v>26</v>
      </c>
      <c r="T393" s="58">
        <v>176</v>
      </c>
      <c r="U393" s="58">
        <v>485</v>
      </c>
      <c r="V393" s="58">
        <v>60</v>
      </c>
      <c r="W393" s="58">
        <f t="shared" si="26"/>
        <v>4333</v>
      </c>
      <c r="X393">
        <v>651</v>
      </c>
      <c r="Y393">
        <v>42</v>
      </c>
      <c r="Z393">
        <v>1218</v>
      </c>
      <c r="AA393">
        <v>64</v>
      </c>
      <c r="AB393">
        <v>37</v>
      </c>
      <c r="AC393">
        <v>84</v>
      </c>
      <c r="AD393">
        <v>3</v>
      </c>
      <c r="AE393">
        <v>120</v>
      </c>
      <c r="AF393">
        <v>47</v>
      </c>
      <c r="AG393">
        <v>81</v>
      </c>
      <c r="AH393">
        <v>81</v>
      </c>
      <c r="AI393">
        <v>3.92</v>
      </c>
    </row>
    <row r="394" spans="1:35" x14ac:dyDescent="0.5">
      <c r="A394" s="35">
        <v>2013</v>
      </c>
      <c r="B394" t="s">
        <v>42</v>
      </c>
      <c r="C394" t="s">
        <v>38</v>
      </c>
      <c r="D394">
        <v>628</v>
      </c>
      <c r="E394">
        <v>162</v>
      </c>
      <c r="F394">
        <v>1</v>
      </c>
      <c r="G394">
        <v>12</v>
      </c>
      <c r="H394">
        <v>161</v>
      </c>
      <c r="I394">
        <v>53</v>
      </c>
      <c r="J394">
        <v>1450.1</v>
      </c>
      <c r="K394">
        <v>1326</v>
      </c>
      <c r="L394">
        <v>548</v>
      </c>
      <c r="M394" s="58">
        <f t="shared" si="24"/>
        <v>2013</v>
      </c>
      <c r="N394" s="58" t="s">
        <v>41</v>
      </c>
      <c r="O394" s="58" t="str">
        <f t="shared" si="27"/>
        <v>2013 Atlanta Braves</v>
      </c>
      <c r="P394" s="58">
        <v>5989</v>
      </c>
      <c r="Q394" s="58">
        <f t="shared" si="25"/>
        <v>916</v>
      </c>
      <c r="R394" s="58">
        <v>259</v>
      </c>
      <c r="S394" s="58">
        <v>24</v>
      </c>
      <c r="T394" s="58">
        <v>127</v>
      </c>
      <c r="U394" s="58">
        <v>409</v>
      </c>
      <c r="V394" s="58">
        <v>51</v>
      </c>
      <c r="W394" s="58">
        <f t="shared" si="26"/>
        <v>4203</v>
      </c>
      <c r="X394">
        <v>512</v>
      </c>
      <c r="Y394">
        <v>35</v>
      </c>
      <c r="Z394">
        <v>1232</v>
      </c>
      <c r="AA394">
        <v>57</v>
      </c>
      <c r="AB394">
        <v>28</v>
      </c>
      <c r="AC394">
        <v>50</v>
      </c>
      <c r="AD394">
        <v>3</v>
      </c>
      <c r="AE394">
        <v>115</v>
      </c>
      <c r="AF394">
        <v>51</v>
      </c>
      <c r="AG394">
        <v>96</v>
      </c>
      <c r="AH394">
        <v>66</v>
      </c>
      <c r="AI394">
        <v>3.18</v>
      </c>
    </row>
    <row r="395" spans="1:35" x14ac:dyDescent="0.5">
      <c r="A395" s="35">
        <v>2013</v>
      </c>
      <c r="B395" t="s">
        <v>45</v>
      </c>
      <c r="C395" t="s">
        <v>149</v>
      </c>
      <c r="D395">
        <v>635</v>
      </c>
      <c r="E395">
        <v>162</v>
      </c>
      <c r="F395">
        <v>2</v>
      </c>
      <c r="G395">
        <v>6</v>
      </c>
      <c r="H395">
        <v>160</v>
      </c>
      <c r="I395">
        <v>57</v>
      </c>
      <c r="J395">
        <v>1453</v>
      </c>
      <c r="K395">
        <v>1438</v>
      </c>
      <c r="L395">
        <v>709</v>
      </c>
      <c r="M395" s="58">
        <f t="shared" si="24"/>
        <v>2013</v>
      </c>
      <c r="N395" s="58" t="s">
        <v>44</v>
      </c>
      <c r="O395" s="58" t="str">
        <f t="shared" si="27"/>
        <v>2013 Baltimore Orioles</v>
      </c>
      <c r="P395" s="58">
        <v>6144</v>
      </c>
      <c r="Q395" s="58">
        <f t="shared" si="25"/>
        <v>931</v>
      </c>
      <c r="R395" s="58">
        <v>283</v>
      </c>
      <c r="S395" s="58">
        <v>22</v>
      </c>
      <c r="T395" s="58">
        <v>202</v>
      </c>
      <c r="U395" s="58">
        <v>473</v>
      </c>
      <c r="V395" s="58">
        <v>50</v>
      </c>
      <c r="W395" s="58">
        <f t="shared" si="26"/>
        <v>4183</v>
      </c>
      <c r="X395">
        <v>678</v>
      </c>
      <c r="Y395">
        <v>32</v>
      </c>
      <c r="Z395">
        <v>1169</v>
      </c>
      <c r="AA395">
        <v>33</v>
      </c>
      <c r="AB395">
        <v>43</v>
      </c>
      <c r="AC395">
        <v>38</v>
      </c>
      <c r="AD395">
        <v>3</v>
      </c>
      <c r="AE395">
        <v>147</v>
      </c>
      <c r="AF395">
        <v>44</v>
      </c>
      <c r="AG395">
        <v>85</v>
      </c>
      <c r="AH395">
        <v>77</v>
      </c>
      <c r="AI395">
        <v>4.2</v>
      </c>
    </row>
    <row r="396" spans="1:35" x14ac:dyDescent="0.5">
      <c r="A396" s="35">
        <v>2013</v>
      </c>
      <c r="B396" t="s">
        <v>47</v>
      </c>
      <c r="C396" t="s">
        <v>149</v>
      </c>
      <c r="D396">
        <v>612</v>
      </c>
      <c r="E396">
        <v>162</v>
      </c>
      <c r="F396">
        <v>5</v>
      </c>
      <c r="G396">
        <v>8</v>
      </c>
      <c r="H396">
        <v>157</v>
      </c>
      <c r="I396">
        <v>33</v>
      </c>
      <c r="J396">
        <v>1454</v>
      </c>
      <c r="K396">
        <v>1366</v>
      </c>
      <c r="L396">
        <v>656</v>
      </c>
      <c r="M396" s="58">
        <f t="shared" si="24"/>
        <v>2013</v>
      </c>
      <c r="N396" s="58" t="s">
        <v>46</v>
      </c>
      <c r="O396" s="58" t="str">
        <f t="shared" si="27"/>
        <v>2013 Boston Red Sox</v>
      </c>
      <c r="P396" s="58">
        <v>6143</v>
      </c>
      <c r="Q396" s="58">
        <f t="shared" si="25"/>
        <v>903</v>
      </c>
      <c r="R396" s="58">
        <v>281</v>
      </c>
      <c r="S396" s="58">
        <v>26</v>
      </c>
      <c r="T396" s="58">
        <v>156</v>
      </c>
      <c r="U396" s="58">
        <v>524</v>
      </c>
      <c r="V396" s="58">
        <v>47</v>
      </c>
      <c r="W396" s="58">
        <f t="shared" si="26"/>
        <v>4206</v>
      </c>
      <c r="X396">
        <v>613</v>
      </c>
      <c r="Y396">
        <v>10</v>
      </c>
      <c r="Z396">
        <v>1294</v>
      </c>
      <c r="AA396">
        <v>21</v>
      </c>
      <c r="AB396">
        <v>42</v>
      </c>
      <c r="AC396">
        <v>47</v>
      </c>
      <c r="AD396">
        <v>5</v>
      </c>
      <c r="AE396">
        <v>118</v>
      </c>
      <c r="AF396">
        <v>47</v>
      </c>
      <c r="AG396">
        <v>97</v>
      </c>
      <c r="AH396">
        <v>65</v>
      </c>
      <c r="AI396">
        <v>3.79</v>
      </c>
    </row>
    <row r="397" spans="1:35" x14ac:dyDescent="0.5">
      <c r="A397" s="35">
        <v>2013</v>
      </c>
      <c r="B397" t="s">
        <v>143</v>
      </c>
      <c r="C397" t="s">
        <v>38</v>
      </c>
      <c r="D397">
        <v>651</v>
      </c>
      <c r="E397">
        <v>162</v>
      </c>
      <c r="F397">
        <v>3</v>
      </c>
      <c r="G397">
        <v>6</v>
      </c>
      <c r="H397">
        <v>159</v>
      </c>
      <c r="I397">
        <v>39</v>
      </c>
      <c r="J397">
        <v>1448</v>
      </c>
      <c r="K397">
        <v>1332</v>
      </c>
      <c r="L397">
        <v>689</v>
      </c>
      <c r="M397" s="58">
        <f t="shared" si="24"/>
        <v>2013</v>
      </c>
      <c r="N397" s="58" t="s">
        <v>50</v>
      </c>
      <c r="O397" s="58" t="str">
        <f t="shared" si="27"/>
        <v>2013 Chicago Cubs</v>
      </c>
      <c r="P397" s="58">
        <v>6149</v>
      </c>
      <c r="Q397" s="58">
        <f t="shared" si="25"/>
        <v>838</v>
      </c>
      <c r="R397" s="58">
        <v>301</v>
      </c>
      <c r="S397" s="58">
        <v>33</v>
      </c>
      <c r="T397" s="58">
        <v>160</v>
      </c>
      <c r="U397" s="58">
        <v>540</v>
      </c>
      <c r="V397" s="58">
        <v>62</v>
      </c>
      <c r="W397" s="58">
        <f t="shared" si="26"/>
        <v>4215</v>
      </c>
      <c r="X397">
        <v>643</v>
      </c>
      <c r="Y397">
        <v>43</v>
      </c>
      <c r="Z397">
        <v>1184</v>
      </c>
      <c r="AA397">
        <v>62</v>
      </c>
      <c r="AB397">
        <v>35</v>
      </c>
      <c r="AC397">
        <v>59</v>
      </c>
      <c r="AD397">
        <v>4</v>
      </c>
      <c r="AE397">
        <v>106</v>
      </c>
      <c r="AF397">
        <v>71</v>
      </c>
      <c r="AG397">
        <v>66</v>
      </c>
      <c r="AH397">
        <v>96</v>
      </c>
      <c r="AI397">
        <v>4</v>
      </c>
    </row>
    <row r="398" spans="1:35" x14ac:dyDescent="0.5">
      <c r="A398" s="35">
        <v>2013</v>
      </c>
      <c r="B398" t="s">
        <v>143</v>
      </c>
      <c r="C398" t="s">
        <v>149</v>
      </c>
      <c r="D398">
        <v>632</v>
      </c>
      <c r="E398">
        <v>162</v>
      </c>
      <c r="F398">
        <v>5</v>
      </c>
      <c r="G398">
        <v>5</v>
      </c>
      <c r="H398">
        <v>157</v>
      </c>
      <c r="I398">
        <v>40</v>
      </c>
      <c r="J398">
        <v>1455</v>
      </c>
      <c r="K398">
        <v>1424</v>
      </c>
      <c r="L398">
        <v>723</v>
      </c>
      <c r="M398" s="58">
        <f t="shared" si="24"/>
        <v>2013</v>
      </c>
      <c r="N398" s="58" t="s">
        <v>48</v>
      </c>
      <c r="O398" s="58" t="str">
        <f t="shared" si="27"/>
        <v>2013 Chicago White Sox</v>
      </c>
      <c r="P398" s="58">
        <v>6214</v>
      </c>
      <c r="Q398" s="58">
        <f t="shared" si="25"/>
        <v>964</v>
      </c>
      <c r="R398" s="58">
        <v>256</v>
      </c>
      <c r="S398" s="58">
        <v>22</v>
      </c>
      <c r="T398" s="58">
        <v>182</v>
      </c>
      <c r="U398" s="58">
        <v>509</v>
      </c>
      <c r="V398" s="58">
        <v>60</v>
      </c>
      <c r="W398" s="58">
        <f t="shared" si="26"/>
        <v>4221</v>
      </c>
      <c r="X398">
        <v>643</v>
      </c>
      <c r="Y398">
        <v>24</v>
      </c>
      <c r="Z398">
        <v>1249</v>
      </c>
      <c r="AA398">
        <v>33</v>
      </c>
      <c r="AB398">
        <v>48</v>
      </c>
      <c r="AC398">
        <v>62</v>
      </c>
      <c r="AD398">
        <v>4</v>
      </c>
      <c r="AE398">
        <v>129</v>
      </c>
      <c r="AF398">
        <v>72</v>
      </c>
      <c r="AG398">
        <v>63</v>
      </c>
      <c r="AH398">
        <v>99</v>
      </c>
      <c r="AI398">
        <v>3.98</v>
      </c>
    </row>
    <row r="399" spans="1:35" x14ac:dyDescent="0.5">
      <c r="A399" s="35">
        <v>2013</v>
      </c>
      <c r="B399" t="s">
        <v>53</v>
      </c>
      <c r="C399" t="s">
        <v>38</v>
      </c>
      <c r="D399">
        <v>623</v>
      </c>
      <c r="E399">
        <v>162</v>
      </c>
      <c r="F399">
        <v>5</v>
      </c>
      <c r="G399">
        <v>17</v>
      </c>
      <c r="H399">
        <v>157</v>
      </c>
      <c r="I399">
        <v>43</v>
      </c>
      <c r="J399">
        <v>1473.2</v>
      </c>
      <c r="K399">
        <v>1294</v>
      </c>
      <c r="L399">
        <v>589</v>
      </c>
      <c r="M399" s="58">
        <f t="shared" si="24"/>
        <v>2013</v>
      </c>
      <c r="N399" s="58" t="s">
        <v>52</v>
      </c>
      <c r="O399" s="58" t="str">
        <f t="shared" si="27"/>
        <v>2013 Cincinnati Reds</v>
      </c>
      <c r="P399" s="58">
        <v>6077</v>
      </c>
      <c r="Q399" s="58">
        <f t="shared" si="25"/>
        <v>847</v>
      </c>
      <c r="R399" s="58">
        <v>252</v>
      </c>
      <c r="S399" s="58">
        <v>25</v>
      </c>
      <c r="T399" s="58">
        <v>170</v>
      </c>
      <c r="U399" s="58">
        <v>435</v>
      </c>
      <c r="V399" s="58">
        <v>66</v>
      </c>
      <c r="W399" s="58">
        <f t="shared" si="26"/>
        <v>4282</v>
      </c>
      <c r="X399">
        <v>554</v>
      </c>
      <c r="Y399">
        <v>28</v>
      </c>
      <c r="Z399">
        <v>1296</v>
      </c>
      <c r="AA399">
        <v>62</v>
      </c>
      <c r="AB399">
        <v>36</v>
      </c>
      <c r="AC399">
        <v>44</v>
      </c>
      <c r="AD399">
        <v>5</v>
      </c>
      <c r="AE399">
        <v>120</v>
      </c>
      <c r="AF399">
        <v>54</v>
      </c>
      <c r="AG399">
        <v>90</v>
      </c>
      <c r="AH399">
        <v>72</v>
      </c>
      <c r="AI399">
        <v>3.38</v>
      </c>
    </row>
    <row r="400" spans="1:35" x14ac:dyDescent="0.5">
      <c r="A400" s="35">
        <v>2013</v>
      </c>
      <c r="B400" t="s">
        <v>55</v>
      </c>
      <c r="C400" t="s">
        <v>149</v>
      </c>
      <c r="D400">
        <v>702</v>
      </c>
      <c r="E400">
        <v>162</v>
      </c>
      <c r="F400">
        <v>3</v>
      </c>
      <c r="G400">
        <v>16</v>
      </c>
      <c r="H400">
        <v>159</v>
      </c>
      <c r="I400">
        <v>38</v>
      </c>
      <c r="J400">
        <v>1441.1</v>
      </c>
      <c r="K400">
        <v>1359</v>
      </c>
      <c r="L400">
        <v>662</v>
      </c>
      <c r="M400" s="58">
        <f t="shared" si="24"/>
        <v>2013</v>
      </c>
      <c r="N400" s="58" t="s">
        <v>54</v>
      </c>
      <c r="O400" s="58" t="str">
        <f t="shared" si="27"/>
        <v>2013 Cleveland Indians</v>
      </c>
      <c r="P400" s="58">
        <v>6154</v>
      </c>
      <c r="Q400" s="58">
        <f t="shared" si="25"/>
        <v>924</v>
      </c>
      <c r="R400" s="58">
        <v>267</v>
      </c>
      <c r="S400" s="58">
        <v>21</v>
      </c>
      <c r="T400" s="58">
        <v>147</v>
      </c>
      <c r="U400" s="58">
        <v>554</v>
      </c>
      <c r="V400" s="58">
        <v>58</v>
      </c>
      <c r="W400" s="58">
        <f t="shared" si="26"/>
        <v>4183</v>
      </c>
      <c r="X400">
        <v>611</v>
      </c>
      <c r="Y400">
        <v>26</v>
      </c>
      <c r="Z400">
        <v>1379</v>
      </c>
      <c r="AA400">
        <v>38</v>
      </c>
      <c r="AB400">
        <v>36</v>
      </c>
      <c r="AC400">
        <v>71</v>
      </c>
      <c r="AD400">
        <v>3</v>
      </c>
      <c r="AE400">
        <v>118</v>
      </c>
      <c r="AF400">
        <v>64</v>
      </c>
      <c r="AG400">
        <v>92</v>
      </c>
      <c r="AH400">
        <v>70</v>
      </c>
      <c r="AI400">
        <v>3.82</v>
      </c>
    </row>
    <row r="401" spans="1:35" x14ac:dyDescent="0.5">
      <c r="A401" s="35">
        <v>2013</v>
      </c>
      <c r="B401" t="s">
        <v>57</v>
      </c>
      <c r="C401" t="s">
        <v>38</v>
      </c>
      <c r="D401">
        <v>665</v>
      </c>
      <c r="E401">
        <v>162</v>
      </c>
      <c r="F401">
        <v>1</v>
      </c>
      <c r="G401">
        <v>5</v>
      </c>
      <c r="H401">
        <v>161</v>
      </c>
      <c r="I401">
        <v>35</v>
      </c>
      <c r="J401">
        <v>1436</v>
      </c>
      <c r="K401">
        <v>1545</v>
      </c>
      <c r="L401">
        <v>760</v>
      </c>
      <c r="M401" s="58">
        <f t="shared" si="24"/>
        <v>2013</v>
      </c>
      <c r="N401" s="58" t="s">
        <v>56</v>
      </c>
      <c r="O401" s="58" t="str">
        <f t="shared" si="27"/>
        <v>2013 Colorado Rockies</v>
      </c>
      <c r="P401" s="58">
        <v>6248</v>
      </c>
      <c r="Q401" s="58">
        <f t="shared" si="25"/>
        <v>1029</v>
      </c>
      <c r="R401" s="58">
        <v>348</v>
      </c>
      <c r="S401" s="58">
        <v>32</v>
      </c>
      <c r="T401" s="58">
        <v>136</v>
      </c>
      <c r="U401" s="58">
        <v>517</v>
      </c>
      <c r="V401" s="58">
        <v>40</v>
      </c>
      <c r="W401" s="58">
        <f t="shared" si="26"/>
        <v>4146</v>
      </c>
      <c r="X401">
        <v>708</v>
      </c>
      <c r="Y401">
        <v>52</v>
      </c>
      <c r="Z401">
        <v>1064</v>
      </c>
      <c r="AA401">
        <v>59</v>
      </c>
      <c r="AB401">
        <v>46</v>
      </c>
      <c r="AC401">
        <v>62</v>
      </c>
      <c r="AD401">
        <v>15</v>
      </c>
      <c r="AE401">
        <v>139</v>
      </c>
      <c r="AF401">
        <v>58</v>
      </c>
      <c r="AG401">
        <v>74</v>
      </c>
      <c r="AH401">
        <v>88</v>
      </c>
      <c r="AI401">
        <v>4.4400000000000004</v>
      </c>
    </row>
    <row r="402" spans="1:35" x14ac:dyDescent="0.5">
      <c r="A402" s="35">
        <v>2013</v>
      </c>
      <c r="B402" t="s">
        <v>59</v>
      </c>
      <c r="C402" t="s">
        <v>149</v>
      </c>
      <c r="D402">
        <v>590</v>
      </c>
      <c r="E402">
        <v>162</v>
      </c>
      <c r="F402">
        <v>3</v>
      </c>
      <c r="G402">
        <v>12</v>
      </c>
      <c r="H402">
        <v>159</v>
      </c>
      <c r="I402">
        <v>39</v>
      </c>
      <c r="J402">
        <v>1462.2</v>
      </c>
      <c r="K402">
        <v>1369</v>
      </c>
      <c r="L402">
        <v>624</v>
      </c>
      <c r="M402" s="58">
        <f t="shared" si="24"/>
        <v>2013</v>
      </c>
      <c r="N402" s="58" t="s">
        <v>58</v>
      </c>
      <c r="O402" s="58" t="str">
        <f t="shared" si="27"/>
        <v>2013 Detroit Tigers</v>
      </c>
      <c r="P402" s="58">
        <v>6119</v>
      </c>
      <c r="Q402" s="58">
        <f t="shared" si="25"/>
        <v>954</v>
      </c>
      <c r="R402" s="58">
        <v>259</v>
      </c>
      <c r="S402" s="58">
        <v>28</v>
      </c>
      <c r="T402" s="58">
        <v>128</v>
      </c>
      <c r="U402" s="58">
        <v>462</v>
      </c>
      <c r="V402" s="58">
        <v>42</v>
      </c>
      <c r="W402" s="58">
        <f t="shared" si="26"/>
        <v>4246</v>
      </c>
      <c r="X402">
        <v>587</v>
      </c>
      <c r="Y402">
        <v>29</v>
      </c>
      <c r="Z402">
        <v>1428</v>
      </c>
      <c r="AA402">
        <v>33</v>
      </c>
      <c r="AB402">
        <v>42</v>
      </c>
      <c r="AC402">
        <v>63</v>
      </c>
      <c r="AD402">
        <v>7</v>
      </c>
      <c r="AE402">
        <v>117</v>
      </c>
      <c r="AF402">
        <v>41</v>
      </c>
      <c r="AG402">
        <v>93</v>
      </c>
      <c r="AH402">
        <v>69</v>
      </c>
      <c r="AI402">
        <v>3.61</v>
      </c>
    </row>
    <row r="403" spans="1:35" x14ac:dyDescent="0.5">
      <c r="A403" s="35">
        <v>2013</v>
      </c>
      <c r="B403" t="s">
        <v>63</v>
      </c>
      <c r="C403" t="s">
        <v>149</v>
      </c>
      <c r="D403">
        <v>609</v>
      </c>
      <c r="E403">
        <v>162</v>
      </c>
      <c r="F403">
        <v>2</v>
      </c>
      <c r="G403">
        <v>5</v>
      </c>
      <c r="H403">
        <v>160</v>
      </c>
      <c r="I403">
        <v>32</v>
      </c>
      <c r="J403">
        <v>1440</v>
      </c>
      <c r="K403">
        <v>1530</v>
      </c>
      <c r="L403">
        <v>848</v>
      </c>
      <c r="M403" s="58">
        <f t="shared" si="24"/>
        <v>2013</v>
      </c>
      <c r="N403" s="58" t="s">
        <v>60</v>
      </c>
      <c r="O403" s="58" t="str">
        <f t="shared" si="27"/>
        <v>2013 Florida Marlins</v>
      </c>
      <c r="P403" s="58">
        <v>6370</v>
      </c>
      <c r="Q403" s="58">
        <f t="shared" si="25"/>
        <v>984</v>
      </c>
      <c r="R403" s="58">
        <v>314</v>
      </c>
      <c r="S403" s="58">
        <v>41</v>
      </c>
      <c r="T403" s="58">
        <v>191</v>
      </c>
      <c r="U403" s="58">
        <v>616</v>
      </c>
      <c r="V403" s="58">
        <v>56</v>
      </c>
      <c r="W403" s="58">
        <f t="shared" si="26"/>
        <v>4168</v>
      </c>
      <c r="X403">
        <v>766</v>
      </c>
      <c r="Y403">
        <v>32</v>
      </c>
      <c r="Z403">
        <v>1084</v>
      </c>
      <c r="AA403">
        <v>31</v>
      </c>
      <c r="AB403">
        <v>46</v>
      </c>
      <c r="AC403">
        <v>61</v>
      </c>
      <c r="AD403">
        <v>6</v>
      </c>
      <c r="AE403">
        <v>145</v>
      </c>
      <c r="AF403">
        <v>77</v>
      </c>
      <c r="AG403">
        <v>51</v>
      </c>
      <c r="AH403">
        <v>111</v>
      </c>
      <c r="AI403">
        <v>4.79</v>
      </c>
    </row>
    <row r="404" spans="1:35" x14ac:dyDescent="0.5">
      <c r="A404" s="35">
        <v>2013</v>
      </c>
      <c r="B404" t="s">
        <v>150</v>
      </c>
      <c r="C404" t="s">
        <v>149</v>
      </c>
      <c r="D404">
        <v>589</v>
      </c>
      <c r="E404">
        <v>162</v>
      </c>
      <c r="F404">
        <v>5</v>
      </c>
      <c r="G404">
        <v>12</v>
      </c>
      <c r="H404">
        <v>157</v>
      </c>
      <c r="I404">
        <v>52</v>
      </c>
      <c r="J404">
        <v>1448.1</v>
      </c>
      <c r="K404">
        <v>1366</v>
      </c>
      <c r="L404">
        <v>601</v>
      </c>
      <c r="M404" s="58">
        <f t="shared" si="24"/>
        <v>2013</v>
      </c>
      <c r="N404" s="58" t="s">
        <v>62</v>
      </c>
      <c r="O404" s="58" t="str">
        <f t="shared" si="27"/>
        <v>2013 Houston Astros</v>
      </c>
      <c r="P404" s="58">
        <v>6049</v>
      </c>
      <c r="Q404" s="58">
        <f t="shared" si="25"/>
        <v>949</v>
      </c>
      <c r="R404" s="58">
        <v>238</v>
      </c>
      <c r="S404" s="58">
        <v>24</v>
      </c>
      <c r="T404" s="58">
        <v>155</v>
      </c>
      <c r="U404" s="58">
        <v>469</v>
      </c>
      <c r="V404" s="58">
        <v>41</v>
      </c>
      <c r="W404" s="58">
        <f t="shared" si="26"/>
        <v>4173</v>
      </c>
      <c r="X404">
        <v>555</v>
      </c>
      <c r="Y404">
        <v>21</v>
      </c>
      <c r="Z404">
        <v>1208</v>
      </c>
      <c r="AA404">
        <v>25</v>
      </c>
      <c r="AB404">
        <v>47</v>
      </c>
      <c r="AC404">
        <v>60</v>
      </c>
      <c r="AD404">
        <v>4</v>
      </c>
      <c r="AE404">
        <v>120</v>
      </c>
      <c r="AF404">
        <v>50</v>
      </c>
      <c r="AG404">
        <v>86</v>
      </c>
      <c r="AH404">
        <v>76</v>
      </c>
      <c r="AI404">
        <v>3.45</v>
      </c>
    </row>
    <row r="405" spans="1:35" x14ac:dyDescent="0.5">
      <c r="A405" s="35">
        <v>2013</v>
      </c>
      <c r="B405" t="s">
        <v>145</v>
      </c>
      <c r="C405" t="s">
        <v>38</v>
      </c>
      <c r="D405">
        <v>666</v>
      </c>
      <c r="E405">
        <v>162</v>
      </c>
      <c r="F405">
        <v>7</v>
      </c>
      <c r="G405">
        <v>22</v>
      </c>
      <c r="H405">
        <v>155</v>
      </c>
      <c r="I405">
        <v>46</v>
      </c>
      <c r="J405">
        <v>1450.1</v>
      </c>
      <c r="K405">
        <v>1321</v>
      </c>
      <c r="L405">
        <v>582</v>
      </c>
      <c r="M405" s="58">
        <f t="shared" si="24"/>
        <v>2013</v>
      </c>
      <c r="N405" s="58" t="s">
        <v>64</v>
      </c>
      <c r="O405" s="58" t="str">
        <f t="shared" si="27"/>
        <v>2013 Kansas City Royals</v>
      </c>
      <c r="P405" s="58">
        <v>6032</v>
      </c>
      <c r="Q405" s="58">
        <f t="shared" si="25"/>
        <v>933</v>
      </c>
      <c r="R405" s="58">
        <v>243</v>
      </c>
      <c r="S405" s="58">
        <v>18</v>
      </c>
      <c r="T405" s="58">
        <v>127</v>
      </c>
      <c r="U405" s="58">
        <v>460</v>
      </c>
      <c r="V405" s="58">
        <v>43</v>
      </c>
      <c r="W405" s="58">
        <f t="shared" si="26"/>
        <v>4208</v>
      </c>
      <c r="X405">
        <v>524</v>
      </c>
      <c r="Y405">
        <v>44</v>
      </c>
      <c r="Z405">
        <v>1292</v>
      </c>
      <c r="AA405">
        <v>64</v>
      </c>
      <c r="AB405">
        <v>29</v>
      </c>
      <c r="AC405">
        <v>66</v>
      </c>
      <c r="AD405">
        <v>3</v>
      </c>
      <c r="AE405">
        <v>137</v>
      </c>
      <c r="AF405">
        <v>81</v>
      </c>
      <c r="AG405">
        <v>92</v>
      </c>
      <c r="AH405">
        <v>70</v>
      </c>
      <c r="AI405">
        <v>3.25</v>
      </c>
    </row>
    <row r="406" spans="1:35" x14ac:dyDescent="0.5">
      <c r="A406" s="35">
        <v>2013</v>
      </c>
      <c r="B406" t="s">
        <v>104</v>
      </c>
      <c r="C406" t="s">
        <v>38</v>
      </c>
      <c r="D406">
        <v>633</v>
      </c>
      <c r="E406">
        <v>162</v>
      </c>
      <c r="F406">
        <v>2</v>
      </c>
      <c r="G406">
        <v>13</v>
      </c>
      <c r="H406">
        <v>160</v>
      </c>
      <c r="I406">
        <v>36</v>
      </c>
      <c r="J406">
        <v>1460</v>
      </c>
      <c r="K406">
        <v>1376</v>
      </c>
      <c r="L406">
        <v>646</v>
      </c>
      <c r="M406" s="58">
        <f t="shared" si="24"/>
        <v>2013</v>
      </c>
      <c r="N406" s="58" t="s">
        <v>66</v>
      </c>
      <c r="O406" s="58" t="str">
        <f t="shared" si="27"/>
        <v>2013 Los Angeles Dodgers</v>
      </c>
      <c r="P406" s="58">
        <v>6166</v>
      </c>
      <c r="Q406" s="58">
        <f t="shared" si="25"/>
        <v>937</v>
      </c>
      <c r="R406" s="58">
        <v>270</v>
      </c>
      <c r="S406" s="58">
        <v>48</v>
      </c>
      <c r="T406" s="58">
        <v>121</v>
      </c>
      <c r="U406" s="58">
        <v>526</v>
      </c>
      <c r="V406" s="58">
        <v>47</v>
      </c>
      <c r="W406" s="58">
        <f t="shared" si="26"/>
        <v>4217</v>
      </c>
      <c r="X406">
        <v>602</v>
      </c>
      <c r="Y406">
        <v>58</v>
      </c>
      <c r="Z406">
        <v>1177</v>
      </c>
      <c r="AA406">
        <v>63</v>
      </c>
      <c r="AB406">
        <v>46</v>
      </c>
      <c r="AC406">
        <v>53</v>
      </c>
      <c r="AD406">
        <v>2</v>
      </c>
      <c r="AE406">
        <v>125</v>
      </c>
      <c r="AF406">
        <v>48</v>
      </c>
      <c r="AG406">
        <v>62</v>
      </c>
      <c r="AH406">
        <v>100</v>
      </c>
      <c r="AI406">
        <v>3.71</v>
      </c>
    </row>
    <row r="407" spans="1:35" x14ac:dyDescent="0.5">
      <c r="A407" s="35">
        <v>2013</v>
      </c>
      <c r="B407" t="s">
        <v>69</v>
      </c>
      <c r="C407" t="s">
        <v>38</v>
      </c>
      <c r="D407">
        <v>663</v>
      </c>
      <c r="E407">
        <v>162</v>
      </c>
      <c r="F407">
        <v>4</v>
      </c>
      <c r="G407">
        <v>15</v>
      </c>
      <c r="H407">
        <v>158</v>
      </c>
      <c r="I407">
        <v>40</v>
      </c>
      <c r="J407">
        <v>1442.2</v>
      </c>
      <c r="K407">
        <v>1401</v>
      </c>
      <c r="L407">
        <v>687</v>
      </c>
      <c r="M407" s="58">
        <f t="shared" si="24"/>
        <v>2013</v>
      </c>
      <c r="N407" s="58" t="s">
        <v>68</v>
      </c>
      <c r="O407" s="58" t="str">
        <f t="shared" si="27"/>
        <v>2013 Milwaukee Brewers</v>
      </c>
      <c r="P407" s="58">
        <v>6100</v>
      </c>
      <c r="Q407" s="58">
        <f t="shared" si="25"/>
        <v>994</v>
      </c>
      <c r="R407" s="58">
        <v>215</v>
      </c>
      <c r="S407" s="58">
        <v>17</v>
      </c>
      <c r="T407" s="58">
        <v>175</v>
      </c>
      <c r="U407" s="58">
        <v>466</v>
      </c>
      <c r="V407" s="58">
        <v>43</v>
      </c>
      <c r="W407" s="58">
        <f t="shared" si="26"/>
        <v>4190</v>
      </c>
      <c r="X407">
        <v>615</v>
      </c>
      <c r="Y407">
        <v>29</v>
      </c>
      <c r="Z407">
        <v>1125</v>
      </c>
      <c r="AA407">
        <v>64</v>
      </c>
      <c r="AB407">
        <v>40</v>
      </c>
      <c r="AC407">
        <v>51</v>
      </c>
      <c r="AD407">
        <v>2</v>
      </c>
      <c r="AE407">
        <v>125</v>
      </c>
      <c r="AF407">
        <v>80</v>
      </c>
      <c r="AG407">
        <v>74</v>
      </c>
      <c r="AH407">
        <v>88</v>
      </c>
      <c r="AI407">
        <v>3.84</v>
      </c>
    </row>
    <row r="408" spans="1:35" x14ac:dyDescent="0.5">
      <c r="A408" s="35">
        <v>2013</v>
      </c>
      <c r="B408" t="s">
        <v>71</v>
      </c>
      <c r="C408" t="s">
        <v>149</v>
      </c>
      <c r="D408">
        <v>673</v>
      </c>
      <c r="E408">
        <v>162</v>
      </c>
      <c r="F408">
        <v>1</v>
      </c>
      <c r="G408">
        <v>7</v>
      </c>
      <c r="H408">
        <v>161</v>
      </c>
      <c r="I408">
        <v>40</v>
      </c>
      <c r="J408">
        <v>1450.1</v>
      </c>
      <c r="K408">
        <v>1591</v>
      </c>
      <c r="L408">
        <v>788</v>
      </c>
      <c r="M408" s="58">
        <f t="shared" si="24"/>
        <v>2013</v>
      </c>
      <c r="N408" s="58" t="s">
        <v>70</v>
      </c>
      <c r="O408" s="58" t="str">
        <f t="shared" si="27"/>
        <v>2013 Minnesota Twins</v>
      </c>
      <c r="P408" s="58">
        <v>6257</v>
      </c>
      <c r="Q408" s="58">
        <f t="shared" si="25"/>
        <v>1083</v>
      </c>
      <c r="R408" s="58">
        <v>310</v>
      </c>
      <c r="S408" s="58">
        <v>30</v>
      </c>
      <c r="T408" s="58">
        <v>168</v>
      </c>
      <c r="U408" s="58">
        <v>458</v>
      </c>
      <c r="V408" s="58">
        <v>44</v>
      </c>
      <c r="W408" s="58">
        <f t="shared" si="26"/>
        <v>4164</v>
      </c>
      <c r="X408">
        <v>733</v>
      </c>
      <c r="Y408">
        <v>31</v>
      </c>
      <c r="Z408">
        <v>985</v>
      </c>
      <c r="AA408">
        <v>27</v>
      </c>
      <c r="AB408">
        <v>49</v>
      </c>
      <c r="AC408">
        <v>50</v>
      </c>
      <c r="AD408">
        <v>4</v>
      </c>
      <c r="AE408">
        <v>147</v>
      </c>
      <c r="AF408">
        <v>56</v>
      </c>
      <c r="AG408">
        <v>66</v>
      </c>
      <c r="AH408">
        <v>96</v>
      </c>
      <c r="AI408">
        <v>4.55</v>
      </c>
    </row>
    <row r="409" spans="1:35" x14ac:dyDescent="0.5">
      <c r="A409" s="35">
        <v>2013</v>
      </c>
      <c r="B409" t="s">
        <v>144</v>
      </c>
      <c r="C409" t="s">
        <v>38</v>
      </c>
      <c r="D409">
        <v>696</v>
      </c>
      <c r="E409">
        <v>162</v>
      </c>
      <c r="F409">
        <v>4</v>
      </c>
      <c r="G409">
        <v>10</v>
      </c>
      <c r="H409">
        <v>158</v>
      </c>
      <c r="I409">
        <v>40</v>
      </c>
      <c r="J409">
        <v>1476.2</v>
      </c>
      <c r="K409">
        <v>1442</v>
      </c>
      <c r="L409">
        <v>684</v>
      </c>
      <c r="M409" s="58">
        <f t="shared" si="24"/>
        <v>2013</v>
      </c>
      <c r="N409" s="58" t="s">
        <v>76</v>
      </c>
      <c r="O409" s="58" t="str">
        <f t="shared" si="27"/>
        <v>2013 New York Mets</v>
      </c>
      <c r="P409" s="58">
        <v>6249</v>
      </c>
      <c r="Q409" s="58">
        <f t="shared" si="25"/>
        <v>999</v>
      </c>
      <c r="R409" s="58">
        <v>272</v>
      </c>
      <c r="S409" s="58">
        <v>19</v>
      </c>
      <c r="T409" s="58">
        <v>152</v>
      </c>
      <c r="U409" s="58">
        <v>458</v>
      </c>
      <c r="V409" s="58">
        <v>54</v>
      </c>
      <c r="W409" s="58">
        <f t="shared" si="26"/>
        <v>4295</v>
      </c>
      <c r="X409">
        <v>618</v>
      </c>
      <c r="Y409">
        <v>38</v>
      </c>
      <c r="Z409">
        <v>1209</v>
      </c>
      <c r="AA409">
        <v>66</v>
      </c>
      <c r="AB409">
        <v>48</v>
      </c>
      <c r="AC409">
        <v>47</v>
      </c>
      <c r="AD409">
        <v>3</v>
      </c>
      <c r="AE409">
        <v>116</v>
      </c>
      <c r="AF409">
        <v>67</v>
      </c>
      <c r="AG409">
        <v>74</v>
      </c>
      <c r="AH409">
        <v>88</v>
      </c>
      <c r="AI409">
        <v>3.77</v>
      </c>
    </row>
    <row r="410" spans="1:35" x14ac:dyDescent="0.5">
      <c r="A410" s="35">
        <v>2013</v>
      </c>
      <c r="B410" t="s">
        <v>144</v>
      </c>
      <c r="C410" t="s">
        <v>149</v>
      </c>
      <c r="D410">
        <v>590</v>
      </c>
      <c r="E410">
        <v>162</v>
      </c>
      <c r="F410">
        <v>7</v>
      </c>
      <c r="G410">
        <v>10</v>
      </c>
      <c r="H410">
        <v>155</v>
      </c>
      <c r="I410">
        <v>49</v>
      </c>
      <c r="J410">
        <v>1447.1</v>
      </c>
      <c r="K410">
        <v>1452</v>
      </c>
      <c r="L410">
        <v>671</v>
      </c>
      <c r="M410" s="58">
        <f t="shared" si="24"/>
        <v>2013</v>
      </c>
      <c r="N410" s="58" t="s">
        <v>74</v>
      </c>
      <c r="O410" s="58" t="str">
        <f t="shared" si="27"/>
        <v>2013 New York Yankees</v>
      </c>
      <c r="P410" s="58">
        <v>6128</v>
      </c>
      <c r="Q410" s="58">
        <f t="shared" si="25"/>
        <v>964</v>
      </c>
      <c r="R410" s="58">
        <v>303</v>
      </c>
      <c r="S410" s="58">
        <v>14</v>
      </c>
      <c r="T410" s="58">
        <v>171</v>
      </c>
      <c r="U410" s="58">
        <v>437</v>
      </c>
      <c r="V410" s="58">
        <v>51</v>
      </c>
      <c r="W410" s="58">
        <f t="shared" si="26"/>
        <v>4188</v>
      </c>
      <c r="X410">
        <v>633</v>
      </c>
      <c r="Y410">
        <v>34</v>
      </c>
      <c r="Z410">
        <v>1233</v>
      </c>
      <c r="AA410">
        <v>29</v>
      </c>
      <c r="AB410">
        <v>46</v>
      </c>
      <c r="AC410">
        <v>57</v>
      </c>
      <c r="AD410">
        <v>1</v>
      </c>
      <c r="AE410">
        <v>117</v>
      </c>
      <c r="AF410">
        <v>46</v>
      </c>
      <c r="AG410">
        <v>85</v>
      </c>
      <c r="AH410">
        <v>77</v>
      </c>
      <c r="AI410">
        <v>3.94</v>
      </c>
    </row>
    <row r="411" spans="1:35" x14ac:dyDescent="0.5">
      <c r="A411" s="35">
        <v>2013</v>
      </c>
      <c r="B411" t="s">
        <v>79</v>
      </c>
      <c r="C411" t="s">
        <v>149</v>
      </c>
      <c r="D411">
        <v>609</v>
      </c>
      <c r="E411">
        <v>162</v>
      </c>
      <c r="F411">
        <v>6</v>
      </c>
      <c r="G411">
        <v>13</v>
      </c>
      <c r="H411">
        <v>156</v>
      </c>
      <c r="I411">
        <v>46</v>
      </c>
      <c r="J411">
        <v>1452</v>
      </c>
      <c r="K411">
        <v>1339</v>
      </c>
      <c r="L411">
        <v>625</v>
      </c>
      <c r="M411" s="58">
        <f t="shared" si="24"/>
        <v>2013</v>
      </c>
      <c r="N411" s="58" t="s">
        <v>78</v>
      </c>
      <c r="O411" s="58" t="str">
        <f t="shared" si="27"/>
        <v>2013 Oakland Athletics</v>
      </c>
      <c r="P411" s="58">
        <v>6069</v>
      </c>
      <c r="Q411" s="58">
        <f t="shared" si="25"/>
        <v>928</v>
      </c>
      <c r="R411" s="58">
        <v>229</v>
      </c>
      <c r="S411" s="58">
        <v>19</v>
      </c>
      <c r="T411" s="58">
        <v>163</v>
      </c>
      <c r="U411" s="58">
        <v>428</v>
      </c>
      <c r="V411" s="58">
        <v>35</v>
      </c>
      <c r="W411" s="58">
        <f t="shared" si="26"/>
        <v>4267</v>
      </c>
      <c r="X411">
        <v>574</v>
      </c>
      <c r="Y411">
        <v>23</v>
      </c>
      <c r="Z411">
        <v>1183</v>
      </c>
      <c r="AA411">
        <v>35</v>
      </c>
      <c r="AB411">
        <v>42</v>
      </c>
      <c r="AC411">
        <v>56</v>
      </c>
      <c r="AD411">
        <v>1</v>
      </c>
      <c r="AE411">
        <v>96</v>
      </c>
      <c r="AF411">
        <v>72</v>
      </c>
      <c r="AG411">
        <v>96</v>
      </c>
      <c r="AH411">
        <v>66</v>
      </c>
      <c r="AI411">
        <v>3.56</v>
      </c>
    </row>
    <row r="412" spans="1:35" x14ac:dyDescent="0.5">
      <c r="A412" s="35">
        <v>2013</v>
      </c>
      <c r="B412" t="s">
        <v>81</v>
      </c>
      <c r="C412" t="s">
        <v>38</v>
      </c>
      <c r="D412">
        <v>628</v>
      </c>
      <c r="E412">
        <v>162</v>
      </c>
      <c r="F412">
        <v>6</v>
      </c>
      <c r="G412">
        <v>3</v>
      </c>
      <c r="H412">
        <v>156</v>
      </c>
      <c r="I412">
        <v>32</v>
      </c>
      <c r="J412">
        <v>1436.1</v>
      </c>
      <c r="K412">
        <v>1465</v>
      </c>
      <c r="L412">
        <v>749</v>
      </c>
      <c r="M412" s="58">
        <f t="shared" si="24"/>
        <v>2013</v>
      </c>
      <c r="N412" s="58" t="s">
        <v>80</v>
      </c>
      <c r="O412" s="58" t="str">
        <f t="shared" si="27"/>
        <v>2013 Philadelphia Phillies</v>
      </c>
      <c r="P412" s="58">
        <v>6213</v>
      </c>
      <c r="Q412" s="58">
        <f t="shared" si="25"/>
        <v>969</v>
      </c>
      <c r="R412" s="58">
        <v>308</v>
      </c>
      <c r="S412" s="58">
        <v>36</v>
      </c>
      <c r="T412" s="58">
        <v>152</v>
      </c>
      <c r="U412" s="58">
        <v>506</v>
      </c>
      <c r="V412" s="58">
        <v>62</v>
      </c>
      <c r="W412" s="58">
        <f t="shared" si="26"/>
        <v>4180</v>
      </c>
      <c r="X412">
        <v>689</v>
      </c>
      <c r="Y412">
        <v>33</v>
      </c>
      <c r="Z412">
        <v>1199</v>
      </c>
      <c r="AA412">
        <v>63</v>
      </c>
      <c r="AB412">
        <v>43</v>
      </c>
      <c r="AC412">
        <v>48</v>
      </c>
      <c r="AD412">
        <v>6</v>
      </c>
      <c r="AE412">
        <v>122</v>
      </c>
      <c r="AF412">
        <v>71</v>
      </c>
      <c r="AG412">
        <v>73</v>
      </c>
      <c r="AH412">
        <v>89</v>
      </c>
      <c r="AI412">
        <v>4.32</v>
      </c>
    </row>
    <row r="413" spans="1:35" x14ac:dyDescent="0.5">
      <c r="A413" s="35">
        <v>2013</v>
      </c>
      <c r="B413" t="s">
        <v>83</v>
      </c>
      <c r="C413" t="s">
        <v>38</v>
      </c>
      <c r="D413">
        <v>627</v>
      </c>
      <c r="E413">
        <v>162</v>
      </c>
      <c r="F413">
        <v>3</v>
      </c>
      <c r="G413">
        <v>16</v>
      </c>
      <c r="H413">
        <v>159</v>
      </c>
      <c r="I413">
        <v>55</v>
      </c>
      <c r="J413">
        <v>1470.2</v>
      </c>
      <c r="K413">
        <v>1299</v>
      </c>
      <c r="L413">
        <v>577</v>
      </c>
      <c r="M413" s="58">
        <f t="shared" si="24"/>
        <v>2013</v>
      </c>
      <c r="N413" s="58" t="s">
        <v>82</v>
      </c>
      <c r="O413" s="58" t="str">
        <f t="shared" si="27"/>
        <v>2013 Pittsburgh Pirates</v>
      </c>
      <c r="P413" s="58">
        <v>6147</v>
      </c>
      <c r="Q413" s="58">
        <f t="shared" si="25"/>
        <v>956</v>
      </c>
      <c r="R413" s="58">
        <v>223</v>
      </c>
      <c r="S413" s="58">
        <v>19</v>
      </c>
      <c r="T413" s="58">
        <v>101</v>
      </c>
      <c r="U413" s="58">
        <v>515</v>
      </c>
      <c r="V413" s="58">
        <v>70</v>
      </c>
      <c r="W413" s="58">
        <f t="shared" si="26"/>
        <v>4263</v>
      </c>
      <c r="X413">
        <v>533</v>
      </c>
      <c r="Y413">
        <v>26</v>
      </c>
      <c r="Z413">
        <v>1261</v>
      </c>
      <c r="AA413">
        <v>54</v>
      </c>
      <c r="AB413">
        <v>40</v>
      </c>
      <c r="AC413">
        <v>81</v>
      </c>
      <c r="AD413">
        <v>6</v>
      </c>
      <c r="AE413">
        <v>134</v>
      </c>
      <c r="AF413">
        <v>74</v>
      </c>
      <c r="AG413">
        <v>94</v>
      </c>
      <c r="AH413">
        <v>68</v>
      </c>
      <c r="AI413">
        <v>3.26</v>
      </c>
    </row>
    <row r="414" spans="1:35" x14ac:dyDescent="0.5">
      <c r="A414" s="35">
        <v>2013</v>
      </c>
      <c r="B414" t="s">
        <v>147</v>
      </c>
      <c r="C414" t="s">
        <v>38</v>
      </c>
      <c r="D414">
        <v>650</v>
      </c>
      <c r="E414">
        <v>162</v>
      </c>
      <c r="F414">
        <v>3</v>
      </c>
      <c r="G414">
        <v>6</v>
      </c>
      <c r="H414">
        <v>159</v>
      </c>
      <c r="I414">
        <v>40</v>
      </c>
      <c r="J414">
        <v>1455</v>
      </c>
      <c r="K414">
        <v>1407</v>
      </c>
      <c r="L414">
        <v>700</v>
      </c>
      <c r="M414" s="58">
        <f t="shared" si="24"/>
        <v>2013</v>
      </c>
      <c r="N414" s="58" t="s">
        <v>84</v>
      </c>
      <c r="O414" s="58" t="str">
        <f t="shared" si="27"/>
        <v>2013 San Diego Padres</v>
      </c>
      <c r="P414" s="58">
        <v>6179</v>
      </c>
      <c r="Q414" s="58">
        <f t="shared" si="25"/>
        <v>943</v>
      </c>
      <c r="R414" s="58">
        <v>270</v>
      </c>
      <c r="S414" s="58">
        <v>38</v>
      </c>
      <c r="T414" s="58">
        <v>156</v>
      </c>
      <c r="U414" s="58">
        <v>525</v>
      </c>
      <c r="V414" s="58">
        <v>40</v>
      </c>
      <c r="W414" s="58">
        <f t="shared" si="26"/>
        <v>4207</v>
      </c>
      <c r="X414">
        <v>643</v>
      </c>
      <c r="Y414">
        <v>31</v>
      </c>
      <c r="Z414">
        <v>1171</v>
      </c>
      <c r="AA414">
        <v>64</v>
      </c>
      <c r="AB414">
        <v>39</v>
      </c>
      <c r="AC414">
        <v>51</v>
      </c>
      <c r="AD414">
        <v>2</v>
      </c>
      <c r="AE414">
        <v>106</v>
      </c>
      <c r="AF414">
        <v>50</v>
      </c>
      <c r="AG414">
        <v>76</v>
      </c>
      <c r="AH414">
        <v>86</v>
      </c>
      <c r="AI414">
        <v>3.98</v>
      </c>
    </row>
    <row r="415" spans="1:35" x14ac:dyDescent="0.5">
      <c r="A415" s="35">
        <v>2013</v>
      </c>
      <c r="B415" t="s">
        <v>87</v>
      </c>
      <c r="C415" t="s">
        <v>149</v>
      </c>
      <c r="D415">
        <v>610</v>
      </c>
      <c r="E415">
        <v>162</v>
      </c>
      <c r="F415">
        <v>4</v>
      </c>
      <c r="G415">
        <v>14</v>
      </c>
      <c r="H415">
        <v>158</v>
      </c>
      <c r="I415">
        <v>43</v>
      </c>
      <c r="J415">
        <v>1465</v>
      </c>
      <c r="K415">
        <v>1467</v>
      </c>
      <c r="L415">
        <v>754</v>
      </c>
      <c r="M415" s="58">
        <f t="shared" si="24"/>
        <v>2013</v>
      </c>
      <c r="N415" s="58" t="s">
        <v>86</v>
      </c>
      <c r="O415" s="58" t="str">
        <f t="shared" si="27"/>
        <v>2013 Seattle Mariners</v>
      </c>
      <c r="P415" s="58">
        <v>6257</v>
      </c>
      <c r="Q415" s="58">
        <f t="shared" si="25"/>
        <v>951</v>
      </c>
      <c r="R415" s="58">
        <v>315</v>
      </c>
      <c r="S415" s="58">
        <v>27</v>
      </c>
      <c r="T415" s="58">
        <v>174</v>
      </c>
      <c r="U415" s="58">
        <v>478</v>
      </c>
      <c r="V415" s="58">
        <v>42</v>
      </c>
      <c r="W415" s="58">
        <f t="shared" si="26"/>
        <v>4270</v>
      </c>
      <c r="X415">
        <v>702</v>
      </c>
      <c r="Y415">
        <v>48</v>
      </c>
      <c r="Z415">
        <v>1297</v>
      </c>
      <c r="AA415">
        <v>31</v>
      </c>
      <c r="AB415">
        <v>47</v>
      </c>
      <c r="AC415">
        <v>74</v>
      </c>
      <c r="AD415">
        <v>1</v>
      </c>
      <c r="AE415">
        <v>128</v>
      </c>
      <c r="AF415">
        <v>73</v>
      </c>
      <c r="AG415">
        <v>71</v>
      </c>
      <c r="AH415">
        <v>91</v>
      </c>
      <c r="AI415">
        <v>4.3099999999999996</v>
      </c>
    </row>
    <row r="416" spans="1:35" x14ac:dyDescent="0.5">
      <c r="A416" s="35">
        <v>2013</v>
      </c>
      <c r="B416" t="s">
        <v>21</v>
      </c>
      <c r="C416" t="s">
        <v>38</v>
      </c>
      <c r="D416">
        <v>686</v>
      </c>
      <c r="E416">
        <v>162</v>
      </c>
      <c r="F416">
        <v>2</v>
      </c>
      <c r="G416">
        <v>13</v>
      </c>
      <c r="H416">
        <v>160</v>
      </c>
      <c r="I416">
        <v>41</v>
      </c>
      <c r="J416">
        <v>1447.1</v>
      </c>
      <c r="K416">
        <v>1380</v>
      </c>
      <c r="L416">
        <v>691</v>
      </c>
      <c r="M416" s="58">
        <f t="shared" si="24"/>
        <v>2013</v>
      </c>
      <c r="N416" s="58" t="s">
        <v>88</v>
      </c>
      <c r="O416" s="58" t="str">
        <f t="shared" si="27"/>
        <v>2013 San Francisco Giants</v>
      </c>
      <c r="P416" s="58">
        <v>6163</v>
      </c>
      <c r="Q416" s="58">
        <f t="shared" si="25"/>
        <v>933</v>
      </c>
      <c r="R416" s="58">
        <v>277</v>
      </c>
      <c r="S416" s="58">
        <v>25</v>
      </c>
      <c r="T416" s="58">
        <v>145</v>
      </c>
      <c r="U416" s="58">
        <v>521</v>
      </c>
      <c r="V416" s="58">
        <v>50</v>
      </c>
      <c r="W416" s="58">
        <f t="shared" si="26"/>
        <v>4212</v>
      </c>
      <c r="X416">
        <v>643</v>
      </c>
      <c r="Y416">
        <v>64</v>
      </c>
      <c r="Z416">
        <v>1256</v>
      </c>
      <c r="AA416">
        <v>61</v>
      </c>
      <c r="AB416">
        <v>38</v>
      </c>
      <c r="AC416">
        <v>60</v>
      </c>
      <c r="AD416">
        <v>4</v>
      </c>
      <c r="AE416">
        <v>112</v>
      </c>
      <c r="AF416">
        <v>63</v>
      </c>
      <c r="AG416">
        <v>76</v>
      </c>
      <c r="AH416">
        <v>86</v>
      </c>
      <c r="AI416">
        <v>4</v>
      </c>
    </row>
    <row r="417" spans="1:35" x14ac:dyDescent="0.5">
      <c r="A417" s="35">
        <v>2013</v>
      </c>
      <c r="B417" t="s">
        <v>142</v>
      </c>
      <c r="C417" t="s">
        <v>38</v>
      </c>
      <c r="D417">
        <v>645</v>
      </c>
      <c r="E417">
        <v>162</v>
      </c>
      <c r="F417">
        <v>7</v>
      </c>
      <c r="G417">
        <v>15</v>
      </c>
      <c r="H417">
        <v>155</v>
      </c>
      <c r="I417">
        <v>44</v>
      </c>
      <c r="J417">
        <v>1459.2</v>
      </c>
      <c r="K417">
        <v>1366</v>
      </c>
      <c r="L417">
        <v>596</v>
      </c>
      <c r="M417" s="58">
        <f t="shared" si="24"/>
        <v>2013</v>
      </c>
      <c r="N417" s="58" t="s">
        <v>90</v>
      </c>
      <c r="O417" s="58" t="str">
        <f t="shared" si="27"/>
        <v>2013 St. Louis Cardinals</v>
      </c>
      <c r="P417" s="58">
        <v>6104</v>
      </c>
      <c r="Q417" s="58">
        <f t="shared" si="25"/>
        <v>962</v>
      </c>
      <c r="R417" s="58">
        <v>263</v>
      </c>
      <c r="S417" s="58">
        <v>29</v>
      </c>
      <c r="T417" s="58">
        <v>112</v>
      </c>
      <c r="U417" s="58">
        <v>451</v>
      </c>
      <c r="V417" s="58">
        <v>64</v>
      </c>
      <c r="W417" s="58">
        <f t="shared" si="26"/>
        <v>4223</v>
      </c>
      <c r="X417">
        <v>555</v>
      </c>
      <c r="Y417">
        <v>26</v>
      </c>
      <c r="Z417">
        <v>1254</v>
      </c>
      <c r="AA417">
        <v>63</v>
      </c>
      <c r="AB417">
        <v>32</v>
      </c>
      <c r="AC417">
        <v>33</v>
      </c>
      <c r="AD417">
        <v>1</v>
      </c>
      <c r="AE417">
        <v>160</v>
      </c>
      <c r="AF417">
        <v>51</v>
      </c>
      <c r="AG417">
        <v>97</v>
      </c>
      <c r="AH417">
        <v>65</v>
      </c>
      <c r="AI417">
        <v>3.42</v>
      </c>
    </row>
    <row r="418" spans="1:35" x14ac:dyDescent="0.5">
      <c r="A418" s="35">
        <v>2013</v>
      </c>
      <c r="B418" t="s">
        <v>151</v>
      </c>
      <c r="C418" t="s">
        <v>149</v>
      </c>
      <c r="D418">
        <v>648</v>
      </c>
      <c r="E418">
        <v>163</v>
      </c>
      <c r="F418">
        <v>9</v>
      </c>
      <c r="G418">
        <v>17</v>
      </c>
      <c r="H418">
        <v>154</v>
      </c>
      <c r="I418">
        <v>42</v>
      </c>
      <c r="J418">
        <v>1464</v>
      </c>
      <c r="K418">
        <v>1315</v>
      </c>
      <c r="L418">
        <v>646</v>
      </c>
      <c r="M418" s="58">
        <f t="shared" si="24"/>
        <v>2013</v>
      </c>
      <c r="N418" s="58" t="s">
        <v>92</v>
      </c>
      <c r="O418" s="58" t="str">
        <f t="shared" si="27"/>
        <v>2013 Tampa Bay Devil Rays</v>
      </c>
      <c r="P418" s="58">
        <v>6083</v>
      </c>
      <c r="Q418" s="58">
        <f t="shared" si="25"/>
        <v>878</v>
      </c>
      <c r="R418" s="58">
        <v>254</v>
      </c>
      <c r="S418" s="58">
        <v>30</v>
      </c>
      <c r="T418" s="58">
        <v>153</v>
      </c>
      <c r="U418" s="58">
        <v>482</v>
      </c>
      <c r="V418" s="58">
        <v>52</v>
      </c>
      <c r="W418" s="58">
        <f t="shared" si="26"/>
        <v>4234</v>
      </c>
      <c r="X418">
        <v>608</v>
      </c>
      <c r="Y418">
        <v>38</v>
      </c>
      <c r="Z418">
        <v>1310</v>
      </c>
      <c r="AA418">
        <v>25</v>
      </c>
      <c r="AB418">
        <v>42</v>
      </c>
      <c r="AC418">
        <v>69</v>
      </c>
      <c r="AD418">
        <v>6</v>
      </c>
      <c r="AE418">
        <v>120</v>
      </c>
      <c r="AF418">
        <v>39</v>
      </c>
      <c r="AG418">
        <v>92</v>
      </c>
      <c r="AH418">
        <v>71</v>
      </c>
      <c r="AI418">
        <v>3.74</v>
      </c>
    </row>
    <row r="419" spans="1:35" x14ac:dyDescent="0.5">
      <c r="A419" s="35">
        <v>2013</v>
      </c>
      <c r="B419" t="s">
        <v>95</v>
      </c>
      <c r="C419" t="s">
        <v>149</v>
      </c>
      <c r="D419">
        <v>638</v>
      </c>
      <c r="E419">
        <v>163</v>
      </c>
      <c r="F419">
        <v>4</v>
      </c>
      <c r="G419">
        <v>10</v>
      </c>
      <c r="H419">
        <v>159</v>
      </c>
      <c r="I419">
        <v>46</v>
      </c>
      <c r="J419">
        <v>1463.1</v>
      </c>
      <c r="K419">
        <v>1370</v>
      </c>
      <c r="L419">
        <v>636</v>
      </c>
      <c r="M419" s="58">
        <f t="shared" si="24"/>
        <v>2013</v>
      </c>
      <c r="N419" s="58" t="s">
        <v>94</v>
      </c>
      <c r="O419" s="58" t="str">
        <f t="shared" si="27"/>
        <v>2013 Texas Rangers</v>
      </c>
      <c r="P419" s="58">
        <v>6146</v>
      </c>
      <c r="Q419" s="58">
        <f t="shared" si="25"/>
        <v>933</v>
      </c>
      <c r="R419" s="58">
        <v>261</v>
      </c>
      <c r="S419" s="58">
        <v>19</v>
      </c>
      <c r="T419" s="58">
        <v>157</v>
      </c>
      <c r="U419" s="58">
        <v>498</v>
      </c>
      <c r="V419" s="58">
        <v>48</v>
      </c>
      <c r="W419" s="58">
        <f t="shared" si="26"/>
        <v>4230</v>
      </c>
      <c r="X419">
        <v>589</v>
      </c>
      <c r="Y419">
        <v>35</v>
      </c>
      <c r="Z419">
        <v>1309</v>
      </c>
      <c r="AA419">
        <v>30</v>
      </c>
      <c r="AB419">
        <v>44</v>
      </c>
      <c r="AC419">
        <v>68</v>
      </c>
      <c r="AD419">
        <v>5</v>
      </c>
      <c r="AE419">
        <v>129</v>
      </c>
      <c r="AF419">
        <v>56</v>
      </c>
      <c r="AG419">
        <v>91</v>
      </c>
      <c r="AH419">
        <v>72</v>
      </c>
      <c r="AI419">
        <v>3.62</v>
      </c>
    </row>
    <row r="420" spans="1:35" x14ac:dyDescent="0.5">
      <c r="A420" s="35">
        <v>2013</v>
      </c>
      <c r="B420" t="s">
        <v>97</v>
      </c>
      <c r="C420" t="s">
        <v>149</v>
      </c>
      <c r="D420">
        <v>649</v>
      </c>
      <c r="E420">
        <v>162</v>
      </c>
      <c r="F420">
        <v>4</v>
      </c>
      <c r="G420">
        <v>11</v>
      </c>
      <c r="H420">
        <v>158</v>
      </c>
      <c r="I420">
        <v>39</v>
      </c>
      <c r="J420">
        <v>1452</v>
      </c>
      <c r="K420">
        <v>1451</v>
      </c>
      <c r="L420">
        <v>756</v>
      </c>
      <c r="M420" s="58">
        <f t="shared" si="24"/>
        <v>2013</v>
      </c>
      <c r="N420" s="58" t="s">
        <v>96</v>
      </c>
      <c r="O420" s="58" t="str">
        <f t="shared" si="27"/>
        <v>2013 Toronto Blue Jays</v>
      </c>
      <c r="P420" s="58">
        <v>6250</v>
      </c>
      <c r="Q420" s="58">
        <f t="shared" si="25"/>
        <v>927</v>
      </c>
      <c r="R420" s="58">
        <v>304</v>
      </c>
      <c r="S420" s="58">
        <v>25</v>
      </c>
      <c r="T420" s="58">
        <v>195</v>
      </c>
      <c r="U420" s="58">
        <v>500</v>
      </c>
      <c r="V420" s="58">
        <v>65</v>
      </c>
      <c r="W420" s="58">
        <f t="shared" si="26"/>
        <v>4234</v>
      </c>
      <c r="X420">
        <v>685</v>
      </c>
      <c r="Y420">
        <v>33</v>
      </c>
      <c r="Z420">
        <v>1208</v>
      </c>
      <c r="AA420">
        <v>28</v>
      </c>
      <c r="AB420">
        <v>47</v>
      </c>
      <c r="AC420">
        <v>54</v>
      </c>
      <c r="AD420">
        <v>7</v>
      </c>
      <c r="AE420">
        <v>125</v>
      </c>
      <c r="AF420">
        <v>72</v>
      </c>
      <c r="AG420">
        <v>74</v>
      </c>
      <c r="AH420">
        <v>88</v>
      </c>
      <c r="AI420">
        <v>4.25</v>
      </c>
    </row>
    <row r="421" spans="1:35" x14ac:dyDescent="0.5">
      <c r="A421" s="35">
        <v>2013</v>
      </c>
      <c r="B421" t="s">
        <v>101</v>
      </c>
      <c r="C421" t="s">
        <v>38</v>
      </c>
      <c r="D421">
        <v>602</v>
      </c>
      <c r="E421">
        <v>162</v>
      </c>
      <c r="F421">
        <v>6</v>
      </c>
      <c r="G421">
        <v>13</v>
      </c>
      <c r="H421">
        <v>156</v>
      </c>
      <c r="I421">
        <v>47</v>
      </c>
      <c r="J421">
        <v>1445.2</v>
      </c>
      <c r="K421">
        <v>1367</v>
      </c>
      <c r="L421">
        <v>626</v>
      </c>
      <c r="M421" s="58">
        <f t="shared" si="24"/>
        <v>2013</v>
      </c>
      <c r="N421" s="58" t="s">
        <v>100</v>
      </c>
      <c r="O421" s="58" t="str">
        <f t="shared" si="27"/>
        <v>2013 Washington Nationals</v>
      </c>
      <c r="P421" s="58">
        <v>6038</v>
      </c>
      <c r="Q421" s="58">
        <f t="shared" si="25"/>
        <v>949</v>
      </c>
      <c r="R421" s="58">
        <v>262</v>
      </c>
      <c r="S421" s="58">
        <v>14</v>
      </c>
      <c r="T421" s="58">
        <v>142</v>
      </c>
      <c r="U421" s="58">
        <v>405</v>
      </c>
      <c r="V421" s="58">
        <v>48</v>
      </c>
      <c r="W421" s="58">
        <f t="shared" si="26"/>
        <v>4218</v>
      </c>
      <c r="X421">
        <v>576</v>
      </c>
      <c r="Y421">
        <v>17</v>
      </c>
      <c r="Z421">
        <v>1236</v>
      </c>
      <c r="AA421">
        <v>61</v>
      </c>
      <c r="AB421">
        <v>26</v>
      </c>
      <c r="AC421">
        <v>43</v>
      </c>
      <c r="AD421">
        <v>8</v>
      </c>
      <c r="AE421">
        <v>121</v>
      </c>
      <c r="AF421">
        <v>78</v>
      </c>
      <c r="AG421">
        <v>86</v>
      </c>
      <c r="AH421">
        <v>76</v>
      </c>
      <c r="AI421">
        <v>3.59</v>
      </c>
    </row>
    <row r="422" spans="1:35" x14ac:dyDescent="0.5">
      <c r="A422" s="35">
        <v>2014</v>
      </c>
      <c r="B422" t="s">
        <v>37</v>
      </c>
      <c r="C422" t="s">
        <v>149</v>
      </c>
      <c r="D422">
        <v>705</v>
      </c>
      <c r="E422">
        <v>162</v>
      </c>
      <c r="F422">
        <v>3</v>
      </c>
      <c r="G422">
        <v>13</v>
      </c>
      <c r="H422">
        <v>159</v>
      </c>
      <c r="I422">
        <v>46</v>
      </c>
      <c r="J422">
        <v>1482.2</v>
      </c>
      <c r="K422">
        <v>1307</v>
      </c>
      <c r="L422">
        <v>630</v>
      </c>
      <c r="M422" s="58">
        <f t="shared" si="24"/>
        <v>2014</v>
      </c>
      <c r="N422" s="58" t="s">
        <v>36</v>
      </c>
      <c r="O422" s="58" t="str">
        <f t="shared" si="27"/>
        <v>2014 Anaheim Angels</v>
      </c>
      <c r="P422" s="58">
        <v>6179</v>
      </c>
      <c r="Q422" s="58">
        <f t="shared" si="25"/>
        <v>939</v>
      </c>
      <c r="R422" s="58">
        <v>228</v>
      </c>
      <c r="S422" s="58">
        <v>14</v>
      </c>
      <c r="T422" s="58">
        <v>126</v>
      </c>
      <c r="U422" s="58">
        <v>504</v>
      </c>
      <c r="V422" s="58">
        <v>63</v>
      </c>
      <c r="W422" s="58">
        <f t="shared" si="26"/>
        <v>4305</v>
      </c>
      <c r="X422">
        <v>590</v>
      </c>
      <c r="Y422">
        <v>41</v>
      </c>
      <c r="Z422">
        <v>1342</v>
      </c>
      <c r="AA422">
        <v>29</v>
      </c>
      <c r="AB422">
        <v>49</v>
      </c>
      <c r="AC422">
        <v>74</v>
      </c>
      <c r="AD422">
        <v>4</v>
      </c>
      <c r="AE422">
        <v>113</v>
      </c>
      <c r="AF422">
        <v>52</v>
      </c>
      <c r="AG422">
        <v>98</v>
      </c>
      <c r="AH422">
        <v>64</v>
      </c>
      <c r="AI422">
        <v>3.58</v>
      </c>
    </row>
    <row r="423" spans="1:35" x14ac:dyDescent="0.5">
      <c r="A423" s="35">
        <v>2014</v>
      </c>
      <c r="B423" t="s">
        <v>40</v>
      </c>
      <c r="C423" t="s">
        <v>38</v>
      </c>
      <c r="D423">
        <v>650</v>
      </c>
      <c r="E423">
        <v>162</v>
      </c>
      <c r="F423">
        <v>2</v>
      </c>
      <c r="G423">
        <v>4</v>
      </c>
      <c r="H423">
        <v>160</v>
      </c>
      <c r="I423">
        <v>35</v>
      </c>
      <c r="J423">
        <v>1444.1</v>
      </c>
      <c r="K423">
        <v>1467</v>
      </c>
      <c r="L423">
        <v>742</v>
      </c>
      <c r="M423" s="58">
        <f t="shared" si="24"/>
        <v>2014</v>
      </c>
      <c r="N423" s="58" t="s">
        <v>39</v>
      </c>
      <c r="O423" s="58" t="str">
        <f t="shared" si="27"/>
        <v>2014 Arizona Diamondbacks</v>
      </c>
      <c r="P423" s="58">
        <v>6162</v>
      </c>
      <c r="Q423" s="58">
        <f t="shared" si="25"/>
        <v>983</v>
      </c>
      <c r="R423" s="58">
        <v>296</v>
      </c>
      <c r="S423" s="58">
        <v>34</v>
      </c>
      <c r="T423" s="58">
        <v>154</v>
      </c>
      <c r="U423" s="58">
        <v>469</v>
      </c>
      <c r="V423" s="58">
        <v>51</v>
      </c>
      <c r="W423" s="58">
        <f t="shared" si="26"/>
        <v>4175</v>
      </c>
      <c r="X423">
        <v>683</v>
      </c>
      <c r="Y423">
        <v>43</v>
      </c>
      <c r="Z423">
        <v>1278</v>
      </c>
      <c r="AA423">
        <v>59</v>
      </c>
      <c r="AB423">
        <v>49</v>
      </c>
      <c r="AC423">
        <v>50</v>
      </c>
      <c r="AD423">
        <v>5</v>
      </c>
      <c r="AE423">
        <v>121</v>
      </c>
      <c r="AF423">
        <v>57</v>
      </c>
      <c r="AG423">
        <v>64</v>
      </c>
      <c r="AH423">
        <v>98</v>
      </c>
      <c r="AI423">
        <v>4.26</v>
      </c>
    </row>
    <row r="424" spans="1:35" x14ac:dyDescent="0.5">
      <c r="A424" s="35">
        <v>2014</v>
      </c>
      <c r="B424" t="s">
        <v>42</v>
      </c>
      <c r="C424" t="s">
        <v>38</v>
      </c>
      <c r="D424">
        <v>634</v>
      </c>
      <c r="E424">
        <v>162</v>
      </c>
      <c r="F424">
        <v>5</v>
      </c>
      <c r="G424">
        <v>13</v>
      </c>
      <c r="H424">
        <v>157</v>
      </c>
      <c r="I424">
        <v>54</v>
      </c>
      <c r="J424">
        <v>1455</v>
      </c>
      <c r="K424">
        <v>1369</v>
      </c>
      <c r="L424">
        <v>597</v>
      </c>
      <c r="M424" s="58">
        <f t="shared" si="24"/>
        <v>2014</v>
      </c>
      <c r="N424" s="58" t="s">
        <v>41</v>
      </c>
      <c r="O424" s="58" t="str">
        <f t="shared" si="27"/>
        <v>2014 Atlanta Braves</v>
      </c>
      <c r="P424" s="58">
        <v>6087</v>
      </c>
      <c r="Q424" s="58">
        <f t="shared" si="25"/>
        <v>982</v>
      </c>
      <c r="R424" s="58">
        <v>244</v>
      </c>
      <c r="S424" s="58">
        <v>22</v>
      </c>
      <c r="T424" s="58">
        <v>121</v>
      </c>
      <c r="U424" s="58">
        <v>472</v>
      </c>
      <c r="V424" s="58">
        <v>37</v>
      </c>
      <c r="W424" s="58">
        <f t="shared" si="26"/>
        <v>4209</v>
      </c>
      <c r="X424">
        <v>547</v>
      </c>
      <c r="Y424">
        <v>36</v>
      </c>
      <c r="Z424">
        <v>1301</v>
      </c>
      <c r="AA424">
        <v>70</v>
      </c>
      <c r="AB424">
        <v>43</v>
      </c>
      <c r="AC424">
        <v>75</v>
      </c>
      <c r="AD424">
        <v>1</v>
      </c>
      <c r="AE424">
        <v>128</v>
      </c>
      <c r="AF424">
        <v>54</v>
      </c>
      <c r="AG424">
        <v>79</v>
      </c>
      <c r="AH424">
        <v>83</v>
      </c>
      <c r="AI424">
        <v>3.38</v>
      </c>
    </row>
    <row r="425" spans="1:35" x14ac:dyDescent="0.5">
      <c r="A425" s="35">
        <v>2014</v>
      </c>
      <c r="B425" t="s">
        <v>45</v>
      </c>
      <c r="C425" t="s">
        <v>149</v>
      </c>
      <c r="D425">
        <v>641</v>
      </c>
      <c r="E425">
        <v>162</v>
      </c>
      <c r="F425">
        <v>3</v>
      </c>
      <c r="G425">
        <v>13</v>
      </c>
      <c r="H425">
        <v>159</v>
      </c>
      <c r="I425">
        <v>53</v>
      </c>
      <c r="J425">
        <v>1461.1</v>
      </c>
      <c r="K425">
        <v>1342</v>
      </c>
      <c r="L425">
        <v>593</v>
      </c>
      <c r="M425" s="58">
        <f t="shared" si="24"/>
        <v>2014</v>
      </c>
      <c r="N425" s="58" t="s">
        <v>44</v>
      </c>
      <c r="O425" s="58" t="str">
        <f t="shared" si="27"/>
        <v>2014 Baltimore Orioles</v>
      </c>
      <c r="P425" s="58">
        <v>6104</v>
      </c>
      <c r="Q425" s="58">
        <f t="shared" si="25"/>
        <v>903</v>
      </c>
      <c r="R425" s="58">
        <v>268</v>
      </c>
      <c r="S425" s="58">
        <v>20</v>
      </c>
      <c r="T425" s="58">
        <v>151</v>
      </c>
      <c r="U425" s="58">
        <v>472</v>
      </c>
      <c r="V425" s="58">
        <v>59</v>
      </c>
      <c r="W425" s="58">
        <f t="shared" si="26"/>
        <v>4231</v>
      </c>
      <c r="X425">
        <v>557</v>
      </c>
      <c r="Y425">
        <v>25</v>
      </c>
      <c r="Z425">
        <v>1174</v>
      </c>
      <c r="AA425">
        <v>30</v>
      </c>
      <c r="AB425">
        <v>35</v>
      </c>
      <c r="AC425">
        <v>42</v>
      </c>
      <c r="AD425">
        <v>2</v>
      </c>
      <c r="AE425">
        <v>127</v>
      </c>
      <c r="AF425">
        <v>66</v>
      </c>
      <c r="AG425">
        <v>96</v>
      </c>
      <c r="AH425">
        <v>66</v>
      </c>
      <c r="AI425">
        <v>3.43</v>
      </c>
    </row>
    <row r="426" spans="1:35" x14ac:dyDescent="0.5">
      <c r="A426" s="35">
        <v>2014</v>
      </c>
      <c r="B426" t="s">
        <v>47</v>
      </c>
      <c r="C426" t="s">
        <v>149</v>
      </c>
      <c r="D426">
        <v>655</v>
      </c>
      <c r="E426">
        <v>162</v>
      </c>
      <c r="F426">
        <v>3</v>
      </c>
      <c r="G426">
        <v>7</v>
      </c>
      <c r="H426">
        <v>159</v>
      </c>
      <c r="I426">
        <v>36</v>
      </c>
      <c r="J426">
        <v>1465.2</v>
      </c>
      <c r="K426">
        <v>1458</v>
      </c>
      <c r="L426">
        <v>715</v>
      </c>
      <c r="M426" s="58">
        <f t="shared" si="24"/>
        <v>2014</v>
      </c>
      <c r="N426" s="58" t="s">
        <v>46</v>
      </c>
      <c r="O426" s="58" t="str">
        <f t="shared" si="27"/>
        <v>2014 Boston Red Sox</v>
      </c>
      <c r="P426" s="58">
        <v>6231</v>
      </c>
      <c r="Q426" s="58">
        <f t="shared" si="25"/>
        <v>956</v>
      </c>
      <c r="R426" s="58">
        <v>316</v>
      </c>
      <c r="S426" s="58">
        <v>32</v>
      </c>
      <c r="T426" s="58">
        <v>154</v>
      </c>
      <c r="U426" s="58">
        <v>482</v>
      </c>
      <c r="V426" s="58">
        <v>47</v>
      </c>
      <c r="W426" s="58">
        <f t="shared" si="26"/>
        <v>4244</v>
      </c>
      <c r="X426">
        <v>653</v>
      </c>
      <c r="Y426">
        <v>19</v>
      </c>
      <c r="Z426">
        <v>1213</v>
      </c>
      <c r="AA426">
        <v>36</v>
      </c>
      <c r="AB426">
        <v>48</v>
      </c>
      <c r="AC426">
        <v>51</v>
      </c>
      <c r="AD426">
        <v>5</v>
      </c>
      <c r="AE426">
        <v>129</v>
      </c>
      <c r="AF426">
        <v>63</v>
      </c>
      <c r="AG426">
        <v>71</v>
      </c>
      <c r="AH426">
        <v>91</v>
      </c>
      <c r="AI426">
        <v>4.01</v>
      </c>
    </row>
    <row r="427" spans="1:35" x14ac:dyDescent="0.5">
      <c r="A427" s="35">
        <v>2014</v>
      </c>
      <c r="B427" t="s">
        <v>143</v>
      </c>
      <c r="C427" t="s">
        <v>38</v>
      </c>
      <c r="D427">
        <v>699</v>
      </c>
      <c r="E427">
        <v>162</v>
      </c>
      <c r="F427">
        <v>1</v>
      </c>
      <c r="G427">
        <v>11</v>
      </c>
      <c r="H427">
        <v>161</v>
      </c>
      <c r="I427">
        <v>37</v>
      </c>
      <c r="J427">
        <v>1463.1</v>
      </c>
      <c r="K427">
        <v>1398</v>
      </c>
      <c r="L427">
        <v>707</v>
      </c>
      <c r="M427" s="58">
        <f t="shared" si="24"/>
        <v>2014</v>
      </c>
      <c r="N427" s="58" t="s">
        <v>50</v>
      </c>
      <c r="O427" s="58" t="str">
        <f t="shared" si="27"/>
        <v>2014 Chicago Cubs</v>
      </c>
      <c r="P427" s="58">
        <v>6208</v>
      </c>
      <c r="Q427" s="58">
        <f t="shared" si="25"/>
        <v>963</v>
      </c>
      <c r="R427" s="58">
        <v>296</v>
      </c>
      <c r="S427" s="58">
        <v>24</v>
      </c>
      <c r="T427" s="58">
        <v>115</v>
      </c>
      <c r="U427" s="58">
        <v>504</v>
      </c>
      <c r="V427" s="58">
        <v>55</v>
      </c>
      <c r="W427" s="58">
        <f t="shared" si="26"/>
        <v>4251</v>
      </c>
      <c r="X427">
        <v>636</v>
      </c>
      <c r="Y427">
        <v>37</v>
      </c>
      <c r="Z427">
        <v>1311</v>
      </c>
      <c r="AA427">
        <v>55</v>
      </c>
      <c r="AB427">
        <v>36</v>
      </c>
      <c r="AC427">
        <v>64</v>
      </c>
      <c r="AD427">
        <v>3</v>
      </c>
      <c r="AE427">
        <v>114</v>
      </c>
      <c r="AF427">
        <v>71</v>
      </c>
      <c r="AG427">
        <v>73</v>
      </c>
      <c r="AH427">
        <v>89</v>
      </c>
      <c r="AI427">
        <v>3.91</v>
      </c>
    </row>
    <row r="428" spans="1:35" x14ac:dyDescent="0.5">
      <c r="A428" s="35">
        <v>2014</v>
      </c>
      <c r="B428" t="s">
        <v>143</v>
      </c>
      <c r="C428" t="s">
        <v>149</v>
      </c>
      <c r="D428">
        <v>615</v>
      </c>
      <c r="E428">
        <v>162</v>
      </c>
      <c r="F428">
        <v>3</v>
      </c>
      <c r="G428">
        <v>6</v>
      </c>
      <c r="H428">
        <v>159</v>
      </c>
      <c r="I428">
        <v>36</v>
      </c>
      <c r="J428">
        <v>1441</v>
      </c>
      <c r="K428">
        <v>1468</v>
      </c>
      <c r="L428">
        <v>758</v>
      </c>
      <c r="M428" s="58">
        <f t="shared" si="24"/>
        <v>2014</v>
      </c>
      <c r="N428" s="58" t="s">
        <v>48</v>
      </c>
      <c r="O428" s="58" t="str">
        <f t="shared" si="27"/>
        <v>2014 Chicago White Sox</v>
      </c>
      <c r="P428" s="58">
        <v>6255</v>
      </c>
      <c r="Q428" s="58">
        <f t="shared" si="25"/>
        <v>1025</v>
      </c>
      <c r="R428" s="58">
        <v>272</v>
      </c>
      <c r="S428" s="58">
        <v>31</v>
      </c>
      <c r="T428" s="58">
        <v>140</v>
      </c>
      <c r="U428" s="58">
        <v>557</v>
      </c>
      <c r="V428" s="58">
        <v>69</v>
      </c>
      <c r="W428" s="58">
        <f t="shared" si="26"/>
        <v>4161</v>
      </c>
      <c r="X428">
        <v>687</v>
      </c>
      <c r="Y428">
        <v>42</v>
      </c>
      <c r="Z428">
        <v>1152</v>
      </c>
      <c r="AA428">
        <v>37</v>
      </c>
      <c r="AB428">
        <v>48</v>
      </c>
      <c r="AC428">
        <v>75</v>
      </c>
      <c r="AD428">
        <v>3</v>
      </c>
      <c r="AE428">
        <v>152</v>
      </c>
      <c r="AF428">
        <v>73</v>
      </c>
      <c r="AG428">
        <v>73</v>
      </c>
      <c r="AH428">
        <v>89</v>
      </c>
      <c r="AI428">
        <v>4.29</v>
      </c>
    </row>
    <row r="429" spans="1:35" x14ac:dyDescent="0.5">
      <c r="A429" s="35">
        <v>2014</v>
      </c>
      <c r="B429" t="s">
        <v>53</v>
      </c>
      <c r="C429" t="s">
        <v>38</v>
      </c>
      <c r="D429">
        <v>590</v>
      </c>
      <c r="E429">
        <v>162</v>
      </c>
      <c r="F429">
        <v>5</v>
      </c>
      <c r="G429">
        <v>13</v>
      </c>
      <c r="H429">
        <v>157</v>
      </c>
      <c r="I429">
        <v>44</v>
      </c>
      <c r="J429">
        <v>1446</v>
      </c>
      <c r="K429">
        <v>1282</v>
      </c>
      <c r="L429">
        <v>612</v>
      </c>
      <c r="M429" s="58">
        <f t="shared" si="24"/>
        <v>2014</v>
      </c>
      <c r="N429" s="58" t="s">
        <v>52</v>
      </c>
      <c r="O429" s="58" t="str">
        <f t="shared" si="27"/>
        <v>2014 Cincinnati Reds</v>
      </c>
      <c r="P429" s="58">
        <v>6067</v>
      </c>
      <c r="Q429" s="58">
        <f t="shared" si="25"/>
        <v>841</v>
      </c>
      <c r="R429" s="58">
        <v>260</v>
      </c>
      <c r="S429" s="58">
        <v>18</v>
      </c>
      <c r="T429" s="58">
        <v>163</v>
      </c>
      <c r="U429" s="58">
        <v>507</v>
      </c>
      <c r="V429" s="58">
        <v>69</v>
      </c>
      <c r="W429" s="58">
        <f t="shared" si="26"/>
        <v>4209</v>
      </c>
      <c r="X429">
        <v>576</v>
      </c>
      <c r="Y429">
        <v>33</v>
      </c>
      <c r="Z429">
        <v>1290</v>
      </c>
      <c r="AA429">
        <v>51</v>
      </c>
      <c r="AB429">
        <v>38</v>
      </c>
      <c r="AC429">
        <v>45</v>
      </c>
      <c r="AD429">
        <v>5</v>
      </c>
      <c r="AE429">
        <v>99</v>
      </c>
      <c r="AF429">
        <v>51</v>
      </c>
      <c r="AG429">
        <v>76</v>
      </c>
      <c r="AH429">
        <v>86</v>
      </c>
      <c r="AI429">
        <v>3.59</v>
      </c>
    </row>
    <row r="430" spans="1:35" x14ac:dyDescent="0.5">
      <c r="A430" s="35">
        <v>2014</v>
      </c>
      <c r="B430" t="s">
        <v>55</v>
      </c>
      <c r="C430" t="s">
        <v>149</v>
      </c>
      <c r="D430">
        <v>735</v>
      </c>
      <c r="E430">
        <v>162</v>
      </c>
      <c r="F430">
        <v>6</v>
      </c>
      <c r="G430">
        <v>15</v>
      </c>
      <c r="H430">
        <v>156</v>
      </c>
      <c r="I430">
        <v>40</v>
      </c>
      <c r="J430">
        <v>1468.1</v>
      </c>
      <c r="K430">
        <v>1398</v>
      </c>
      <c r="L430">
        <v>653</v>
      </c>
      <c r="M430" s="58">
        <f t="shared" si="24"/>
        <v>2014</v>
      </c>
      <c r="N430" s="58" t="s">
        <v>54</v>
      </c>
      <c r="O430" s="58" t="str">
        <f t="shared" si="27"/>
        <v>2014 Cleveland Indians</v>
      </c>
      <c r="P430" s="58">
        <v>6193</v>
      </c>
      <c r="Q430" s="58">
        <f t="shared" si="25"/>
        <v>941</v>
      </c>
      <c r="R430" s="58">
        <v>290</v>
      </c>
      <c r="S430" s="58">
        <v>32</v>
      </c>
      <c r="T430" s="58">
        <v>135</v>
      </c>
      <c r="U430" s="58">
        <v>464</v>
      </c>
      <c r="V430" s="58">
        <v>58</v>
      </c>
      <c r="W430" s="58">
        <f t="shared" si="26"/>
        <v>4273</v>
      </c>
      <c r="X430">
        <v>581</v>
      </c>
      <c r="Y430">
        <v>51</v>
      </c>
      <c r="Z430">
        <v>1450</v>
      </c>
      <c r="AA430">
        <v>33</v>
      </c>
      <c r="AB430">
        <v>40</v>
      </c>
      <c r="AC430">
        <v>56</v>
      </c>
      <c r="AD430">
        <v>2</v>
      </c>
      <c r="AE430">
        <v>116</v>
      </c>
      <c r="AF430">
        <v>79</v>
      </c>
      <c r="AG430">
        <v>85</v>
      </c>
      <c r="AH430">
        <v>77</v>
      </c>
      <c r="AI430">
        <v>3.56</v>
      </c>
    </row>
    <row r="431" spans="1:35" x14ac:dyDescent="0.5">
      <c r="A431" s="35">
        <v>2014</v>
      </c>
      <c r="B431" t="s">
        <v>57</v>
      </c>
      <c r="C431" t="s">
        <v>38</v>
      </c>
      <c r="D431">
        <v>709</v>
      </c>
      <c r="E431">
        <v>162</v>
      </c>
      <c r="F431">
        <v>1</v>
      </c>
      <c r="G431">
        <v>4</v>
      </c>
      <c r="H431">
        <v>161</v>
      </c>
      <c r="I431">
        <v>24</v>
      </c>
      <c r="J431">
        <v>1431</v>
      </c>
      <c r="K431">
        <v>1528</v>
      </c>
      <c r="L431">
        <v>818</v>
      </c>
      <c r="M431" s="58">
        <f t="shared" si="24"/>
        <v>2014</v>
      </c>
      <c r="N431" s="58" t="s">
        <v>56</v>
      </c>
      <c r="O431" s="58" t="str">
        <f t="shared" si="27"/>
        <v>2014 Colorado Rockies</v>
      </c>
      <c r="P431" s="58">
        <v>6248</v>
      </c>
      <c r="Q431" s="58">
        <f t="shared" si="25"/>
        <v>992</v>
      </c>
      <c r="R431" s="58">
        <v>320</v>
      </c>
      <c r="S431" s="58">
        <v>43</v>
      </c>
      <c r="T431" s="58">
        <v>173</v>
      </c>
      <c r="U431" s="58">
        <v>531</v>
      </c>
      <c r="V431" s="58">
        <v>54</v>
      </c>
      <c r="W431" s="58">
        <f t="shared" si="26"/>
        <v>4135</v>
      </c>
      <c r="X431">
        <v>770</v>
      </c>
      <c r="Y431">
        <v>32</v>
      </c>
      <c r="Z431">
        <v>1074</v>
      </c>
      <c r="AA431">
        <v>59</v>
      </c>
      <c r="AB431">
        <v>62</v>
      </c>
      <c r="AC431">
        <v>72</v>
      </c>
      <c r="AD431">
        <v>8</v>
      </c>
      <c r="AE431">
        <v>143</v>
      </c>
      <c r="AF431">
        <v>50</v>
      </c>
      <c r="AG431">
        <v>66</v>
      </c>
      <c r="AH431">
        <v>96</v>
      </c>
      <c r="AI431">
        <v>4.84</v>
      </c>
    </row>
    <row r="432" spans="1:35" x14ac:dyDescent="0.5">
      <c r="A432" s="35">
        <v>2014</v>
      </c>
      <c r="B432" t="s">
        <v>59</v>
      </c>
      <c r="C432" t="s">
        <v>149</v>
      </c>
      <c r="D432">
        <v>635</v>
      </c>
      <c r="E432">
        <v>162</v>
      </c>
      <c r="F432">
        <v>5</v>
      </c>
      <c r="G432">
        <v>8</v>
      </c>
      <c r="H432">
        <v>157</v>
      </c>
      <c r="I432">
        <v>41</v>
      </c>
      <c r="J432">
        <v>1454</v>
      </c>
      <c r="K432">
        <v>1475</v>
      </c>
      <c r="L432">
        <v>705</v>
      </c>
      <c r="M432" s="58">
        <f t="shared" si="24"/>
        <v>2014</v>
      </c>
      <c r="N432" s="58" t="s">
        <v>58</v>
      </c>
      <c r="O432" s="58" t="str">
        <f t="shared" si="27"/>
        <v>2014 Detroit Tigers</v>
      </c>
      <c r="P432" s="58">
        <v>6191</v>
      </c>
      <c r="Q432" s="58">
        <f t="shared" si="25"/>
        <v>990</v>
      </c>
      <c r="R432" s="58">
        <v>316</v>
      </c>
      <c r="S432" s="58">
        <v>42</v>
      </c>
      <c r="T432" s="58">
        <v>127</v>
      </c>
      <c r="U432" s="58">
        <v>462</v>
      </c>
      <c r="V432" s="58">
        <v>42</v>
      </c>
      <c r="W432" s="58">
        <f t="shared" si="26"/>
        <v>4212</v>
      </c>
      <c r="X432">
        <v>648</v>
      </c>
      <c r="Y432">
        <v>34</v>
      </c>
      <c r="Z432">
        <v>1244</v>
      </c>
      <c r="AA432">
        <v>26</v>
      </c>
      <c r="AB432">
        <v>41</v>
      </c>
      <c r="AC432">
        <v>43</v>
      </c>
      <c r="AD432">
        <v>9</v>
      </c>
      <c r="AE432">
        <v>131</v>
      </c>
      <c r="AF432">
        <v>66</v>
      </c>
      <c r="AG432">
        <v>90</v>
      </c>
      <c r="AH432">
        <v>72</v>
      </c>
      <c r="AI432">
        <v>4.01</v>
      </c>
    </row>
    <row r="433" spans="1:35" x14ac:dyDescent="0.5">
      <c r="A433" s="35">
        <v>2014</v>
      </c>
      <c r="B433" t="s">
        <v>63</v>
      </c>
      <c r="C433" t="s">
        <v>149</v>
      </c>
      <c r="D433">
        <v>600</v>
      </c>
      <c r="E433">
        <v>162</v>
      </c>
      <c r="F433">
        <v>7</v>
      </c>
      <c r="G433">
        <v>3</v>
      </c>
      <c r="H433">
        <v>155</v>
      </c>
      <c r="I433">
        <v>31</v>
      </c>
      <c r="J433">
        <v>1438.2</v>
      </c>
      <c r="K433">
        <v>1437</v>
      </c>
      <c r="L433">
        <v>723</v>
      </c>
      <c r="M433" s="58">
        <f t="shared" si="24"/>
        <v>2014</v>
      </c>
      <c r="N433" s="58" t="s">
        <v>60</v>
      </c>
      <c r="O433" s="58" t="str">
        <f t="shared" si="27"/>
        <v>2014 Florida Marlins</v>
      </c>
      <c r="P433" s="58">
        <v>6154</v>
      </c>
      <c r="Q433" s="58">
        <f t="shared" si="25"/>
        <v>994</v>
      </c>
      <c r="R433" s="58">
        <v>274</v>
      </c>
      <c r="S433" s="58">
        <v>30</v>
      </c>
      <c r="T433" s="58">
        <v>139</v>
      </c>
      <c r="U433" s="58">
        <v>484</v>
      </c>
      <c r="V433" s="58">
        <v>52</v>
      </c>
      <c r="W433" s="58">
        <f t="shared" si="26"/>
        <v>4181</v>
      </c>
      <c r="X433">
        <v>657</v>
      </c>
      <c r="Y433">
        <v>32</v>
      </c>
      <c r="Z433">
        <v>1137</v>
      </c>
      <c r="AA433">
        <v>36</v>
      </c>
      <c r="AB433">
        <v>59</v>
      </c>
      <c r="AC433">
        <v>57</v>
      </c>
      <c r="AD433">
        <v>7</v>
      </c>
      <c r="AE433">
        <v>133</v>
      </c>
      <c r="AF433">
        <v>77</v>
      </c>
      <c r="AG433">
        <v>70</v>
      </c>
      <c r="AH433">
        <v>92</v>
      </c>
      <c r="AI433">
        <v>4.1100000000000003</v>
      </c>
    </row>
    <row r="434" spans="1:35" x14ac:dyDescent="0.5">
      <c r="A434" s="35">
        <v>2014</v>
      </c>
      <c r="B434" t="s">
        <v>150</v>
      </c>
      <c r="C434" t="s">
        <v>149</v>
      </c>
      <c r="D434">
        <v>613</v>
      </c>
      <c r="E434">
        <v>162</v>
      </c>
      <c r="F434">
        <v>3</v>
      </c>
      <c r="G434">
        <v>14</v>
      </c>
      <c r="H434">
        <v>159</v>
      </c>
      <c r="I434">
        <v>53</v>
      </c>
      <c r="J434">
        <v>1450.2</v>
      </c>
      <c r="K434">
        <v>1386</v>
      </c>
      <c r="L434">
        <v>624</v>
      </c>
      <c r="M434" s="58">
        <f t="shared" si="24"/>
        <v>2014</v>
      </c>
      <c r="N434" s="58" t="s">
        <v>62</v>
      </c>
      <c r="O434" s="58" t="str">
        <f t="shared" si="27"/>
        <v>2014 Houston Astros</v>
      </c>
      <c r="P434" s="58">
        <v>6101</v>
      </c>
      <c r="Q434" s="58">
        <f t="shared" si="25"/>
        <v>973</v>
      </c>
      <c r="R434" s="58">
        <v>254</v>
      </c>
      <c r="S434" s="58">
        <v>31</v>
      </c>
      <c r="T434" s="58">
        <v>128</v>
      </c>
      <c r="U434" s="58">
        <v>440</v>
      </c>
      <c r="V434" s="58">
        <v>56</v>
      </c>
      <c r="W434" s="58">
        <f t="shared" si="26"/>
        <v>4219</v>
      </c>
      <c r="X434">
        <v>565</v>
      </c>
      <c r="Y434">
        <v>14</v>
      </c>
      <c r="Z434">
        <v>1168</v>
      </c>
      <c r="AA434">
        <v>26</v>
      </c>
      <c r="AB434">
        <v>45</v>
      </c>
      <c r="AC434">
        <v>58</v>
      </c>
      <c r="AD434">
        <v>6</v>
      </c>
      <c r="AE434">
        <v>107</v>
      </c>
      <c r="AF434">
        <v>61</v>
      </c>
      <c r="AG434">
        <v>89</v>
      </c>
      <c r="AH434">
        <v>73</v>
      </c>
      <c r="AI434">
        <v>3.51</v>
      </c>
    </row>
    <row r="435" spans="1:35" x14ac:dyDescent="0.5">
      <c r="A435" s="35">
        <v>2014</v>
      </c>
      <c r="B435" t="s">
        <v>145</v>
      </c>
      <c r="C435" t="s">
        <v>38</v>
      </c>
      <c r="D435">
        <v>658</v>
      </c>
      <c r="E435">
        <v>162</v>
      </c>
      <c r="F435">
        <v>7</v>
      </c>
      <c r="G435">
        <v>16</v>
      </c>
      <c r="H435">
        <v>155</v>
      </c>
      <c r="I435">
        <v>47</v>
      </c>
      <c r="J435">
        <v>1464.2</v>
      </c>
      <c r="K435">
        <v>1338</v>
      </c>
      <c r="L435">
        <v>617</v>
      </c>
      <c r="M435" s="58">
        <f t="shared" si="24"/>
        <v>2014</v>
      </c>
      <c r="N435" s="58" t="s">
        <v>64</v>
      </c>
      <c r="O435" s="58" t="str">
        <f t="shared" si="27"/>
        <v>2014 Kansas City Royals</v>
      </c>
      <c r="P435" s="58">
        <v>6075</v>
      </c>
      <c r="Q435" s="58">
        <f t="shared" si="25"/>
        <v>910</v>
      </c>
      <c r="R435" s="58">
        <v>262</v>
      </c>
      <c r="S435" s="58">
        <v>24</v>
      </c>
      <c r="T435" s="58">
        <v>142</v>
      </c>
      <c r="U435" s="58">
        <v>429</v>
      </c>
      <c r="V435" s="58">
        <v>41</v>
      </c>
      <c r="W435" s="58">
        <f t="shared" si="26"/>
        <v>4267</v>
      </c>
      <c r="X435">
        <v>554</v>
      </c>
      <c r="Y435">
        <v>35</v>
      </c>
      <c r="Z435">
        <v>1373</v>
      </c>
      <c r="AA435">
        <v>49</v>
      </c>
      <c r="AB435">
        <v>34</v>
      </c>
      <c r="AC435">
        <v>64</v>
      </c>
      <c r="AD435">
        <v>4</v>
      </c>
      <c r="AE435">
        <v>124</v>
      </c>
      <c r="AF435">
        <v>82</v>
      </c>
      <c r="AG435">
        <v>94</v>
      </c>
      <c r="AH435">
        <v>68</v>
      </c>
      <c r="AI435">
        <v>3.4</v>
      </c>
    </row>
    <row r="436" spans="1:35" x14ac:dyDescent="0.5">
      <c r="A436" s="35">
        <v>2014</v>
      </c>
      <c r="B436" t="s">
        <v>104</v>
      </c>
      <c r="C436" t="s">
        <v>38</v>
      </c>
      <c r="D436">
        <v>649</v>
      </c>
      <c r="E436">
        <v>162</v>
      </c>
      <c r="F436">
        <v>3</v>
      </c>
      <c r="G436">
        <v>16</v>
      </c>
      <c r="H436">
        <v>159</v>
      </c>
      <c r="I436">
        <v>42</v>
      </c>
      <c r="J436">
        <v>1457.2</v>
      </c>
      <c r="K436">
        <v>1481</v>
      </c>
      <c r="L436">
        <v>674</v>
      </c>
      <c r="M436" s="58">
        <f t="shared" si="24"/>
        <v>2014</v>
      </c>
      <c r="N436" s="58" t="s">
        <v>66</v>
      </c>
      <c r="O436" s="58" t="str">
        <f t="shared" si="27"/>
        <v>2014 Los Angeles Dodgers</v>
      </c>
      <c r="P436" s="58">
        <v>6217</v>
      </c>
      <c r="Q436" s="58">
        <f t="shared" si="25"/>
        <v>1044</v>
      </c>
      <c r="R436" s="58">
        <v>283</v>
      </c>
      <c r="S436" s="58">
        <v>40</v>
      </c>
      <c r="T436" s="58">
        <v>114</v>
      </c>
      <c r="U436" s="58">
        <v>458</v>
      </c>
      <c r="V436" s="58">
        <v>49</v>
      </c>
      <c r="W436" s="58">
        <f t="shared" si="26"/>
        <v>4229</v>
      </c>
      <c r="X436">
        <v>613</v>
      </c>
      <c r="Y436">
        <v>35</v>
      </c>
      <c r="Z436">
        <v>1190</v>
      </c>
      <c r="AA436">
        <v>66</v>
      </c>
      <c r="AB436">
        <v>39</v>
      </c>
      <c r="AC436">
        <v>56</v>
      </c>
      <c r="AD436">
        <v>4</v>
      </c>
      <c r="AE436">
        <v>130</v>
      </c>
      <c r="AF436">
        <v>64</v>
      </c>
      <c r="AG436">
        <v>77</v>
      </c>
      <c r="AH436">
        <v>85</v>
      </c>
      <c r="AI436">
        <v>3.78</v>
      </c>
    </row>
    <row r="437" spans="1:35" x14ac:dyDescent="0.5">
      <c r="A437" s="35">
        <v>2014</v>
      </c>
      <c r="B437" t="s">
        <v>69</v>
      </c>
      <c r="C437" t="s">
        <v>38</v>
      </c>
      <c r="D437">
        <v>640</v>
      </c>
      <c r="E437">
        <v>162</v>
      </c>
      <c r="F437">
        <v>3</v>
      </c>
      <c r="G437">
        <v>9</v>
      </c>
      <c r="H437">
        <v>159</v>
      </c>
      <c r="I437">
        <v>45</v>
      </c>
      <c r="J437">
        <v>1457.2</v>
      </c>
      <c r="K437">
        <v>1386</v>
      </c>
      <c r="L437">
        <v>657</v>
      </c>
      <c r="M437" s="58">
        <f t="shared" si="24"/>
        <v>2014</v>
      </c>
      <c r="N437" s="58" t="s">
        <v>68</v>
      </c>
      <c r="O437" s="58" t="str">
        <f t="shared" si="27"/>
        <v>2014 Milwaukee Brewers</v>
      </c>
      <c r="P437" s="58">
        <v>6106</v>
      </c>
      <c r="Q437" s="58">
        <f t="shared" si="25"/>
        <v>948</v>
      </c>
      <c r="R437" s="58">
        <v>249</v>
      </c>
      <c r="S437" s="58">
        <v>22</v>
      </c>
      <c r="T437" s="58">
        <v>167</v>
      </c>
      <c r="U437" s="58">
        <v>431</v>
      </c>
      <c r="V437" s="58">
        <v>42</v>
      </c>
      <c r="W437" s="58">
        <f t="shared" si="26"/>
        <v>4247</v>
      </c>
      <c r="X437">
        <v>594</v>
      </c>
      <c r="Y437">
        <v>20</v>
      </c>
      <c r="Z437">
        <v>1246</v>
      </c>
      <c r="AA437">
        <v>54</v>
      </c>
      <c r="AB437">
        <v>30</v>
      </c>
      <c r="AC437">
        <v>44</v>
      </c>
      <c r="AD437">
        <v>2</v>
      </c>
      <c r="AE437">
        <v>110</v>
      </c>
      <c r="AF437">
        <v>63</v>
      </c>
      <c r="AG437">
        <v>82</v>
      </c>
      <c r="AH437">
        <v>80</v>
      </c>
      <c r="AI437">
        <v>3.67</v>
      </c>
    </row>
    <row r="438" spans="1:35" x14ac:dyDescent="0.5">
      <c r="A438" s="35">
        <v>2014</v>
      </c>
      <c r="B438" t="s">
        <v>71</v>
      </c>
      <c r="C438" t="s">
        <v>149</v>
      </c>
      <c r="D438">
        <v>653</v>
      </c>
      <c r="E438">
        <v>162</v>
      </c>
      <c r="F438">
        <v>2</v>
      </c>
      <c r="G438">
        <v>7</v>
      </c>
      <c r="H438">
        <v>160</v>
      </c>
      <c r="I438">
        <v>38</v>
      </c>
      <c r="J438">
        <v>1435</v>
      </c>
      <c r="K438">
        <v>1588</v>
      </c>
      <c r="L438">
        <v>777</v>
      </c>
      <c r="M438" s="58">
        <f t="shared" si="24"/>
        <v>2014</v>
      </c>
      <c r="N438" s="58" t="s">
        <v>70</v>
      </c>
      <c r="O438" s="58" t="str">
        <f t="shared" si="27"/>
        <v>2014 Minnesota Twins</v>
      </c>
      <c r="P438" s="58">
        <v>6212</v>
      </c>
      <c r="Q438" s="58">
        <f t="shared" si="25"/>
        <v>1084</v>
      </c>
      <c r="R438" s="58">
        <v>319</v>
      </c>
      <c r="S438" s="58">
        <v>38</v>
      </c>
      <c r="T438" s="58">
        <v>147</v>
      </c>
      <c r="U438" s="58">
        <v>408</v>
      </c>
      <c r="V438" s="58">
        <v>45</v>
      </c>
      <c r="W438" s="58">
        <f t="shared" si="26"/>
        <v>4171</v>
      </c>
      <c r="X438">
        <v>728</v>
      </c>
      <c r="Y438">
        <v>24</v>
      </c>
      <c r="Z438">
        <v>1031</v>
      </c>
      <c r="AA438">
        <v>30</v>
      </c>
      <c r="AB438">
        <v>63</v>
      </c>
      <c r="AC438">
        <v>50</v>
      </c>
      <c r="AD438">
        <v>6</v>
      </c>
      <c r="AE438">
        <v>120</v>
      </c>
      <c r="AF438">
        <v>60</v>
      </c>
      <c r="AG438">
        <v>70</v>
      </c>
      <c r="AH438">
        <v>92</v>
      </c>
      <c r="AI438">
        <v>4.57</v>
      </c>
    </row>
    <row r="439" spans="1:35" x14ac:dyDescent="0.5">
      <c r="A439" s="35">
        <v>2014</v>
      </c>
      <c r="B439" t="s">
        <v>144</v>
      </c>
      <c r="C439" t="s">
        <v>38</v>
      </c>
      <c r="D439">
        <v>651</v>
      </c>
      <c r="E439">
        <v>162</v>
      </c>
      <c r="F439">
        <v>1</v>
      </c>
      <c r="G439">
        <v>11</v>
      </c>
      <c r="H439">
        <v>161</v>
      </c>
      <c r="I439">
        <v>42</v>
      </c>
      <c r="J439">
        <v>1463.2</v>
      </c>
      <c r="K439">
        <v>1370</v>
      </c>
      <c r="L439">
        <v>618</v>
      </c>
      <c r="M439" s="58">
        <f t="shared" si="24"/>
        <v>2014</v>
      </c>
      <c r="N439" s="58" t="s">
        <v>76</v>
      </c>
      <c r="O439" s="58" t="str">
        <f t="shared" si="27"/>
        <v>2014 New York Mets</v>
      </c>
      <c r="P439" s="58">
        <v>6170</v>
      </c>
      <c r="Q439" s="58">
        <f t="shared" si="25"/>
        <v>937</v>
      </c>
      <c r="R439" s="58">
        <v>261</v>
      </c>
      <c r="S439" s="58">
        <v>31</v>
      </c>
      <c r="T439" s="58">
        <v>141</v>
      </c>
      <c r="U439" s="58">
        <v>509</v>
      </c>
      <c r="V439" s="58">
        <v>50</v>
      </c>
      <c r="W439" s="58">
        <f t="shared" si="26"/>
        <v>4241</v>
      </c>
      <c r="X439">
        <v>568</v>
      </c>
      <c r="Y439">
        <v>38</v>
      </c>
      <c r="Z439">
        <v>1303</v>
      </c>
      <c r="AA439">
        <v>52</v>
      </c>
      <c r="AB439">
        <v>25</v>
      </c>
      <c r="AC439">
        <v>56</v>
      </c>
      <c r="AD439">
        <v>1</v>
      </c>
      <c r="AE439">
        <v>139</v>
      </c>
      <c r="AF439">
        <v>69</v>
      </c>
      <c r="AG439">
        <v>79</v>
      </c>
      <c r="AH439">
        <v>83</v>
      </c>
      <c r="AI439">
        <v>3.49</v>
      </c>
    </row>
    <row r="440" spans="1:35" x14ac:dyDescent="0.5">
      <c r="A440" s="35">
        <v>2014</v>
      </c>
      <c r="B440" t="s">
        <v>144</v>
      </c>
      <c r="C440" t="s">
        <v>149</v>
      </c>
      <c r="D440">
        <v>637</v>
      </c>
      <c r="E440">
        <v>162</v>
      </c>
      <c r="F440">
        <v>5</v>
      </c>
      <c r="G440">
        <v>10</v>
      </c>
      <c r="H440">
        <v>157</v>
      </c>
      <c r="I440">
        <v>48</v>
      </c>
      <c r="J440">
        <v>1453</v>
      </c>
      <c r="K440">
        <v>1392</v>
      </c>
      <c r="L440">
        <v>664</v>
      </c>
      <c r="M440" s="58">
        <f t="shared" si="24"/>
        <v>2014</v>
      </c>
      <c r="N440" s="58" t="s">
        <v>74</v>
      </c>
      <c r="O440" s="58" t="str">
        <f t="shared" si="27"/>
        <v>2014 New York Yankees</v>
      </c>
      <c r="P440" s="58">
        <v>6114</v>
      </c>
      <c r="Q440" s="58">
        <f t="shared" si="25"/>
        <v>941</v>
      </c>
      <c r="R440" s="58">
        <v>258</v>
      </c>
      <c r="S440" s="58">
        <v>29</v>
      </c>
      <c r="T440" s="58">
        <v>164</v>
      </c>
      <c r="U440" s="58">
        <v>398</v>
      </c>
      <c r="V440" s="58">
        <v>65</v>
      </c>
      <c r="W440" s="58">
        <f t="shared" si="26"/>
        <v>4259</v>
      </c>
      <c r="X440">
        <v>605</v>
      </c>
      <c r="Y440">
        <v>23</v>
      </c>
      <c r="Z440">
        <v>1370</v>
      </c>
      <c r="AA440">
        <v>38</v>
      </c>
      <c r="AB440">
        <v>45</v>
      </c>
      <c r="AC440">
        <v>49</v>
      </c>
      <c r="AD440">
        <v>6</v>
      </c>
      <c r="AE440">
        <v>87</v>
      </c>
      <c r="AF440">
        <v>70</v>
      </c>
      <c r="AG440">
        <v>84</v>
      </c>
      <c r="AH440">
        <v>78</v>
      </c>
      <c r="AI440">
        <v>3.75</v>
      </c>
    </row>
    <row r="441" spans="1:35" x14ac:dyDescent="0.5">
      <c r="A441" s="35">
        <v>2014</v>
      </c>
      <c r="B441" t="s">
        <v>79</v>
      </c>
      <c r="C441" t="s">
        <v>149</v>
      </c>
      <c r="D441">
        <v>603</v>
      </c>
      <c r="E441">
        <v>162</v>
      </c>
      <c r="F441">
        <v>7</v>
      </c>
      <c r="G441">
        <v>13</v>
      </c>
      <c r="H441">
        <v>155</v>
      </c>
      <c r="I441">
        <v>31</v>
      </c>
      <c r="J441">
        <v>1463.1</v>
      </c>
      <c r="K441">
        <v>1269</v>
      </c>
      <c r="L441">
        <v>572</v>
      </c>
      <c r="M441" s="58">
        <f t="shared" si="24"/>
        <v>2014</v>
      </c>
      <c r="N441" s="58" t="s">
        <v>78</v>
      </c>
      <c r="O441" s="58" t="str">
        <f t="shared" si="27"/>
        <v>2014 Oakland Athletics</v>
      </c>
      <c r="P441" s="58">
        <v>5972</v>
      </c>
      <c r="Q441" s="58">
        <f t="shared" si="25"/>
        <v>901</v>
      </c>
      <c r="R441" s="58">
        <v>210</v>
      </c>
      <c r="S441" s="58">
        <v>11</v>
      </c>
      <c r="T441" s="58">
        <v>147</v>
      </c>
      <c r="U441" s="58">
        <v>406</v>
      </c>
      <c r="V441" s="58">
        <v>48</v>
      </c>
      <c r="W441" s="58">
        <f t="shared" si="26"/>
        <v>4249</v>
      </c>
      <c r="X441">
        <v>524</v>
      </c>
      <c r="Y441">
        <v>28</v>
      </c>
      <c r="Z441">
        <v>1244</v>
      </c>
      <c r="AA441">
        <v>34</v>
      </c>
      <c r="AB441">
        <v>32</v>
      </c>
      <c r="AC441">
        <v>59</v>
      </c>
      <c r="AD441">
        <v>1</v>
      </c>
      <c r="AE441">
        <v>130</v>
      </c>
      <c r="AF441">
        <v>68</v>
      </c>
      <c r="AG441">
        <v>88</v>
      </c>
      <c r="AH441">
        <v>74</v>
      </c>
      <c r="AI441">
        <v>3.22</v>
      </c>
    </row>
    <row r="442" spans="1:35" x14ac:dyDescent="0.5">
      <c r="A442" s="35">
        <v>2014</v>
      </c>
      <c r="B442" t="s">
        <v>81</v>
      </c>
      <c r="C442" t="s">
        <v>38</v>
      </c>
      <c r="D442">
        <v>623</v>
      </c>
      <c r="E442">
        <v>162</v>
      </c>
      <c r="F442">
        <v>2</v>
      </c>
      <c r="G442">
        <v>12</v>
      </c>
      <c r="H442">
        <v>160</v>
      </c>
      <c r="I442">
        <v>40</v>
      </c>
      <c r="J442">
        <v>1468.1</v>
      </c>
      <c r="K442">
        <v>1396</v>
      </c>
      <c r="L442">
        <v>687</v>
      </c>
      <c r="M442" s="58">
        <f t="shared" si="24"/>
        <v>2014</v>
      </c>
      <c r="N442" s="58" t="s">
        <v>80</v>
      </c>
      <c r="O442" s="58" t="str">
        <f t="shared" si="27"/>
        <v>2014 Philadelphia Phillies</v>
      </c>
      <c r="P442" s="58">
        <v>6261</v>
      </c>
      <c r="Q442" s="58">
        <f t="shared" si="25"/>
        <v>946</v>
      </c>
      <c r="R442" s="58">
        <v>284</v>
      </c>
      <c r="S442" s="58">
        <v>32</v>
      </c>
      <c r="T442" s="58">
        <v>134</v>
      </c>
      <c r="U442" s="58">
        <v>521</v>
      </c>
      <c r="V442" s="58">
        <v>69</v>
      </c>
      <c r="W442" s="58">
        <f t="shared" si="26"/>
        <v>4275</v>
      </c>
      <c r="X442">
        <v>619</v>
      </c>
      <c r="Y442">
        <v>43</v>
      </c>
      <c r="Z442">
        <v>1255</v>
      </c>
      <c r="AA442">
        <v>77</v>
      </c>
      <c r="AB442">
        <v>48</v>
      </c>
      <c r="AC442">
        <v>49</v>
      </c>
      <c r="AD442">
        <v>1</v>
      </c>
      <c r="AE442">
        <v>110</v>
      </c>
      <c r="AF442">
        <v>62</v>
      </c>
      <c r="AG442">
        <v>73</v>
      </c>
      <c r="AH442">
        <v>89</v>
      </c>
      <c r="AI442">
        <v>3.79</v>
      </c>
    </row>
    <row r="443" spans="1:35" x14ac:dyDescent="0.5">
      <c r="A443" s="35">
        <v>2014</v>
      </c>
      <c r="B443" t="s">
        <v>83</v>
      </c>
      <c r="C443" t="s">
        <v>38</v>
      </c>
      <c r="D443">
        <v>614</v>
      </c>
      <c r="E443">
        <v>162</v>
      </c>
      <c r="F443">
        <v>2</v>
      </c>
      <c r="G443">
        <v>7</v>
      </c>
      <c r="H443">
        <v>160</v>
      </c>
      <c r="I443">
        <v>48</v>
      </c>
      <c r="J443">
        <v>1456.1</v>
      </c>
      <c r="K443">
        <v>1341</v>
      </c>
      <c r="L443">
        <v>631</v>
      </c>
      <c r="M443" s="58">
        <f t="shared" si="24"/>
        <v>2014</v>
      </c>
      <c r="N443" s="58" t="s">
        <v>82</v>
      </c>
      <c r="O443" s="58" t="str">
        <f t="shared" si="27"/>
        <v>2014 Pittsburgh Pirates</v>
      </c>
      <c r="P443" s="58">
        <v>6130</v>
      </c>
      <c r="Q443" s="58">
        <f t="shared" si="25"/>
        <v>952</v>
      </c>
      <c r="R443" s="58">
        <v>235</v>
      </c>
      <c r="S443" s="58">
        <v>26</v>
      </c>
      <c r="T443" s="58">
        <v>128</v>
      </c>
      <c r="U443" s="58">
        <v>499</v>
      </c>
      <c r="V443" s="58">
        <v>88</v>
      </c>
      <c r="W443" s="58">
        <f t="shared" si="26"/>
        <v>4202</v>
      </c>
      <c r="X443">
        <v>562</v>
      </c>
      <c r="Y443">
        <v>43</v>
      </c>
      <c r="Z443">
        <v>1228</v>
      </c>
      <c r="AA443">
        <v>72</v>
      </c>
      <c r="AB443">
        <v>42</v>
      </c>
      <c r="AC443">
        <v>71</v>
      </c>
      <c r="AD443">
        <v>3</v>
      </c>
      <c r="AE443">
        <v>131</v>
      </c>
      <c r="AF443">
        <v>68</v>
      </c>
      <c r="AG443">
        <v>88</v>
      </c>
      <c r="AH443">
        <v>74</v>
      </c>
      <c r="AI443">
        <v>3.47</v>
      </c>
    </row>
    <row r="444" spans="1:35" x14ac:dyDescent="0.5">
      <c r="A444" s="35">
        <v>2014</v>
      </c>
      <c r="B444" t="s">
        <v>147</v>
      </c>
      <c r="C444" t="s">
        <v>38</v>
      </c>
      <c r="D444">
        <v>643</v>
      </c>
      <c r="E444">
        <v>162</v>
      </c>
      <c r="F444">
        <v>4</v>
      </c>
      <c r="G444">
        <v>10</v>
      </c>
      <c r="H444">
        <v>158</v>
      </c>
      <c r="I444">
        <v>41</v>
      </c>
      <c r="J444">
        <v>1438.2</v>
      </c>
      <c r="K444">
        <v>1300</v>
      </c>
      <c r="L444">
        <v>577</v>
      </c>
      <c r="M444" s="58">
        <f t="shared" si="24"/>
        <v>2014</v>
      </c>
      <c r="N444" s="58" t="s">
        <v>84</v>
      </c>
      <c r="O444" s="58" t="str">
        <f t="shared" si="27"/>
        <v>2014 San Diego Padres</v>
      </c>
      <c r="P444" s="58">
        <v>6006</v>
      </c>
      <c r="Q444" s="58">
        <f t="shared" si="25"/>
        <v>904</v>
      </c>
      <c r="R444" s="58">
        <v>258</v>
      </c>
      <c r="S444" s="58">
        <v>21</v>
      </c>
      <c r="T444" s="58">
        <v>117</v>
      </c>
      <c r="U444" s="58">
        <v>462</v>
      </c>
      <c r="V444" s="58">
        <v>46</v>
      </c>
      <c r="W444" s="58">
        <f t="shared" si="26"/>
        <v>4198</v>
      </c>
      <c r="X444">
        <v>523</v>
      </c>
      <c r="Y444">
        <v>32</v>
      </c>
      <c r="Z444">
        <v>1284</v>
      </c>
      <c r="AA444">
        <v>65</v>
      </c>
      <c r="AB444">
        <v>40</v>
      </c>
      <c r="AC444">
        <v>57</v>
      </c>
      <c r="AD444">
        <v>4</v>
      </c>
      <c r="AE444">
        <v>100</v>
      </c>
      <c r="AF444">
        <v>65</v>
      </c>
      <c r="AG444">
        <v>77</v>
      </c>
      <c r="AH444">
        <v>85</v>
      </c>
      <c r="AI444">
        <v>3.27</v>
      </c>
    </row>
    <row r="445" spans="1:35" x14ac:dyDescent="0.5">
      <c r="A445" s="35">
        <v>2014</v>
      </c>
      <c r="B445" t="s">
        <v>87</v>
      </c>
      <c r="C445" t="s">
        <v>149</v>
      </c>
      <c r="D445">
        <v>660</v>
      </c>
      <c r="E445">
        <v>162</v>
      </c>
      <c r="F445">
        <v>2</v>
      </c>
      <c r="G445">
        <v>9</v>
      </c>
      <c r="H445">
        <v>160</v>
      </c>
      <c r="I445">
        <v>51</v>
      </c>
      <c r="J445">
        <v>1452</v>
      </c>
      <c r="K445">
        <v>1240</v>
      </c>
      <c r="L445">
        <v>554</v>
      </c>
      <c r="M445" s="58">
        <f t="shared" si="24"/>
        <v>2014</v>
      </c>
      <c r="N445" s="58" t="s">
        <v>86</v>
      </c>
      <c r="O445" s="58" t="str">
        <f t="shared" si="27"/>
        <v>2014 Seattle Mariners</v>
      </c>
      <c r="P445" s="58">
        <v>5974</v>
      </c>
      <c r="Q445" s="58">
        <f t="shared" si="25"/>
        <v>855</v>
      </c>
      <c r="R445" s="58">
        <v>227</v>
      </c>
      <c r="S445" s="58">
        <v>21</v>
      </c>
      <c r="T445" s="58">
        <v>137</v>
      </c>
      <c r="U445" s="58">
        <v>463</v>
      </c>
      <c r="V445" s="58">
        <v>52</v>
      </c>
      <c r="W445" s="58">
        <f t="shared" si="26"/>
        <v>4219</v>
      </c>
      <c r="X445">
        <v>512</v>
      </c>
      <c r="Y445">
        <v>36</v>
      </c>
      <c r="Z445">
        <v>1317</v>
      </c>
      <c r="AA445">
        <v>30</v>
      </c>
      <c r="AB445">
        <v>40</v>
      </c>
      <c r="AC445">
        <v>80</v>
      </c>
      <c r="AD445">
        <v>8</v>
      </c>
      <c r="AE445">
        <v>116</v>
      </c>
      <c r="AF445">
        <v>51</v>
      </c>
      <c r="AG445">
        <v>87</v>
      </c>
      <c r="AH445">
        <v>75</v>
      </c>
      <c r="AI445">
        <v>3.17</v>
      </c>
    </row>
    <row r="446" spans="1:35" x14ac:dyDescent="0.5">
      <c r="A446" s="35">
        <v>2014</v>
      </c>
      <c r="B446" t="s">
        <v>21</v>
      </c>
      <c r="C446" t="s">
        <v>38</v>
      </c>
      <c r="D446">
        <v>637</v>
      </c>
      <c r="E446">
        <v>162</v>
      </c>
      <c r="F446">
        <v>8</v>
      </c>
      <c r="G446">
        <v>12</v>
      </c>
      <c r="H446">
        <v>154</v>
      </c>
      <c r="I446">
        <v>46</v>
      </c>
      <c r="J446">
        <v>1449</v>
      </c>
      <c r="K446">
        <v>1305</v>
      </c>
      <c r="L446">
        <v>614</v>
      </c>
      <c r="M446" s="58">
        <f t="shared" si="24"/>
        <v>2014</v>
      </c>
      <c r="N446" s="58" t="s">
        <v>88</v>
      </c>
      <c r="O446" s="58" t="str">
        <f t="shared" si="27"/>
        <v>2014 San Francisco Giants</v>
      </c>
      <c r="P446" s="58">
        <v>5947</v>
      </c>
      <c r="Q446" s="58">
        <f t="shared" si="25"/>
        <v>858</v>
      </c>
      <c r="R446" s="58">
        <v>266</v>
      </c>
      <c r="S446" s="58">
        <v>48</v>
      </c>
      <c r="T446" s="58">
        <v>133</v>
      </c>
      <c r="U446" s="58">
        <v>389</v>
      </c>
      <c r="V446" s="58">
        <v>57</v>
      </c>
      <c r="W446" s="58">
        <f t="shared" si="26"/>
        <v>4196</v>
      </c>
      <c r="X446">
        <v>564</v>
      </c>
      <c r="Y446">
        <v>35</v>
      </c>
      <c r="Z446">
        <v>1211</v>
      </c>
      <c r="AA446">
        <v>51</v>
      </c>
      <c r="AB446">
        <v>38</v>
      </c>
      <c r="AC446">
        <v>49</v>
      </c>
      <c r="AD446">
        <v>6</v>
      </c>
      <c r="AE446">
        <v>132</v>
      </c>
      <c r="AF446">
        <v>74</v>
      </c>
      <c r="AG446">
        <v>88</v>
      </c>
      <c r="AH446">
        <v>74</v>
      </c>
      <c r="AI446">
        <v>3.5</v>
      </c>
    </row>
    <row r="447" spans="1:35" x14ac:dyDescent="0.5">
      <c r="A447" s="35">
        <v>2014</v>
      </c>
      <c r="B447" t="s">
        <v>142</v>
      </c>
      <c r="C447" t="s">
        <v>38</v>
      </c>
      <c r="D447">
        <v>647</v>
      </c>
      <c r="E447">
        <v>162</v>
      </c>
      <c r="F447">
        <v>8</v>
      </c>
      <c r="G447">
        <v>23</v>
      </c>
      <c r="H447">
        <v>154</v>
      </c>
      <c r="I447">
        <v>55</v>
      </c>
      <c r="J447">
        <v>1448.2</v>
      </c>
      <c r="K447">
        <v>1321</v>
      </c>
      <c r="L447">
        <v>603</v>
      </c>
      <c r="M447" s="58">
        <f t="shared" si="24"/>
        <v>2014</v>
      </c>
      <c r="N447" s="58" t="s">
        <v>90</v>
      </c>
      <c r="O447" s="58" t="str">
        <f t="shared" si="27"/>
        <v>2014 St. Louis Cardinals</v>
      </c>
      <c r="P447" s="58">
        <v>6069</v>
      </c>
      <c r="Q447" s="58">
        <f t="shared" si="25"/>
        <v>919</v>
      </c>
      <c r="R447" s="58">
        <v>253</v>
      </c>
      <c r="S447" s="58">
        <v>26</v>
      </c>
      <c r="T447" s="58">
        <v>123</v>
      </c>
      <c r="U447" s="58">
        <v>470</v>
      </c>
      <c r="V447" s="58">
        <v>61</v>
      </c>
      <c r="W447" s="58">
        <f t="shared" si="26"/>
        <v>4217</v>
      </c>
      <c r="X447">
        <v>564</v>
      </c>
      <c r="Y447">
        <v>35</v>
      </c>
      <c r="Z447">
        <v>1221</v>
      </c>
      <c r="AA447">
        <v>51</v>
      </c>
      <c r="AB447">
        <v>34</v>
      </c>
      <c r="AC447">
        <v>44</v>
      </c>
      <c r="AD447">
        <v>5</v>
      </c>
      <c r="AE447">
        <v>130</v>
      </c>
      <c r="AF447">
        <v>63</v>
      </c>
      <c r="AG447">
        <v>90</v>
      </c>
      <c r="AH447">
        <v>72</v>
      </c>
      <c r="AI447">
        <v>3.5</v>
      </c>
    </row>
    <row r="448" spans="1:35" x14ac:dyDescent="0.5">
      <c r="A448" s="35">
        <v>2014</v>
      </c>
      <c r="B448" t="s">
        <v>151</v>
      </c>
      <c r="C448" t="s">
        <v>149</v>
      </c>
      <c r="D448">
        <v>656</v>
      </c>
      <c r="E448">
        <v>162</v>
      </c>
      <c r="F448">
        <v>3</v>
      </c>
      <c r="G448">
        <v>22</v>
      </c>
      <c r="H448">
        <v>159</v>
      </c>
      <c r="I448">
        <v>37</v>
      </c>
      <c r="J448">
        <v>1463.2</v>
      </c>
      <c r="K448">
        <v>1292</v>
      </c>
      <c r="L448">
        <v>625</v>
      </c>
      <c r="M448" s="58">
        <f t="shared" si="24"/>
        <v>2014</v>
      </c>
      <c r="N448" s="58" t="s">
        <v>92</v>
      </c>
      <c r="O448" s="58" t="str">
        <f t="shared" si="27"/>
        <v>2014 Tampa Bay Devil Rays</v>
      </c>
      <c r="P448" s="58">
        <v>6131</v>
      </c>
      <c r="Q448" s="58">
        <f t="shared" si="25"/>
        <v>893</v>
      </c>
      <c r="R448" s="58">
        <v>236</v>
      </c>
      <c r="S448" s="58">
        <v>18</v>
      </c>
      <c r="T448" s="58">
        <v>145</v>
      </c>
      <c r="U448" s="58">
        <v>482</v>
      </c>
      <c r="V448" s="58">
        <v>58</v>
      </c>
      <c r="W448" s="58">
        <f t="shared" si="26"/>
        <v>4299</v>
      </c>
      <c r="X448">
        <v>579</v>
      </c>
      <c r="Y448">
        <v>27</v>
      </c>
      <c r="Z448">
        <v>1437</v>
      </c>
      <c r="AA448">
        <v>27</v>
      </c>
      <c r="AB448">
        <v>45</v>
      </c>
      <c r="AC448">
        <v>65</v>
      </c>
      <c r="AD448">
        <v>3</v>
      </c>
      <c r="AE448">
        <v>79</v>
      </c>
      <c r="AF448">
        <v>54</v>
      </c>
      <c r="AG448">
        <v>77</v>
      </c>
      <c r="AH448">
        <v>85</v>
      </c>
      <c r="AI448">
        <v>3.56</v>
      </c>
    </row>
    <row r="449" spans="1:35" x14ac:dyDescent="0.5">
      <c r="A449" s="35">
        <v>2014</v>
      </c>
      <c r="B449" t="s">
        <v>95</v>
      </c>
      <c r="C449" t="s">
        <v>149</v>
      </c>
      <c r="D449">
        <v>638</v>
      </c>
      <c r="E449">
        <v>162</v>
      </c>
      <c r="F449">
        <v>6</v>
      </c>
      <c r="G449">
        <v>17</v>
      </c>
      <c r="H449">
        <v>156</v>
      </c>
      <c r="I449">
        <v>33</v>
      </c>
      <c r="J449">
        <v>1426.1</v>
      </c>
      <c r="K449">
        <v>1510</v>
      </c>
      <c r="L449">
        <v>773</v>
      </c>
      <c r="M449" s="58">
        <f t="shared" si="24"/>
        <v>2014</v>
      </c>
      <c r="N449" s="58" t="s">
        <v>94</v>
      </c>
      <c r="O449" s="58" t="str">
        <f t="shared" si="27"/>
        <v>2014 Texas Rangers</v>
      </c>
      <c r="P449" s="58">
        <v>6195</v>
      </c>
      <c r="Q449" s="58">
        <f t="shared" si="25"/>
        <v>992</v>
      </c>
      <c r="R449" s="58">
        <v>329</v>
      </c>
      <c r="S449" s="58">
        <v>29</v>
      </c>
      <c r="T449" s="58">
        <v>160</v>
      </c>
      <c r="U449" s="58">
        <v>505</v>
      </c>
      <c r="V449" s="58">
        <v>61</v>
      </c>
      <c r="W449" s="58">
        <f t="shared" si="26"/>
        <v>4119</v>
      </c>
      <c r="X449">
        <v>711</v>
      </c>
      <c r="Y449">
        <v>43</v>
      </c>
      <c r="Z449">
        <v>1110</v>
      </c>
      <c r="AA449">
        <v>24</v>
      </c>
      <c r="AB449">
        <v>49</v>
      </c>
      <c r="AC449">
        <v>61</v>
      </c>
      <c r="AD449">
        <v>7</v>
      </c>
      <c r="AE449">
        <v>129</v>
      </c>
      <c r="AF449">
        <v>65</v>
      </c>
      <c r="AG449">
        <v>67</v>
      </c>
      <c r="AH449">
        <v>95</v>
      </c>
      <c r="AI449">
        <v>4.49</v>
      </c>
    </row>
    <row r="450" spans="1:35" x14ac:dyDescent="0.5">
      <c r="A450" s="35">
        <v>2014</v>
      </c>
      <c r="B450" t="s">
        <v>97</v>
      </c>
      <c r="C450" t="s">
        <v>149</v>
      </c>
      <c r="D450">
        <v>611</v>
      </c>
      <c r="E450">
        <v>162</v>
      </c>
      <c r="F450">
        <v>3</v>
      </c>
      <c r="G450">
        <v>16</v>
      </c>
      <c r="H450">
        <v>159</v>
      </c>
      <c r="I450">
        <v>45</v>
      </c>
      <c r="J450">
        <v>1443</v>
      </c>
      <c r="K450">
        <v>1400</v>
      </c>
      <c r="L450">
        <v>686</v>
      </c>
      <c r="M450" s="58">
        <f t="shared" ref="M450:M513" si="28">A450</f>
        <v>2014</v>
      </c>
      <c r="N450" s="58" t="s">
        <v>96</v>
      </c>
      <c r="O450" s="58" t="str">
        <f t="shared" si="27"/>
        <v>2014 Toronto Blue Jays</v>
      </c>
      <c r="P450" s="58">
        <v>6150</v>
      </c>
      <c r="Q450" s="58">
        <f t="shared" ref="Q450:Q513" si="29">K450-(R450+S450+T450)</f>
        <v>886</v>
      </c>
      <c r="R450" s="58">
        <v>331</v>
      </c>
      <c r="S450" s="58">
        <v>32</v>
      </c>
      <c r="T450" s="58">
        <v>151</v>
      </c>
      <c r="U450" s="58">
        <v>490</v>
      </c>
      <c r="V450" s="58">
        <v>57</v>
      </c>
      <c r="W450" s="58">
        <f t="shared" ref="W450:W513" si="30">P450-(K450+U450+V450)</f>
        <v>4203</v>
      </c>
      <c r="X450">
        <v>642</v>
      </c>
      <c r="Y450">
        <v>23</v>
      </c>
      <c r="Z450">
        <v>1199</v>
      </c>
      <c r="AA450">
        <v>25</v>
      </c>
      <c r="AB450">
        <v>48</v>
      </c>
      <c r="AC450">
        <v>43</v>
      </c>
      <c r="AD450">
        <v>5</v>
      </c>
      <c r="AE450">
        <v>113</v>
      </c>
      <c r="AF450">
        <v>58</v>
      </c>
      <c r="AG450">
        <v>83</v>
      </c>
      <c r="AH450">
        <v>79</v>
      </c>
      <c r="AI450">
        <v>4</v>
      </c>
    </row>
    <row r="451" spans="1:35" x14ac:dyDescent="0.5">
      <c r="A451" s="35">
        <v>2014</v>
      </c>
      <c r="B451" t="s">
        <v>101</v>
      </c>
      <c r="C451" t="s">
        <v>38</v>
      </c>
      <c r="D451">
        <v>620</v>
      </c>
      <c r="E451">
        <v>162</v>
      </c>
      <c r="F451">
        <v>5</v>
      </c>
      <c r="G451">
        <v>19</v>
      </c>
      <c r="H451">
        <v>157</v>
      </c>
      <c r="I451">
        <v>45</v>
      </c>
      <c r="J451">
        <v>1470.2</v>
      </c>
      <c r="K451">
        <v>1351</v>
      </c>
      <c r="L451">
        <v>555</v>
      </c>
      <c r="M451" s="58">
        <f t="shared" si="28"/>
        <v>2014</v>
      </c>
      <c r="N451" s="58" t="s">
        <v>100</v>
      </c>
      <c r="O451" s="58" t="str">
        <f t="shared" ref="O451:O514" si="31">M451&amp;" "&amp;N451</f>
        <v>2014 Washington Nationals</v>
      </c>
      <c r="P451" s="58">
        <v>6020</v>
      </c>
      <c r="Q451" s="58">
        <f t="shared" si="29"/>
        <v>971</v>
      </c>
      <c r="R451" s="58">
        <v>242</v>
      </c>
      <c r="S451" s="58">
        <v>28</v>
      </c>
      <c r="T451" s="58">
        <v>110</v>
      </c>
      <c r="U451" s="58">
        <v>352</v>
      </c>
      <c r="V451" s="58">
        <v>51</v>
      </c>
      <c r="W451" s="58">
        <f t="shared" si="30"/>
        <v>4266</v>
      </c>
      <c r="X451">
        <v>495</v>
      </c>
      <c r="Y451">
        <v>26</v>
      </c>
      <c r="Z451">
        <v>1288</v>
      </c>
      <c r="AA451">
        <v>51</v>
      </c>
      <c r="AB451">
        <v>32</v>
      </c>
      <c r="AC451">
        <v>37</v>
      </c>
      <c r="AD451">
        <v>2</v>
      </c>
      <c r="AE451">
        <v>116</v>
      </c>
      <c r="AF451">
        <v>59</v>
      </c>
      <c r="AG451">
        <v>96</v>
      </c>
      <c r="AH451">
        <v>66</v>
      </c>
      <c r="AI451">
        <v>3.03</v>
      </c>
    </row>
    <row r="452" spans="1:35" x14ac:dyDescent="0.5">
      <c r="A452" s="35">
        <v>2015</v>
      </c>
      <c r="B452" t="s">
        <v>37</v>
      </c>
      <c r="C452" t="s">
        <v>149</v>
      </c>
      <c r="D452">
        <v>680</v>
      </c>
      <c r="E452">
        <v>162</v>
      </c>
      <c r="F452">
        <v>2</v>
      </c>
      <c r="G452">
        <v>12</v>
      </c>
      <c r="H452">
        <v>160</v>
      </c>
      <c r="I452">
        <v>46</v>
      </c>
      <c r="J452">
        <v>1440.2</v>
      </c>
      <c r="K452">
        <v>1355</v>
      </c>
      <c r="L452">
        <v>675</v>
      </c>
      <c r="M452" s="58">
        <f t="shared" si="28"/>
        <v>2015</v>
      </c>
      <c r="N452" s="58" t="s">
        <v>36</v>
      </c>
      <c r="O452" s="58" t="str">
        <f t="shared" si="31"/>
        <v>2015 Anaheim Angels</v>
      </c>
      <c r="P452" s="58">
        <v>6096</v>
      </c>
      <c r="Q452" s="58">
        <f t="shared" si="29"/>
        <v>897</v>
      </c>
      <c r="R452" s="58">
        <v>273</v>
      </c>
      <c r="S452" s="58">
        <v>19</v>
      </c>
      <c r="T452" s="58">
        <v>166</v>
      </c>
      <c r="U452" s="58">
        <v>466</v>
      </c>
      <c r="V452" s="58">
        <v>71</v>
      </c>
      <c r="W452" s="58">
        <f t="shared" si="30"/>
        <v>4204</v>
      </c>
      <c r="X452">
        <v>630</v>
      </c>
      <c r="Y452">
        <v>45</v>
      </c>
      <c r="Z452">
        <v>1221</v>
      </c>
      <c r="AA452">
        <v>42</v>
      </c>
      <c r="AB452">
        <v>50</v>
      </c>
      <c r="AC452">
        <v>61</v>
      </c>
      <c r="AD452">
        <v>4</v>
      </c>
      <c r="AE452">
        <v>91</v>
      </c>
      <c r="AF452">
        <v>71</v>
      </c>
      <c r="AG452">
        <v>85</v>
      </c>
      <c r="AH452">
        <v>77</v>
      </c>
      <c r="AI452">
        <v>3.94</v>
      </c>
    </row>
    <row r="453" spans="1:35" x14ac:dyDescent="0.5">
      <c r="A453" s="35">
        <v>2015</v>
      </c>
      <c r="B453" t="s">
        <v>40</v>
      </c>
      <c r="C453" t="s">
        <v>38</v>
      </c>
      <c r="D453">
        <v>712</v>
      </c>
      <c r="E453">
        <v>162</v>
      </c>
      <c r="F453">
        <v>1</v>
      </c>
      <c r="G453">
        <v>12</v>
      </c>
      <c r="H453">
        <v>161</v>
      </c>
      <c r="I453">
        <v>44</v>
      </c>
      <c r="J453">
        <v>1466.2</v>
      </c>
      <c r="K453">
        <v>1450</v>
      </c>
      <c r="L453">
        <v>713</v>
      </c>
      <c r="M453" s="58">
        <f t="shared" si="28"/>
        <v>2015</v>
      </c>
      <c r="N453" s="58" t="s">
        <v>39</v>
      </c>
      <c r="O453" s="58" t="str">
        <f t="shared" si="31"/>
        <v>2015 Arizona Diamondbacks</v>
      </c>
      <c r="P453" s="58">
        <v>6257</v>
      </c>
      <c r="Q453" s="58">
        <f t="shared" si="29"/>
        <v>920</v>
      </c>
      <c r="R453" s="58">
        <v>318</v>
      </c>
      <c r="S453" s="58">
        <v>30</v>
      </c>
      <c r="T453" s="58">
        <v>182</v>
      </c>
      <c r="U453" s="58">
        <v>500</v>
      </c>
      <c r="V453" s="58">
        <v>48</v>
      </c>
      <c r="W453" s="58">
        <f t="shared" si="30"/>
        <v>4259</v>
      </c>
      <c r="X453">
        <v>659</v>
      </c>
      <c r="Y453">
        <v>45</v>
      </c>
      <c r="Z453">
        <v>1215</v>
      </c>
      <c r="AA453">
        <v>44</v>
      </c>
      <c r="AB453">
        <v>46</v>
      </c>
      <c r="AC453">
        <v>51</v>
      </c>
      <c r="AD453">
        <v>3</v>
      </c>
      <c r="AE453">
        <v>125</v>
      </c>
      <c r="AF453">
        <v>64</v>
      </c>
      <c r="AG453">
        <v>79</v>
      </c>
      <c r="AH453">
        <v>83</v>
      </c>
      <c r="AI453">
        <v>4.04</v>
      </c>
    </row>
    <row r="454" spans="1:35" x14ac:dyDescent="0.5">
      <c r="A454" s="35">
        <v>2015</v>
      </c>
      <c r="B454" t="s">
        <v>42</v>
      </c>
      <c r="C454" t="s">
        <v>38</v>
      </c>
      <c r="D454">
        <v>694</v>
      </c>
      <c r="E454">
        <v>162</v>
      </c>
      <c r="F454">
        <v>3</v>
      </c>
      <c r="G454">
        <v>10</v>
      </c>
      <c r="H454">
        <v>159</v>
      </c>
      <c r="I454">
        <v>44</v>
      </c>
      <c r="J454">
        <v>1425.1</v>
      </c>
      <c r="K454">
        <v>1462</v>
      </c>
      <c r="L454">
        <v>760</v>
      </c>
      <c r="M454" s="58">
        <f t="shared" si="28"/>
        <v>2015</v>
      </c>
      <c r="N454" s="58" t="s">
        <v>41</v>
      </c>
      <c r="O454" s="58" t="str">
        <f t="shared" si="31"/>
        <v>2015 Atlanta Braves</v>
      </c>
      <c r="P454" s="58">
        <v>6156</v>
      </c>
      <c r="Q454" s="58">
        <f t="shared" si="29"/>
        <v>974</v>
      </c>
      <c r="R454" s="58">
        <v>285</v>
      </c>
      <c r="S454" s="58">
        <v>33</v>
      </c>
      <c r="T454" s="58">
        <v>170</v>
      </c>
      <c r="U454" s="58">
        <v>550</v>
      </c>
      <c r="V454" s="58">
        <v>53</v>
      </c>
      <c r="W454" s="58">
        <f t="shared" si="30"/>
        <v>4091</v>
      </c>
      <c r="X454">
        <v>698</v>
      </c>
      <c r="Y454">
        <v>45</v>
      </c>
      <c r="Z454">
        <v>1148</v>
      </c>
      <c r="AA454">
        <v>56</v>
      </c>
      <c r="AB454">
        <v>46</v>
      </c>
      <c r="AC454">
        <v>53</v>
      </c>
      <c r="AD454">
        <v>9</v>
      </c>
      <c r="AE454">
        <v>165</v>
      </c>
      <c r="AF454">
        <v>68</v>
      </c>
      <c r="AG454">
        <v>67</v>
      </c>
      <c r="AH454">
        <v>95</v>
      </c>
      <c r="AI454">
        <v>4.41</v>
      </c>
    </row>
    <row r="455" spans="1:35" x14ac:dyDescent="0.5">
      <c r="A455" s="35">
        <v>2015</v>
      </c>
      <c r="B455" t="s">
        <v>45</v>
      </c>
      <c r="C455" t="s">
        <v>149</v>
      </c>
      <c r="D455">
        <v>615</v>
      </c>
      <c r="E455">
        <v>162</v>
      </c>
      <c r="F455">
        <v>0</v>
      </c>
      <c r="G455">
        <v>10</v>
      </c>
      <c r="H455">
        <v>162</v>
      </c>
      <c r="I455">
        <v>43</v>
      </c>
      <c r="J455">
        <v>1434.2</v>
      </c>
      <c r="K455">
        <v>1406</v>
      </c>
      <c r="L455">
        <v>693</v>
      </c>
      <c r="M455" s="58">
        <f t="shared" si="28"/>
        <v>2015</v>
      </c>
      <c r="N455" s="58" t="s">
        <v>44</v>
      </c>
      <c r="O455" s="58" t="str">
        <f t="shared" si="31"/>
        <v>2015 Baltimore Orioles</v>
      </c>
      <c r="P455" s="58">
        <v>6085</v>
      </c>
      <c r="Q455" s="58">
        <f t="shared" si="29"/>
        <v>892</v>
      </c>
      <c r="R455" s="58">
        <v>317</v>
      </c>
      <c r="S455" s="58">
        <v>23</v>
      </c>
      <c r="T455" s="58">
        <v>174</v>
      </c>
      <c r="U455" s="58">
        <v>483</v>
      </c>
      <c r="V455" s="58">
        <v>54</v>
      </c>
      <c r="W455" s="58">
        <f t="shared" si="30"/>
        <v>4142</v>
      </c>
      <c r="X455">
        <v>646</v>
      </c>
      <c r="Y455">
        <v>27</v>
      </c>
      <c r="Z455">
        <v>1233</v>
      </c>
      <c r="AA455">
        <v>24</v>
      </c>
      <c r="AB455">
        <v>44</v>
      </c>
      <c r="AC455">
        <v>46</v>
      </c>
      <c r="AD455">
        <v>0</v>
      </c>
      <c r="AE455">
        <v>116</v>
      </c>
      <c r="AF455">
        <v>56</v>
      </c>
      <c r="AG455">
        <v>81</v>
      </c>
      <c r="AH455">
        <v>81</v>
      </c>
      <c r="AI455">
        <v>4.05</v>
      </c>
    </row>
    <row r="456" spans="1:35" x14ac:dyDescent="0.5">
      <c r="A456" s="35">
        <v>2015</v>
      </c>
      <c r="B456" t="s">
        <v>47</v>
      </c>
      <c r="C456" t="s">
        <v>149</v>
      </c>
      <c r="D456">
        <v>637</v>
      </c>
      <c r="E456">
        <v>162</v>
      </c>
      <c r="F456">
        <v>3</v>
      </c>
      <c r="G456">
        <v>10</v>
      </c>
      <c r="H456">
        <v>159</v>
      </c>
      <c r="I456">
        <v>40</v>
      </c>
      <c r="J456">
        <v>1448.1</v>
      </c>
      <c r="K456">
        <v>1486</v>
      </c>
      <c r="L456">
        <v>753</v>
      </c>
      <c r="M456" s="58">
        <f t="shared" si="28"/>
        <v>2015</v>
      </c>
      <c r="N456" s="58" t="s">
        <v>46</v>
      </c>
      <c r="O456" s="58" t="str">
        <f t="shared" si="31"/>
        <v>2015 Boston Red Sox</v>
      </c>
      <c r="P456" s="58">
        <v>6225</v>
      </c>
      <c r="Q456" s="58">
        <f t="shared" si="29"/>
        <v>977</v>
      </c>
      <c r="R456" s="58">
        <v>299</v>
      </c>
      <c r="S456" s="58">
        <v>32</v>
      </c>
      <c r="T456" s="58">
        <v>178</v>
      </c>
      <c r="U456" s="58">
        <v>478</v>
      </c>
      <c r="V456" s="58">
        <v>62</v>
      </c>
      <c r="W456" s="58">
        <f t="shared" si="30"/>
        <v>4199</v>
      </c>
      <c r="X456">
        <v>694</v>
      </c>
      <c r="Y456">
        <v>17</v>
      </c>
      <c r="Z456">
        <v>1218</v>
      </c>
      <c r="AA456">
        <v>23</v>
      </c>
      <c r="AB456">
        <v>37</v>
      </c>
      <c r="AC456">
        <v>79</v>
      </c>
      <c r="AD456">
        <v>10</v>
      </c>
      <c r="AE456">
        <v>126</v>
      </c>
      <c r="AF456">
        <v>66</v>
      </c>
      <c r="AG456">
        <v>78</v>
      </c>
      <c r="AH456">
        <v>84</v>
      </c>
      <c r="AI456">
        <v>4.3099999999999996</v>
      </c>
    </row>
    <row r="457" spans="1:35" x14ac:dyDescent="0.5">
      <c r="A457" s="35">
        <v>2015</v>
      </c>
      <c r="B457" t="s">
        <v>143</v>
      </c>
      <c r="C457" t="s">
        <v>38</v>
      </c>
      <c r="D457">
        <v>714</v>
      </c>
      <c r="E457">
        <v>162</v>
      </c>
      <c r="F457">
        <v>6</v>
      </c>
      <c r="G457">
        <v>21</v>
      </c>
      <c r="H457">
        <v>156</v>
      </c>
      <c r="I457">
        <v>48</v>
      </c>
      <c r="J457">
        <v>1461.1</v>
      </c>
      <c r="K457">
        <v>1276</v>
      </c>
      <c r="L457">
        <v>608</v>
      </c>
      <c r="M457" s="58">
        <f t="shared" si="28"/>
        <v>2015</v>
      </c>
      <c r="N457" s="58" t="s">
        <v>50</v>
      </c>
      <c r="O457" s="58" t="str">
        <f t="shared" si="31"/>
        <v>2015 Chicago Cubs</v>
      </c>
      <c r="P457" s="58">
        <v>5997</v>
      </c>
      <c r="Q457" s="58">
        <f t="shared" si="29"/>
        <v>819</v>
      </c>
      <c r="R457" s="58">
        <v>286</v>
      </c>
      <c r="S457" s="58">
        <v>37</v>
      </c>
      <c r="T457" s="58">
        <v>134</v>
      </c>
      <c r="U457" s="58">
        <v>407</v>
      </c>
      <c r="V457" s="58">
        <v>46</v>
      </c>
      <c r="W457" s="58">
        <f t="shared" si="30"/>
        <v>4268</v>
      </c>
      <c r="X457">
        <v>546</v>
      </c>
      <c r="Y457">
        <v>38</v>
      </c>
      <c r="Z457">
        <v>1431</v>
      </c>
      <c r="AA457">
        <v>36</v>
      </c>
      <c r="AB457">
        <v>30</v>
      </c>
      <c r="AC457">
        <v>66</v>
      </c>
      <c r="AD457">
        <v>3</v>
      </c>
      <c r="AE457">
        <v>98</v>
      </c>
      <c r="AF457">
        <v>81</v>
      </c>
      <c r="AG457">
        <v>97</v>
      </c>
      <c r="AH457">
        <v>65</v>
      </c>
      <c r="AI457">
        <v>3.36</v>
      </c>
    </row>
    <row r="458" spans="1:35" x14ac:dyDescent="0.5">
      <c r="A458" s="35">
        <v>2015</v>
      </c>
      <c r="B458" t="s">
        <v>143</v>
      </c>
      <c r="C458" t="s">
        <v>149</v>
      </c>
      <c r="D458">
        <v>576</v>
      </c>
      <c r="E458">
        <v>162</v>
      </c>
      <c r="F458">
        <v>7</v>
      </c>
      <c r="G458">
        <v>9</v>
      </c>
      <c r="H458">
        <v>155</v>
      </c>
      <c r="I458">
        <v>37</v>
      </c>
      <c r="J458">
        <v>1452.2</v>
      </c>
      <c r="K458">
        <v>1443</v>
      </c>
      <c r="L458">
        <v>701</v>
      </c>
      <c r="M458" s="58">
        <f t="shared" si="28"/>
        <v>2015</v>
      </c>
      <c r="N458" s="58" t="s">
        <v>48</v>
      </c>
      <c r="O458" s="58" t="str">
        <f t="shared" si="31"/>
        <v>2015 Chicago White Sox</v>
      </c>
      <c r="P458" s="58">
        <v>6181</v>
      </c>
      <c r="Q458" s="58">
        <f t="shared" si="29"/>
        <v>970</v>
      </c>
      <c r="R458" s="58">
        <v>272</v>
      </c>
      <c r="S458" s="58">
        <v>39</v>
      </c>
      <c r="T458" s="58">
        <v>162</v>
      </c>
      <c r="U458" s="58">
        <v>474</v>
      </c>
      <c r="V458" s="58">
        <v>62</v>
      </c>
      <c r="W458" s="58">
        <f t="shared" si="30"/>
        <v>4202</v>
      </c>
      <c r="X458">
        <v>643</v>
      </c>
      <c r="Y458">
        <v>34</v>
      </c>
      <c r="Z458">
        <v>1359</v>
      </c>
      <c r="AA458">
        <v>42</v>
      </c>
      <c r="AB458">
        <v>43</v>
      </c>
      <c r="AC458">
        <v>61</v>
      </c>
      <c r="AD458">
        <v>2</v>
      </c>
      <c r="AE458">
        <v>134</v>
      </c>
      <c r="AF458">
        <v>69</v>
      </c>
      <c r="AG458">
        <v>76</v>
      </c>
      <c r="AH458">
        <v>86</v>
      </c>
      <c r="AI458">
        <v>3.98</v>
      </c>
    </row>
    <row r="459" spans="1:35" x14ac:dyDescent="0.5">
      <c r="A459" s="35">
        <v>2015</v>
      </c>
      <c r="B459" t="s">
        <v>53</v>
      </c>
      <c r="C459" t="s">
        <v>38</v>
      </c>
      <c r="D459">
        <v>683</v>
      </c>
      <c r="E459">
        <v>162</v>
      </c>
      <c r="F459">
        <v>2</v>
      </c>
      <c r="G459">
        <v>8</v>
      </c>
      <c r="H459">
        <v>160</v>
      </c>
      <c r="I459">
        <v>35</v>
      </c>
      <c r="J459">
        <v>1453.1</v>
      </c>
      <c r="K459">
        <v>1436</v>
      </c>
      <c r="L459">
        <v>754</v>
      </c>
      <c r="M459" s="58">
        <f t="shared" si="28"/>
        <v>2015</v>
      </c>
      <c r="N459" s="58" t="s">
        <v>52</v>
      </c>
      <c r="O459" s="58" t="str">
        <f t="shared" si="31"/>
        <v>2015 Cincinnati Reds</v>
      </c>
      <c r="P459" s="58">
        <v>6271</v>
      </c>
      <c r="Q459" s="58">
        <f t="shared" si="29"/>
        <v>917</v>
      </c>
      <c r="R459" s="58">
        <v>317</v>
      </c>
      <c r="S459" s="58">
        <v>25</v>
      </c>
      <c r="T459" s="58">
        <v>177</v>
      </c>
      <c r="U459" s="58">
        <v>544</v>
      </c>
      <c r="V459" s="58">
        <v>58</v>
      </c>
      <c r="W459" s="58">
        <f t="shared" si="30"/>
        <v>4233</v>
      </c>
      <c r="X459">
        <v>700</v>
      </c>
      <c r="Y459">
        <v>42</v>
      </c>
      <c r="Z459">
        <v>1252</v>
      </c>
      <c r="AA459">
        <v>62</v>
      </c>
      <c r="AB459">
        <v>45</v>
      </c>
      <c r="AC459">
        <v>54</v>
      </c>
      <c r="AD459">
        <v>11</v>
      </c>
      <c r="AE459">
        <v>117</v>
      </c>
      <c r="AF459">
        <v>69</v>
      </c>
      <c r="AG459">
        <v>64</v>
      </c>
      <c r="AH459">
        <v>98</v>
      </c>
      <c r="AI459">
        <v>4.33</v>
      </c>
    </row>
    <row r="460" spans="1:35" x14ac:dyDescent="0.5">
      <c r="A460" s="35">
        <v>2015</v>
      </c>
      <c r="B460" t="s">
        <v>55</v>
      </c>
      <c r="C460" t="s">
        <v>149</v>
      </c>
      <c r="D460">
        <v>637</v>
      </c>
      <c r="E460">
        <v>161</v>
      </c>
      <c r="F460">
        <v>11</v>
      </c>
      <c r="G460">
        <v>10</v>
      </c>
      <c r="H460">
        <v>150</v>
      </c>
      <c r="I460">
        <v>38</v>
      </c>
      <c r="J460">
        <v>1432.2</v>
      </c>
      <c r="K460">
        <v>1274</v>
      </c>
      <c r="L460">
        <v>640</v>
      </c>
      <c r="M460" s="58">
        <f t="shared" si="28"/>
        <v>2015</v>
      </c>
      <c r="N460" s="58" t="s">
        <v>54</v>
      </c>
      <c r="O460" s="58" t="str">
        <f t="shared" si="31"/>
        <v>2015 Cleveland Indians</v>
      </c>
      <c r="P460" s="58">
        <v>5904</v>
      </c>
      <c r="Q460" s="58">
        <f t="shared" si="29"/>
        <v>828</v>
      </c>
      <c r="R460" s="58">
        <v>254</v>
      </c>
      <c r="S460" s="58">
        <v>31</v>
      </c>
      <c r="T460" s="58">
        <v>161</v>
      </c>
      <c r="U460" s="58">
        <v>425</v>
      </c>
      <c r="V460" s="58">
        <v>48</v>
      </c>
      <c r="W460" s="58">
        <f t="shared" si="30"/>
        <v>4157</v>
      </c>
      <c r="X460">
        <v>584</v>
      </c>
      <c r="Y460">
        <v>27</v>
      </c>
      <c r="Z460">
        <v>1407</v>
      </c>
      <c r="AA460">
        <v>26</v>
      </c>
      <c r="AB460">
        <v>32</v>
      </c>
      <c r="AC460">
        <v>48</v>
      </c>
      <c r="AD460">
        <v>5</v>
      </c>
      <c r="AE460">
        <v>119</v>
      </c>
      <c r="AF460">
        <v>56</v>
      </c>
      <c r="AG460">
        <v>81</v>
      </c>
      <c r="AH460">
        <v>80</v>
      </c>
      <c r="AI460">
        <v>3.67</v>
      </c>
    </row>
    <row r="461" spans="1:35" x14ac:dyDescent="0.5">
      <c r="A461" s="35">
        <v>2015</v>
      </c>
      <c r="B461" t="s">
        <v>57</v>
      </c>
      <c r="C461" t="s">
        <v>38</v>
      </c>
      <c r="D461">
        <v>746</v>
      </c>
      <c r="E461">
        <v>162</v>
      </c>
      <c r="F461">
        <v>4</v>
      </c>
      <c r="G461">
        <v>4</v>
      </c>
      <c r="H461">
        <v>158</v>
      </c>
      <c r="I461">
        <v>36</v>
      </c>
      <c r="J461">
        <v>1426.1</v>
      </c>
      <c r="K461">
        <v>1579</v>
      </c>
      <c r="L461">
        <v>844</v>
      </c>
      <c r="M461" s="58">
        <f t="shared" si="28"/>
        <v>2015</v>
      </c>
      <c r="N461" s="58" t="s">
        <v>56</v>
      </c>
      <c r="O461" s="58" t="str">
        <f t="shared" si="31"/>
        <v>2015 Colorado Rockies</v>
      </c>
      <c r="P461" s="58">
        <v>6308</v>
      </c>
      <c r="Q461" s="58">
        <f t="shared" si="29"/>
        <v>992</v>
      </c>
      <c r="R461" s="58">
        <v>363</v>
      </c>
      <c r="S461" s="58">
        <v>41</v>
      </c>
      <c r="T461" s="58">
        <v>183</v>
      </c>
      <c r="U461" s="58">
        <v>579</v>
      </c>
      <c r="V461" s="58">
        <v>48</v>
      </c>
      <c r="W461" s="58">
        <f t="shared" si="30"/>
        <v>4102</v>
      </c>
      <c r="X461">
        <v>799</v>
      </c>
      <c r="Y461">
        <v>42</v>
      </c>
      <c r="Z461">
        <v>1112</v>
      </c>
      <c r="AA461">
        <v>57</v>
      </c>
      <c r="AB461">
        <v>40</v>
      </c>
      <c r="AC461">
        <v>66</v>
      </c>
      <c r="AD461">
        <v>6</v>
      </c>
      <c r="AE461">
        <v>153</v>
      </c>
      <c r="AF461">
        <v>61</v>
      </c>
      <c r="AG461">
        <v>68</v>
      </c>
      <c r="AH461">
        <v>94</v>
      </c>
      <c r="AI461">
        <v>5.04</v>
      </c>
    </row>
    <row r="462" spans="1:35" x14ac:dyDescent="0.5">
      <c r="A462" s="35">
        <v>2015</v>
      </c>
      <c r="B462" t="s">
        <v>59</v>
      </c>
      <c r="C462" t="s">
        <v>149</v>
      </c>
      <c r="D462">
        <v>666</v>
      </c>
      <c r="E462">
        <v>161</v>
      </c>
      <c r="F462">
        <v>7</v>
      </c>
      <c r="G462">
        <v>12</v>
      </c>
      <c r="H462">
        <v>154</v>
      </c>
      <c r="I462">
        <v>35</v>
      </c>
      <c r="J462">
        <v>1447</v>
      </c>
      <c r="K462">
        <v>1491</v>
      </c>
      <c r="L462">
        <v>803</v>
      </c>
      <c r="M462" s="58">
        <f t="shared" si="28"/>
        <v>2015</v>
      </c>
      <c r="N462" s="58" t="s">
        <v>58</v>
      </c>
      <c r="O462" s="58" t="str">
        <f t="shared" si="31"/>
        <v>2015 Detroit Tigers</v>
      </c>
      <c r="P462" s="58">
        <v>6188</v>
      </c>
      <c r="Q462" s="58">
        <f t="shared" si="29"/>
        <v>958</v>
      </c>
      <c r="R462" s="58">
        <v>280</v>
      </c>
      <c r="S462" s="58">
        <v>60</v>
      </c>
      <c r="T462" s="58">
        <v>193</v>
      </c>
      <c r="U462" s="58">
        <v>489</v>
      </c>
      <c r="V462" s="58">
        <v>46</v>
      </c>
      <c r="W462" s="58">
        <f t="shared" si="30"/>
        <v>4162</v>
      </c>
      <c r="X462">
        <v>746</v>
      </c>
      <c r="Y462">
        <v>32</v>
      </c>
      <c r="Z462">
        <v>1100</v>
      </c>
      <c r="AA462">
        <v>44</v>
      </c>
      <c r="AB462">
        <v>44</v>
      </c>
      <c r="AC462">
        <v>60</v>
      </c>
      <c r="AD462">
        <v>8</v>
      </c>
      <c r="AE462">
        <v>137</v>
      </c>
      <c r="AF462">
        <v>63</v>
      </c>
      <c r="AG462">
        <v>74</v>
      </c>
      <c r="AH462">
        <v>87</v>
      </c>
      <c r="AI462">
        <v>4.6399999999999997</v>
      </c>
    </row>
    <row r="463" spans="1:35" x14ac:dyDescent="0.5">
      <c r="A463" s="35">
        <v>2015</v>
      </c>
      <c r="B463" t="s">
        <v>63</v>
      </c>
      <c r="C463" t="s">
        <v>149</v>
      </c>
      <c r="D463">
        <v>644</v>
      </c>
      <c r="E463">
        <v>162</v>
      </c>
      <c r="F463">
        <v>5</v>
      </c>
      <c r="G463">
        <v>13</v>
      </c>
      <c r="H463">
        <v>157</v>
      </c>
      <c r="I463">
        <v>39</v>
      </c>
      <c r="J463">
        <v>1441</v>
      </c>
      <c r="K463">
        <v>1308</v>
      </c>
      <c r="L463">
        <v>618</v>
      </c>
      <c r="M463" s="58">
        <f t="shared" si="28"/>
        <v>2015</v>
      </c>
      <c r="N463" s="58" t="s">
        <v>60</v>
      </c>
      <c r="O463" s="58" t="str">
        <f t="shared" si="31"/>
        <v>2015 Florida Marlins</v>
      </c>
      <c r="P463" s="58">
        <v>5965</v>
      </c>
      <c r="Q463" s="58">
        <f t="shared" si="29"/>
        <v>871</v>
      </c>
      <c r="R463" s="58">
        <v>252</v>
      </c>
      <c r="S463" s="58">
        <v>37</v>
      </c>
      <c r="T463" s="58">
        <v>148</v>
      </c>
      <c r="U463" s="58">
        <v>423</v>
      </c>
      <c r="V463" s="58">
        <v>43</v>
      </c>
      <c r="W463" s="58">
        <f t="shared" si="30"/>
        <v>4191</v>
      </c>
      <c r="X463">
        <v>572</v>
      </c>
      <c r="Y463">
        <v>17</v>
      </c>
      <c r="Z463">
        <v>1280</v>
      </c>
      <c r="AA463">
        <v>27</v>
      </c>
      <c r="AB463">
        <v>38</v>
      </c>
      <c r="AC463">
        <v>61</v>
      </c>
      <c r="AD463">
        <v>2</v>
      </c>
      <c r="AE463">
        <v>108</v>
      </c>
      <c r="AF463">
        <v>53</v>
      </c>
      <c r="AG463">
        <v>86</v>
      </c>
      <c r="AH463">
        <v>76</v>
      </c>
      <c r="AI463">
        <v>3.57</v>
      </c>
    </row>
    <row r="464" spans="1:35" x14ac:dyDescent="0.5">
      <c r="A464" s="35">
        <v>2015</v>
      </c>
      <c r="B464" t="s">
        <v>150</v>
      </c>
      <c r="C464" t="s">
        <v>149</v>
      </c>
      <c r="D464">
        <v>655</v>
      </c>
      <c r="E464">
        <v>162</v>
      </c>
      <c r="F464">
        <v>2</v>
      </c>
      <c r="G464">
        <v>8</v>
      </c>
      <c r="H464">
        <v>160</v>
      </c>
      <c r="I464">
        <v>56</v>
      </c>
      <c r="J464">
        <v>1452</v>
      </c>
      <c r="K464">
        <v>1372</v>
      </c>
      <c r="L464">
        <v>641</v>
      </c>
      <c r="M464" s="58">
        <f t="shared" si="28"/>
        <v>2015</v>
      </c>
      <c r="N464" s="58" t="s">
        <v>62</v>
      </c>
      <c r="O464" s="58" t="str">
        <f t="shared" si="31"/>
        <v>2015 Houston Astros</v>
      </c>
      <c r="P464" s="58">
        <v>6112</v>
      </c>
      <c r="Q464" s="58">
        <f t="shared" si="29"/>
        <v>916</v>
      </c>
      <c r="R464" s="58">
        <v>262</v>
      </c>
      <c r="S464" s="58">
        <v>39</v>
      </c>
      <c r="T464" s="58">
        <v>155</v>
      </c>
      <c r="U464" s="58">
        <v>489</v>
      </c>
      <c r="V464" s="58">
        <v>52</v>
      </c>
      <c r="W464" s="58">
        <f t="shared" si="30"/>
        <v>4199</v>
      </c>
      <c r="X464">
        <v>601</v>
      </c>
      <c r="Y464">
        <v>10</v>
      </c>
      <c r="Z464">
        <v>1160</v>
      </c>
      <c r="AA464">
        <v>28</v>
      </c>
      <c r="AB464">
        <v>44</v>
      </c>
      <c r="AC464">
        <v>62</v>
      </c>
      <c r="AD464">
        <v>2</v>
      </c>
      <c r="AE464">
        <v>114</v>
      </c>
      <c r="AF464">
        <v>50</v>
      </c>
      <c r="AG464">
        <v>95</v>
      </c>
      <c r="AH464">
        <v>67</v>
      </c>
      <c r="AI464">
        <v>3.73</v>
      </c>
    </row>
    <row r="465" spans="1:35" x14ac:dyDescent="0.5">
      <c r="A465" s="35">
        <v>2015</v>
      </c>
      <c r="B465" t="s">
        <v>145</v>
      </c>
      <c r="C465" t="s">
        <v>38</v>
      </c>
      <c r="D465">
        <v>677</v>
      </c>
      <c r="E465">
        <v>162</v>
      </c>
      <c r="F465">
        <v>6</v>
      </c>
      <c r="G465">
        <v>21</v>
      </c>
      <c r="H465">
        <v>156</v>
      </c>
      <c r="I465">
        <v>47</v>
      </c>
      <c r="J465">
        <v>1445.2</v>
      </c>
      <c r="K465">
        <v>1317</v>
      </c>
      <c r="L465">
        <v>595</v>
      </c>
      <c r="M465" s="58">
        <f t="shared" si="28"/>
        <v>2015</v>
      </c>
      <c r="N465" s="58" t="s">
        <v>64</v>
      </c>
      <c r="O465" s="58" t="str">
        <f t="shared" si="31"/>
        <v>2015 Kansas City Royals</v>
      </c>
      <c r="P465" s="58">
        <v>5932</v>
      </c>
      <c r="Q465" s="58">
        <f t="shared" si="29"/>
        <v>923</v>
      </c>
      <c r="R465" s="58">
        <v>229</v>
      </c>
      <c r="S465" s="58">
        <v>20</v>
      </c>
      <c r="T465" s="58">
        <v>145</v>
      </c>
      <c r="U465" s="58">
        <v>395</v>
      </c>
      <c r="V465" s="58">
        <v>38</v>
      </c>
      <c r="W465" s="58">
        <f t="shared" si="30"/>
        <v>4182</v>
      </c>
      <c r="X465">
        <v>553</v>
      </c>
      <c r="Y465">
        <v>32</v>
      </c>
      <c r="Z465">
        <v>1396</v>
      </c>
      <c r="AA465">
        <v>37</v>
      </c>
      <c r="AB465">
        <v>29</v>
      </c>
      <c r="AC465">
        <v>52</v>
      </c>
      <c r="AD465">
        <v>10</v>
      </c>
      <c r="AE465">
        <v>114</v>
      </c>
      <c r="AF465">
        <v>58</v>
      </c>
      <c r="AG465">
        <v>92</v>
      </c>
      <c r="AH465">
        <v>70</v>
      </c>
      <c r="AI465">
        <v>3.44</v>
      </c>
    </row>
    <row r="466" spans="1:35" x14ac:dyDescent="0.5">
      <c r="A466" s="35">
        <v>2015</v>
      </c>
      <c r="B466" t="s">
        <v>104</v>
      </c>
      <c r="C466" t="s">
        <v>38</v>
      </c>
      <c r="D466">
        <v>648</v>
      </c>
      <c r="E466">
        <v>162</v>
      </c>
      <c r="F466">
        <v>0</v>
      </c>
      <c r="G466">
        <v>12</v>
      </c>
      <c r="H466">
        <v>162</v>
      </c>
      <c r="I466">
        <v>35</v>
      </c>
      <c r="J466">
        <v>1427</v>
      </c>
      <c r="K466">
        <v>1374</v>
      </c>
      <c r="L466">
        <v>678</v>
      </c>
      <c r="M466" s="58">
        <f t="shared" si="28"/>
        <v>2015</v>
      </c>
      <c r="N466" s="58" t="s">
        <v>66</v>
      </c>
      <c r="O466" s="58" t="str">
        <f t="shared" si="31"/>
        <v>2015 Los Angeles Dodgers</v>
      </c>
      <c r="P466" s="58">
        <v>6050</v>
      </c>
      <c r="Q466" s="58">
        <f t="shared" si="29"/>
        <v>926</v>
      </c>
      <c r="R466" s="58">
        <v>278</v>
      </c>
      <c r="S466" s="58">
        <v>29</v>
      </c>
      <c r="T466" s="58">
        <v>141</v>
      </c>
      <c r="U466" s="58">
        <v>508</v>
      </c>
      <c r="V466" s="58">
        <v>52</v>
      </c>
      <c r="W466" s="58">
        <f t="shared" si="30"/>
        <v>4116</v>
      </c>
      <c r="X466">
        <v>638</v>
      </c>
      <c r="Y466">
        <v>25</v>
      </c>
      <c r="Z466">
        <v>1152</v>
      </c>
      <c r="AA466">
        <v>50</v>
      </c>
      <c r="AB466">
        <v>55</v>
      </c>
      <c r="AC466">
        <v>53</v>
      </c>
      <c r="AD466">
        <v>3</v>
      </c>
      <c r="AE466">
        <v>145</v>
      </c>
      <c r="AF466">
        <v>44</v>
      </c>
      <c r="AG466">
        <v>71</v>
      </c>
      <c r="AH466">
        <v>91</v>
      </c>
      <c r="AI466">
        <v>4.0199999999999996</v>
      </c>
    </row>
    <row r="467" spans="1:35" x14ac:dyDescent="0.5">
      <c r="A467" s="35">
        <v>2015</v>
      </c>
      <c r="B467" t="s">
        <v>69</v>
      </c>
      <c r="C467" t="s">
        <v>38</v>
      </c>
      <c r="D467">
        <v>658</v>
      </c>
      <c r="E467">
        <v>162</v>
      </c>
      <c r="F467">
        <v>1</v>
      </c>
      <c r="G467">
        <v>7</v>
      </c>
      <c r="H467">
        <v>161</v>
      </c>
      <c r="I467">
        <v>40</v>
      </c>
      <c r="J467">
        <v>1435</v>
      </c>
      <c r="K467">
        <v>1432</v>
      </c>
      <c r="L467">
        <v>737</v>
      </c>
      <c r="M467" s="58">
        <f t="shared" si="28"/>
        <v>2015</v>
      </c>
      <c r="N467" s="58" t="s">
        <v>68</v>
      </c>
      <c r="O467" s="58" t="str">
        <f t="shared" si="31"/>
        <v>2015 Milwaukee Brewers</v>
      </c>
      <c r="P467" s="58">
        <v>6148</v>
      </c>
      <c r="Q467" s="58">
        <f t="shared" si="29"/>
        <v>936</v>
      </c>
      <c r="R467" s="58">
        <v>287</v>
      </c>
      <c r="S467" s="58">
        <v>33</v>
      </c>
      <c r="T467" s="58">
        <v>176</v>
      </c>
      <c r="U467" s="58">
        <v>517</v>
      </c>
      <c r="V467" s="58">
        <v>55</v>
      </c>
      <c r="W467" s="58">
        <f t="shared" si="30"/>
        <v>4144</v>
      </c>
      <c r="X467">
        <v>682</v>
      </c>
      <c r="Y467">
        <v>36</v>
      </c>
      <c r="Z467">
        <v>1260</v>
      </c>
      <c r="AA467">
        <v>48</v>
      </c>
      <c r="AB467">
        <v>42</v>
      </c>
      <c r="AC467">
        <v>71</v>
      </c>
      <c r="AD467">
        <v>5</v>
      </c>
      <c r="AE467">
        <v>135</v>
      </c>
      <c r="AF467">
        <v>64</v>
      </c>
      <c r="AG467">
        <v>68</v>
      </c>
      <c r="AH467">
        <v>94</v>
      </c>
      <c r="AI467">
        <v>4.28</v>
      </c>
    </row>
    <row r="468" spans="1:35" x14ac:dyDescent="0.5">
      <c r="A468" s="35">
        <v>2015</v>
      </c>
      <c r="B468" t="s">
        <v>71</v>
      </c>
      <c r="C468" t="s">
        <v>149</v>
      </c>
      <c r="D468">
        <v>682</v>
      </c>
      <c r="E468">
        <v>162</v>
      </c>
      <c r="F468">
        <v>2</v>
      </c>
      <c r="G468">
        <v>12</v>
      </c>
      <c r="H468">
        <v>160</v>
      </c>
      <c r="I468">
        <v>45</v>
      </c>
      <c r="J468">
        <v>1443</v>
      </c>
      <c r="K468">
        <v>1506</v>
      </c>
      <c r="L468">
        <v>700</v>
      </c>
      <c r="M468" s="58">
        <f t="shared" si="28"/>
        <v>2015</v>
      </c>
      <c r="N468" s="58" t="s">
        <v>70</v>
      </c>
      <c r="O468" s="58" t="str">
        <f t="shared" si="31"/>
        <v>2015 Minnesota Twins</v>
      </c>
      <c r="P468" s="58">
        <v>6139</v>
      </c>
      <c r="Q468" s="58">
        <f t="shared" si="29"/>
        <v>1023</v>
      </c>
      <c r="R468" s="58">
        <v>295</v>
      </c>
      <c r="S468" s="58">
        <v>25</v>
      </c>
      <c r="T468" s="58">
        <v>163</v>
      </c>
      <c r="U468" s="58">
        <v>413</v>
      </c>
      <c r="V468" s="58">
        <v>41</v>
      </c>
      <c r="W468" s="58">
        <f t="shared" si="30"/>
        <v>4179</v>
      </c>
      <c r="X468">
        <v>653</v>
      </c>
      <c r="Y468">
        <v>34</v>
      </c>
      <c r="Z468">
        <v>1046</v>
      </c>
      <c r="AA468">
        <v>42</v>
      </c>
      <c r="AB468">
        <v>43</v>
      </c>
      <c r="AC468">
        <v>54</v>
      </c>
      <c r="AD468">
        <v>2</v>
      </c>
      <c r="AE468">
        <v>131</v>
      </c>
      <c r="AF468">
        <v>59</v>
      </c>
      <c r="AG468">
        <v>83</v>
      </c>
      <c r="AH468">
        <v>79</v>
      </c>
      <c r="AI468">
        <v>4.07</v>
      </c>
    </row>
    <row r="469" spans="1:35" x14ac:dyDescent="0.5">
      <c r="A469" s="35">
        <v>2015</v>
      </c>
      <c r="B469" t="s">
        <v>144</v>
      </c>
      <c r="C469" t="s">
        <v>38</v>
      </c>
      <c r="D469">
        <v>647</v>
      </c>
      <c r="E469">
        <v>162</v>
      </c>
      <c r="F469">
        <v>1</v>
      </c>
      <c r="G469">
        <v>14</v>
      </c>
      <c r="H469">
        <v>161</v>
      </c>
      <c r="I469">
        <v>50</v>
      </c>
      <c r="J469">
        <v>1462.2</v>
      </c>
      <c r="K469">
        <v>1341</v>
      </c>
      <c r="L469">
        <v>613</v>
      </c>
      <c r="M469" s="58">
        <f t="shared" si="28"/>
        <v>2015</v>
      </c>
      <c r="N469" s="58" t="s">
        <v>76</v>
      </c>
      <c r="O469" s="58" t="str">
        <f t="shared" si="31"/>
        <v>2015 New York Mets</v>
      </c>
      <c r="P469" s="58">
        <v>6046</v>
      </c>
      <c r="Q469" s="58">
        <f t="shared" si="29"/>
        <v>931</v>
      </c>
      <c r="R469" s="58">
        <v>235</v>
      </c>
      <c r="S469" s="58">
        <v>23</v>
      </c>
      <c r="T469" s="58">
        <v>152</v>
      </c>
      <c r="U469" s="58">
        <v>383</v>
      </c>
      <c r="V469" s="58">
        <v>44</v>
      </c>
      <c r="W469" s="58">
        <f t="shared" si="30"/>
        <v>4278</v>
      </c>
      <c r="X469">
        <v>557</v>
      </c>
      <c r="Y469">
        <v>43</v>
      </c>
      <c r="Z469">
        <v>1337</v>
      </c>
      <c r="AA469">
        <v>63</v>
      </c>
      <c r="AB469">
        <v>40</v>
      </c>
      <c r="AC469">
        <v>46</v>
      </c>
      <c r="AD469">
        <v>2</v>
      </c>
      <c r="AE469">
        <v>114</v>
      </c>
      <c r="AF469">
        <v>74</v>
      </c>
      <c r="AG469">
        <v>90</v>
      </c>
      <c r="AH469">
        <v>72</v>
      </c>
      <c r="AI469">
        <v>3.43</v>
      </c>
    </row>
    <row r="470" spans="1:35" x14ac:dyDescent="0.5">
      <c r="A470" s="35">
        <v>2015</v>
      </c>
      <c r="B470" t="s">
        <v>144</v>
      </c>
      <c r="C470" t="s">
        <v>149</v>
      </c>
      <c r="D470">
        <v>659</v>
      </c>
      <c r="E470">
        <v>162</v>
      </c>
      <c r="F470">
        <v>3</v>
      </c>
      <c r="G470">
        <v>4</v>
      </c>
      <c r="H470">
        <v>159</v>
      </c>
      <c r="I470">
        <v>48</v>
      </c>
      <c r="J470">
        <v>1457.2</v>
      </c>
      <c r="K470">
        <v>1416</v>
      </c>
      <c r="L470">
        <v>698</v>
      </c>
      <c r="M470" s="58">
        <f t="shared" si="28"/>
        <v>2015</v>
      </c>
      <c r="N470" s="58" t="s">
        <v>74</v>
      </c>
      <c r="O470" s="58" t="str">
        <f t="shared" si="31"/>
        <v>2015 New York Yankees</v>
      </c>
      <c r="P470" s="58">
        <v>6191</v>
      </c>
      <c r="Q470" s="58">
        <f t="shared" si="29"/>
        <v>949</v>
      </c>
      <c r="R470" s="58">
        <v>260</v>
      </c>
      <c r="S470" s="58">
        <v>25</v>
      </c>
      <c r="T470" s="58">
        <v>182</v>
      </c>
      <c r="U470" s="58">
        <v>474</v>
      </c>
      <c r="V470" s="58">
        <v>56</v>
      </c>
      <c r="W470" s="58">
        <f t="shared" si="30"/>
        <v>4245</v>
      </c>
      <c r="X470">
        <v>652</v>
      </c>
      <c r="Y470">
        <v>16</v>
      </c>
      <c r="Z470">
        <v>1370</v>
      </c>
      <c r="AA470">
        <v>31</v>
      </c>
      <c r="AB470">
        <v>39</v>
      </c>
      <c r="AC470">
        <v>78</v>
      </c>
      <c r="AD470">
        <v>4</v>
      </c>
      <c r="AE470">
        <v>113</v>
      </c>
      <c r="AF470">
        <v>71</v>
      </c>
      <c r="AG470">
        <v>87</v>
      </c>
      <c r="AH470">
        <v>75</v>
      </c>
      <c r="AI470">
        <v>4.03</v>
      </c>
    </row>
    <row r="471" spans="1:35" x14ac:dyDescent="0.5">
      <c r="A471" s="35">
        <v>2015</v>
      </c>
      <c r="B471" t="s">
        <v>79</v>
      </c>
      <c r="C471" t="s">
        <v>149</v>
      </c>
      <c r="D471">
        <v>649</v>
      </c>
      <c r="E471">
        <v>162</v>
      </c>
      <c r="F471">
        <v>5</v>
      </c>
      <c r="G471">
        <v>15</v>
      </c>
      <c r="H471">
        <v>157</v>
      </c>
      <c r="I471">
        <v>28</v>
      </c>
      <c r="J471">
        <v>1444.2</v>
      </c>
      <c r="K471">
        <v>1402</v>
      </c>
      <c r="L471">
        <v>729</v>
      </c>
      <c r="M471" s="58">
        <f t="shared" si="28"/>
        <v>2015</v>
      </c>
      <c r="N471" s="58" t="s">
        <v>78</v>
      </c>
      <c r="O471" s="58" t="str">
        <f t="shared" si="31"/>
        <v>2015 Oakland Athletics</v>
      </c>
      <c r="P471" s="58">
        <v>6128</v>
      </c>
      <c r="Q471" s="58">
        <f t="shared" si="29"/>
        <v>951</v>
      </c>
      <c r="R471" s="58">
        <v>266</v>
      </c>
      <c r="S471" s="58">
        <v>13</v>
      </c>
      <c r="T471" s="58">
        <v>172</v>
      </c>
      <c r="U471" s="58">
        <v>474</v>
      </c>
      <c r="V471" s="58">
        <v>47</v>
      </c>
      <c r="W471" s="58">
        <f t="shared" si="30"/>
        <v>4205</v>
      </c>
      <c r="X471">
        <v>664</v>
      </c>
      <c r="Y471">
        <v>19</v>
      </c>
      <c r="Z471">
        <v>1179</v>
      </c>
      <c r="AA471">
        <v>34</v>
      </c>
      <c r="AB471">
        <v>53</v>
      </c>
      <c r="AC471">
        <v>62</v>
      </c>
      <c r="AD471">
        <v>4</v>
      </c>
      <c r="AE471">
        <v>130</v>
      </c>
      <c r="AF471">
        <v>88</v>
      </c>
      <c r="AG471">
        <v>68</v>
      </c>
      <c r="AH471">
        <v>94</v>
      </c>
      <c r="AI471">
        <v>4.1399999999999997</v>
      </c>
    </row>
    <row r="472" spans="1:35" x14ac:dyDescent="0.5">
      <c r="A472" s="35">
        <v>2015</v>
      </c>
      <c r="B472" t="s">
        <v>81</v>
      </c>
      <c r="C472" t="s">
        <v>38</v>
      </c>
      <c r="D472">
        <v>665</v>
      </c>
      <c r="E472">
        <v>162</v>
      </c>
      <c r="F472">
        <v>1</v>
      </c>
      <c r="G472">
        <v>7</v>
      </c>
      <c r="H472">
        <v>161</v>
      </c>
      <c r="I472">
        <v>35</v>
      </c>
      <c r="J472">
        <v>1436.1</v>
      </c>
      <c r="K472">
        <v>1592</v>
      </c>
      <c r="L472">
        <v>809</v>
      </c>
      <c r="M472" s="58">
        <f t="shared" si="28"/>
        <v>2015</v>
      </c>
      <c r="N472" s="58" t="s">
        <v>80</v>
      </c>
      <c r="O472" s="58" t="str">
        <f t="shared" si="31"/>
        <v>2015 Philadelphia Phillies</v>
      </c>
      <c r="P472" s="58">
        <v>6332</v>
      </c>
      <c r="Q472" s="58">
        <f t="shared" si="29"/>
        <v>1068</v>
      </c>
      <c r="R472" s="58">
        <v>300</v>
      </c>
      <c r="S472" s="58">
        <v>33</v>
      </c>
      <c r="T472" s="58">
        <v>191</v>
      </c>
      <c r="U472" s="58">
        <v>488</v>
      </c>
      <c r="V472" s="58">
        <v>61</v>
      </c>
      <c r="W472" s="58">
        <f t="shared" si="30"/>
        <v>4191</v>
      </c>
      <c r="X472">
        <v>749</v>
      </c>
      <c r="Y472">
        <v>37</v>
      </c>
      <c r="Z472">
        <v>1153</v>
      </c>
      <c r="AA472">
        <v>47</v>
      </c>
      <c r="AB472">
        <v>42</v>
      </c>
      <c r="AC472">
        <v>60</v>
      </c>
      <c r="AD472">
        <v>7</v>
      </c>
      <c r="AE472">
        <v>123</v>
      </c>
      <c r="AF472">
        <v>85</v>
      </c>
      <c r="AG472">
        <v>63</v>
      </c>
      <c r="AH472">
        <v>99</v>
      </c>
      <c r="AI472">
        <v>4.6900000000000004</v>
      </c>
    </row>
    <row r="473" spans="1:35" x14ac:dyDescent="0.5">
      <c r="A473" s="35">
        <v>2015</v>
      </c>
      <c r="B473" t="s">
        <v>83</v>
      </c>
      <c r="C473" t="s">
        <v>38</v>
      </c>
      <c r="D473">
        <v>662</v>
      </c>
      <c r="E473">
        <v>162</v>
      </c>
      <c r="F473">
        <v>0</v>
      </c>
      <c r="G473">
        <v>13</v>
      </c>
      <c r="H473">
        <v>162</v>
      </c>
      <c r="I473">
        <v>54</v>
      </c>
      <c r="J473">
        <v>1489.2</v>
      </c>
      <c r="K473">
        <v>1392</v>
      </c>
      <c r="L473">
        <v>596</v>
      </c>
      <c r="M473" s="58">
        <f t="shared" si="28"/>
        <v>2015</v>
      </c>
      <c r="N473" s="58" t="s">
        <v>82</v>
      </c>
      <c r="O473" s="58" t="str">
        <f t="shared" si="31"/>
        <v>2015 Pittsburgh Pirates</v>
      </c>
      <c r="P473" s="58">
        <v>6215</v>
      </c>
      <c r="Q473" s="58">
        <f t="shared" si="29"/>
        <v>1001</v>
      </c>
      <c r="R473" s="58">
        <v>257</v>
      </c>
      <c r="S473" s="58">
        <v>24</v>
      </c>
      <c r="T473" s="58">
        <v>110</v>
      </c>
      <c r="U473" s="58">
        <v>453</v>
      </c>
      <c r="V473" s="58">
        <v>75</v>
      </c>
      <c r="W473" s="58">
        <f t="shared" si="30"/>
        <v>4295</v>
      </c>
      <c r="X473">
        <v>532</v>
      </c>
      <c r="Y473">
        <v>38</v>
      </c>
      <c r="Z473">
        <v>1338</v>
      </c>
      <c r="AA473">
        <v>38</v>
      </c>
      <c r="AB473">
        <v>33</v>
      </c>
      <c r="AC473">
        <v>67</v>
      </c>
      <c r="AD473">
        <v>4</v>
      </c>
      <c r="AE473">
        <v>154</v>
      </c>
      <c r="AF473">
        <v>80</v>
      </c>
      <c r="AG473">
        <v>98</v>
      </c>
      <c r="AH473">
        <v>64</v>
      </c>
      <c r="AI473">
        <v>3.21</v>
      </c>
    </row>
    <row r="474" spans="1:35" x14ac:dyDescent="0.5">
      <c r="A474" s="35">
        <v>2015</v>
      </c>
      <c r="B474" t="s">
        <v>147</v>
      </c>
      <c r="C474" t="s">
        <v>38</v>
      </c>
      <c r="D474">
        <v>678</v>
      </c>
      <c r="E474">
        <v>162</v>
      </c>
      <c r="F474">
        <v>1</v>
      </c>
      <c r="G474">
        <v>6</v>
      </c>
      <c r="H474">
        <v>161</v>
      </c>
      <c r="I474">
        <v>41</v>
      </c>
      <c r="J474">
        <v>1440.1</v>
      </c>
      <c r="K474">
        <v>1371</v>
      </c>
      <c r="L474">
        <v>731</v>
      </c>
      <c r="M474" s="58">
        <f t="shared" si="28"/>
        <v>2015</v>
      </c>
      <c r="N474" s="58" t="s">
        <v>84</v>
      </c>
      <c r="O474" s="58" t="str">
        <f t="shared" si="31"/>
        <v>2015 San Diego Padres</v>
      </c>
      <c r="P474" s="58">
        <v>6093</v>
      </c>
      <c r="Q474" s="58">
        <f t="shared" si="29"/>
        <v>882</v>
      </c>
      <c r="R474" s="58">
        <v>268</v>
      </c>
      <c r="S474" s="58">
        <v>50</v>
      </c>
      <c r="T474" s="58">
        <v>171</v>
      </c>
      <c r="U474" s="58">
        <v>516</v>
      </c>
      <c r="V474" s="58">
        <v>54</v>
      </c>
      <c r="W474" s="58">
        <f t="shared" si="30"/>
        <v>4152</v>
      </c>
      <c r="X474">
        <v>655</v>
      </c>
      <c r="Y474">
        <v>35</v>
      </c>
      <c r="Z474">
        <v>1393</v>
      </c>
      <c r="AA474">
        <v>44</v>
      </c>
      <c r="AB474">
        <v>38</v>
      </c>
      <c r="AC474">
        <v>54</v>
      </c>
      <c r="AD474">
        <v>3</v>
      </c>
      <c r="AE474">
        <v>119</v>
      </c>
      <c r="AF474">
        <v>59</v>
      </c>
      <c r="AG474">
        <v>74</v>
      </c>
      <c r="AH474">
        <v>88</v>
      </c>
      <c r="AI474">
        <v>4.09</v>
      </c>
    </row>
    <row r="475" spans="1:35" x14ac:dyDescent="0.5">
      <c r="A475" s="35">
        <v>2015</v>
      </c>
      <c r="B475" t="s">
        <v>87</v>
      </c>
      <c r="C475" t="s">
        <v>149</v>
      </c>
      <c r="D475">
        <v>671</v>
      </c>
      <c r="E475">
        <v>162</v>
      </c>
      <c r="F475">
        <v>6</v>
      </c>
      <c r="G475">
        <v>12</v>
      </c>
      <c r="H475">
        <v>156</v>
      </c>
      <c r="I475">
        <v>45</v>
      </c>
      <c r="J475">
        <v>1463</v>
      </c>
      <c r="K475">
        <v>1430</v>
      </c>
      <c r="L475">
        <v>726</v>
      </c>
      <c r="M475" s="58">
        <f t="shared" si="28"/>
        <v>2015</v>
      </c>
      <c r="N475" s="58" t="s">
        <v>86</v>
      </c>
      <c r="O475" s="58" t="str">
        <f t="shared" si="31"/>
        <v>2015 Seattle Mariners</v>
      </c>
      <c r="P475" s="58">
        <v>6223</v>
      </c>
      <c r="Q475" s="58">
        <f t="shared" si="29"/>
        <v>941</v>
      </c>
      <c r="R475" s="58">
        <v>285</v>
      </c>
      <c r="S475" s="58">
        <v>23</v>
      </c>
      <c r="T475" s="58">
        <v>181</v>
      </c>
      <c r="U475" s="58">
        <v>491</v>
      </c>
      <c r="V475" s="58">
        <v>70</v>
      </c>
      <c r="W475" s="58">
        <f t="shared" si="30"/>
        <v>4232</v>
      </c>
      <c r="X475">
        <v>677</v>
      </c>
      <c r="Y475">
        <v>41</v>
      </c>
      <c r="Z475">
        <v>1283</v>
      </c>
      <c r="AA475">
        <v>32</v>
      </c>
      <c r="AB475">
        <v>37</v>
      </c>
      <c r="AC475">
        <v>72</v>
      </c>
      <c r="AD475">
        <v>5</v>
      </c>
      <c r="AE475">
        <v>127</v>
      </c>
      <c r="AF475">
        <v>66</v>
      </c>
      <c r="AG475">
        <v>76</v>
      </c>
      <c r="AH475">
        <v>86</v>
      </c>
      <c r="AI475">
        <v>4.16</v>
      </c>
    </row>
    <row r="476" spans="1:35" x14ac:dyDescent="0.5">
      <c r="A476" s="35">
        <v>2015</v>
      </c>
      <c r="B476" t="s">
        <v>21</v>
      </c>
      <c r="C476" t="s">
        <v>38</v>
      </c>
      <c r="D476">
        <v>719</v>
      </c>
      <c r="E476">
        <v>162</v>
      </c>
      <c r="F476">
        <v>7</v>
      </c>
      <c r="G476">
        <v>18</v>
      </c>
      <c r="H476">
        <v>155</v>
      </c>
      <c r="I476">
        <v>41</v>
      </c>
      <c r="J476">
        <v>1444.1</v>
      </c>
      <c r="K476">
        <v>1344</v>
      </c>
      <c r="L476">
        <v>627</v>
      </c>
      <c r="M476" s="58">
        <f t="shared" si="28"/>
        <v>2015</v>
      </c>
      <c r="N476" s="58" t="s">
        <v>88</v>
      </c>
      <c r="O476" s="58" t="str">
        <f t="shared" si="31"/>
        <v>2015 San Francisco Giants</v>
      </c>
      <c r="P476" s="58">
        <v>6009</v>
      </c>
      <c r="Q476" s="58">
        <f t="shared" si="29"/>
        <v>892</v>
      </c>
      <c r="R476" s="58">
        <v>246</v>
      </c>
      <c r="S476" s="58">
        <v>51</v>
      </c>
      <c r="T476" s="58">
        <v>155</v>
      </c>
      <c r="U476" s="58">
        <v>431</v>
      </c>
      <c r="V476" s="58">
        <v>50</v>
      </c>
      <c r="W476" s="58">
        <f t="shared" si="30"/>
        <v>4184</v>
      </c>
      <c r="X476">
        <v>597</v>
      </c>
      <c r="Y476">
        <v>28</v>
      </c>
      <c r="Z476">
        <v>1165</v>
      </c>
      <c r="AA476">
        <v>31</v>
      </c>
      <c r="AB476">
        <v>34</v>
      </c>
      <c r="AC476">
        <v>40</v>
      </c>
      <c r="AD476">
        <v>4</v>
      </c>
      <c r="AE476">
        <v>130</v>
      </c>
      <c r="AF476">
        <v>44</v>
      </c>
      <c r="AG476">
        <v>84</v>
      </c>
      <c r="AH476">
        <v>78</v>
      </c>
      <c r="AI476">
        <v>3.72</v>
      </c>
    </row>
    <row r="477" spans="1:35" x14ac:dyDescent="0.5">
      <c r="A477" s="35">
        <v>2015</v>
      </c>
      <c r="B477" t="s">
        <v>142</v>
      </c>
      <c r="C477" t="s">
        <v>38</v>
      </c>
      <c r="D477">
        <v>677</v>
      </c>
      <c r="E477">
        <v>162</v>
      </c>
      <c r="F477">
        <v>1</v>
      </c>
      <c r="G477">
        <v>15</v>
      </c>
      <c r="H477">
        <v>161</v>
      </c>
      <c r="I477">
        <v>62</v>
      </c>
      <c r="J477">
        <v>1464.2</v>
      </c>
      <c r="K477">
        <v>1359</v>
      </c>
      <c r="L477">
        <v>525</v>
      </c>
      <c r="M477" s="58">
        <f t="shared" si="28"/>
        <v>2015</v>
      </c>
      <c r="N477" s="58" t="s">
        <v>90</v>
      </c>
      <c r="O477" s="58" t="str">
        <f t="shared" si="31"/>
        <v>2015 St. Louis Cardinals</v>
      </c>
      <c r="P477" s="58">
        <v>6134</v>
      </c>
      <c r="Q477" s="58">
        <f t="shared" si="29"/>
        <v>970</v>
      </c>
      <c r="R477" s="58">
        <v>240</v>
      </c>
      <c r="S477" s="58">
        <v>26</v>
      </c>
      <c r="T477" s="58">
        <v>123</v>
      </c>
      <c r="U477" s="58">
        <v>477</v>
      </c>
      <c r="V477" s="58">
        <v>45</v>
      </c>
      <c r="W477" s="58">
        <f t="shared" si="30"/>
        <v>4253</v>
      </c>
      <c r="X477">
        <v>478</v>
      </c>
      <c r="Y477">
        <v>37</v>
      </c>
      <c r="Z477">
        <v>1329</v>
      </c>
      <c r="AA477">
        <v>66</v>
      </c>
      <c r="AB477">
        <v>29</v>
      </c>
      <c r="AC477">
        <v>48</v>
      </c>
      <c r="AD477">
        <v>5</v>
      </c>
      <c r="AE477">
        <v>134</v>
      </c>
      <c r="AF477">
        <v>64</v>
      </c>
      <c r="AG477">
        <v>100</v>
      </c>
      <c r="AH477">
        <v>62</v>
      </c>
      <c r="AI477">
        <v>2.94</v>
      </c>
    </row>
    <row r="478" spans="1:35" x14ac:dyDescent="0.5">
      <c r="A478" s="35">
        <v>2015</v>
      </c>
      <c r="B478" t="s">
        <v>151</v>
      </c>
      <c r="C478" t="s">
        <v>149</v>
      </c>
      <c r="D478">
        <v>692</v>
      </c>
      <c r="E478">
        <v>162</v>
      </c>
      <c r="F478">
        <v>1</v>
      </c>
      <c r="G478">
        <v>12</v>
      </c>
      <c r="H478">
        <v>161</v>
      </c>
      <c r="I478">
        <v>60</v>
      </c>
      <c r="J478">
        <v>1453.1</v>
      </c>
      <c r="K478">
        <v>1314</v>
      </c>
      <c r="L478">
        <v>642</v>
      </c>
      <c r="M478" s="58">
        <f t="shared" si="28"/>
        <v>2015</v>
      </c>
      <c r="N478" s="58" t="s">
        <v>92</v>
      </c>
      <c r="O478" s="58" t="str">
        <f t="shared" si="31"/>
        <v>2015 Tampa Bay Devil Rays</v>
      </c>
      <c r="P478" s="58">
        <v>6069</v>
      </c>
      <c r="Q478" s="58">
        <f t="shared" si="29"/>
        <v>888</v>
      </c>
      <c r="R478" s="58">
        <v>232</v>
      </c>
      <c r="S478" s="58">
        <v>19</v>
      </c>
      <c r="T478" s="58">
        <v>175</v>
      </c>
      <c r="U478" s="58">
        <v>477</v>
      </c>
      <c r="V478" s="58">
        <v>46</v>
      </c>
      <c r="W478" s="58">
        <f t="shared" si="30"/>
        <v>4232</v>
      </c>
      <c r="X478">
        <v>604</v>
      </c>
      <c r="Y478">
        <v>23</v>
      </c>
      <c r="Z478">
        <v>1355</v>
      </c>
      <c r="AA478">
        <v>27</v>
      </c>
      <c r="AB478">
        <v>40</v>
      </c>
      <c r="AC478">
        <v>81</v>
      </c>
      <c r="AD478">
        <v>5</v>
      </c>
      <c r="AE478">
        <v>94</v>
      </c>
      <c r="AF478">
        <v>66</v>
      </c>
      <c r="AG478">
        <v>80</v>
      </c>
      <c r="AH478">
        <v>82</v>
      </c>
      <c r="AI478">
        <v>3.74</v>
      </c>
    </row>
    <row r="479" spans="1:35" x14ac:dyDescent="0.5">
      <c r="A479" s="35">
        <v>2015</v>
      </c>
      <c r="B479" t="s">
        <v>95</v>
      </c>
      <c r="C479" t="s">
        <v>149</v>
      </c>
      <c r="D479">
        <v>660</v>
      </c>
      <c r="E479">
        <v>162</v>
      </c>
      <c r="F479">
        <v>5</v>
      </c>
      <c r="G479">
        <v>9</v>
      </c>
      <c r="H479">
        <v>157</v>
      </c>
      <c r="I479">
        <v>45</v>
      </c>
      <c r="J479">
        <v>1442.2</v>
      </c>
      <c r="K479">
        <v>1459</v>
      </c>
      <c r="L479">
        <v>733</v>
      </c>
      <c r="M479" s="58">
        <f t="shared" si="28"/>
        <v>2015</v>
      </c>
      <c r="N479" s="58" t="s">
        <v>94</v>
      </c>
      <c r="O479" s="58" t="str">
        <f t="shared" si="31"/>
        <v>2015 Texas Rangers</v>
      </c>
      <c r="P479" s="58">
        <v>6215</v>
      </c>
      <c r="Q479" s="58">
        <f t="shared" si="29"/>
        <v>968</v>
      </c>
      <c r="R479" s="58">
        <v>280</v>
      </c>
      <c r="S479" s="58">
        <v>40</v>
      </c>
      <c r="T479" s="58">
        <v>171</v>
      </c>
      <c r="U479" s="58">
        <v>508</v>
      </c>
      <c r="V479" s="58">
        <v>63</v>
      </c>
      <c r="W479" s="58">
        <f t="shared" si="30"/>
        <v>4185</v>
      </c>
      <c r="X479">
        <v>680</v>
      </c>
      <c r="Y479">
        <v>29</v>
      </c>
      <c r="Z479">
        <v>1095</v>
      </c>
      <c r="AA479">
        <v>22</v>
      </c>
      <c r="AB479">
        <v>51</v>
      </c>
      <c r="AC479">
        <v>51</v>
      </c>
      <c r="AD479">
        <v>5</v>
      </c>
      <c r="AE479">
        <v>143</v>
      </c>
      <c r="AF479">
        <v>84</v>
      </c>
      <c r="AG479">
        <v>88</v>
      </c>
      <c r="AH479">
        <v>74</v>
      </c>
      <c r="AI479">
        <v>4.24</v>
      </c>
    </row>
    <row r="480" spans="1:35" x14ac:dyDescent="0.5">
      <c r="A480" s="35">
        <v>2015</v>
      </c>
      <c r="B480" t="s">
        <v>97</v>
      </c>
      <c r="C480" t="s">
        <v>149</v>
      </c>
      <c r="D480">
        <v>631</v>
      </c>
      <c r="E480">
        <v>162</v>
      </c>
      <c r="F480">
        <v>7</v>
      </c>
      <c r="G480">
        <v>10</v>
      </c>
      <c r="H480">
        <v>155</v>
      </c>
      <c r="I480">
        <v>34</v>
      </c>
      <c r="J480">
        <v>1441</v>
      </c>
      <c r="K480">
        <v>1353</v>
      </c>
      <c r="L480">
        <v>670</v>
      </c>
      <c r="M480" s="58">
        <f t="shared" si="28"/>
        <v>2015</v>
      </c>
      <c r="N480" s="58" t="s">
        <v>96</v>
      </c>
      <c r="O480" s="58" t="str">
        <f t="shared" si="31"/>
        <v>2015 Toronto Blue Jays</v>
      </c>
      <c r="P480" s="58">
        <v>5984</v>
      </c>
      <c r="Q480" s="58">
        <f t="shared" si="29"/>
        <v>883</v>
      </c>
      <c r="R480" s="58">
        <v>267</v>
      </c>
      <c r="S480" s="58">
        <v>30</v>
      </c>
      <c r="T480" s="58">
        <v>173</v>
      </c>
      <c r="U480" s="58">
        <v>397</v>
      </c>
      <c r="V480" s="58">
        <v>59</v>
      </c>
      <c r="W480" s="58">
        <f t="shared" si="30"/>
        <v>4175</v>
      </c>
      <c r="X480">
        <v>609</v>
      </c>
      <c r="Y480">
        <v>20</v>
      </c>
      <c r="Z480">
        <v>1117</v>
      </c>
      <c r="AA480">
        <v>25</v>
      </c>
      <c r="AB480">
        <v>49</v>
      </c>
      <c r="AC480">
        <v>62</v>
      </c>
      <c r="AD480">
        <v>4</v>
      </c>
      <c r="AE480">
        <v>128</v>
      </c>
      <c r="AF480">
        <v>62</v>
      </c>
      <c r="AG480">
        <v>93</v>
      </c>
      <c r="AH480">
        <v>69</v>
      </c>
      <c r="AI480">
        <v>3.8</v>
      </c>
    </row>
    <row r="481" spans="1:35" x14ac:dyDescent="0.5">
      <c r="A481" s="35">
        <v>2015</v>
      </c>
      <c r="B481" t="s">
        <v>101</v>
      </c>
      <c r="C481" t="s">
        <v>38</v>
      </c>
      <c r="D481">
        <v>630</v>
      </c>
      <c r="E481">
        <v>162</v>
      </c>
      <c r="F481">
        <v>4</v>
      </c>
      <c r="G481">
        <v>13</v>
      </c>
      <c r="H481">
        <v>158</v>
      </c>
      <c r="I481">
        <v>41</v>
      </c>
      <c r="J481">
        <v>1434.2</v>
      </c>
      <c r="K481">
        <v>1366</v>
      </c>
      <c r="L481">
        <v>635</v>
      </c>
      <c r="M481" s="58">
        <f t="shared" si="28"/>
        <v>2015</v>
      </c>
      <c r="N481" s="58" t="s">
        <v>100</v>
      </c>
      <c r="O481" s="58" t="str">
        <f t="shared" si="31"/>
        <v>2015 Washington Nationals</v>
      </c>
      <c r="P481" s="58">
        <v>5975</v>
      </c>
      <c r="Q481" s="58">
        <f t="shared" si="29"/>
        <v>953</v>
      </c>
      <c r="R481" s="58">
        <v>239</v>
      </c>
      <c r="S481" s="58">
        <v>29</v>
      </c>
      <c r="T481" s="58">
        <v>145</v>
      </c>
      <c r="U481" s="58">
        <v>364</v>
      </c>
      <c r="V481" s="58">
        <v>55</v>
      </c>
      <c r="W481" s="58">
        <f t="shared" si="30"/>
        <v>4190</v>
      </c>
      <c r="X481">
        <v>577</v>
      </c>
      <c r="Y481">
        <v>37</v>
      </c>
      <c r="Z481">
        <v>1342</v>
      </c>
      <c r="AA481">
        <v>52</v>
      </c>
      <c r="AB481">
        <v>39</v>
      </c>
      <c r="AC481">
        <v>39</v>
      </c>
      <c r="AD481">
        <v>4</v>
      </c>
      <c r="AE481">
        <v>102</v>
      </c>
      <c r="AF481">
        <v>62</v>
      </c>
      <c r="AG481">
        <v>83</v>
      </c>
      <c r="AH481">
        <v>79</v>
      </c>
      <c r="AI481">
        <v>3.62</v>
      </c>
    </row>
    <row r="482" spans="1:35" x14ac:dyDescent="0.5">
      <c r="A482" s="35">
        <v>2016</v>
      </c>
      <c r="B482" t="s">
        <v>37</v>
      </c>
      <c r="C482" t="s">
        <v>149</v>
      </c>
      <c r="D482">
        <v>689</v>
      </c>
      <c r="E482">
        <v>162</v>
      </c>
      <c r="F482">
        <v>4</v>
      </c>
      <c r="G482">
        <v>12</v>
      </c>
      <c r="H482">
        <v>158</v>
      </c>
      <c r="I482">
        <v>29</v>
      </c>
      <c r="J482">
        <v>1421.1</v>
      </c>
      <c r="K482">
        <v>1480</v>
      </c>
      <c r="L482">
        <v>727</v>
      </c>
      <c r="M482" s="58">
        <f t="shared" si="28"/>
        <v>2016</v>
      </c>
      <c r="N482" s="58" t="s">
        <v>36</v>
      </c>
      <c r="O482" s="58" t="str">
        <f t="shared" si="31"/>
        <v>2016 Anaheim Angels</v>
      </c>
      <c r="P482" s="58">
        <v>6120</v>
      </c>
      <c r="Q482" s="58">
        <f t="shared" si="29"/>
        <v>977</v>
      </c>
      <c r="R482" s="58">
        <v>275</v>
      </c>
      <c r="S482" s="58">
        <v>20</v>
      </c>
      <c r="T482" s="58">
        <v>208</v>
      </c>
      <c r="U482" s="58">
        <v>498</v>
      </c>
      <c r="V482" s="58">
        <v>56</v>
      </c>
      <c r="W482" s="58">
        <f t="shared" si="30"/>
        <v>4086</v>
      </c>
      <c r="X482">
        <v>676</v>
      </c>
      <c r="Y482">
        <v>27</v>
      </c>
      <c r="Z482">
        <v>1136</v>
      </c>
      <c r="AA482">
        <v>22</v>
      </c>
      <c r="AB482">
        <v>48</v>
      </c>
      <c r="AC482">
        <v>47</v>
      </c>
      <c r="AD482">
        <v>10</v>
      </c>
      <c r="AE482">
        <v>126</v>
      </c>
      <c r="AF482">
        <v>57</v>
      </c>
      <c r="AG482">
        <v>74</v>
      </c>
      <c r="AH482">
        <v>88</v>
      </c>
      <c r="AI482">
        <v>4.28</v>
      </c>
    </row>
    <row r="483" spans="1:35" x14ac:dyDescent="0.5">
      <c r="A483" s="35">
        <v>2016</v>
      </c>
      <c r="B483" t="s">
        <v>40</v>
      </c>
      <c r="C483" t="s">
        <v>38</v>
      </c>
      <c r="D483">
        <v>737</v>
      </c>
      <c r="E483">
        <v>162</v>
      </c>
      <c r="F483">
        <v>2</v>
      </c>
      <c r="G483">
        <v>7</v>
      </c>
      <c r="H483">
        <v>160</v>
      </c>
      <c r="I483">
        <v>31</v>
      </c>
      <c r="J483">
        <v>1451.1</v>
      </c>
      <c r="K483">
        <v>1563</v>
      </c>
      <c r="L483">
        <v>890</v>
      </c>
      <c r="M483" s="58">
        <f t="shared" si="28"/>
        <v>2016</v>
      </c>
      <c r="N483" s="58" t="s">
        <v>39</v>
      </c>
      <c r="O483" s="58" t="str">
        <f t="shared" si="31"/>
        <v>2016 Arizona Diamondbacks</v>
      </c>
      <c r="P483" s="58">
        <v>6437</v>
      </c>
      <c r="Q483" s="58">
        <f t="shared" si="29"/>
        <v>986</v>
      </c>
      <c r="R483" s="58">
        <v>337</v>
      </c>
      <c r="S483" s="58">
        <v>38</v>
      </c>
      <c r="T483" s="58">
        <v>202</v>
      </c>
      <c r="U483" s="58">
        <v>603</v>
      </c>
      <c r="V483" s="58">
        <v>57</v>
      </c>
      <c r="W483" s="58">
        <f t="shared" si="30"/>
        <v>4214</v>
      </c>
      <c r="X483">
        <v>821</v>
      </c>
      <c r="Y483">
        <v>57</v>
      </c>
      <c r="Z483">
        <v>1318</v>
      </c>
      <c r="AA483">
        <v>42</v>
      </c>
      <c r="AB483">
        <v>42</v>
      </c>
      <c r="AC483">
        <v>69</v>
      </c>
      <c r="AD483">
        <v>7</v>
      </c>
      <c r="AE483">
        <v>125</v>
      </c>
      <c r="AF483">
        <v>61</v>
      </c>
      <c r="AG483">
        <v>69</v>
      </c>
      <c r="AH483">
        <v>93</v>
      </c>
      <c r="AI483">
        <v>5.09</v>
      </c>
    </row>
    <row r="484" spans="1:35" x14ac:dyDescent="0.5">
      <c r="A484" s="35">
        <v>2016</v>
      </c>
      <c r="B484" t="s">
        <v>42</v>
      </c>
      <c r="C484" t="s">
        <v>38</v>
      </c>
      <c r="D484">
        <v>748</v>
      </c>
      <c r="E484">
        <v>161</v>
      </c>
      <c r="F484">
        <v>1</v>
      </c>
      <c r="G484">
        <v>9</v>
      </c>
      <c r="H484">
        <v>160</v>
      </c>
      <c r="I484">
        <v>39</v>
      </c>
      <c r="J484">
        <v>1447.2</v>
      </c>
      <c r="K484">
        <v>1414</v>
      </c>
      <c r="L484">
        <v>779</v>
      </c>
      <c r="M484" s="58">
        <f t="shared" si="28"/>
        <v>2016</v>
      </c>
      <c r="N484" s="58" t="s">
        <v>41</v>
      </c>
      <c r="O484" s="58" t="str">
        <f t="shared" si="31"/>
        <v>2016 Atlanta Braves</v>
      </c>
      <c r="P484" s="58">
        <v>6250</v>
      </c>
      <c r="Q484" s="58">
        <f t="shared" si="29"/>
        <v>927</v>
      </c>
      <c r="R484" s="58">
        <v>263</v>
      </c>
      <c r="S484" s="58">
        <v>47</v>
      </c>
      <c r="T484" s="58">
        <v>177</v>
      </c>
      <c r="U484" s="58">
        <v>547</v>
      </c>
      <c r="V484" s="58">
        <v>70</v>
      </c>
      <c r="W484" s="58">
        <f t="shared" si="30"/>
        <v>4219</v>
      </c>
      <c r="X484">
        <v>725</v>
      </c>
      <c r="Y484">
        <v>55</v>
      </c>
      <c r="Z484">
        <v>1227</v>
      </c>
      <c r="AA484">
        <v>52</v>
      </c>
      <c r="AB484">
        <v>50</v>
      </c>
      <c r="AC484">
        <v>83</v>
      </c>
      <c r="AD484">
        <v>4</v>
      </c>
      <c r="AE484">
        <v>106</v>
      </c>
      <c r="AF484">
        <v>69</v>
      </c>
      <c r="AG484">
        <v>68</v>
      </c>
      <c r="AH484">
        <v>93</v>
      </c>
      <c r="AI484">
        <v>4.51</v>
      </c>
    </row>
    <row r="485" spans="1:35" x14ac:dyDescent="0.5">
      <c r="A485" s="35">
        <v>2016</v>
      </c>
      <c r="B485" t="s">
        <v>45</v>
      </c>
      <c r="C485" t="s">
        <v>149</v>
      </c>
      <c r="D485">
        <v>605</v>
      </c>
      <c r="E485">
        <v>162</v>
      </c>
      <c r="F485">
        <v>1</v>
      </c>
      <c r="G485">
        <v>9</v>
      </c>
      <c r="H485">
        <v>161</v>
      </c>
      <c r="I485">
        <v>54</v>
      </c>
      <c r="J485">
        <v>1432</v>
      </c>
      <c r="K485">
        <v>1408</v>
      </c>
      <c r="L485">
        <v>715</v>
      </c>
      <c r="M485" s="58">
        <f t="shared" si="28"/>
        <v>2016</v>
      </c>
      <c r="N485" s="58" t="s">
        <v>44</v>
      </c>
      <c r="O485" s="58" t="str">
        <f t="shared" si="31"/>
        <v>2016 Baltimore Orioles</v>
      </c>
      <c r="P485" s="58">
        <v>6122</v>
      </c>
      <c r="Q485" s="58">
        <f t="shared" si="29"/>
        <v>898</v>
      </c>
      <c r="R485" s="58">
        <v>309</v>
      </c>
      <c r="S485" s="58">
        <v>18</v>
      </c>
      <c r="T485" s="58">
        <v>183</v>
      </c>
      <c r="U485" s="58">
        <v>545</v>
      </c>
      <c r="V485" s="58">
        <v>51</v>
      </c>
      <c r="W485" s="58">
        <f t="shared" si="30"/>
        <v>4118</v>
      </c>
      <c r="X485">
        <v>671</v>
      </c>
      <c r="Y485">
        <v>23</v>
      </c>
      <c r="Z485">
        <v>1248</v>
      </c>
      <c r="AA485">
        <v>17</v>
      </c>
      <c r="AB485">
        <v>38</v>
      </c>
      <c r="AC485">
        <v>59</v>
      </c>
      <c r="AD485">
        <v>3</v>
      </c>
      <c r="AE485">
        <v>145</v>
      </c>
      <c r="AF485">
        <v>54</v>
      </c>
      <c r="AG485">
        <v>89</v>
      </c>
      <c r="AH485">
        <v>73</v>
      </c>
      <c r="AI485">
        <v>4.22</v>
      </c>
    </row>
    <row r="486" spans="1:35" x14ac:dyDescent="0.5">
      <c r="A486" s="35">
        <v>2016</v>
      </c>
      <c r="B486" t="s">
        <v>47</v>
      </c>
      <c r="C486" t="s">
        <v>149</v>
      </c>
      <c r="D486">
        <v>625</v>
      </c>
      <c r="E486">
        <v>162</v>
      </c>
      <c r="F486">
        <v>9</v>
      </c>
      <c r="G486">
        <v>5</v>
      </c>
      <c r="H486">
        <v>153</v>
      </c>
      <c r="I486">
        <v>43</v>
      </c>
      <c r="J486">
        <v>1439.2</v>
      </c>
      <c r="K486">
        <v>1342</v>
      </c>
      <c r="L486">
        <v>694</v>
      </c>
      <c r="M486" s="58">
        <f t="shared" si="28"/>
        <v>2016</v>
      </c>
      <c r="N486" s="58" t="s">
        <v>46</v>
      </c>
      <c r="O486" s="58" t="str">
        <f t="shared" si="31"/>
        <v>2016 Boston Red Sox</v>
      </c>
      <c r="P486" s="58">
        <v>6073</v>
      </c>
      <c r="Q486" s="58">
        <f t="shared" si="29"/>
        <v>892</v>
      </c>
      <c r="R486" s="58">
        <v>251</v>
      </c>
      <c r="S486" s="58">
        <v>23</v>
      </c>
      <c r="T486" s="58">
        <v>176</v>
      </c>
      <c r="U486" s="58">
        <v>490</v>
      </c>
      <c r="V486" s="58">
        <v>65</v>
      </c>
      <c r="W486" s="58">
        <f t="shared" si="30"/>
        <v>4176</v>
      </c>
      <c r="X486">
        <v>640</v>
      </c>
      <c r="Y486">
        <v>16</v>
      </c>
      <c r="Z486">
        <v>1362</v>
      </c>
      <c r="AA486">
        <v>24</v>
      </c>
      <c r="AB486">
        <v>35</v>
      </c>
      <c r="AC486">
        <v>52</v>
      </c>
      <c r="AD486">
        <v>0</v>
      </c>
      <c r="AE486">
        <v>117</v>
      </c>
      <c r="AF486">
        <v>57</v>
      </c>
      <c r="AG486">
        <v>93</v>
      </c>
      <c r="AH486">
        <v>69</v>
      </c>
      <c r="AI486">
        <v>4</v>
      </c>
    </row>
    <row r="487" spans="1:35" x14ac:dyDescent="0.5">
      <c r="A487" s="35">
        <v>2016</v>
      </c>
      <c r="B487" t="s">
        <v>143</v>
      </c>
      <c r="C487" t="s">
        <v>38</v>
      </c>
      <c r="D487">
        <v>665</v>
      </c>
      <c r="E487">
        <v>162</v>
      </c>
      <c r="F487">
        <v>5</v>
      </c>
      <c r="G487">
        <v>15</v>
      </c>
      <c r="H487">
        <v>157</v>
      </c>
      <c r="I487">
        <v>38</v>
      </c>
      <c r="J487">
        <v>1459.2</v>
      </c>
      <c r="K487">
        <v>1125</v>
      </c>
      <c r="L487">
        <v>556</v>
      </c>
      <c r="M487" s="58">
        <f t="shared" si="28"/>
        <v>2016</v>
      </c>
      <c r="N487" s="58" t="s">
        <v>50</v>
      </c>
      <c r="O487" s="58" t="str">
        <f t="shared" si="31"/>
        <v>2016 Chicago Cubs</v>
      </c>
      <c r="P487" s="58">
        <v>5933</v>
      </c>
      <c r="Q487" s="58">
        <f t="shared" si="29"/>
        <v>742</v>
      </c>
      <c r="R487" s="58">
        <v>205</v>
      </c>
      <c r="S487" s="58">
        <v>15</v>
      </c>
      <c r="T487" s="58">
        <v>163</v>
      </c>
      <c r="U487" s="58">
        <v>495</v>
      </c>
      <c r="V487" s="58">
        <v>63</v>
      </c>
      <c r="W487" s="58">
        <f t="shared" si="30"/>
        <v>4250</v>
      </c>
      <c r="X487">
        <v>511</v>
      </c>
      <c r="Y487">
        <v>24</v>
      </c>
      <c r="Z487">
        <v>1441</v>
      </c>
      <c r="AA487">
        <v>31</v>
      </c>
      <c r="AB487">
        <v>35</v>
      </c>
      <c r="AC487">
        <v>80</v>
      </c>
      <c r="AD487">
        <v>0</v>
      </c>
      <c r="AE487">
        <v>98</v>
      </c>
      <c r="AF487">
        <v>69</v>
      </c>
      <c r="AG487">
        <v>103</v>
      </c>
      <c r="AH487">
        <v>58</v>
      </c>
      <c r="AI487">
        <v>3.15</v>
      </c>
    </row>
    <row r="488" spans="1:35" x14ac:dyDescent="0.5">
      <c r="A488" s="35">
        <v>2016</v>
      </c>
      <c r="B488" t="s">
        <v>143</v>
      </c>
      <c r="C488" t="s">
        <v>149</v>
      </c>
      <c r="D488">
        <v>643</v>
      </c>
      <c r="E488">
        <v>162</v>
      </c>
      <c r="F488">
        <v>7</v>
      </c>
      <c r="G488">
        <v>10</v>
      </c>
      <c r="H488">
        <v>155</v>
      </c>
      <c r="I488">
        <v>43</v>
      </c>
      <c r="J488">
        <v>1446.2</v>
      </c>
      <c r="K488">
        <v>1422</v>
      </c>
      <c r="L488">
        <v>715</v>
      </c>
      <c r="M488" s="58">
        <f t="shared" si="28"/>
        <v>2016</v>
      </c>
      <c r="N488" s="58" t="s">
        <v>48</v>
      </c>
      <c r="O488" s="58" t="str">
        <f t="shared" si="31"/>
        <v>2016 Chicago White Sox</v>
      </c>
      <c r="P488" s="58">
        <v>6196</v>
      </c>
      <c r="Q488" s="58">
        <f t="shared" si="29"/>
        <v>922</v>
      </c>
      <c r="R488" s="58">
        <v>290</v>
      </c>
      <c r="S488" s="58">
        <v>25</v>
      </c>
      <c r="T488" s="58">
        <v>185</v>
      </c>
      <c r="U488" s="58">
        <v>521</v>
      </c>
      <c r="V488" s="58">
        <v>68</v>
      </c>
      <c r="W488" s="58">
        <f t="shared" si="30"/>
        <v>4185</v>
      </c>
      <c r="X488">
        <v>659</v>
      </c>
      <c r="Y488">
        <v>30</v>
      </c>
      <c r="Z488">
        <v>1270</v>
      </c>
      <c r="AA488">
        <v>29</v>
      </c>
      <c r="AB488">
        <v>49</v>
      </c>
      <c r="AC488">
        <v>72</v>
      </c>
      <c r="AD488">
        <v>2</v>
      </c>
      <c r="AE488">
        <v>123</v>
      </c>
      <c r="AF488">
        <v>61</v>
      </c>
      <c r="AG488">
        <v>78</v>
      </c>
      <c r="AH488">
        <v>84</v>
      </c>
      <c r="AI488">
        <v>4.0999999999999996</v>
      </c>
    </row>
    <row r="489" spans="1:35" x14ac:dyDescent="0.5">
      <c r="A489" s="35">
        <v>2016</v>
      </c>
      <c r="B489" t="s">
        <v>53</v>
      </c>
      <c r="C489" t="s">
        <v>38</v>
      </c>
      <c r="D489">
        <v>646</v>
      </c>
      <c r="E489">
        <v>162</v>
      </c>
      <c r="F489">
        <v>2</v>
      </c>
      <c r="G489">
        <v>8</v>
      </c>
      <c r="H489">
        <v>160</v>
      </c>
      <c r="I489">
        <v>28</v>
      </c>
      <c r="J489">
        <v>1442</v>
      </c>
      <c r="K489">
        <v>1457</v>
      </c>
      <c r="L489">
        <v>854</v>
      </c>
      <c r="M489" s="58">
        <f t="shared" si="28"/>
        <v>2016</v>
      </c>
      <c r="N489" s="58" t="s">
        <v>52</v>
      </c>
      <c r="O489" s="58" t="str">
        <f t="shared" si="31"/>
        <v>2016 Cincinnati Reds</v>
      </c>
      <c r="P489" s="58">
        <v>6348</v>
      </c>
      <c r="Q489" s="58">
        <f t="shared" si="29"/>
        <v>920</v>
      </c>
      <c r="R489" s="58">
        <v>261</v>
      </c>
      <c r="S489" s="58">
        <v>18</v>
      </c>
      <c r="T489" s="58">
        <v>258</v>
      </c>
      <c r="U489" s="58">
        <v>636</v>
      </c>
      <c r="V489" s="58">
        <v>78</v>
      </c>
      <c r="W489" s="58">
        <f t="shared" si="30"/>
        <v>4177</v>
      </c>
      <c r="X489">
        <v>786</v>
      </c>
      <c r="Y489">
        <v>31</v>
      </c>
      <c r="Z489">
        <v>1241</v>
      </c>
      <c r="AA489">
        <v>54</v>
      </c>
      <c r="AB489">
        <v>35</v>
      </c>
      <c r="AC489">
        <v>61</v>
      </c>
      <c r="AD489">
        <v>12</v>
      </c>
      <c r="AE489">
        <v>118</v>
      </c>
      <c r="AF489">
        <v>70</v>
      </c>
      <c r="AG489">
        <v>68</v>
      </c>
      <c r="AH489">
        <v>94</v>
      </c>
      <c r="AI489">
        <v>4.91</v>
      </c>
    </row>
    <row r="490" spans="1:35" x14ac:dyDescent="0.5">
      <c r="A490" s="35">
        <v>2016</v>
      </c>
      <c r="B490" t="s">
        <v>55</v>
      </c>
      <c r="C490" t="s">
        <v>149</v>
      </c>
      <c r="D490">
        <v>665</v>
      </c>
      <c r="E490">
        <v>161</v>
      </c>
      <c r="F490">
        <v>5</v>
      </c>
      <c r="G490">
        <v>11</v>
      </c>
      <c r="H490">
        <v>156</v>
      </c>
      <c r="I490">
        <v>37</v>
      </c>
      <c r="J490">
        <v>1445</v>
      </c>
      <c r="K490">
        <v>1330</v>
      </c>
      <c r="L490">
        <v>676</v>
      </c>
      <c r="M490" s="58">
        <f t="shared" si="28"/>
        <v>2016</v>
      </c>
      <c r="N490" s="58" t="s">
        <v>54</v>
      </c>
      <c r="O490" s="58" t="str">
        <f t="shared" si="31"/>
        <v>2016 Cleveland Indians</v>
      </c>
      <c r="P490" s="58">
        <v>6033</v>
      </c>
      <c r="Q490" s="58">
        <f t="shared" si="29"/>
        <v>830</v>
      </c>
      <c r="R490" s="58">
        <v>287</v>
      </c>
      <c r="S490" s="58">
        <v>27</v>
      </c>
      <c r="T490" s="58">
        <v>186</v>
      </c>
      <c r="U490" s="58">
        <v>461</v>
      </c>
      <c r="V490" s="58">
        <v>34</v>
      </c>
      <c r="W490" s="58">
        <f t="shared" si="30"/>
        <v>4208</v>
      </c>
      <c r="X490">
        <v>617</v>
      </c>
      <c r="Y490">
        <v>34</v>
      </c>
      <c r="Z490">
        <v>1398</v>
      </c>
      <c r="AA490">
        <v>27</v>
      </c>
      <c r="AB490">
        <v>31</v>
      </c>
      <c r="AC490">
        <v>49</v>
      </c>
      <c r="AD490">
        <v>7</v>
      </c>
      <c r="AE490">
        <v>103</v>
      </c>
      <c r="AF490">
        <v>64</v>
      </c>
      <c r="AG490">
        <v>94</v>
      </c>
      <c r="AH490">
        <v>67</v>
      </c>
      <c r="AI490">
        <v>3.84</v>
      </c>
    </row>
    <row r="491" spans="1:35" x14ac:dyDescent="0.5">
      <c r="A491" s="35">
        <v>2016</v>
      </c>
      <c r="B491" t="s">
        <v>57</v>
      </c>
      <c r="C491" t="s">
        <v>38</v>
      </c>
      <c r="D491">
        <v>695</v>
      </c>
      <c r="E491">
        <v>162</v>
      </c>
      <c r="F491">
        <v>2</v>
      </c>
      <c r="G491">
        <v>9</v>
      </c>
      <c r="H491">
        <v>160</v>
      </c>
      <c r="I491">
        <v>37</v>
      </c>
      <c r="J491">
        <v>1429.1</v>
      </c>
      <c r="K491">
        <v>1532</v>
      </c>
      <c r="L491">
        <v>860</v>
      </c>
      <c r="M491" s="58">
        <f t="shared" si="28"/>
        <v>2016</v>
      </c>
      <c r="N491" s="58" t="s">
        <v>56</v>
      </c>
      <c r="O491" s="58" t="str">
        <f t="shared" si="31"/>
        <v>2016 Colorado Rockies</v>
      </c>
      <c r="P491" s="58">
        <v>6289</v>
      </c>
      <c r="Q491" s="58">
        <f t="shared" si="29"/>
        <v>988</v>
      </c>
      <c r="R491" s="58">
        <v>312</v>
      </c>
      <c r="S491" s="58">
        <v>51</v>
      </c>
      <c r="T491" s="58">
        <v>181</v>
      </c>
      <c r="U491" s="58">
        <v>547</v>
      </c>
      <c r="V491" s="58">
        <v>70</v>
      </c>
      <c r="W491" s="58">
        <f t="shared" si="30"/>
        <v>4140</v>
      </c>
      <c r="X491">
        <v>779</v>
      </c>
      <c r="Y491">
        <v>38</v>
      </c>
      <c r="Z491">
        <v>1223</v>
      </c>
      <c r="AA491">
        <v>49</v>
      </c>
      <c r="AB491">
        <v>36</v>
      </c>
      <c r="AC491">
        <v>72</v>
      </c>
      <c r="AD491">
        <v>5</v>
      </c>
      <c r="AE491">
        <v>128</v>
      </c>
      <c r="AF491">
        <v>70</v>
      </c>
      <c r="AG491">
        <v>75</v>
      </c>
      <c r="AH491">
        <v>87</v>
      </c>
      <c r="AI491">
        <v>4.91</v>
      </c>
    </row>
    <row r="492" spans="1:35" x14ac:dyDescent="0.5">
      <c r="A492" s="35">
        <v>2016</v>
      </c>
      <c r="B492" t="s">
        <v>59</v>
      </c>
      <c r="C492" t="s">
        <v>149</v>
      </c>
      <c r="D492">
        <v>637</v>
      </c>
      <c r="E492">
        <v>161</v>
      </c>
      <c r="F492">
        <v>3</v>
      </c>
      <c r="G492">
        <v>8</v>
      </c>
      <c r="H492">
        <v>158</v>
      </c>
      <c r="I492">
        <v>47</v>
      </c>
      <c r="J492">
        <v>1428</v>
      </c>
      <c r="K492">
        <v>1417</v>
      </c>
      <c r="L492">
        <v>721</v>
      </c>
      <c r="M492" s="58">
        <f t="shared" si="28"/>
        <v>2016</v>
      </c>
      <c r="N492" s="58" t="s">
        <v>58</v>
      </c>
      <c r="O492" s="58" t="str">
        <f t="shared" si="31"/>
        <v>2016 Detroit Tigers</v>
      </c>
      <c r="P492" s="58">
        <v>6048</v>
      </c>
      <c r="Q492" s="58">
        <f t="shared" si="29"/>
        <v>943</v>
      </c>
      <c r="R492" s="58">
        <v>250</v>
      </c>
      <c r="S492" s="58">
        <v>42</v>
      </c>
      <c r="T492" s="58">
        <v>182</v>
      </c>
      <c r="U492" s="58">
        <v>462</v>
      </c>
      <c r="V492" s="58">
        <v>51</v>
      </c>
      <c r="W492" s="58">
        <f t="shared" si="30"/>
        <v>4118</v>
      </c>
      <c r="X492">
        <v>672</v>
      </c>
      <c r="Y492">
        <v>25</v>
      </c>
      <c r="Z492">
        <v>1232</v>
      </c>
      <c r="AA492">
        <v>25</v>
      </c>
      <c r="AB492">
        <v>53</v>
      </c>
      <c r="AC492">
        <v>44</v>
      </c>
      <c r="AD492">
        <v>4</v>
      </c>
      <c r="AE492">
        <v>129</v>
      </c>
      <c r="AF492">
        <v>39</v>
      </c>
      <c r="AG492">
        <v>86</v>
      </c>
      <c r="AH492">
        <v>75</v>
      </c>
      <c r="AI492">
        <v>4.24</v>
      </c>
    </row>
    <row r="493" spans="1:35" x14ac:dyDescent="0.5">
      <c r="A493" s="35">
        <v>2016</v>
      </c>
      <c r="B493" t="s">
        <v>63</v>
      </c>
      <c r="C493" t="s">
        <v>149</v>
      </c>
      <c r="D493">
        <v>662</v>
      </c>
      <c r="E493">
        <v>162</v>
      </c>
      <c r="F493">
        <v>2</v>
      </c>
      <c r="G493">
        <v>8</v>
      </c>
      <c r="H493">
        <v>160</v>
      </c>
      <c r="I493">
        <v>44</v>
      </c>
      <c r="J493">
        <v>1468</v>
      </c>
      <c r="K493">
        <v>1441</v>
      </c>
      <c r="L493">
        <v>701</v>
      </c>
      <c r="M493" s="58">
        <f t="shared" si="28"/>
        <v>2016</v>
      </c>
      <c r="N493" s="58" t="s">
        <v>60</v>
      </c>
      <c r="O493" s="58" t="str">
        <f t="shared" si="31"/>
        <v>2016 Florida Marlins</v>
      </c>
      <c r="P493" s="58">
        <v>6180</v>
      </c>
      <c r="Q493" s="58">
        <f t="shared" si="29"/>
        <v>898</v>
      </c>
      <c r="R493" s="58">
        <v>320</v>
      </c>
      <c r="S493" s="58">
        <v>42</v>
      </c>
      <c r="T493" s="58">
        <v>181</v>
      </c>
      <c r="U493" s="58">
        <v>453</v>
      </c>
      <c r="V493" s="58">
        <v>39</v>
      </c>
      <c r="W493" s="58">
        <f t="shared" si="30"/>
        <v>4247</v>
      </c>
      <c r="X493">
        <v>663</v>
      </c>
      <c r="Y493">
        <v>19</v>
      </c>
      <c r="Z493">
        <v>1396</v>
      </c>
      <c r="AA493">
        <v>18</v>
      </c>
      <c r="AB493">
        <v>31</v>
      </c>
      <c r="AC493">
        <v>98</v>
      </c>
      <c r="AD493">
        <v>2</v>
      </c>
      <c r="AE493">
        <v>113</v>
      </c>
      <c r="AF493">
        <v>58</v>
      </c>
      <c r="AG493">
        <v>84</v>
      </c>
      <c r="AH493">
        <v>78</v>
      </c>
      <c r="AI493">
        <v>4.0599999999999996</v>
      </c>
    </row>
    <row r="494" spans="1:35" x14ac:dyDescent="0.5">
      <c r="A494" s="35">
        <v>2016</v>
      </c>
      <c r="B494" t="s">
        <v>150</v>
      </c>
      <c r="C494" t="s">
        <v>149</v>
      </c>
      <c r="D494">
        <v>634</v>
      </c>
      <c r="E494">
        <v>162</v>
      </c>
      <c r="F494">
        <v>3</v>
      </c>
      <c r="G494">
        <v>7</v>
      </c>
      <c r="H494">
        <v>159</v>
      </c>
      <c r="I494">
        <v>41</v>
      </c>
      <c r="J494">
        <v>1440</v>
      </c>
      <c r="K494">
        <v>1433</v>
      </c>
      <c r="L494">
        <v>712</v>
      </c>
      <c r="M494" s="58">
        <f t="shared" si="28"/>
        <v>2016</v>
      </c>
      <c r="N494" s="58" t="s">
        <v>62</v>
      </c>
      <c r="O494" s="58" t="str">
        <f t="shared" si="31"/>
        <v>2016 Houston Astros</v>
      </c>
      <c r="P494" s="58">
        <v>6182</v>
      </c>
      <c r="Q494" s="58">
        <f t="shared" si="29"/>
        <v>958</v>
      </c>
      <c r="R494" s="58">
        <v>248</v>
      </c>
      <c r="S494" s="58">
        <v>21</v>
      </c>
      <c r="T494" s="58">
        <v>206</v>
      </c>
      <c r="U494" s="58">
        <v>517</v>
      </c>
      <c r="V494" s="58">
        <v>60</v>
      </c>
      <c r="W494" s="58">
        <f t="shared" si="30"/>
        <v>4172</v>
      </c>
      <c r="X494">
        <v>674</v>
      </c>
      <c r="Y494">
        <v>8</v>
      </c>
      <c r="Z494">
        <v>1287</v>
      </c>
      <c r="AA494">
        <v>30</v>
      </c>
      <c r="AB494">
        <v>39</v>
      </c>
      <c r="AC494">
        <v>55</v>
      </c>
      <c r="AD494">
        <v>7</v>
      </c>
      <c r="AE494">
        <v>117</v>
      </c>
      <c r="AF494">
        <v>60</v>
      </c>
      <c r="AG494">
        <v>81</v>
      </c>
      <c r="AH494">
        <v>81</v>
      </c>
      <c r="AI494">
        <v>4.21</v>
      </c>
    </row>
    <row r="495" spans="1:35" x14ac:dyDescent="0.5">
      <c r="A495" s="35">
        <v>2016</v>
      </c>
      <c r="B495" t="s">
        <v>145</v>
      </c>
      <c r="C495" t="s">
        <v>38</v>
      </c>
      <c r="D495">
        <v>768</v>
      </c>
      <c r="E495">
        <v>162</v>
      </c>
      <c r="F495">
        <v>3</v>
      </c>
      <c r="G495">
        <v>15</v>
      </c>
      <c r="H495">
        <v>159</v>
      </c>
      <c r="I495">
        <v>47</v>
      </c>
      <c r="J495">
        <v>1453</v>
      </c>
      <c r="K495">
        <v>1266</v>
      </c>
      <c r="L495">
        <v>638</v>
      </c>
      <c r="M495" s="58">
        <f t="shared" si="28"/>
        <v>2016</v>
      </c>
      <c r="N495" s="58" t="s">
        <v>64</v>
      </c>
      <c r="O495" s="58" t="str">
        <f t="shared" si="31"/>
        <v>2016 Kansas City Royals</v>
      </c>
      <c r="P495" s="58">
        <v>6014</v>
      </c>
      <c r="Q495" s="58">
        <f t="shared" si="29"/>
        <v>850</v>
      </c>
      <c r="R495" s="58">
        <v>225</v>
      </c>
      <c r="S495" s="58">
        <v>26</v>
      </c>
      <c r="T495" s="58">
        <v>165</v>
      </c>
      <c r="U495" s="58">
        <v>464</v>
      </c>
      <c r="V495" s="58">
        <v>53</v>
      </c>
      <c r="W495" s="58">
        <f t="shared" si="30"/>
        <v>4231</v>
      </c>
      <c r="X495">
        <v>598</v>
      </c>
      <c r="Y495">
        <v>51</v>
      </c>
      <c r="Z495">
        <v>1510</v>
      </c>
      <c r="AA495">
        <v>35</v>
      </c>
      <c r="AB495">
        <v>30</v>
      </c>
      <c r="AC495">
        <v>58</v>
      </c>
      <c r="AD495">
        <v>5</v>
      </c>
      <c r="AE495">
        <v>84</v>
      </c>
      <c r="AF495">
        <v>43</v>
      </c>
      <c r="AG495">
        <v>91</v>
      </c>
      <c r="AH495">
        <v>71</v>
      </c>
      <c r="AI495">
        <v>3.7</v>
      </c>
    </row>
    <row r="496" spans="1:35" x14ac:dyDescent="0.5">
      <c r="A496" s="35">
        <v>2016</v>
      </c>
      <c r="B496" t="s">
        <v>104</v>
      </c>
      <c r="C496" t="s">
        <v>38</v>
      </c>
      <c r="D496">
        <v>720</v>
      </c>
      <c r="E496">
        <v>161</v>
      </c>
      <c r="F496">
        <v>0</v>
      </c>
      <c r="G496">
        <v>12</v>
      </c>
      <c r="H496">
        <v>161</v>
      </c>
      <c r="I496">
        <v>55</v>
      </c>
      <c r="J496">
        <v>1435</v>
      </c>
      <c r="K496">
        <v>1358</v>
      </c>
      <c r="L496">
        <v>682</v>
      </c>
      <c r="M496" s="58">
        <f t="shared" si="28"/>
        <v>2016</v>
      </c>
      <c r="N496" s="58" t="s">
        <v>66</v>
      </c>
      <c r="O496" s="58" t="str">
        <f t="shared" si="31"/>
        <v>2016 Los Angeles Dodgers</v>
      </c>
      <c r="P496" s="58">
        <v>6164</v>
      </c>
      <c r="Q496" s="58">
        <f t="shared" si="29"/>
        <v>919</v>
      </c>
      <c r="R496" s="58">
        <v>256</v>
      </c>
      <c r="S496" s="58">
        <v>31</v>
      </c>
      <c r="T496" s="58">
        <v>152</v>
      </c>
      <c r="U496" s="58">
        <v>595</v>
      </c>
      <c r="V496" s="58">
        <v>61</v>
      </c>
      <c r="W496" s="58">
        <f t="shared" si="30"/>
        <v>4150</v>
      </c>
      <c r="X496">
        <v>646</v>
      </c>
      <c r="Y496">
        <v>62</v>
      </c>
      <c r="Z496">
        <v>1379</v>
      </c>
      <c r="AA496">
        <v>48</v>
      </c>
      <c r="AB496">
        <v>50</v>
      </c>
      <c r="AC496">
        <v>66</v>
      </c>
      <c r="AD496">
        <v>3</v>
      </c>
      <c r="AE496">
        <v>119</v>
      </c>
      <c r="AF496">
        <v>54</v>
      </c>
      <c r="AG496">
        <v>79</v>
      </c>
      <c r="AH496">
        <v>82</v>
      </c>
      <c r="AI496">
        <v>4.05</v>
      </c>
    </row>
    <row r="497" spans="1:35" x14ac:dyDescent="0.5">
      <c r="A497" s="35">
        <v>2016</v>
      </c>
      <c r="B497" t="s">
        <v>69</v>
      </c>
      <c r="C497" t="s">
        <v>38</v>
      </c>
      <c r="D497">
        <v>675</v>
      </c>
      <c r="E497">
        <v>162</v>
      </c>
      <c r="F497">
        <v>0</v>
      </c>
      <c r="G497">
        <v>7</v>
      </c>
      <c r="H497">
        <v>162</v>
      </c>
      <c r="I497">
        <v>46</v>
      </c>
      <c r="J497">
        <v>1434.1</v>
      </c>
      <c r="K497">
        <v>1450</v>
      </c>
      <c r="L497">
        <v>733</v>
      </c>
      <c r="M497" s="58">
        <f t="shared" si="28"/>
        <v>2016</v>
      </c>
      <c r="N497" s="58" t="s">
        <v>68</v>
      </c>
      <c r="O497" s="58" t="str">
        <f t="shared" si="31"/>
        <v>2016 Milwaukee Brewers</v>
      </c>
      <c r="P497" s="58">
        <v>6188</v>
      </c>
      <c r="Q497" s="58">
        <f t="shared" si="29"/>
        <v>943</v>
      </c>
      <c r="R497" s="58">
        <v>293</v>
      </c>
      <c r="S497" s="58">
        <v>36</v>
      </c>
      <c r="T497" s="58">
        <v>178</v>
      </c>
      <c r="U497" s="58">
        <v>532</v>
      </c>
      <c r="V497" s="58">
        <v>66</v>
      </c>
      <c r="W497" s="58">
        <f t="shared" si="30"/>
        <v>4140</v>
      </c>
      <c r="X497">
        <v>650</v>
      </c>
      <c r="Y497">
        <v>33</v>
      </c>
      <c r="Z497">
        <v>1175</v>
      </c>
      <c r="AA497">
        <v>40</v>
      </c>
      <c r="AB497">
        <v>41</v>
      </c>
      <c r="AC497">
        <v>48</v>
      </c>
      <c r="AD497">
        <v>2</v>
      </c>
      <c r="AE497">
        <v>122</v>
      </c>
      <c r="AF497">
        <v>80</v>
      </c>
      <c r="AG497">
        <v>73</v>
      </c>
      <c r="AH497">
        <v>89</v>
      </c>
      <c r="AI497">
        <v>4.08</v>
      </c>
    </row>
    <row r="498" spans="1:35" x14ac:dyDescent="0.5">
      <c r="A498" s="35">
        <v>2016</v>
      </c>
      <c r="B498" t="s">
        <v>71</v>
      </c>
      <c r="C498" t="s">
        <v>149</v>
      </c>
      <c r="D498">
        <v>695</v>
      </c>
      <c r="E498">
        <v>162</v>
      </c>
      <c r="F498">
        <v>4</v>
      </c>
      <c r="G498">
        <v>3</v>
      </c>
      <c r="H498">
        <v>158</v>
      </c>
      <c r="I498">
        <v>26</v>
      </c>
      <c r="J498">
        <v>1443</v>
      </c>
      <c r="K498">
        <v>1617</v>
      </c>
      <c r="L498">
        <v>889</v>
      </c>
      <c r="M498" s="58">
        <f t="shared" si="28"/>
        <v>2016</v>
      </c>
      <c r="N498" s="58" t="s">
        <v>70</v>
      </c>
      <c r="O498" s="58" t="str">
        <f t="shared" si="31"/>
        <v>2016 Minnesota Twins</v>
      </c>
      <c r="P498" s="58">
        <v>6314</v>
      </c>
      <c r="Q498" s="58">
        <f t="shared" si="29"/>
        <v>1040</v>
      </c>
      <c r="R498" s="58">
        <v>326</v>
      </c>
      <c r="S498" s="58">
        <v>30</v>
      </c>
      <c r="T498" s="58">
        <v>221</v>
      </c>
      <c r="U498" s="58">
        <v>479</v>
      </c>
      <c r="V498" s="58">
        <v>41</v>
      </c>
      <c r="W498" s="58">
        <f t="shared" si="30"/>
        <v>4177</v>
      </c>
      <c r="X498">
        <v>814</v>
      </c>
      <c r="Y498">
        <v>26</v>
      </c>
      <c r="Z498">
        <v>1191</v>
      </c>
      <c r="AA498">
        <v>26</v>
      </c>
      <c r="AB498">
        <v>46</v>
      </c>
      <c r="AC498">
        <v>83</v>
      </c>
      <c r="AD498">
        <v>7</v>
      </c>
      <c r="AE498">
        <v>155</v>
      </c>
      <c r="AF498">
        <v>79</v>
      </c>
      <c r="AG498">
        <v>59</v>
      </c>
      <c r="AH498">
        <v>103</v>
      </c>
      <c r="AI498">
        <v>5.08</v>
      </c>
    </row>
    <row r="499" spans="1:35" x14ac:dyDescent="0.5">
      <c r="A499" s="35">
        <v>2016</v>
      </c>
      <c r="B499" t="s">
        <v>144</v>
      </c>
      <c r="C499" t="s">
        <v>38</v>
      </c>
      <c r="D499">
        <v>700</v>
      </c>
      <c r="E499">
        <v>162</v>
      </c>
      <c r="F499">
        <v>1</v>
      </c>
      <c r="G499">
        <v>13</v>
      </c>
      <c r="H499">
        <v>161</v>
      </c>
      <c r="I499">
        <v>55</v>
      </c>
      <c r="J499">
        <v>1447</v>
      </c>
      <c r="K499">
        <v>1397</v>
      </c>
      <c r="L499">
        <v>617</v>
      </c>
      <c r="M499" s="58">
        <f t="shared" si="28"/>
        <v>2016</v>
      </c>
      <c r="N499" s="58" t="s">
        <v>76</v>
      </c>
      <c r="O499" s="58" t="str">
        <f t="shared" si="31"/>
        <v>2016 New York Mets</v>
      </c>
      <c r="P499" s="58">
        <v>6067</v>
      </c>
      <c r="Q499" s="58">
        <f t="shared" si="29"/>
        <v>958</v>
      </c>
      <c r="R499" s="58">
        <v>258</v>
      </c>
      <c r="S499" s="58">
        <v>29</v>
      </c>
      <c r="T499" s="58">
        <v>152</v>
      </c>
      <c r="U499" s="58">
        <v>439</v>
      </c>
      <c r="V499" s="58">
        <v>35</v>
      </c>
      <c r="W499" s="58">
        <f t="shared" si="30"/>
        <v>4196</v>
      </c>
      <c r="X499">
        <v>574</v>
      </c>
      <c r="Y499">
        <v>39</v>
      </c>
      <c r="Z499">
        <v>1396</v>
      </c>
      <c r="AA499">
        <v>55</v>
      </c>
      <c r="AB499">
        <v>44</v>
      </c>
      <c r="AC499">
        <v>50</v>
      </c>
      <c r="AD499">
        <v>7</v>
      </c>
      <c r="AE499">
        <v>117</v>
      </c>
      <c r="AF499">
        <v>64</v>
      </c>
      <c r="AG499">
        <v>87</v>
      </c>
      <c r="AH499">
        <v>75</v>
      </c>
      <c r="AI499">
        <v>3.57</v>
      </c>
    </row>
    <row r="500" spans="1:35" x14ac:dyDescent="0.5">
      <c r="A500" s="35">
        <v>2016</v>
      </c>
      <c r="B500" t="s">
        <v>144</v>
      </c>
      <c r="C500" t="s">
        <v>149</v>
      </c>
      <c r="D500">
        <v>645</v>
      </c>
      <c r="E500">
        <v>162</v>
      </c>
      <c r="F500">
        <v>0</v>
      </c>
      <c r="G500">
        <v>10</v>
      </c>
      <c r="H500">
        <v>162</v>
      </c>
      <c r="I500">
        <v>48</v>
      </c>
      <c r="J500">
        <v>1428.1</v>
      </c>
      <c r="K500">
        <v>1358</v>
      </c>
      <c r="L500">
        <v>702</v>
      </c>
      <c r="M500" s="58">
        <f t="shared" si="28"/>
        <v>2016</v>
      </c>
      <c r="N500" s="58" t="s">
        <v>74</v>
      </c>
      <c r="O500" s="58" t="str">
        <f t="shared" si="31"/>
        <v>2016 New York Yankees</v>
      </c>
      <c r="P500" s="58">
        <v>6023</v>
      </c>
      <c r="Q500" s="58">
        <f t="shared" si="29"/>
        <v>843</v>
      </c>
      <c r="R500" s="58">
        <v>279</v>
      </c>
      <c r="S500" s="58">
        <v>22</v>
      </c>
      <c r="T500" s="58">
        <v>214</v>
      </c>
      <c r="U500" s="58">
        <v>444</v>
      </c>
      <c r="V500" s="58">
        <v>57</v>
      </c>
      <c r="W500" s="58">
        <f t="shared" si="30"/>
        <v>4164</v>
      </c>
      <c r="X500">
        <v>660</v>
      </c>
      <c r="Y500">
        <v>15</v>
      </c>
      <c r="Z500">
        <v>1393</v>
      </c>
      <c r="AA500">
        <v>21</v>
      </c>
      <c r="AB500">
        <v>22</v>
      </c>
      <c r="AC500">
        <v>52</v>
      </c>
      <c r="AD500">
        <v>2</v>
      </c>
      <c r="AE500">
        <v>100</v>
      </c>
      <c r="AF500">
        <v>56</v>
      </c>
      <c r="AG500">
        <v>84</v>
      </c>
      <c r="AH500">
        <v>78</v>
      </c>
      <c r="AI500">
        <v>4.16</v>
      </c>
    </row>
    <row r="501" spans="1:35" x14ac:dyDescent="0.5">
      <c r="A501" s="35">
        <v>2016</v>
      </c>
      <c r="B501" t="s">
        <v>79</v>
      </c>
      <c r="C501" t="s">
        <v>149</v>
      </c>
      <c r="D501">
        <v>654</v>
      </c>
      <c r="E501">
        <v>162</v>
      </c>
      <c r="F501">
        <v>2</v>
      </c>
      <c r="G501">
        <v>7</v>
      </c>
      <c r="H501">
        <v>160</v>
      </c>
      <c r="I501">
        <v>42</v>
      </c>
      <c r="J501">
        <v>1433.1</v>
      </c>
      <c r="K501">
        <v>1459</v>
      </c>
      <c r="L501">
        <v>761</v>
      </c>
      <c r="M501" s="58">
        <f t="shared" si="28"/>
        <v>2016</v>
      </c>
      <c r="N501" s="58" t="s">
        <v>78</v>
      </c>
      <c r="O501" s="58" t="str">
        <f t="shared" si="31"/>
        <v>2016 Oakland Athletics</v>
      </c>
      <c r="P501" s="58">
        <v>6144</v>
      </c>
      <c r="Q501" s="58">
        <f t="shared" si="29"/>
        <v>971</v>
      </c>
      <c r="R501" s="58">
        <v>277</v>
      </c>
      <c r="S501" s="58">
        <v>26</v>
      </c>
      <c r="T501" s="58">
        <v>185</v>
      </c>
      <c r="U501" s="58">
        <v>464</v>
      </c>
      <c r="V501" s="58">
        <v>50</v>
      </c>
      <c r="W501" s="58">
        <f t="shared" si="30"/>
        <v>4171</v>
      </c>
      <c r="X501">
        <v>718</v>
      </c>
      <c r="Y501">
        <v>28</v>
      </c>
      <c r="Z501">
        <v>1188</v>
      </c>
      <c r="AA501">
        <v>21</v>
      </c>
      <c r="AB501">
        <v>49</v>
      </c>
      <c r="AC501">
        <v>70</v>
      </c>
      <c r="AD501">
        <v>3</v>
      </c>
      <c r="AE501">
        <v>125</v>
      </c>
      <c r="AF501">
        <v>72</v>
      </c>
      <c r="AG501">
        <v>69</v>
      </c>
      <c r="AH501">
        <v>93</v>
      </c>
      <c r="AI501">
        <v>4.51</v>
      </c>
    </row>
    <row r="502" spans="1:35" x14ac:dyDescent="0.5">
      <c r="A502" s="35">
        <v>2016</v>
      </c>
      <c r="B502" t="s">
        <v>81</v>
      </c>
      <c r="C502" t="s">
        <v>38</v>
      </c>
      <c r="D502">
        <v>667</v>
      </c>
      <c r="E502">
        <v>162</v>
      </c>
      <c r="F502">
        <v>4</v>
      </c>
      <c r="G502">
        <v>12</v>
      </c>
      <c r="H502">
        <v>158</v>
      </c>
      <c r="I502">
        <v>43</v>
      </c>
      <c r="J502">
        <v>1437</v>
      </c>
      <c r="K502">
        <v>1468</v>
      </c>
      <c r="L502">
        <v>796</v>
      </c>
      <c r="M502" s="58">
        <f t="shared" si="28"/>
        <v>2016</v>
      </c>
      <c r="N502" s="58" t="s">
        <v>80</v>
      </c>
      <c r="O502" s="58" t="str">
        <f t="shared" si="31"/>
        <v>2016 Philadelphia Phillies</v>
      </c>
      <c r="P502" s="58">
        <v>6164</v>
      </c>
      <c r="Q502" s="58">
        <f t="shared" si="29"/>
        <v>914</v>
      </c>
      <c r="R502" s="58">
        <v>308</v>
      </c>
      <c r="S502" s="58">
        <v>33</v>
      </c>
      <c r="T502" s="58">
        <v>213</v>
      </c>
      <c r="U502" s="58">
        <v>466</v>
      </c>
      <c r="V502" s="58">
        <v>51</v>
      </c>
      <c r="W502" s="58">
        <f t="shared" si="30"/>
        <v>4179</v>
      </c>
      <c r="X502">
        <v>739</v>
      </c>
      <c r="Y502">
        <v>30</v>
      </c>
      <c r="Z502">
        <v>1299</v>
      </c>
      <c r="AA502">
        <v>49</v>
      </c>
      <c r="AB502">
        <v>55</v>
      </c>
      <c r="AC502">
        <v>57</v>
      </c>
      <c r="AD502">
        <v>9</v>
      </c>
      <c r="AE502">
        <v>120</v>
      </c>
      <c r="AF502">
        <v>68</v>
      </c>
      <c r="AG502">
        <v>71</v>
      </c>
      <c r="AH502">
        <v>91</v>
      </c>
      <c r="AI502">
        <v>4.63</v>
      </c>
    </row>
    <row r="503" spans="1:35" x14ac:dyDescent="0.5">
      <c r="A503" s="35">
        <v>2016</v>
      </c>
      <c r="B503" t="s">
        <v>83</v>
      </c>
      <c r="C503" t="s">
        <v>38</v>
      </c>
      <c r="D503">
        <v>687</v>
      </c>
      <c r="E503">
        <v>162</v>
      </c>
      <c r="F503">
        <v>5</v>
      </c>
      <c r="G503">
        <v>5</v>
      </c>
      <c r="H503">
        <v>157</v>
      </c>
      <c r="I503">
        <v>51</v>
      </c>
      <c r="J503">
        <v>1450.2</v>
      </c>
      <c r="K503">
        <v>1490</v>
      </c>
      <c r="L503">
        <v>758</v>
      </c>
      <c r="M503" s="58">
        <f t="shared" si="28"/>
        <v>2016</v>
      </c>
      <c r="N503" s="58" t="s">
        <v>82</v>
      </c>
      <c r="O503" s="58" t="str">
        <f t="shared" si="31"/>
        <v>2016 Pittsburgh Pirates</v>
      </c>
      <c r="P503" s="58">
        <v>6292</v>
      </c>
      <c r="Q503" s="58">
        <f t="shared" si="29"/>
        <v>948</v>
      </c>
      <c r="R503" s="58">
        <v>322</v>
      </c>
      <c r="S503" s="58">
        <v>40</v>
      </c>
      <c r="T503" s="58">
        <v>180</v>
      </c>
      <c r="U503" s="58">
        <v>533</v>
      </c>
      <c r="V503" s="58">
        <v>68</v>
      </c>
      <c r="W503" s="58">
        <f t="shared" si="30"/>
        <v>4201</v>
      </c>
      <c r="X503">
        <v>679</v>
      </c>
      <c r="Y503">
        <v>28</v>
      </c>
      <c r="Z503">
        <v>1232</v>
      </c>
      <c r="AA503">
        <v>64</v>
      </c>
      <c r="AB503">
        <v>46</v>
      </c>
      <c r="AC503">
        <v>71</v>
      </c>
      <c r="AD503">
        <v>7</v>
      </c>
      <c r="AE503">
        <v>150</v>
      </c>
      <c r="AF503">
        <v>84</v>
      </c>
      <c r="AG503">
        <v>78</v>
      </c>
      <c r="AH503">
        <v>83</v>
      </c>
      <c r="AI503">
        <v>4.21</v>
      </c>
    </row>
    <row r="504" spans="1:35" x14ac:dyDescent="0.5">
      <c r="A504" s="35">
        <v>2016</v>
      </c>
      <c r="B504" t="s">
        <v>147</v>
      </c>
      <c r="C504" t="s">
        <v>38</v>
      </c>
      <c r="D504">
        <v>672</v>
      </c>
      <c r="E504">
        <v>162</v>
      </c>
      <c r="F504">
        <v>1</v>
      </c>
      <c r="G504">
        <v>9</v>
      </c>
      <c r="H504">
        <v>161</v>
      </c>
      <c r="I504">
        <v>35</v>
      </c>
      <c r="J504">
        <v>1440</v>
      </c>
      <c r="K504">
        <v>1425</v>
      </c>
      <c r="L504">
        <v>770</v>
      </c>
      <c r="M504" s="58">
        <f t="shared" si="28"/>
        <v>2016</v>
      </c>
      <c r="N504" s="58" t="s">
        <v>84</v>
      </c>
      <c r="O504" s="58" t="str">
        <f t="shared" si="31"/>
        <v>2016 San Diego Padres</v>
      </c>
      <c r="P504" s="58">
        <v>6228</v>
      </c>
      <c r="Q504" s="58">
        <f t="shared" si="29"/>
        <v>923</v>
      </c>
      <c r="R504" s="58">
        <v>275</v>
      </c>
      <c r="S504" s="58">
        <v>44</v>
      </c>
      <c r="T504" s="58">
        <v>183</v>
      </c>
      <c r="U504" s="58">
        <v>569</v>
      </c>
      <c r="V504" s="58">
        <v>53</v>
      </c>
      <c r="W504" s="58">
        <f t="shared" si="30"/>
        <v>4181</v>
      </c>
      <c r="X504">
        <v>708</v>
      </c>
      <c r="Y504">
        <v>44</v>
      </c>
      <c r="Z504">
        <v>1222</v>
      </c>
      <c r="AA504">
        <v>27</v>
      </c>
      <c r="AB504">
        <v>42</v>
      </c>
      <c r="AC504">
        <v>67</v>
      </c>
      <c r="AD504">
        <v>3</v>
      </c>
      <c r="AE504">
        <v>147</v>
      </c>
      <c r="AF504">
        <v>79</v>
      </c>
      <c r="AG504">
        <v>68</v>
      </c>
      <c r="AH504">
        <v>94</v>
      </c>
      <c r="AI504">
        <v>4.43</v>
      </c>
    </row>
    <row r="505" spans="1:35" x14ac:dyDescent="0.5">
      <c r="A505" s="35">
        <v>2016</v>
      </c>
      <c r="B505" t="s">
        <v>87</v>
      </c>
      <c r="C505" t="s">
        <v>149</v>
      </c>
      <c r="D505">
        <v>638</v>
      </c>
      <c r="E505">
        <v>162</v>
      </c>
      <c r="F505">
        <v>2</v>
      </c>
      <c r="G505">
        <v>8</v>
      </c>
      <c r="H505">
        <v>160</v>
      </c>
      <c r="I505">
        <v>49</v>
      </c>
      <c r="J505">
        <v>1457</v>
      </c>
      <c r="K505">
        <v>1410</v>
      </c>
      <c r="L505">
        <v>707</v>
      </c>
      <c r="M505" s="58">
        <f t="shared" si="28"/>
        <v>2016</v>
      </c>
      <c r="N505" s="58" t="s">
        <v>86</v>
      </c>
      <c r="O505" s="58" t="str">
        <f t="shared" si="31"/>
        <v>2016 Seattle Mariners</v>
      </c>
      <c r="P505" s="58">
        <v>6147</v>
      </c>
      <c r="Q505" s="58">
        <f t="shared" si="29"/>
        <v>901</v>
      </c>
      <c r="R505" s="58">
        <v>273</v>
      </c>
      <c r="S505" s="58">
        <v>23</v>
      </c>
      <c r="T505" s="58">
        <v>213</v>
      </c>
      <c r="U505" s="58">
        <v>460</v>
      </c>
      <c r="V505" s="58">
        <v>55</v>
      </c>
      <c r="W505" s="58">
        <f t="shared" si="30"/>
        <v>4222</v>
      </c>
      <c r="X505">
        <v>647</v>
      </c>
      <c r="Y505">
        <v>30</v>
      </c>
      <c r="Z505">
        <v>1318</v>
      </c>
      <c r="AA505">
        <v>23</v>
      </c>
      <c r="AB505">
        <v>36</v>
      </c>
      <c r="AC505">
        <v>52</v>
      </c>
      <c r="AD505">
        <v>7</v>
      </c>
      <c r="AE505">
        <v>135</v>
      </c>
      <c r="AF505">
        <v>67</v>
      </c>
      <c r="AG505">
        <v>86</v>
      </c>
      <c r="AH505">
        <v>76</v>
      </c>
      <c r="AI505">
        <v>4</v>
      </c>
    </row>
    <row r="506" spans="1:35" x14ac:dyDescent="0.5">
      <c r="A506" s="35">
        <v>2016</v>
      </c>
      <c r="B506" t="s">
        <v>21</v>
      </c>
      <c r="C506" t="s">
        <v>38</v>
      </c>
      <c r="D506">
        <v>737</v>
      </c>
      <c r="E506">
        <v>162</v>
      </c>
      <c r="F506">
        <v>10</v>
      </c>
      <c r="G506">
        <v>11</v>
      </c>
      <c r="H506">
        <v>152</v>
      </c>
      <c r="I506">
        <v>43</v>
      </c>
      <c r="J506">
        <v>1460.1</v>
      </c>
      <c r="K506">
        <v>1334</v>
      </c>
      <c r="L506">
        <v>631</v>
      </c>
      <c r="M506" s="58">
        <f t="shared" si="28"/>
        <v>2016</v>
      </c>
      <c r="N506" s="58" t="s">
        <v>88</v>
      </c>
      <c r="O506" s="58" t="str">
        <f t="shared" si="31"/>
        <v>2016 San Francisco Giants</v>
      </c>
      <c r="P506" s="58">
        <v>6049</v>
      </c>
      <c r="Q506" s="58">
        <f t="shared" si="29"/>
        <v>872</v>
      </c>
      <c r="R506" s="58">
        <v>262</v>
      </c>
      <c r="S506" s="58">
        <v>42</v>
      </c>
      <c r="T506" s="58">
        <v>158</v>
      </c>
      <c r="U506" s="58">
        <v>439</v>
      </c>
      <c r="V506" s="58">
        <v>46</v>
      </c>
      <c r="W506" s="58">
        <f t="shared" si="30"/>
        <v>4230</v>
      </c>
      <c r="X506">
        <v>593</v>
      </c>
      <c r="Y506">
        <v>30</v>
      </c>
      <c r="Z506">
        <v>1309</v>
      </c>
      <c r="AA506">
        <v>41</v>
      </c>
      <c r="AB506">
        <v>34</v>
      </c>
      <c r="AC506">
        <v>40</v>
      </c>
      <c r="AD506">
        <v>6</v>
      </c>
      <c r="AE506">
        <v>120</v>
      </c>
      <c r="AF506">
        <v>51</v>
      </c>
      <c r="AG506">
        <v>87</v>
      </c>
      <c r="AH506">
        <v>75</v>
      </c>
      <c r="AI506">
        <v>3.65</v>
      </c>
    </row>
    <row r="507" spans="1:35" x14ac:dyDescent="0.5">
      <c r="A507" s="35">
        <v>2016</v>
      </c>
      <c r="B507" t="s">
        <v>142</v>
      </c>
      <c r="C507" t="s">
        <v>38</v>
      </c>
      <c r="D507">
        <v>643</v>
      </c>
      <c r="E507">
        <v>162</v>
      </c>
      <c r="F507">
        <v>2</v>
      </c>
      <c r="G507">
        <v>10</v>
      </c>
      <c r="H507">
        <v>160</v>
      </c>
      <c r="I507">
        <v>38</v>
      </c>
      <c r="J507">
        <v>1448.1</v>
      </c>
      <c r="K507">
        <v>1432</v>
      </c>
      <c r="L507">
        <v>712</v>
      </c>
      <c r="M507" s="58">
        <f t="shared" si="28"/>
        <v>2016</v>
      </c>
      <c r="N507" s="58" t="s">
        <v>90</v>
      </c>
      <c r="O507" s="58" t="str">
        <f t="shared" si="31"/>
        <v>2016 St. Louis Cardinals</v>
      </c>
      <c r="P507" s="58">
        <v>6164</v>
      </c>
      <c r="Q507" s="58">
        <f t="shared" si="29"/>
        <v>973</v>
      </c>
      <c r="R507" s="58">
        <v>278</v>
      </c>
      <c r="S507" s="58">
        <v>22</v>
      </c>
      <c r="T507" s="58">
        <v>159</v>
      </c>
      <c r="U507" s="58">
        <v>475</v>
      </c>
      <c r="V507" s="58">
        <v>52</v>
      </c>
      <c r="W507" s="58">
        <f t="shared" si="30"/>
        <v>4205</v>
      </c>
      <c r="X507">
        <v>656</v>
      </c>
      <c r="Y507">
        <v>35</v>
      </c>
      <c r="Z507">
        <v>1290</v>
      </c>
      <c r="AA507">
        <v>38</v>
      </c>
      <c r="AB507">
        <v>46</v>
      </c>
      <c r="AC507">
        <v>50</v>
      </c>
      <c r="AD507">
        <v>1</v>
      </c>
      <c r="AE507">
        <v>149</v>
      </c>
      <c r="AF507">
        <v>75</v>
      </c>
      <c r="AG507">
        <v>86</v>
      </c>
      <c r="AH507">
        <v>76</v>
      </c>
      <c r="AI507">
        <v>4.08</v>
      </c>
    </row>
    <row r="508" spans="1:35" x14ac:dyDescent="0.5">
      <c r="A508" s="35">
        <v>2016</v>
      </c>
      <c r="B508" t="s">
        <v>151</v>
      </c>
      <c r="C508" t="s">
        <v>149</v>
      </c>
      <c r="D508">
        <v>647</v>
      </c>
      <c r="E508">
        <v>162</v>
      </c>
      <c r="F508">
        <v>1</v>
      </c>
      <c r="G508">
        <v>8</v>
      </c>
      <c r="H508">
        <v>161</v>
      </c>
      <c r="I508">
        <v>42</v>
      </c>
      <c r="J508">
        <v>1426.1</v>
      </c>
      <c r="K508">
        <v>1395</v>
      </c>
      <c r="L508">
        <v>713</v>
      </c>
      <c r="M508" s="58">
        <f t="shared" si="28"/>
        <v>2016</v>
      </c>
      <c r="N508" s="58" t="s">
        <v>92</v>
      </c>
      <c r="O508" s="58" t="str">
        <f t="shared" si="31"/>
        <v>2016 Tampa Bay Devil Rays</v>
      </c>
      <c r="P508" s="58">
        <v>6076</v>
      </c>
      <c r="Q508" s="58">
        <f t="shared" si="29"/>
        <v>943</v>
      </c>
      <c r="R508" s="58">
        <v>233</v>
      </c>
      <c r="S508" s="58">
        <v>9</v>
      </c>
      <c r="T508" s="58">
        <v>210</v>
      </c>
      <c r="U508" s="58">
        <v>491</v>
      </c>
      <c r="V508" s="58">
        <v>32</v>
      </c>
      <c r="W508" s="58">
        <f t="shared" si="30"/>
        <v>4158</v>
      </c>
      <c r="X508">
        <v>665</v>
      </c>
      <c r="Y508">
        <v>25</v>
      </c>
      <c r="Z508">
        <v>1357</v>
      </c>
      <c r="AA508">
        <v>33</v>
      </c>
      <c r="AB508">
        <v>47</v>
      </c>
      <c r="AC508">
        <v>61</v>
      </c>
      <c r="AD508">
        <v>7</v>
      </c>
      <c r="AE508">
        <v>109</v>
      </c>
      <c r="AF508">
        <v>61</v>
      </c>
      <c r="AG508">
        <v>68</v>
      </c>
      <c r="AH508">
        <v>94</v>
      </c>
      <c r="AI508">
        <v>4.2</v>
      </c>
    </row>
    <row r="509" spans="1:35" x14ac:dyDescent="0.5">
      <c r="A509" s="35">
        <v>2016</v>
      </c>
      <c r="B509" t="s">
        <v>95</v>
      </c>
      <c r="C509" t="s">
        <v>149</v>
      </c>
      <c r="D509">
        <v>641</v>
      </c>
      <c r="E509">
        <v>162</v>
      </c>
      <c r="F509">
        <v>1</v>
      </c>
      <c r="G509">
        <v>6</v>
      </c>
      <c r="H509">
        <v>161</v>
      </c>
      <c r="I509">
        <v>56</v>
      </c>
      <c r="J509">
        <v>1443</v>
      </c>
      <c r="K509">
        <v>1441</v>
      </c>
      <c r="L509">
        <v>757</v>
      </c>
      <c r="M509" s="58">
        <f t="shared" si="28"/>
        <v>2016</v>
      </c>
      <c r="N509" s="58" t="s">
        <v>94</v>
      </c>
      <c r="O509" s="58" t="str">
        <f t="shared" si="31"/>
        <v>2016 Texas Rangers</v>
      </c>
      <c r="P509" s="58">
        <v>6186</v>
      </c>
      <c r="Q509" s="58">
        <f t="shared" si="29"/>
        <v>958</v>
      </c>
      <c r="R509" s="58">
        <v>260</v>
      </c>
      <c r="S509" s="58">
        <v>22</v>
      </c>
      <c r="T509" s="58">
        <v>201</v>
      </c>
      <c r="U509" s="58">
        <v>534</v>
      </c>
      <c r="V509" s="58">
        <v>53</v>
      </c>
      <c r="W509" s="58">
        <f t="shared" si="30"/>
        <v>4158</v>
      </c>
      <c r="X509">
        <v>700</v>
      </c>
      <c r="Y509">
        <v>16</v>
      </c>
      <c r="Z509">
        <v>1154</v>
      </c>
      <c r="AA509">
        <v>19</v>
      </c>
      <c r="AB509">
        <v>43</v>
      </c>
      <c r="AC509">
        <v>45</v>
      </c>
      <c r="AD509">
        <v>5</v>
      </c>
      <c r="AE509">
        <v>168</v>
      </c>
      <c r="AF509">
        <v>73</v>
      </c>
      <c r="AG509">
        <v>95</v>
      </c>
      <c r="AH509">
        <v>67</v>
      </c>
      <c r="AI509">
        <v>4.37</v>
      </c>
    </row>
    <row r="510" spans="1:35" x14ac:dyDescent="0.5">
      <c r="A510" s="35">
        <v>2016</v>
      </c>
      <c r="B510" t="s">
        <v>97</v>
      </c>
      <c r="C510" t="s">
        <v>149</v>
      </c>
      <c r="D510">
        <v>649</v>
      </c>
      <c r="E510">
        <v>162</v>
      </c>
      <c r="F510">
        <v>0</v>
      </c>
      <c r="G510">
        <v>10</v>
      </c>
      <c r="H510">
        <v>162</v>
      </c>
      <c r="I510">
        <v>43</v>
      </c>
      <c r="J510">
        <v>1459.1</v>
      </c>
      <c r="K510">
        <v>1340</v>
      </c>
      <c r="L510">
        <v>666</v>
      </c>
      <c r="M510" s="58">
        <f t="shared" si="28"/>
        <v>2016</v>
      </c>
      <c r="N510" s="58" t="s">
        <v>96</v>
      </c>
      <c r="O510" s="58" t="str">
        <f t="shared" si="31"/>
        <v>2016 Toronto Blue Jays</v>
      </c>
      <c r="P510" s="58">
        <v>6113</v>
      </c>
      <c r="Q510" s="58">
        <f t="shared" si="29"/>
        <v>864</v>
      </c>
      <c r="R510" s="58">
        <v>269</v>
      </c>
      <c r="S510" s="58">
        <v>24</v>
      </c>
      <c r="T510" s="58">
        <v>183</v>
      </c>
      <c r="U510" s="58">
        <v>461</v>
      </c>
      <c r="V510" s="58">
        <v>59</v>
      </c>
      <c r="W510" s="58">
        <f t="shared" si="30"/>
        <v>4253</v>
      </c>
      <c r="X510">
        <v>613</v>
      </c>
      <c r="Y510">
        <v>10</v>
      </c>
      <c r="Z510">
        <v>1314</v>
      </c>
      <c r="AA510">
        <v>13</v>
      </c>
      <c r="AB510">
        <v>33</v>
      </c>
      <c r="AC510">
        <v>50</v>
      </c>
      <c r="AD510">
        <v>7</v>
      </c>
      <c r="AE510">
        <v>127</v>
      </c>
      <c r="AF510">
        <v>63</v>
      </c>
      <c r="AG510">
        <v>89</v>
      </c>
      <c r="AH510">
        <v>73</v>
      </c>
      <c r="AI510">
        <v>3.78</v>
      </c>
    </row>
    <row r="511" spans="1:35" x14ac:dyDescent="0.5">
      <c r="A511" s="35">
        <v>2016</v>
      </c>
      <c r="B511" t="s">
        <v>101</v>
      </c>
      <c r="C511" t="s">
        <v>38</v>
      </c>
      <c r="D511">
        <v>670</v>
      </c>
      <c r="E511">
        <v>162</v>
      </c>
      <c r="F511">
        <v>1</v>
      </c>
      <c r="G511">
        <v>12</v>
      </c>
      <c r="H511">
        <v>161</v>
      </c>
      <c r="I511">
        <v>46</v>
      </c>
      <c r="J511">
        <v>1459.2</v>
      </c>
      <c r="K511">
        <v>1272</v>
      </c>
      <c r="L511">
        <v>612</v>
      </c>
      <c r="M511" s="58">
        <f t="shared" si="28"/>
        <v>2016</v>
      </c>
      <c r="N511" s="58" t="s">
        <v>100</v>
      </c>
      <c r="O511" s="58" t="str">
        <f t="shared" si="31"/>
        <v>2016 Washington Nationals</v>
      </c>
      <c r="P511" s="58">
        <v>6036</v>
      </c>
      <c r="Q511" s="58">
        <f t="shared" si="29"/>
        <v>838</v>
      </c>
      <c r="R511" s="58">
        <v>252</v>
      </c>
      <c r="S511" s="58">
        <v>27</v>
      </c>
      <c r="T511" s="58">
        <v>155</v>
      </c>
      <c r="U511" s="58">
        <v>468</v>
      </c>
      <c r="V511" s="58">
        <v>57</v>
      </c>
      <c r="W511" s="58">
        <f t="shared" si="30"/>
        <v>4239</v>
      </c>
      <c r="X511">
        <v>570</v>
      </c>
      <c r="Y511">
        <v>43</v>
      </c>
      <c r="Z511">
        <v>1476</v>
      </c>
      <c r="AA511">
        <v>52</v>
      </c>
      <c r="AB511">
        <v>28</v>
      </c>
      <c r="AC511">
        <v>47</v>
      </c>
      <c r="AD511">
        <v>4</v>
      </c>
      <c r="AE511">
        <v>124</v>
      </c>
      <c r="AF511">
        <v>50</v>
      </c>
      <c r="AG511">
        <v>95</v>
      </c>
      <c r="AH511">
        <v>67</v>
      </c>
      <c r="AI511">
        <v>3.51</v>
      </c>
    </row>
    <row r="512" spans="1:35" x14ac:dyDescent="0.5">
      <c r="A512" s="35">
        <v>2017</v>
      </c>
      <c r="B512" t="s">
        <v>37</v>
      </c>
      <c r="C512" t="s">
        <v>149</v>
      </c>
      <c r="D512">
        <v>705</v>
      </c>
      <c r="E512">
        <v>162</v>
      </c>
      <c r="F512">
        <v>1</v>
      </c>
      <c r="G512">
        <v>10</v>
      </c>
      <c r="H512">
        <v>161</v>
      </c>
      <c r="I512">
        <v>43</v>
      </c>
      <c r="J512">
        <v>1440.2</v>
      </c>
      <c r="K512">
        <v>1373</v>
      </c>
      <c r="L512">
        <v>709</v>
      </c>
      <c r="M512" s="58">
        <f t="shared" si="28"/>
        <v>2017</v>
      </c>
      <c r="N512" s="58" t="s">
        <v>36</v>
      </c>
      <c r="O512" s="58" t="str">
        <f t="shared" si="31"/>
        <v>2017 Anaheim Angels</v>
      </c>
      <c r="P512" s="58">
        <v>6030</v>
      </c>
      <c r="Q512" s="58">
        <f t="shared" si="29"/>
        <v>867</v>
      </c>
      <c r="R512" s="58">
        <v>265</v>
      </c>
      <c r="S512" s="58">
        <v>17</v>
      </c>
      <c r="T512" s="58">
        <v>224</v>
      </c>
      <c r="U512" s="58">
        <v>470</v>
      </c>
      <c r="V512" s="58">
        <v>44</v>
      </c>
      <c r="W512" s="58">
        <f t="shared" si="30"/>
        <v>4143</v>
      </c>
      <c r="X512">
        <v>672</v>
      </c>
      <c r="Y512">
        <v>25</v>
      </c>
      <c r="Z512">
        <v>1312</v>
      </c>
      <c r="AA512">
        <v>24</v>
      </c>
      <c r="AB512">
        <v>30</v>
      </c>
      <c r="AC512">
        <v>57</v>
      </c>
      <c r="AD512">
        <v>6</v>
      </c>
      <c r="AE512">
        <v>114</v>
      </c>
      <c r="AF512">
        <v>46</v>
      </c>
      <c r="AG512">
        <v>80</v>
      </c>
      <c r="AH512">
        <v>82</v>
      </c>
      <c r="AI512">
        <v>4.2</v>
      </c>
    </row>
    <row r="513" spans="1:35" x14ac:dyDescent="0.5">
      <c r="A513" s="35">
        <v>2017</v>
      </c>
      <c r="B513" t="s">
        <v>40</v>
      </c>
      <c r="C513" t="s">
        <v>38</v>
      </c>
      <c r="D513">
        <v>675</v>
      </c>
      <c r="E513">
        <v>162</v>
      </c>
      <c r="F513">
        <v>2</v>
      </c>
      <c r="G513">
        <v>11</v>
      </c>
      <c r="H513">
        <v>160</v>
      </c>
      <c r="I513">
        <v>43</v>
      </c>
      <c r="J513">
        <v>1441</v>
      </c>
      <c r="K513">
        <v>1309</v>
      </c>
      <c r="L513">
        <v>659</v>
      </c>
      <c r="M513" s="58">
        <f t="shared" si="28"/>
        <v>2017</v>
      </c>
      <c r="N513" s="58" t="s">
        <v>39</v>
      </c>
      <c r="O513" s="58" t="str">
        <f t="shared" si="31"/>
        <v>2017 Arizona Diamondbacks</v>
      </c>
      <c r="P513" s="58">
        <v>6072</v>
      </c>
      <c r="Q513" s="58">
        <f t="shared" si="29"/>
        <v>828</v>
      </c>
      <c r="R513" s="58">
        <v>276</v>
      </c>
      <c r="S513" s="58">
        <v>34</v>
      </c>
      <c r="T513" s="58">
        <v>171</v>
      </c>
      <c r="U513" s="58">
        <v>516</v>
      </c>
      <c r="V513" s="58">
        <v>38</v>
      </c>
      <c r="W513" s="58">
        <f t="shared" si="30"/>
        <v>4209</v>
      </c>
      <c r="X513">
        <v>586</v>
      </c>
      <c r="Y513">
        <v>45</v>
      </c>
      <c r="Z513">
        <v>1482</v>
      </c>
      <c r="AA513">
        <v>36</v>
      </c>
      <c r="AB513">
        <v>37</v>
      </c>
      <c r="AC513">
        <v>82</v>
      </c>
      <c r="AD513">
        <v>5</v>
      </c>
      <c r="AE513">
        <v>125</v>
      </c>
      <c r="AF513">
        <v>78</v>
      </c>
      <c r="AG513">
        <v>93</v>
      </c>
      <c r="AH513">
        <v>69</v>
      </c>
      <c r="AI513">
        <v>3.66</v>
      </c>
    </row>
    <row r="514" spans="1:35" x14ac:dyDescent="0.5">
      <c r="A514" s="35">
        <v>2017</v>
      </c>
      <c r="B514" t="s">
        <v>42</v>
      </c>
      <c r="C514" t="s">
        <v>38</v>
      </c>
      <c r="D514">
        <v>692</v>
      </c>
      <c r="E514">
        <v>162</v>
      </c>
      <c r="F514">
        <v>0</v>
      </c>
      <c r="G514">
        <v>6</v>
      </c>
      <c r="H514">
        <v>162</v>
      </c>
      <c r="I514">
        <v>36</v>
      </c>
      <c r="J514">
        <v>1441.1</v>
      </c>
      <c r="K514">
        <v>1463</v>
      </c>
      <c r="L514">
        <v>821</v>
      </c>
      <c r="M514" s="58">
        <f t="shared" ref="M514:M571" si="32">A514</f>
        <v>2017</v>
      </c>
      <c r="N514" s="58" t="s">
        <v>41</v>
      </c>
      <c r="O514" s="58" t="str">
        <f t="shared" si="31"/>
        <v>2017 Atlanta Braves</v>
      </c>
      <c r="P514" s="58">
        <v>6306</v>
      </c>
      <c r="Q514" s="58">
        <f t="shared" ref="Q514:Q571" si="33">K514-(R514+S514+T514)</f>
        <v>909</v>
      </c>
      <c r="R514" s="58">
        <v>326</v>
      </c>
      <c r="S514" s="58">
        <v>36</v>
      </c>
      <c r="T514" s="58">
        <v>192</v>
      </c>
      <c r="U514" s="58">
        <v>584</v>
      </c>
      <c r="V514" s="58">
        <v>70</v>
      </c>
      <c r="W514" s="58">
        <f t="shared" ref="W514:W571" si="34">P514-(K514+U514+V514)</f>
        <v>4189</v>
      </c>
      <c r="X514">
        <v>756</v>
      </c>
      <c r="Y514">
        <v>39</v>
      </c>
      <c r="Z514">
        <v>1258</v>
      </c>
      <c r="AA514">
        <v>53</v>
      </c>
      <c r="AB514">
        <v>36</v>
      </c>
      <c r="AC514">
        <v>58</v>
      </c>
      <c r="AD514">
        <v>5</v>
      </c>
      <c r="AE514">
        <v>118</v>
      </c>
      <c r="AF514">
        <v>58</v>
      </c>
      <c r="AG514">
        <v>72</v>
      </c>
      <c r="AH514">
        <v>90</v>
      </c>
      <c r="AI514">
        <v>4.72</v>
      </c>
    </row>
    <row r="515" spans="1:35" x14ac:dyDescent="0.5">
      <c r="A515" s="35">
        <v>2017</v>
      </c>
      <c r="B515" t="s">
        <v>45</v>
      </c>
      <c r="C515" t="s">
        <v>149</v>
      </c>
      <c r="D515">
        <v>654</v>
      </c>
      <c r="E515">
        <v>162</v>
      </c>
      <c r="F515">
        <v>1</v>
      </c>
      <c r="G515">
        <v>10</v>
      </c>
      <c r="H515">
        <v>161</v>
      </c>
      <c r="I515">
        <v>35</v>
      </c>
      <c r="J515">
        <v>1441</v>
      </c>
      <c r="K515">
        <v>1505</v>
      </c>
      <c r="L515">
        <v>841</v>
      </c>
      <c r="M515" s="58">
        <f t="shared" si="32"/>
        <v>2017</v>
      </c>
      <c r="N515" s="58" t="s">
        <v>44</v>
      </c>
      <c r="O515" s="58" t="str">
        <f t="shared" ref="O515:O571" si="35">M515&amp;" "&amp;N515</f>
        <v>2017 Baltimore Orioles</v>
      </c>
      <c r="P515" s="58">
        <v>6293</v>
      </c>
      <c r="Q515" s="58">
        <f t="shared" si="33"/>
        <v>953</v>
      </c>
      <c r="R515" s="58">
        <v>293</v>
      </c>
      <c r="S515" s="58">
        <v>17</v>
      </c>
      <c r="T515" s="58">
        <v>242</v>
      </c>
      <c r="U515" s="58">
        <v>579</v>
      </c>
      <c r="V515" s="58">
        <v>60</v>
      </c>
      <c r="W515" s="58">
        <f t="shared" si="34"/>
        <v>4149</v>
      </c>
      <c r="X515">
        <v>795</v>
      </c>
      <c r="Y515">
        <v>21</v>
      </c>
      <c r="Z515">
        <v>1233</v>
      </c>
      <c r="AA515">
        <v>17</v>
      </c>
      <c r="AB515">
        <v>48</v>
      </c>
      <c r="AC515">
        <v>53</v>
      </c>
      <c r="AD515">
        <v>6</v>
      </c>
      <c r="AE515">
        <v>150</v>
      </c>
      <c r="AF515">
        <v>61</v>
      </c>
      <c r="AG515">
        <v>75</v>
      </c>
      <c r="AH515">
        <v>87</v>
      </c>
      <c r="AI515">
        <v>4.97</v>
      </c>
    </row>
    <row r="516" spans="1:35" x14ac:dyDescent="0.5">
      <c r="A516" s="35">
        <v>2017</v>
      </c>
      <c r="B516" t="s">
        <v>47</v>
      </c>
      <c r="C516" t="s">
        <v>149</v>
      </c>
      <c r="D516">
        <v>677</v>
      </c>
      <c r="E516">
        <v>162</v>
      </c>
      <c r="F516">
        <v>5</v>
      </c>
      <c r="G516">
        <v>11</v>
      </c>
      <c r="H516">
        <v>157</v>
      </c>
      <c r="I516">
        <v>39</v>
      </c>
      <c r="J516">
        <v>1482.1</v>
      </c>
      <c r="K516">
        <v>1384</v>
      </c>
      <c r="L516">
        <v>668</v>
      </c>
      <c r="M516" s="58">
        <f t="shared" si="32"/>
        <v>2017</v>
      </c>
      <c r="N516" s="58" t="s">
        <v>46</v>
      </c>
      <c r="O516" s="58" t="str">
        <f t="shared" si="35"/>
        <v>2017 Boston Red Sox</v>
      </c>
      <c r="P516" s="58">
        <v>6217</v>
      </c>
      <c r="Q516" s="58">
        <f t="shared" si="33"/>
        <v>888</v>
      </c>
      <c r="R516" s="58">
        <v>278</v>
      </c>
      <c r="S516" s="58">
        <v>23</v>
      </c>
      <c r="T516" s="58">
        <v>195</v>
      </c>
      <c r="U516" s="58">
        <v>465</v>
      </c>
      <c r="V516" s="58">
        <v>49</v>
      </c>
      <c r="W516" s="58">
        <f t="shared" si="34"/>
        <v>4319</v>
      </c>
      <c r="X516">
        <v>610</v>
      </c>
      <c r="Y516">
        <v>18</v>
      </c>
      <c r="Z516">
        <v>1580</v>
      </c>
      <c r="AA516">
        <v>16</v>
      </c>
      <c r="AB516">
        <v>40</v>
      </c>
      <c r="AC516">
        <v>43</v>
      </c>
      <c r="AD516">
        <v>3</v>
      </c>
      <c r="AE516">
        <v>116</v>
      </c>
      <c r="AF516">
        <v>64</v>
      </c>
      <c r="AG516">
        <v>93</v>
      </c>
      <c r="AH516">
        <v>69</v>
      </c>
      <c r="AI516">
        <v>3.7</v>
      </c>
    </row>
    <row r="517" spans="1:35" x14ac:dyDescent="0.5">
      <c r="A517" s="35">
        <v>2017</v>
      </c>
      <c r="B517" t="s">
        <v>143</v>
      </c>
      <c r="C517" t="s">
        <v>38</v>
      </c>
      <c r="D517">
        <v>693</v>
      </c>
      <c r="E517">
        <v>162</v>
      </c>
      <c r="F517">
        <v>2</v>
      </c>
      <c r="G517">
        <v>8</v>
      </c>
      <c r="H517">
        <v>160</v>
      </c>
      <c r="I517">
        <v>38</v>
      </c>
      <c r="J517">
        <v>1447.1</v>
      </c>
      <c r="K517">
        <v>1294</v>
      </c>
      <c r="L517">
        <v>695</v>
      </c>
      <c r="M517" s="58">
        <f t="shared" si="32"/>
        <v>2017</v>
      </c>
      <c r="N517" s="58" t="s">
        <v>50</v>
      </c>
      <c r="O517" s="58" t="str">
        <f t="shared" si="35"/>
        <v>2017 Chicago Cubs</v>
      </c>
      <c r="P517" s="58">
        <v>6108</v>
      </c>
      <c r="Q517" s="58">
        <f t="shared" si="33"/>
        <v>833</v>
      </c>
      <c r="R517" s="58">
        <v>250</v>
      </c>
      <c r="S517" s="58">
        <v>17</v>
      </c>
      <c r="T517" s="58">
        <v>194</v>
      </c>
      <c r="U517" s="58">
        <v>554</v>
      </c>
      <c r="V517" s="58">
        <v>66</v>
      </c>
      <c r="W517" s="58">
        <f t="shared" si="34"/>
        <v>4194</v>
      </c>
      <c r="X517">
        <v>636</v>
      </c>
      <c r="Y517">
        <v>29</v>
      </c>
      <c r="Z517">
        <v>1439</v>
      </c>
      <c r="AA517">
        <v>28</v>
      </c>
      <c r="AB517">
        <v>29</v>
      </c>
      <c r="AC517">
        <v>73</v>
      </c>
      <c r="AD517">
        <v>4</v>
      </c>
      <c r="AE517">
        <v>119</v>
      </c>
      <c r="AF517">
        <v>66</v>
      </c>
      <c r="AG517">
        <v>92</v>
      </c>
      <c r="AH517">
        <v>70</v>
      </c>
      <c r="AI517">
        <v>3.95</v>
      </c>
    </row>
    <row r="518" spans="1:35" x14ac:dyDescent="0.5">
      <c r="A518" s="35">
        <v>2017</v>
      </c>
      <c r="B518" t="s">
        <v>143</v>
      </c>
      <c r="C518" t="s">
        <v>149</v>
      </c>
      <c r="D518">
        <v>682</v>
      </c>
      <c r="E518">
        <v>162</v>
      </c>
      <c r="F518">
        <v>0</v>
      </c>
      <c r="G518">
        <v>3</v>
      </c>
      <c r="H518">
        <v>162</v>
      </c>
      <c r="I518">
        <v>25</v>
      </c>
      <c r="J518">
        <v>1421.2</v>
      </c>
      <c r="K518">
        <v>1384</v>
      </c>
      <c r="L518">
        <v>820</v>
      </c>
      <c r="M518" s="58">
        <f t="shared" si="32"/>
        <v>2017</v>
      </c>
      <c r="N518" s="58" t="s">
        <v>48</v>
      </c>
      <c r="O518" s="58" t="str">
        <f t="shared" si="35"/>
        <v>2017 Chicago White Sox</v>
      </c>
      <c r="P518" s="58">
        <v>6200</v>
      </c>
      <c r="Q518" s="58">
        <f t="shared" si="33"/>
        <v>835</v>
      </c>
      <c r="R518" s="58">
        <v>275</v>
      </c>
      <c r="S518" s="58">
        <v>32</v>
      </c>
      <c r="T518" s="58">
        <v>242</v>
      </c>
      <c r="U518" s="58">
        <v>632</v>
      </c>
      <c r="V518" s="58">
        <v>68</v>
      </c>
      <c r="W518" s="58">
        <f t="shared" si="34"/>
        <v>4116</v>
      </c>
      <c r="X518">
        <v>755</v>
      </c>
      <c r="Y518">
        <v>36</v>
      </c>
      <c r="Z518">
        <v>1193</v>
      </c>
      <c r="AA518">
        <v>14</v>
      </c>
      <c r="AB518">
        <v>39</v>
      </c>
      <c r="AC518">
        <v>67</v>
      </c>
      <c r="AD518">
        <v>5</v>
      </c>
      <c r="AE518">
        <v>139</v>
      </c>
      <c r="AF518">
        <v>82</v>
      </c>
      <c r="AG518">
        <v>67</v>
      </c>
      <c r="AH518">
        <v>95</v>
      </c>
      <c r="AI518">
        <v>4.78</v>
      </c>
    </row>
    <row r="519" spans="1:35" x14ac:dyDescent="0.5">
      <c r="A519" s="35">
        <v>2017</v>
      </c>
      <c r="B519" t="s">
        <v>53</v>
      </c>
      <c r="C519" t="s">
        <v>38</v>
      </c>
      <c r="D519">
        <v>666</v>
      </c>
      <c r="E519">
        <v>162</v>
      </c>
      <c r="F519">
        <v>2</v>
      </c>
      <c r="G519">
        <v>8</v>
      </c>
      <c r="H519">
        <v>160</v>
      </c>
      <c r="I519">
        <v>33</v>
      </c>
      <c r="J519">
        <v>1430</v>
      </c>
      <c r="K519">
        <v>1442</v>
      </c>
      <c r="L519">
        <v>869</v>
      </c>
      <c r="M519" s="58">
        <f t="shared" si="32"/>
        <v>2017</v>
      </c>
      <c r="N519" s="58" t="s">
        <v>52</v>
      </c>
      <c r="O519" s="58" t="str">
        <f t="shared" si="35"/>
        <v>2017 Cincinnati Reds</v>
      </c>
      <c r="P519" s="58">
        <v>6286</v>
      </c>
      <c r="Q519" s="58">
        <f t="shared" si="33"/>
        <v>857</v>
      </c>
      <c r="R519" s="58">
        <v>315</v>
      </c>
      <c r="S519" s="58">
        <v>22</v>
      </c>
      <c r="T519" s="58">
        <v>248</v>
      </c>
      <c r="U519" s="58">
        <v>631</v>
      </c>
      <c r="V519" s="58">
        <v>77</v>
      </c>
      <c r="W519" s="58">
        <f t="shared" si="34"/>
        <v>4136</v>
      </c>
      <c r="X519">
        <v>821</v>
      </c>
      <c r="Y519">
        <v>37</v>
      </c>
      <c r="Z519">
        <v>1300</v>
      </c>
      <c r="AA519">
        <v>52</v>
      </c>
      <c r="AB519">
        <v>49</v>
      </c>
      <c r="AC519">
        <v>62</v>
      </c>
      <c r="AD519">
        <v>7</v>
      </c>
      <c r="AE519">
        <v>107</v>
      </c>
      <c r="AF519">
        <v>60</v>
      </c>
      <c r="AG519">
        <v>68</v>
      </c>
      <c r="AH519">
        <v>94</v>
      </c>
      <c r="AI519">
        <v>5.17</v>
      </c>
    </row>
    <row r="520" spans="1:35" x14ac:dyDescent="0.5">
      <c r="A520" s="35">
        <v>2017</v>
      </c>
      <c r="B520" t="s">
        <v>55</v>
      </c>
      <c r="C520" t="s">
        <v>149</v>
      </c>
      <c r="D520">
        <v>659</v>
      </c>
      <c r="E520">
        <v>162</v>
      </c>
      <c r="F520">
        <v>7</v>
      </c>
      <c r="G520">
        <v>19</v>
      </c>
      <c r="H520">
        <v>155</v>
      </c>
      <c r="I520">
        <v>37</v>
      </c>
      <c r="J520">
        <v>1440.2</v>
      </c>
      <c r="K520">
        <v>1267</v>
      </c>
      <c r="L520">
        <v>564</v>
      </c>
      <c r="M520" s="58">
        <f t="shared" si="32"/>
        <v>2017</v>
      </c>
      <c r="N520" s="58" t="s">
        <v>54</v>
      </c>
      <c r="O520" s="58" t="str">
        <f t="shared" si="35"/>
        <v>2017 Cleveland Indians</v>
      </c>
      <c r="P520" s="58">
        <v>5866</v>
      </c>
      <c r="Q520" s="58">
        <f t="shared" si="33"/>
        <v>830</v>
      </c>
      <c r="R520" s="58">
        <v>262</v>
      </c>
      <c r="S520" s="58">
        <v>12</v>
      </c>
      <c r="T520" s="58">
        <v>163</v>
      </c>
      <c r="U520" s="58">
        <v>406</v>
      </c>
      <c r="V520" s="58">
        <v>45</v>
      </c>
      <c r="W520" s="58">
        <f t="shared" si="34"/>
        <v>4148</v>
      </c>
      <c r="X520">
        <v>529</v>
      </c>
      <c r="Y520">
        <v>15</v>
      </c>
      <c r="Z520">
        <v>1614</v>
      </c>
      <c r="AA520">
        <v>16</v>
      </c>
      <c r="AB520">
        <v>20</v>
      </c>
      <c r="AC520">
        <v>48</v>
      </c>
      <c r="AD520">
        <v>1</v>
      </c>
      <c r="AE520">
        <v>139</v>
      </c>
      <c r="AF520">
        <v>53</v>
      </c>
      <c r="AG520">
        <v>102</v>
      </c>
      <c r="AH520">
        <v>60</v>
      </c>
      <c r="AI520">
        <v>3.3</v>
      </c>
    </row>
    <row r="521" spans="1:35" x14ac:dyDescent="0.5">
      <c r="A521" s="35">
        <v>2017</v>
      </c>
      <c r="B521" t="s">
        <v>57</v>
      </c>
      <c r="C521" t="s">
        <v>38</v>
      </c>
      <c r="D521">
        <v>711</v>
      </c>
      <c r="E521">
        <v>162</v>
      </c>
      <c r="F521">
        <v>1</v>
      </c>
      <c r="G521">
        <v>9</v>
      </c>
      <c r="H521">
        <v>161</v>
      </c>
      <c r="I521">
        <v>47</v>
      </c>
      <c r="J521">
        <v>1437.2</v>
      </c>
      <c r="K521">
        <v>1453</v>
      </c>
      <c r="L521">
        <v>757</v>
      </c>
      <c r="M521" s="58">
        <f t="shared" si="32"/>
        <v>2017</v>
      </c>
      <c r="N521" s="58" t="s">
        <v>56</v>
      </c>
      <c r="O521" s="58" t="str">
        <f t="shared" si="35"/>
        <v>2017 Colorado Rockies</v>
      </c>
      <c r="P521" s="58">
        <v>6177</v>
      </c>
      <c r="Q521" s="58">
        <f t="shared" si="33"/>
        <v>923</v>
      </c>
      <c r="R521" s="58">
        <v>290</v>
      </c>
      <c r="S521" s="58">
        <v>50</v>
      </c>
      <c r="T521" s="58">
        <v>190</v>
      </c>
      <c r="U521" s="58">
        <v>532</v>
      </c>
      <c r="V521" s="58">
        <v>50</v>
      </c>
      <c r="W521" s="58">
        <f t="shared" si="34"/>
        <v>4142</v>
      </c>
      <c r="X521">
        <v>721</v>
      </c>
      <c r="Y521">
        <v>20</v>
      </c>
      <c r="Z521">
        <v>1270</v>
      </c>
      <c r="AA521">
        <v>49</v>
      </c>
      <c r="AB521">
        <v>44</v>
      </c>
      <c r="AC521">
        <v>69</v>
      </c>
      <c r="AD521">
        <v>10</v>
      </c>
      <c r="AE521">
        <v>143</v>
      </c>
      <c r="AF521">
        <v>45</v>
      </c>
      <c r="AG521">
        <v>87</v>
      </c>
      <c r="AH521">
        <v>75</v>
      </c>
      <c r="AI521">
        <v>4.51</v>
      </c>
    </row>
    <row r="522" spans="1:35" x14ac:dyDescent="0.5">
      <c r="A522" s="35">
        <v>2017</v>
      </c>
      <c r="B522" t="s">
        <v>59</v>
      </c>
      <c r="C522" t="s">
        <v>149</v>
      </c>
      <c r="D522">
        <v>672</v>
      </c>
      <c r="E522">
        <v>162</v>
      </c>
      <c r="F522">
        <v>2</v>
      </c>
      <c r="G522">
        <v>4</v>
      </c>
      <c r="H522">
        <v>160</v>
      </c>
      <c r="I522">
        <v>32</v>
      </c>
      <c r="J522">
        <v>1420.1</v>
      </c>
      <c r="K522">
        <v>1587</v>
      </c>
      <c r="L522">
        <v>894</v>
      </c>
      <c r="M522" s="58">
        <f t="shared" si="32"/>
        <v>2017</v>
      </c>
      <c r="N522" s="58" t="s">
        <v>58</v>
      </c>
      <c r="O522" s="58" t="str">
        <f t="shared" si="35"/>
        <v>2017 Detroit Tigers</v>
      </c>
      <c r="P522" s="58">
        <v>6298</v>
      </c>
      <c r="Q522" s="58">
        <f t="shared" si="33"/>
        <v>1044</v>
      </c>
      <c r="R522" s="58">
        <v>290</v>
      </c>
      <c r="S522" s="58">
        <v>35</v>
      </c>
      <c r="T522" s="58">
        <v>218</v>
      </c>
      <c r="U522" s="58">
        <v>538</v>
      </c>
      <c r="V522" s="58">
        <v>61</v>
      </c>
      <c r="W522" s="58">
        <f t="shared" si="34"/>
        <v>4112</v>
      </c>
      <c r="X522">
        <v>846</v>
      </c>
      <c r="Y522">
        <v>42</v>
      </c>
      <c r="Z522">
        <v>1202</v>
      </c>
      <c r="AA522">
        <v>15</v>
      </c>
      <c r="AB522">
        <v>62</v>
      </c>
      <c r="AC522">
        <v>53</v>
      </c>
      <c r="AD522">
        <v>4</v>
      </c>
      <c r="AE522">
        <v>129</v>
      </c>
      <c r="AF522">
        <v>54</v>
      </c>
      <c r="AG522">
        <v>64</v>
      </c>
      <c r="AH522">
        <v>98</v>
      </c>
      <c r="AI522">
        <v>5.36</v>
      </c>
    </row>
    <row r="523" spans="1:35" x14ac:dyDescent="0.5">
      <c r="A523" s="35">
        <v>2017</v>
      </c>
      <c r="B523" t="s">
        <v>63</v>
      </c>
      <c r="C523" t="s">
        <v>149</v>
      </c>
      <c r="D523">
        <v>681</v>
      </c>
      <c r="E523">
        <v>162</v>
      </c>
      <c r="F523">
        <v>1</v>
      </c>
      <c r="G523">
        <v>9</v>
      </c>
      <c r="H523">
        <v>161</v>
      </c>
      <c r="I523">
        <v>45</v>
      </c>
      <c r="J523">
        <v>1446</v>
      </c>
      <c r="K523">
        <v>1314</v>
      </c>
      <c r="L523">
        <v>700</v>
      </c>
      <c r="M523" s="58">
        <f t="shared" si="32"/>
        <v>2017</v>
      </c>
      <c r="N523" s="58" t="s">
        <v>60</v>
      </c>
      <c r="O523" s="58" t="str">
        <f t="shared" si="35"/>
        <v>2017 Florida Marlins</v>
      </c>
      <c r="P523" s="58">
        <v>6111</v>
      </c>
      <c r="Q523" s="58">
        <f t="shared" si="33"/>
        <v>806</v>
      </c>
      <c r="R523" s="58">
        <v>293</v>
      </c>
      <c r="S523" s="58">
        <v>23</v>
      </c>
      <c r="T523" s="58">
        <v>192</v>
      </c>
      <c r="U523" s="58">
        <v>522</v>
      </c>
      <c r="V523" s="58">
        <v>70</v>
      </c>
      <c r="W523" s="58">
        <f t="shared" si="34"/>
        <v>4205</v>
      </c>
      <c r="X523">
        <v>662</v>
      </c>
      <c r="Y523">
        <v>17</v>
      </c>
      <c r="Z523">
        <v>1593</v>
      </c>
      <c r="AA523">
        <v>17</v>
      </c>
      <c r="AB523">
        <v>20</v>
      </c>
      <c r="AC523">
        <v>86</v>
      </c>
      <c r="AD523">
        <v>4</v>
      </c>
      <c r="AE523">
        <v>133</v>
      </c>
      <c r="AF523">
        <v>70</v>
      </c>
      <c r="AG523">
        <v>101</v>
      </c>
      <c r="AH523">
        <v>61</v>
      </c>
      <c r="AI523">
        <v>4.12</v>
      </c>
    </row>
    <row r="524" spans="1:35" x14ac:dyDescent="0.5">
      <c r="A524" s="35">
        <v>2017</v>
      </c>
      <c r="B524" t="s">
        <v>150</v>
      </c>
      <c r="C524" t="s">
        <v>149</v>
      </c>
      <c r="D524">
        <v>700</v>
      </c>
      <c r="E524">
        <v>162</v>
      </c>
      <c r="F524">
        <v>1</v>
      </c>
      <c r="G524">
        <v>6</v>
      </c>
      <c r="H524">
        <v>161</v>
      </c>
      <c r="I524">
        <v>39</v>
      </c>
      <c r="J524">
        <v>1437.2</v>
      </c>
      <c r="K524">
        <v>1480</v>
      </c>
      <c r="L524">
        <v>791</v>
      </c>
      <c r="M524" s="58">
        <f t="shared" si="32"/>
        <v>2017</v>
      </c>
      <c r="N524" s="58" t="s">
        <v>62</v>
      </c>
      <c r="O524" s="58" t="str">
        <f t="shared" si="35"/>
        <v>2017 Houston Astros</v>
      </c>
      <c r="P524" s="58">
        <v>6218</v>
      </c>
      <c r="Q524" s="58">
        <f t="shared" si="33"/>
        <v>970</v>
      </c>
      <c r="R524" s="58">
        <v>274</v>
      </c>
      <c r="S524" s="58">
        <v>40</v>
      </c>
      <c r="T524" s="58">
        <v>196</v>
      </c>
      <c r="U524" s="58">
        <v>519</v>
      </c>
      <c r="V524" s="58">
        <v>52</v>
      </c>
      <c r="W524" s="58">
        <f t="shared" si="34"/>
        <v>4167</v>
      </c>
      <c r="X524">
        <v>737</v>
      </c>
      <c r="Y524">
        <v>24</v>
      </c>
      <c r="Z524">
        <v>1216</v>
      </c>
      <c r="AA524">
        <v>21</v>
      </c>
      <c r="AB524">
        <v>46</v>
      </c>
      <c r="AC524">
        <v>48</v>
      </c>
      <c r="AD524">
        <v>6</v>
      </c>
      <c r="AE524">
        <v>127</v>
      </c>
      <c r="AF524">
        <v>61</v>
      </c>
      <c r="AG524">
        <v>80</v>
      </c>
      <c r="AH524">
        <v>82</v>
      </c>
      <c r="AI524">
        <v>4.6100000000000003</v>
      </c>
    </row>
    <row r="525" spans="1:35" x14ac:dyDescent="0.5">
      <c r="A525" s="35">
        <v>2017</v>
      </c>
      <c r="B525" t="s">
        <v>145</v>
      </c>
      <c r="C525" t="s">
        <v>38</v>
      </c>
      <c r="D525">
        <v>698</v>
      </c>
      <c r="E525">
        <v>162</v>
      </c>
      <c r="F525">
        <v>2</v>
      </c>
      <c r="G525">
        <v>16</v>
      </c>
      <c r="H525">
        <v>160</v>
      </c>
      <c r="I525">
        <v>51</v>
      </c>
      <c r="J525">
        <v>1444.2</v>
      </c>
      <c r="K525">
        <v>1226</v>
      </c>
      <c r="L525">
        <v>580</v>
      </c>
      <c r="M525" s="58">
        <f t="shared" si="32"/>
        <v>2017</v>
      </c>
      <c r="N525" s="58" t="s">
        <v>64</v>
      </c>
      <c r="O525" s="58" t="str">
        <f t="shared" si="35"/>
        <v>2017 Kansas City Royals</v>
      </c>
      <c r="P525" s="58">
        <v>5925</v>
      </c>
      <c r="Q525" s="58">
        <f t="shared" si="33"/>
        <v>793</v>
      </c>
      <c r="R525" s="58">
        <v>229</v>
      </c>
      <c r="S525" s="58">
        <v>20</v>
      </c>
      <c r="T525" s="58">
        <v>184</v>
      </c>
      <c r="U525" s="58">
        <v>442</v>
      </c>
      <c r="V525" s="58">
        <v>40</v>
      </c>
      <c r="W525" s="58">
        <f t="shared" si="34"/>
        <v>4217</v>
      </c>
      <c r="X525">
        <v>543</v>
      </c>
      <c r="Y525">
        <v>33</v>
      </c>
      <c r="Z525">
        <v>1549</v>
      </c>
      <c r="AA525">
        <v>39</v>
      </c>
      <c r="AB525">
        <v>22</v>
      </c>
      <c r="AC525">
        <v>40</v>
      </c>
      <c r="AD525">
        <v>10</v>
      </c>
      <c r="AE525">
        <v>109</v>
      </c>
      <c r="AF525">
        <v>67</v>
      </c>
      <c r="AG525">
        <v>104</v>
      </c>
      <c r="AH525">
        <v>58</v>
      </c>
      <c r="AI525">
        <v>3.38</v>
      </c>
    </row>
    <row r="526" spans="1:35" x14ac:dyDescent="0.5">
      <c r="A526" s="35">
        <v>2017</v>
      </c>
      <c r="B526" t="s">
        <v>104</v>
      </c>
      <c r="C526" t="s">
        <v>38</v>
      </c>
      <c r="D526">
        <v>742</v>
      </c>
      <c r="E526">
        <v>162</v>
      </c>
      <c r="F526">
        <v>1</v>
      </c>
      <c r="G526">
        <v>7</v>
      </c>
      <c r="H526">
        <v>161</v>
      </c>
      <c r="I526">
        <v>34</v>
      </c>
      <c r="J526">
        <v>1442.2</v>
      </c>
      <c r="K526">
        <v>1450</v>
      </c>
      <c r="L526">
        <v>822</v>
      </c>
      <c r="M526" s="58">
        <f t="shared" si="32"/>
        <v>2017</v>
      </c>
      <c r="N526" s="58" t="s">
        <v>66</v>
      </c>
      <c r="O526" s="58" t="str">
        <f t="shared" si="35"/>
        <v>2017 Los Angeles Dodgers</v>
      </c>
      <c r="P526" s="58">
        <v>6318</v>
      </c>
      <c r="Q526" s="58">
        <f t="shared" si="33"/>
        <v>940</v>
      </c>
      <c r="R526" s="58">
        <v>280</v>
      </c>
      <c r="S526" s="58">
        <v>37</v>
      </c>
      <c r="T526" s="58">
        <v>193</v>
      </c>
      <c r="U526" s="58">
        <v>627</v>
      </c>
      <c r="V526" s="58">
        <v>75</v>
      </c>
      <c r="W526" s="58">
        <f t="shared" si="34"/>
        <v>4166</v>
      </c>
      <c r="X526">
        <v>772</v>
      </c>
      <c r="Y526">
        <v>59</v>
      </c>
      <c r="Z526">
        <v>1202</v>
      </c>
      <c r="AA526">
        <v>59</v>
      </c>
      <c r="AB526">
        <v>43</v>
      </c>
      <c r="AC526">
        <v>57</v>
      </c>
      <c r="AD526">
        <v>3</v>
      </c>
      <c r="AE526">
        <v>132</v>
      </c>
      <c r="AF526">
        <v>47</v>
      </c>
      <c r="AG526">
        <v>77</v>
      </c>
      <c r="AH526">
        <v>85</v>
      </c>
      <c r="AI526">
        <v>4.82</v>
      </c>
    </row>
    <row r="527" spans="1:35" x14ac:dyDescent="0.5">
      <c r="A527" s="35">
        <v>2017</v>
      </c>
      <c r="B527" t="s">
        <v>69</v>
      </c>
      <c r="C527" t="s">
        <v>38</v>
      </c>
      <c r="D527">
        <v>712</v>
      </c>
      <c r="E527">
        <v>162</v>
      </c>
      <c r="F527">
        <v>1</v>
      </c>
      <c r="G527">
        <v>12</v>
      </c>
      <c r="H527">
        <v>161</v>
      </c>
      <c r="I527">
        <v>54</v>
      </c>
      <c r="J527">
        <v>1445.2</v>
      </c>
      <c r="K527">
        <v>1381</v>
      </c>
      <c r="L527">
        <v>697</v>
      </c>
      <c r="M527" s="58">
        <f t="shared" si="32"/>
        <v>2017</v>
      </c>
      <c r="N527" s="58" t="s">
        <v>68</v>
      </c>
      <c r="O527" s="58" t="str">
        <f t="shared" si="35"/>
        <v>2017 Milwaukee Brewers</v>
      </c>
      <c r="P527" s="58">
        <v>6164</v>
      </c>
      <c r="Q527" s="58">
        <f t="shared" si="33"/>
        <v>891</v>
      </c>
      <c r="R527" s="58">
        <v>276</v>
      </c>
      <c r="S527" s="58">
        <v>29</v>
      </c>
      <c r="T527" s="58">
        <v>185</v>
      </c>
      <c r="U527" s="58">
        <v>553</v>
      </c>
      <c r="V527" s="58">
        <v>64</v>
      </c>
      <c r="W527" s="58">
        <f t="shared" si="34"/>
        <v>4166</v>
      </c>
      <c r="X527">
        <v>642</v>
      </c>
      <c r="Y527">
        <v>45</v>
      </c>
      <c r="Z527">
        <v>1346</v>
      </c>
      <c r="AA527">
        <v>39</v>
      </c>
      <c r="AB527">
        <v>29</v>
      </c>
      <c r="AC527">
        <v>50</v>
      </c>
      <c r="AD527">
        <v>2</v>
      </c>
      <c r="AE527">
        <v>145</v>
      </c>
      <c r="AF527">
        <v>73</v>
      </c>
      <c r="AG527">
        <v>86</v>
      </c>
      <c r="AH527">
        <v>76</v>
      </c>
      <c r="AI527">
        <v>4</v>
      </c>
    </row>
    <row r="528" spans="1:35" x14ac:dyDescent="0.5">
      <c r="A528" s="35">
        <v>2017</v>
      </c>
      <c r="B528" t="s">
        <v>71</v>
      </c>
      <c r="C528" t="s">
        <v>149</v>
      </c>
      <c r="D528">
        <v>682</v>
      </c>
      <c r="E528">
        <v>162</v>
      </c>
      <c r="F528">
        <v>6</v>
      </c>
      <c r="G528">
        <v>11</v>
      </c>
      <c r="H528">
        <v>156</v>
      </c>
      <c r="I528">
        <v>42</v>
      </c>
      <c r="J528">
        <v>1436</v>
      </c>
      <c r="K528">
        <v>1487</v>
      </c>
      <c r="L528">
        <v>788</v>
      </c>
      <c r="M528" s="58">
        <f t="shared" si="32"/>
        <v>2017</v>
      </c>
      <c r="N528" s="58" t="s">
        <v>70</v>
      </c>
      <c r="O528" s="58" t="str">
        <f t="shared" si="35"/>
        <v>2017 Minnesota Twins</v>
      </c>
      <c r="P528" s="58">
        <v>6205</v>
      </c>
      <c r="Q528" s="58">
        <f t="shared" si="33"/>
        <v>955</v>
      </c>
      <c r="R528" s="58">
        <v>282</v>
      </c>
      <c r="S528" s="58">
        <v>26</v>
      </c>
      <c r="T528" s="58">
        <v>224</v>
      </c>
      <c r="U528" s="58">
        <v>483</v>
      </c>
      <c r="V528" s="58">
        <v>69</v>
      </c>
      <c r="W528" s="58">
        <f t="shared" si="34"/>
        <v>4166</v>
      </c>
      <c r="X528">
        <v>732</v>
      </c>
      <c r="Y528">
        <v>37</v>
      </c>
      <c r="Z528">
        <v>1166</v>
      </c>
      <c r="AA528">
        <v>23</v>
      </c>
      <c r="AB528">
        <v>42</v>
      </c>
      <c r="AC528">
        <v>52</v>
      </c>
      <c r="AD528">
        <v>8</v>
      </c>
      <c r="AE528">
        <v>126</v>
      </c>
      <c r="AF528">
        <v>49</v>
      </c>
      <c r="AG528">
        <v>85</v>
      </c>
      <c r="AH528">
        <v>77</v>
      </c>
      <c r="AI528">
        <v>4.59</v>
      </c>
    </row>
    <row r="529" spans="1:35" x14ac:dyDescent="0.5">
      <c r="A529" s="35">
        <v>2017</v>
      </c>
      <c r="B529" t="s">
        <v>144</v>
      </c>
      <c r="C529" t="s">
        <v>38</v>
      </c>
      <c r="D529">
        <v>730</v>
      </c>
      <c r="E529">
        <v>162</v>
      </c>
      <c r="F529">
        <v>2</v>
      </c>
      <c r="G529">
        <v>5</v>
      </c>
      <c r="H529">
        <v>160</v>
      </c>
      <c r="I529">
        <v>34</v>
      </c>
      <c r="J529">
        <v>1434.2</v>
      </c>
      <c r="K529">
        <v>1538</v>
      </c>
      <c r="L529">
        <v>863</v>
      </c>
      <c r="M529" s="58">
        <f t="shared" si="32"/>
        <v>2017</v>
      </c>
      <c r="N529" s="58" t="s">
        <v>76</v>
      </c>
      <c r="O529" s="58" t="str">
        <f t="shared" si="35"/>
        <v>2017 New York Mets</v>
      </c>
      <c r="P529" s="58">
        <v>6378</v>
      </c>
      <c r="Q529" s="58">
        <f t="shared" si="33"/>
        <v>1017</v>
      </c>
      <c r="R529" s="58">
        <v>278</v>
      </c>
      <c r="S529" s="58">
        <v>23</v>
      </c>
      <c r="T529" s="58">
        <v>220</v>
      </c>
      <c r="U529" s="58">
        <v>593</v>
      </c>
      <c r="V529" s="58">
        <v>55</v>
      </c>
      <c r="W529" s="58">
        <f t="shared" si="34"/>
        <v>4192</v>
      </c>
      <c r="X529">
        <v>799</v>
      </c>
      <c r="Y529">
        <v>51</v>
      </c>
      <c r="Z529">
        <v>1374</v>
      </c>
      <c r="AA529">
        <v>49</v>
      </c>
      <c r="AB529">
        <v>53</v>
      </c>
      <c r="AC529">
        <v>55</v>
      </c>
      <c r="AD529">
        <v>5</v>
      </c>
      <c r="AE529">
        <v>112</v>
      </c>
      <c r="AF529">
        <v>66</v>
      </c>
      <c r="AG529">
        <v>70</v>
      </c>
      <c r="AH529">
        <v>92</v>
      </c>
      <c r="AI529">
        <v>5.01</v>
      </c>
    </row>
    <row r="530" spans="1:35" x14ac:dyDescent="0.5">
      <c r="A530" s="35">
        <v>2017</v>
      </c>
      <c r="B530" t="s">
        <v>144</v>
      </c>
      <c r="C530" t="s">
        <v>149</v>
      </c>
      <c r="D530">
        <v>639</v>
      </c>
      <c r="E530">
        <v>162</v>
      </c>
      <c r="F530">
        <v>2</v>
      </c>
      <c r="G530">
        <v>7</v>
      </c>
      <c r="H530">
        <v>160</v>
      </c>
      <c r="I530">
        <v>36</v>
      </c>
      <c r="J530">
        <v>1448.2</v>
      </c>
      <c r="K530">
        <v>1248</v>
      </c>
      <c r="L530">
        <v>660</v>
      </c>
      <c r="M530" s="58">
        <f t="shared" si="32"/>
        <v>2017</v>
      </c>
      <c r="N530" s="58" t="s">
        <v>74</v>
      </c>
      <c r="O530" s="58" t="str">
        <f t="shared" si="35"/>
        <v>2017 New York Yankees</v>
      </c>
      <c r="P530" s="58">
        <v>6078</v>
      </c>
      <c r="Q530" s="58">
        <f t="shared" si="33"/>
        <v>801</v>
      </c>
      <c r="R530" s="58">
        <v>243</v>
      </c>
      <c r="S530" s="58">
        <v>12</v>
      </c>
      <c r="T530" s="58">
        <v>192</v>
      </c>
      <c r="U530" s="58">
        <v>504</v>
      </c>
      <c r="V530" s="58">
        <v>53</v>
      </c>
      <c r="W530" s="58">
        <f t="shared" si="34"/>
        <v>4273</v>
      </c>
      <c r="X530">
        <v>599</v>
      </c>
      <c r="Y530">
        <v>18</v>
      </c>
      <c r="Z530">
        <v>1560</v>
      </c>
      <c r="AA530">
        <v>18</v>
      </c>
      <c r="AB530">
        <v>31</v>
      </c>
      <c r="AC530">
        <v>83</v>
      </c>
      <c r="AD530">
        <v>4</v>
      </c>
      <c r="AE530">
        <v>85</v>
      </c>
      <c r="AF530">
        <v>73</v>
      </c>
      <c r="AG530">
        <v>91</v>
      </c>
      <c r="AH530">
        <v>71</v>
      </c>
      <c r="AI530">
        <v>3.72</v>
      </c>
    </row>
    <row r="531" spans="1:35" x14ac:dyDescent="0.5">
      <c r="A531" s="35">
        <v>2017</v>
      </c>
      <c r="B531" t="s">
        <v>79</v>
      </c>
      <c r="C531" t="s">
        <v>149</v>
      </c>
      <c r="D531">
        <v>687</v>
      </c>
      <c r="E531">
        <v>162</v>
      </c>
      <c r="F531">
        <v>1</v>
      </c>
      <c r="G531">
        <v>6</v>
      </c>
      <c r="H531">
        <v>161</v>
      </c>
      <c r="I531">
        <v>35</v>
      </c>
      <c r="J531">
        <v>1431</v>
      </c>
      <c r="K531">
        <v>1444</v>
      </c>
      <c r="L531">
        <v>826</v>
      </c>
      <c r="M531" s="58">
        <f t="shared" si="32"/>
        <v>2017</v>
      </c>
      <c r="N531" s="58" t="s">
        <v>78</v>
      </c>
      <c r="O531" s="58" t="str">
        <f t="shared" si="35"/>
        <v>2017 Oakland Athletics</v>
      </c>
      <c r="P531" s="58">
        <v>6167</v>
      </c>
      <c r="Q531" s="58">
        <f t="shared" si="33"/>
        <v>906</v>
      </c>
      <c r="R531" s="58">
        <v>300</v>
      </c>
      <c r="S531" s="58">
        <v>28</v>
      </c>
      <c r="T531" s="58">
        <v>210</v>
      </c>
      <c r="U531" s="58">
        <v>502</v>
      </c>
      <c r="V531" s="58">
        <v>61</v>
      </c>
      <c r="W531" s="58">
        <f t="shared" si="34"/>
        <v>4160</v>
      </c>
      <c r="X531">
        <v>743</v>
      </c>
      <c r="Y531">
        <v>17</v>
      </c>
      <c r="Z531">
        <v>1202</v>
      </c>
      <c r="AA531">
        <v>17</v>
      </c>
      <c r="AB531">
        <v>46</v>
      </c>
      <c r="AC531">
        <v>84</v>
      </c>
      <c r="AD531">
        <v>3</v>
      </c>
      <c r="AE531">
        <v>126</v>
      </c>
      <c r="AF531">
        <v>91</v>
      </c>
      <c r="AG531">
        <v>75</v>
      </c>
      <c r="AH531">
        <v>87</v>
      </c>
      <c r="AI531">
        <v>4.67</v>
      </c>
    </row>
    <row r="532" spans="1:35" x14ac:dyDescent="0.5">
      <c r="A532" s="35">
        <v>2017</v>
      </c>
      <c r="B532" t="s">
        <v>81</v>
      </c>
      <c r="C532" t="s">
        <v>38</v>
      </c>
      <c r="D532">
        <v>668</v>
      </c>
      <c r="E532">
        <v>162</v>
      </c>
      <c r="F532">
        <v>1</v>
      </c>
      <c r="G532">
        <v>7</v>
      </c>
      <c r="H532">
        <v>161</v>
      </c>
      <c r="I532">
        <v>33</v>
      </c>
      <c r="J532">
        <v>1441</v>
      </c>
      <c r="K532">
        <v>1471</v>
      </c>
      <c r="L532">
        <v>782</v>
      </c>
      <c r="M532" s="58">
        <f t="shared" si="32"/>
        <v>2017</v>
      </c>
      <c r="N532" s="58" t="s">
        <v>80</v>
      </c>
      <c r="O532" s="58" t="str">
        <f t="shared" si="35"/>
        <v>2017 Philadelphia Phillies</v>
      </c>
      <c r="P532" s="58">
        <v>6235</v>
      </c>
      <c r="Q532" s="58">
        <f t="shared" si="33"/>
        <v>926</v>
      </c>
      <c r="R532" s="58">
        <v>296</v>
      </c>
      <c r="S532" s="58">
        <v>28</v>
      </c>
      <c r="T532" s="58">
        <v>221</v>
      </c>
      <c r="U532" s="58">
        <v>527</v>
      </c>
      <c r="V532" s="58">
        <v>63</v>
      </c>
      <c r="W532" s="58">
        <f t="shared" si="34"/>
        <v>4174</v>
      </c>
      <c r="X532">
        <v>729</v>
      </c>
      <c r="Y532">
        <v>39</v>
      </c>
      <c r="Z532">
        <v>1309</v>
      </c>
      <c r="AA532">
        <v>37</v>
      </c>
      <c r="AB532">
        <v>47</v>
      </c>
      <c r="AC532">
        <v>50</v>
      </c>
      <c r="AD532">
        <v>11</v>
      </c>
      <c r="AE532">
        <v>119</v>
      </c>
      <c r="AF532">
        <v>50</v>
      </c>
      <c r="AG532">
        <v>66</v>
      </c>
      <c r="AH532">
        <v>96</v>
      </c>
      <c r="AI532">
        <v>4.55</v>
      </c>
    </row>
    <row r="533" spans="1:35" x14ac:dyDescent="0.5">
      <c r="A533" s="35">
        <v>2017</v>
      </c>
      <c r="B533" t="s">
        <v>83</v>
      </c>
      <c r="C533" t="s">
        <v>38</v>
      </c>
      <c r="D533">
        <v>664</v>
      </c>
      <c r="E533">
        <v>162</v>
      </c>
      <c r="F533">
        <v>2</v>
      </c>
      <c r="G533">
        <v>12</v>
      </c>
      <c r="H533">
        <v>160</v>
      </c>
      <c r="I533">
        <v>36</v>
      </c>
      <c r="J533">
        <v>1440.2</v>
      </c>
      <c r="K533">
        <v>1464</v>
      </c>
      <c r="L533">
        <v>731</v>
      </c>
      <c r="M533" s="58">
        <f t="shared" si="32"/>
        <v>2017</v>
      </c>
      <c r="N533" s="58" t="s">
        <v>82</v>
      </c>
      <c r="O533" s="58" t="str">
        <f t="shared" si="35"/>
        <v>2017 Pittsburgh Pirates</v>
      </c>
      <c r="P533" s="58">
        <v>6208</v>
      </c>
      <c r="Q533" s="58">
        <f t="shared" si="33"/>
        <v>931</v>
      </c>
      <c r="R533" s="58">
        <v>320</v>
      </c>
      <c r="S533" s="58">
        <v>31</v>
      </c>
      <c r="T533" s="58">
        <v>182</v>
      </c>
      <c r="U533" s="58">
        <v>511</v>
      </c>
      <c r="V533" s="58">
        <v>58</v>
      </c>
      <c r="W533" s="58">
        <f t="shared" si="34"/>
        <v>4175</v>
      </c>
      <c r="X533">
        <v>676</v>
      </c>
      <c r="Y533">
        <v>32</v>
      </c>
      <c r="Z533">
        <v>1262</v>
      </c>
      <c r="AA533">
        <v>53</v>
      </c>
      <c r="AB533">
        <v>29</v>
      </c>
      <c r="AC533">
        <v>58</v>
      </c>
      <c r="AD533">
        <v>2</v>
      </c>
      <c r="AE533">
        <v>133</v>
      </c>
      <c r="AF533">
        <v>69</v>
      </c>
      <c r="AG533">
        <v>75</v>
      </c>
      <c r="AH533">
        <v>87</v>
      </c>
      <c r="AI533">
        <v>4.22</v>
      </c>
    </row>
    <row r="534" spans="1:35" x14ac:dyDescent="0.5">
      <c r="A534" s="35">
        <v>2017</v>
      </c>
      <c r="B534" t="s">
        <v>147</v>
      </c>
      <c r="C534" t="s">
        <v>38</v>
      </c>
      <c r="D534">
        <v>679</v>
      </c>
      <c r="E534">
        <v>162</v>
      </c>
      <c r="F534">
        <v>2</v>
      </c>
      <c r="G534">
        <v>12</v>
      </c>
      <c r="H534">
        <v>160</v>
      </c>
      <c r="I534">
        <v>45</v>
      </c>
      <c r="J534">
        <v>1430.2</v>
      </c>
      <c r="K534">
        <v>1417</v>
      </c>
      <c r="L534">
        <v>816</v>
      </c>
      <c r="M534" s="58">
        <f t="shared" si="32"/>
        <v>2017</v>
      </c>
      <c r="N534" s="58" t="s">
        <v>84</v>
      </c>
      <c r="O534" s="58" t="str">
        <f t="shared" si="35"/>
        <v>2017 San Diego Padres</v>
      </c>
      <c r="P534" s="58">
        <v>6169</v>
      </c>
      <c r="Q534" s="58">
        <f t="shared" si="33"/>
        <v>893</v>
      </c>
      <c r="R534" s="58">
        <v>275</v>
      </c>
      <c r="S534" s="58">
        <v>23</v>
      </c>
      <c r="T534" s="58">
        <v>226</v>
      </c>
      <c r="U534" s="58">
        <v>554</v>
      </c>
      <c r="V534" s="58">
        <v>75</v>
      </c>
      <c r="W534" s="58">
        <f t="shared" si="34"/>
        <v>4123</v>
      </c>
      <c r="X534">
        <v>742</v>
      </c>
      <c r="Y534">
        <v>28</v>
      </c>
      <c r="Z534">
        <v>1325</v>
      </c>
      <c r="AA534">
        <v>32</v>
      </c>
      <c r="AB534">
        <v>35</v>
      </c>
      <c r="AC534">
        <v>73</v>
      </c>
      <c r="AD534">
        <v>11</v>
      </c>
      <c r="AE534">
        <v>156</v>
      </c>
      <c r="AF534">
        <v>69</v>
      </c>
      <c r="AG534">
        <v>71</v>
      </c>
      <c r="AH534">
        <v>91</v>
      </c>
      <c r="AI534">
        <v>4.67</v>
      </c>
    </row>
    <row r="535" spans="1:35" x14ac:dyDescent="0.5">
      <c r="A535" s="35">
        <v>2017</v>
      </c>
      <c r="B535" t="s">
        <v>87</v>
      </c>
      <c r="C535" t="s">
        <v>149</v>
      </c>
      <c r="D535">
        <v>689</v>
      </c>
      <c r="E535">
        <v>162</v>
      </c>
      <c r="F535">
        <v>1</v>
      </c>
      <c r="G535">
        <v>9</v>
      </c>
      <c r="H535">
        <v>161</v>
      </c>
      <c r="I535">
        <v>39</v>
      </c>
      <c r="J535">
        <v>1440.1</v>
      </c>
      <c r="K535">
        <v>1399</v>
      </c>
      <c r="L535">
        <v>772</v>
      </c>
      <c r="M535" s="58">
        <f t="shared" si="32"/>
        <v>2017</v>
      </c>
      <c r="N535" s="58" t="s">
        <v>86</v>
      </c>
      <c r="O535" s="58" t="str">
        <f t="shared" si="35"/>
        <v>2017 Seattle Mariners</v>
      </c>
      <c r="P535" s="58">
        <v>6132</v>
      </c>
      <c r="Q535" s="58">
        <f t="shared" si="33"/>
        <v>888</v>
      </c>
      <c r="R535" s="58">
        <v>262</v>
      </c>
      <c r="S535" s="58">
        <v>12</v>
      </c>
      <c r="T535" s="58">
        <v>237</v>
      </c>
      <c r="U535" s="58">
        <v>490</v>
      </c>
      <c r="V535" s="58">
        <v>53</v>
      </c>
      <c r="W535" s="58">
        <f t="shared" si="34"/>
        <v>4190</v>
      </c>
      <c r="X535">
        <v>713</v>
      </c>
      <c r="Y535">
        <v>28</v>
      </c>
      <c r="Z535">
        <v>1244</v>
      </c>
      <c r="AA535">
        <v>24</v>
      </c>
      <c r="AB535">
        <v>60</v>
      </c>
      <c r="AC535">
        <v>73</v>
      </c>
      <c r="AD535">
        <v>7</v>
      </c>
      <c r="AE535">
        <v>125</v>
      </c>
      <c r="AF535">
        <v>74</v>
      </c>
      <c r="AG535">
        <v>78</v>
      </c>
      <c r="AH535">
        <v>84</v>
      </c>
      <c r="AI535">
        <v>4.46</v>
      </c>
    </row>
    <row r="536" spans="1:35" x14ac:dyDescent="0.5">
      <c r="A536" s="35">
        <v>2017</v>
      </c>
      <c r="B536" t="s">
        <v>21</v>
      </c>
      <c r="C536" t="s">
        <v>38</v>
      </c>
      <c r="D536">
        <v>664</v>
      </c>
      <c r="E536">
        <v>162</v>
      </c>
      <c r="F536">
        <v>3</v>
      </c>
      <c r="G536">
        <v>5</v>
      </c>
      <c r="H536">
        <v>159</v>
      </c>
      <c r="I536">
        <v>32</v>
      </c>
      <c r="J536">
        <v>1452</v>
      </c>
      <c r="K536">
        <v>1515</v>
      </c>
      <c r="L536">
        <v>776</v>
      </c>
      <c r="M536" s="58">
        <f t="shared" si="32"/>
        <v>2017</v>
      </c>
      <c r="N536" s="58" t="s">
        <v>88</v>
      </c>
      <c r="O536" s="58" t="str">
        <f t="shared" si="35"/>
        <v>2017 San Francisco Giants</v>
      </c>
      <c r="P536" s="58">
        <v>6287</v>
      </c>
      <c r="Q536" s="58">
        <f t="shared" si="33"/>
        <v>978</v>
      </c>
      <c r="R536" s="58">
        <v>297</v>
      </c>
      <c r="S536" s="58">
        <v>58</v>
      </c>
      <c r="T536" s="58">
        <v>182</v>
      </c>
      <c r="U536" s="58">
        <v>496</v>
      </c>
      <c r="V536" s="58">
        <v>50</v>
      </c>
      <c r="W536" s="58">
        <f t="shared" si="34"/>
        <v>4226</v>
      </c>
      <c r="X536">
        <v>726</v>
      </c>
      <c r="Y536">
        <v>42</v>
      </c>
      <c r="Z536">
        <v>1234</v>
      </c>
      <c r="AA536">
        <v>51</v>
      </c>
      <c r="AB536">
        <v>39</v>
      </c>
      <c r="AC536">
        <v>55</v>
      </c>
      <c r="AD536">
        <v>3</v>
      </c>
      <c r="AE536">
        <v>116</v>
      </c>
      <c r="AF536">
        <v>61</v>
      </c>
      <c r="AG536">
        <v>64</v>
      </c>
      <c r="AH536">
        <v>98</v>
      </c>
      <c r="AI536">
        <v>4.5</v>
      </c>
    </row>
    <row r="537" spans="1:35" x14ac:dyDescent="0.5">
      <c r="A537" s="35">
        <v>2017</v>
      </c>
      <c r="B537" t="s">
        <v>142</v>
      </c>
      <c r="C537" t="s">
        <v>38</v>
      </c>
      <c r="D537">
        <v>708</v>
      </c>
      <c r="E537">
        <v>162</v>
      </c>
      <c r="F537">
        <v>3</v>
      </c>
      <c r="G537">
        <v>12</v>
      </c>
      <c r="H537">
        <v>159</v>
      </c>
      <c r="I537">
        <v>43</v>
      </c>
      <c r="J537">
        <v>1450.1</v>
      </c>
      <c r="K537">
        <v>1393</v>
      </c>
      <c r="L537">
        <v>705</v>
      </c>
      <c r="M537" s="58">
        <f t="shared" si="32"/>
        <v>2017</v>
      </c>
      <c r="N537" s="58" t="s">
        <v>90</v>
      </c>
      <c r="O537" s="58" t="str">
        <f t="shared" si="35"/>
        <v>2017 St. Louis Cardinals</v>
      </c>
      <c r="P537" s="58">
        <v>6153</v>
      </c>
      <c r="Q537" s="58">
        <f t="shared" si="33"/>
        <v>917</v>
      </c>
      <c r="R537" s="58">
        <v>262</v>
      </c>
      <c r="S537" s="58">
        <v>31</v>
      </c>
      <c r="T537" s="58">
        <v>183</v>
      </c>
      <c r="U537" s="58">
        <v>493</v>
      </c>
      <c r="V537" s="58">
        <v>67</v>
      </c>
      <c r="W537" s="58">
        <f t="shared" si="34"/>
        <v>4200</v>
      </c>
      <c r="X537">
        <v>646</v>
      </c>
      <c r="Y537">
        <v>50</v>
      </c>
      <c r="Z537">
        <v>1351</v>
      </c>
      <c r="AA537">
        <v>40</v>
      </c>
      <c r="AB537">
        <v>45</v>
      </c>
      <c r="AC537">
        <v>38</v>
      </c>
      <c r="AD537">
        <v>0</v>
      </c>
      <c r="AE537">
        <v>145</v>
      </c>
      <c r="AF537">
        <v>68</v>
      </c>
      <c r="AG537">
        <v>83</v>
      </c>
      <c r="AH537">
        <v>79</v>
      </c>
      <c r="AI537">
        <v>4.01</v>
      </c>
    </row>
    <row r="538" spans="1:35" x14ac:dyDescent="0.5">
      <c r="A538" s="35">
        <v>2017</v>
      </c>
      <c r="B538" t="s">
        <v>151</v>
      </c>
      <c r="C538" t="s">
        <v>149</v>
      </c>
      <c r="D538">
        <v>673</v>
      </c>
      <c r="E538">
        <v>162</v>
      </c>
      <c r="F538">
        <v>0</v>
      </c>
      <c r="G538">
        <v>9</v>
      </c>
      <c r="H538">
        <v>162</v>
      </c>
      <c r="I538">
        <v>53</v>
      </c>
      <c r="J538">
        <v>1445</v>
      </c>
      <c r="K538">
        <v>1324</v>
      </c>
      <c r="L538">
        <v>704</v>
      </c>
      <c r="M538" s="58">
        <f t="shared" si="32"/>
        <v>2017</v>
      </c>
      <c r="N538" s="58" t="s">
        <v>92</v>
      </c>
      <c r="O538" s="58" t="str">
        <f t="shared" si="35"/>
        <v>2017 Tampa Bay Devil Rays</v>
      </c>
      <c r="P538" s="58">
        <v>6099</v>
      </c>
      <c r="Q538" s="58">
        <f t="shared" si="33"/>
        <v>844</v>
      </c>
      <c r="R538" s="58">
        <v>270</v>
      </c>
      <c r="S538" s="58">
        <v>17</v>
      </c>
      <c r="T538" s="58">
        <v>193</v>
      </c>
      <c r="U538" s="58">
        <v>503</v>
      </c>
      <c r="V538" s="58">
        <v>48</v>
      </c>
      <c r="W538" s="58">
        <f t="shared" si="34"/>
        <v>4224</v>
      </c>
      <c r="X538">
        <v>638</v>
      </c>
      <c r="Y538">
        <v>37</v>
      </c>
      <c r="Z538">
        <v>1352</v>
      </c>
      <c r="AA538">
        <v>26</v>
      </c>
      <c r="AB538">
        <v>38</v>
      </c>
      <c r="AC538">
        <v>83</v>
      </c>
      <c r="AD538">
        <v>4</v>
      </c>
      <c r="AE538">
        <v>113</v>
      </c>
      <c r="AF538">
        <v>73</v>
      </c>
      <c r="AG538">
        <v>80</v>
      </c>
      <c r="AH538">
        <v>82</v>
      </c>
      <c r="AI538">
        <v>3.97</v>
      </c>
    </row>
    <row r="539" spans="1:35" x14ac:dyDescent="0.5">
      <c r="A539" s="35">
        <v>2017</v>
      </c>
      <c r="B539" t="s">
        <v>95</v>
      </c>
      <c r="C539" t="s">
        <v>149</v>
      </c>
      <c r="D539">
        <v>626</v>
      </c>
      <c r="E539">
        <v>162</v>
      </c>
      <c r="F539">
        <v>2</v>
      </c>
      <c r="G539">
        <v>6</v>
      </c>
      <c r="H539">
        <v>160</v>
      </c>
      <c r="I539">
        <v>29</v>
      </c>
      <c r="J539">
        <v>1434.1</v>
      </c>
      <c r="K539">
        <v>1443</v>
      </c>
      <c r="L539">
        <v>816</v>
      </c>
      <c r="M539" s="58">
        <f t="shared" si="32"/>
        <v>2017</v>
      </c>
      <c r="N539" s="58" t="s">
        <v>94</v>
      </c>
      <c r="O539" s="58" t="str">
        <f t="shared" si="35"/>
        <v>2017 Texas Rangers</v>
      </c>
      <c r="P539" s="58">
        <v>6211</v>
      </c>
      <c r="Q539" s="58">
        <f t="shared" si="33"/>
        <v>929</v>
      </c>
      <c r="R539" s="58">
        <v>287</v>
      </c>
      <c r="S539" s="58">
        <v>13</v>
      </c>
      <c r="T539" s="58">
        <v>214</v>
      </c>
      <c r="U539" s="58">
        <v>559</v>
      </c>
      <c r="V539" s="58">
        <v>74</v>
      </c>
      <c r="W539" s="58">
        <f t="shared" si="34"/>
        <v>4135</v>
      </c>
      <c r="X539">
        <v>742</v>
      </c>
      <c r="Y539">
        <v>22</v>
      </c>
      <c r="Z539">
        <v>1107</v>
      </c>
      <c r="AA539">
        <v>11</v>
      </c>
      <c r="AB539">
        <v>40</v>
      </c>
      <c r="AC539">
        <v>63</v>
      </c>
      <c r="AD539">
        <v>7</v>
      </c>
      <c r="AE539">
        <v>156</v>
      </c>
      <c r="AF539">
        <v>67</v>
      </c>
      <c r="AG539">
        <v>78</v>
      </c>
      <c r="AH539">
        <v>84</v>
      </c>
      <c r="AI539">
        <v>4.66</v>
      </c>
    </row>
    <row r="540" spans="1:35" x14ac:dyDescent="0.5">
      <c r="A540" s="35">
        <v>2017</v>
      </c>
      <c r="B540" t="s">
        <v>97</v>
      </c>
      <c r="C540" t="s">
        <v>149</v>
      </c>
      <c r="D540">
        <v>740</v>
      </c>
      <c r="E540">
        <v>162</v>
      </c>
      <c r="F540">
        <v>2</v>
      </c>
      <c r="G540">
        <v>6</v>
      </c>
      <c r="H540">
        <v>160</v>
      </c>
      <c r="I540">
        <v>45</v>
      </c>
      <c r="J540">
        <v>1465</v>
      </c>
      <c r="K540">
        <v>1460</v>
      </c>
      <c r="L540">
        <v>784</v>
      </c>
      <c r="M540" s="58">
        <f t="shared" si="32"/>
        <v>2017</v>
      </c>
      <c r="N540" s="58" t="s">
        <v>96</v>
      </c>
      <c r="O540" s="58" t="str">
        <f t="shared" si="35"/>
        <v>2017 Toronto Blue Jays</v>
      </c>
      <c r="P540" s="58">
        <v>6316</v>
      </c>
      <c r="Q540" s="58">
        <f t="shared" si="33"/>
        <v>921</v>
      </c>
      <c r="R540" s="58">
        <v>310</v>
      </c>
      <c r="S540" s="58">
        <v>26</v>
      </c>
      <c r="T540" s="58">
        <v>203</v>
      </c>
      <c r="U540" s="58">
        <v>549</v>
      </c>
      <c r="V540" s="58">
        <v>48</v>
      </c>
      <c r="W540" s="58">
        <f t="shared" si="34"/>
        <v>4259</v>
      </c>
      <c r="X540">
        <v>720</v>
      </c>
      <c r="Y540">
        <v>25</v>
      </c>
      <c r="Z540">
        <v>1372</v>
      </c>
      <c r="AA540">
        <v>14</v>
      </c>
      <c r="AB540">
        <v>38</v>
      </c>
      <c r="AC540">
        <v>53</v>
      </c>
      <c r="AD540">
        <v>4</v>
      </c>
      <c r="AE540">
        <v>128</v>
      </c>
      <c r="AF540">
        <v>63</v>
      </c>
      <c r="AG540">
        <v>76</v>
      </c>
      <c r="AH540">
        <v>86</v>
      </c>
      <c r="AI540">
        <v>4.42</v>
      </c>
    </row>
    <row r="541" spans="1:35" x14ac:dyDescent="0.5">
      <c r="A541" s="35">
        <v>2017</v>
      </c>
      <c r="B541" t="s">
        <v>101</v>
      </c>
      <c r="C541" t="s">
        <v>38</v>
      </c>
      <c r="D541">
        <v>649</v>
      </c>
      <c r="E541">
        <v>162</v>
      </c>
      <c r="F541">
        <v>3</v>
      </c>
      <c r="G541">
        <v>5</v>
      </c>
      <c r="H541">
        <v>159</v>
      </c>
      <c r="I541">
        <v>46</v>
      </c>
      <c r="J541">
        <v>1446.2</v>
      </c>
      <c r="K541">
        <v>1300</v>
      </c>
      <c r="L541">
        <v>672</v>
      </c>
      <c r="M541" s="58">
        <f t="shared" si="32"/>
        <v>2017</v>
      </c>
      <c r="N541" s="58" t="s">
        <v>100</v>
      </c>
      <c r="O541" s="58" t="str">
        <f t="shared" si="35"/>
        <v>2017 Washington Nationals</v>
      </c>
      <c r="P541" s="58">
        <v>6068</v>
      </c>
      <c r="Q541" s="58">
        <f t="shared" si="33"/>
        <v>845</v>
      </c>
      <c r="R541" s="58">
        <v>243</v>
      </c>
      <c r="S541" s="58">
        <v>23</v>
      </c>
      <c r="T541" s="58">
        <v>189</v>
      </c>
      <c r="U541" s="58">
        <v>495</v>
      </c>
      <c r="V541" s="58">
        <v>60</v>
      </c>
      <c r="W541" s="58">
        <f t="shared" si="34"/>
        <v>4213</v>
      </c>
      <c r="X541">
        <v>623</v>
      </c>
      <c r="Y541">
        <v>39</v>
      </c>
      <c r="Z541">
        <v>1457</v>
      </c>
      <c r="AA541">
        <v>35</v>
      </c>
      <c r="AB541">
        <v>31</v>
      </c>
      <c r="AC541">
        <v>44</v>
      </c>
      <c r="AD541">
        <v>5</v>
      </c>
      <c r="AE541">
        <v>119</v>
      </c>
      <c r="AF541">
        <v>57</v>
      </c>
      <c r="AG541">
        <v>97</v>
      </c>
      <c r="AH541">
        <v>65</v>
      </c>
      <c r="AI541">
        <v>3.88</v>
      </c>
    </row>
    <row r="542" spans="1:35" x14ac:dyDescent="0.5">
      <c r="A542" s="35">
        <v>2018</v>
      </c>
      <c r="B542" t="s">
        <v>37</v>
      </c>
      <c r="C542" t="s">
        <v>149</v>
      </c>
      <c r="D542">
        <v>763</v>
      </c>
      <c r="E542">
        <v>162</v>
      </c>
      <c r="F542">
        <v>1</v>
      </c>
      <c r="G542">
        <v>9</v>
      </c>
      <c r="H542">
        <v>161</v>
      </c>
      <c r="I542">
        <v>35</v>
      </c>
      <c r="J542">
        <v>1437.1</v>
      </c>
      <c r="K542">
        <v>1353</v>
      </c>
      <c r="L542">
        <v>722</v>
      </c>
      <c r="M542" s="58">
        <f t="shared" si="32"/>
        <v>2018</v>
      </c>
      <c r="N542" s="58" t="s">
        <v>36</v>
      </c>
      <c r="O542" s="58" t="str">
        <f t="shared" si="35"/>
        <v>2018 Anaheim Angels</v>
      </c>
      <c r="P542" s="58">
        <v>6108</v>
      </c>
      <c r="Q542" s="58">
        <f t="shared" si="33"/>
        <v>873</v>
      </c>
      <c r="R542" s="58">
        <v>256</v>
      </c>
      <c r="S542" s="58">
        <v>19</v>
      </c>
      <c r="T542" s="58">
        <v>205</v>
      </c>
      <c r="U542" s="58">
        <v>546</v>
      </c>
      <c r="V542" s="58">
        <v>65</v>
      </c>
      <c r="W542" s="58">
        <f t="shared" si="34"/>
        <v>4144</v>
      </c>
      <c r="X542">
        <v>662</v>
      </c>
      <c r="Y542">
        <v>17</v>
      </c>
      <c r="Z542">
        <v>1386</v>
      </c>
      <c r="AA542">
        <v>14</v>
      </c>
      <c r="AB542">
        <v>35</v>
      </c>
      <c r="AC542">
        <v>87</v>
      </c>
      <c r="AD542">
        <v>3</v>
      </c>
      <c r="AE542">
        <v>147</v>
      </c>
      <c r="AF542">
        <v>61</v>
      </c>
      <c r="AG542">
        <v>80</v>
      </c>
      <c r="AH542">
        <v>82</v>
      </c>
      <c r="AI542">
        <v>4.1500000000000004</v>
      </c>
    </row>
    <row r="543" spans="1:35" x14ac:dyDescent="0.5">
      <c r="A543" s="35">
        <v>2018</v>
      </c>
      <c r="B543" t="s">
        <v>40</v>
      </c>
      <c r="C543" t="s">
        <v>38</v>
      </c>
      <c r="D543">
        <v>735</v>
      </c>
      <c r="E543">
        <v>162</v>
      </c>
      <c r="F543">
        <v>2</v>
      </c>
      <c r="G543">
        <v>9</v>
      </c>
      <c r="H543">
        <v>160</v>
      </c>
      <c r="I543">
        <v>39</v>
      </c>
      <c r="J543">
        <v>1463</v>
      </c>
      <c r="K543">
        <v>1313</v>
      </c>
      <c r="L543">
        <v>644</v>
      </c>
      <c r="M543" s="58">
        <f t="shared" si="32"/>
        <v>2018</v>
      </c>
      <c r="N543" s="58" t="s">
        <v>39</v>
      </c>
      <c r="O543" s="58" t="str">
        <f t="shared" si="35"/>
        <v>2018 Arizona Diamondbacks</v>
      </c>
      <c r="P543" s="58">
        <v>6139</v>
      </c>
      <c r="Q543" s="58">
        <f t="shared" si="33"/>
        <v>861</v>
      </c>
      <c r="R543" s="58">
        <v>259</v>
      </c>
      <c r="S543" s="58">
        <v>19</v>
      </c>
      <c r="T543" s="58">
        <v>174</v>
      </c>
      <c r="U543" s="58">
        <v>522</v>
      </c>
      <c r="V543" s="58">
        <v>57</v>
      </c>
      <c r="W543" s="58">
        <f t="shared" si="34"/>
        <v>4247</v>
      </c>
      <c r="X543">
        <v>605</v>
      </c>
      <c r="Y543">
        <v>43</v>
      </c>
      <c r="Z543">
        <v>1448</v>
      </c>
      <c r="AA543">
        <v>29</v>
      </c>
      <c r="AB543">
        <v>34</v>
      </c>
      <c r="AC543">
        <v>69</v>
      </c>
      <c r="AD543">
        <v>5</v>
      </c>
      <c r="AE543">
        <v>136</v>
      </c>
      <c r="AF543">
        <v>53</v>
      </c>
      <c r="AG543">
        <v>82</v>
      </c>
      <c r="AH543">
        <v>80</v>
      </c>
      <c r="AI543">
        <v>3.72</v>
      </c>
    </row>
    <row r="544" spans="1:35" x14ac:dyDescent="0.5">
      <c r="A544" s="35">
        <v>2018</v>
      </c>
      <c r="B544" t="s">
        <v>42</v>
      </c>
      <c r="C544" t="s">
        <v>38</v>
      </c>
      <c r="D544">
        <v>715</v>
      </c>
      <c r="E544">
        <v>162</v>
      </c>
      <c r="F544">
        <v>2</v>
      </c>
      <c r="G544">
        <v>11</v>
      </c>
      <c r="H544">
        <v>160</v>
      </c>
      <c r="I544">
        <v>40</v>
      </c>
      <c r="J544">
        <v>1456.2</v>
      </c>
      <c r="K544">
        <v>1236</v>
      </c>
      <c r="L544">
        <v>657</v>
      </c>
      <c r="M544" s="58">
        <f t="shared" si="32"/>
        <v>2018</v>
      </c>
      <c r="N544" s="58" t="s">
        <v>41</v>
      </c>
      <c r="O544" s="58" t="str">
        <f t="shared" si="35"/>
        <v>2018 Atlanta Braves</v>
      </c>
      <c r="P544" s="58">
        <v>6155</v>
      </c>
      <c r="Q544" s="58">
        <f t="shared" si="33"/>
        <v>809</v>
      </c>
      <c r="R544" s="58">
        <v>248</v>
      </c>
      <c r="S544" s="58">
        <v>26</v>
      </c>
      <c r="T544" s="58">
        <v>153</v>
      </c>
      <c r="U544" s="58">
        <v>635</v>
      </c>
      <c r="V544" s="58">
        <v>52</v>
      </c>
      <c r="W544" s="58">
        <f t="shared" si="34"/>
        <v>4232</v>
      </c>
      <c r="X544">
        <v>607</v>
      </c>
      <c r="Y544">
        <v>43</v>
      </c>
      <c r="Z544">
        <v>1423</v>
      </c>
      <c r="AA544">
        <v>39</v>
      </c>
      <c r="AB544">
        <v>35</v>
      </c>
      <c r="AC544">
        <v>61</v>
      </c>
      <c r="AD544">
        <v>8</v>
      </c>
      <c r="AE544">
        <v>113</v>
      </c>
      <c r="AF544">
        <v>53</v>
      </c>
      <c r="AG544">
        <v>90</v>
      </c>
      <c r="AH544">
        <v>72</v>
      </c>
      <c r="AI544">
        <v>3.75</v>
      </c>
    </row>
    <row r="545" spans="1:35" x14ac:dyDescent="0.5">
      <c r="A545" s="35">
        <v>2018</v>
      </c>
      <c r="B545" t="s">
        <v>45</v>
      </c>
      <c r="C545" t="s">
        <v>149</v>
      </c>
      <c r="D545">
        <v>652</v>
      </c>
      <c r="E545">
        <v>162</v>
      </c>
      <c r="F545">
        <v>2</v>
      </c>
      <c r="G545">
        <v>7</v>
      </c>
      <c r="H545">
        <v>160</v>
      </c>
      <c r="I545">
        <v>28</v>
      </c>
      <c r="J545">
        <v>1431</v>
      </c>
      <c r="K545">
        <v>1552</v>
      </c>
      <c r="L545">
        <v>892</v>
      </c>
      <c r="M545" s="58">
        <f t="shared" si="32"/>
        <v>2018</v>
      </c>
      <c r="N545" s="58" t="s">
        <v>44</v>
      </c>
      <c r="O545" s="58" t="str">
        <f t="shared" si="35"/>
        <v>2018 Baltimore Orioles</v>
      </c>
      <c r="P545" s="58">
        <v>6340</v>
      </c>
      <c r="Q545" s="58">
        <f t="shared" si="33"/>
        <v>959</v>
      </c>
      <c r="R545" s="58">
        <v>325</v>
      </c>
      <c r="S545" s="58">
        <v>34</v>
      </c>
      <c r="T545" s="58">
        <v>234</v>
      </c>
      <c r="U545" s="58">
        <v>589</v>
      </c>
      <c r="V545" s="58">
        <v>67</v>
      </c>
      <c r="W545" s="58">
        <f t="shared" si="34"/>
        <v>4132</v>
      </c>
      <c r="X545">
        <v>824</v>
      </c>
      <c r="Y545">
        <v>29</v>
      </c>
      <c r="Z545">
        <v>1203</v>
      </c>
      <c r="AA545">
        <v>17</v>
      </c>
      <c r="AB545">
        <v>42</v>
      </c>
      <c r="AC545">
        <v>81</v>
      </c>
      <c r="AD545">
        <v>8</v>
      </c>
      <c r="AE545">
        <v>130</v>
      </c>
      <c r="AF545">
        <v>69</v>
      </c>
      <c r="AG545">
        <v>47</v>
      </c>
      <c r="AH545">
        <v>115</v>
      </c>
      <c r="AI545">
        <v>5.18</v>
      </c>
    </row>
    <row r="546" spans="1:35" x14ac:dyDescent="0.5">
      <c r="A546" s="35">
        <v>2018</v>
      </c>
      <c r="B546" t="s">
        <v>47</v>
      </c>
      <c r="C546" t="s">
        <v>149</v>
      </c>
      <c r="D546">
        <v>697</v>
      </c>
      <c r="E546">
        <v>162</v>
      </c>
      <c r="F546">
        <v>2</v>
      </c>
      <c r="G546">
        <v>14</v>
      </c>
      <c r="H546">
        <v>160</v>
      </c>
      <c r="I546">
        <v>46</v>
      </c>
      <c r="J546">
        <v>1458.2</v>
      </c>
      <c r="K546">
        <v>1305</v>
      </c>
      <c r="L546">
        <v>647</v>
      </c>
      <c r="M546" s="58">
        <f t="shared" si="32"/>
        <v>2018</v>
      </c>
      <c r="N546" s="58" t="s">
        <v>46</v>
      </c>
      <c r="O546" s="58" t="str">
        <f t="shared" si="35"/>
        <v>2018 Boston Red Sox</v>
      </c>
      <c r="P546" s="58">
        <v>6166</v>
      </c>
      <c r="Q546" s="58">
        <f t="shared" si="33"/>
        <v>848</v>
      </c>
      <c r="R546" s="58">
        <v>246</v>
      </c>
      <c r="S546" s="58">
        <v>35</v>
      </c>
      <c r="T546" s="58">
        <v>176</v>
      </c>
      <c r="U546" s="58">
        <v>512</v>
      </c>
      <c r="V546" s="58">
        <v>84</v>
      </c>
      <c r="W546" s="58">
        <f t="shared" si="34"/>
        <v>4265</v>
      </c>
      <c r="X546">
        <v>608</v>
      </c>
      <c r="Y546">
        <v>8</v>
      </c>
      <c r="Z546">
        <v>1558</v>
      </c>
      <c r="AA546">
        <v>9</v>
      </c>
      <c r="AB546">
        <v>46</v>
      </c>
      <c r="AC546">
        <v>51</v>
      </c>
      <c r="AD546">
        <v>3</v>
      </c>
      <c r="AE546">
        <v>88</v>
      </c>
      <c r="AF546">
        <v>53</v>
      </c>
      <c r="AG546">
        <v>108</v>
      </c>
      <c r="AH546">
        <v>54</v>
      </c>
      <c r="AI546">
        <v>3.75</v>
      </c>
    </row>
    <row r="547" spans="1:35" x14ac:dyDescent="0.5">
      <c r="A547" s="35">
        <v>2018</v>
      </c>
      <c r="B547" t="s">
        <v>143</v>
      </c>
      <c r="C547" t="s">
        <v>38</v>
      </c>
      <c r="D547">
        <v>763</v>
      </c>
      <c r="E547">
        <v>163</v>
      </c>
      <c r="F547">
        <v>1</v>
      </c>
      <c r="G547">
        <v>18</v>
      </c>
      <c r="H547">
        <v>162</v>
      </c>
      <c r="I547">
        <v>46</v>
      </c>
      <c r="J547">
        <v>1476.1</v>
      </c>
      <c r="K547">
        <v>1319</v>
      </c>
      <c r="L547">
        <v>645</v>
      </c>
      <c r="M547" s="58">
        <f t="shared" si="32"/>
        <v>2018</v>
      </c>
      <c r="N547" s="58" t="s">
        <v>50</v>
      </c>
      <c r="O547" s="58" t="str">
        <f t="shared" si="35"/>
        <v>2018 Chicago Cubs</v>
      </c>
      <c r="P547" s="58">
        <v>6264</v>
      </c>
      <c r="Q547" s="58">
        <f t="shared" si="33"/>
        <v>913</v>
      </c>
      <c r="R547" s="58">
        <v>221</v>
      </c>
      <c r="S547" s="58">
        <v>28</v>
      </c>
      <c r="T547" s="58">
        <v>157</v>
      </c>
      <c r="U547" s="58">
        <v>622</v>
      </c>
      <c r="V547" s="58">
        <v>66</v>
      </c>
      <c r="W547" s="58">
        <f t="shared" si="34"/>
        <v>4257</v>
      </c>
      <c r="X547">
        <v>598</v>
      </c>
      <c r="Y547">
        <v>33</v>
      </c>
      <c r="Z547">
        <v>1333</v>
      </c>
      <c r="AA547">
        <v>39</v>
      </c>
      <c r="AB547">
        <v>35</v>
      </c>
      <c r="AC547">
        <v>46</v>
      </c>
      <c r="AD547">
        <v>3</v>
      </c>
      <c r="AE547">
        <v>137</v>
      </c>
      <c r="AF547">
        <v>61</v>
      </c>
      <c r="AG547">
        <v>95</v>
      </c>
      <c r="AH547">
        <v>68</v>
      </c>
      <c r="AI547">
        <v>3.65</v>
      </c>
    </row>
    <row r="548" spans="1:35" x14ac:dyDescent="0.5">
      <c r="A548" s="35">
        <v>2018</v>
      </c>
      <c r="B548" t="s">
        <v>143</v>
      </c>
      <c r="C548" t="s">
        <v>149</v>
      </c>
      <c r="D548">
        <v>715</v>
      </c>
      <c r="E548">
        <v>162</v>
      </c>
      <c r="F548">
        <v>0</v>
      </c>
      <c r="G548">
        <v>8</v>
      </c>
      <c r="H548">
        <v>162</v>
      </c>
      <c r="I548">
        <v>34</v>
      </c>
      <c r="J548">
        <v>1437</v>
      </c>
      <c r="K548">
        <v>1405</v>
      </c>
      <c r="L548">
        <v>848</v>
      </c>
      <c r="M548" s="58">
        <f t="shared" si="32"/>
        <v>2018</v>
      </c>
      <c r="N548" s="58" t="s">
        <v>48</v>
      </c>
      <c r="O548" s="58" t="str">
        <f t="shared" si="35"/>
        <v>2018 Chicago White Sox</v>
      </c>
      <c r="P548" s="58">
        <v>6339</v>
      </c>
      <c r="Q548" s="58">
        <f t="shared" si="33"/>
        <v>893</v>
      </c>
      <c r="R548" s="58">
        <v>292</v>
      </c>
      <c r="S548" s="58">
        <v>24</v>
      </c>
      <c r="T548" s="58">
        <v>196</v>
      </c>
      <c r="U548" s="58">
        <v>653</v>
      </c>
      <c r="V548" s="58">
        <v>89</v>
      </c>
      <c r="W548" s="58">
        <f t="shared" si="34"/>
        <v>4192</v>
      </c>
      <c r="X548">
        <v>772</v>
      </c>
      <c r="Y548">
        <v>25</v>
      </c>
      <c r="Z548">
        <v>1259</v>
      </c>
      <c r="AA548">
        <v>18</v>
      </c>
      <c r="AB548">
        <v>47</v>
      </c>
      <c r="AC548">
        <v>94</v>
      </c>
      <c r="AD548">
        <v>9</v>
      </c>
      <c r="AE548">
        <v>100</v>
      </c>
      <c r="AF548">
        <v>83</v>
      </c>
      <c r="AG548">
        <v>62</v>
      </c>
      <c r="AH548">
        <v>100</v>
      </c>
      <c r="AI548">
        <v>4.84</v>
      </c>
    </row>
    <row r="549" spans="1:35" x14ac:dyDescent="0.5">
      <c r="A549" s="35">
        <v>2018</v>
      </c>
      <c r="B549" t="s">
        <v>53</v>
      </c>
      <c r="C549" t="s">
        <v>38</v>
      </c>
      <c r="D549">
        <v>706</v>
      </c>
      <c r="E549">
        <v>162</v>
      </c>
      <c r="F549">
        <v>1</v>
      </c>
      <c r="G549">
        <v>6</v>
      </c>
      <c r="H549">
        <v>161</v>
      </c>
      <c r="I549">
        <v>38</v>
      </c>
      <c r="J549">
        <v>1441</v>
      </c>
      <c r="K549">
        <v>1491</v>
      </c>
      <c r="L549">
        <v>819</v>
      </c>
      <c r="M549" s="58">
        <f t="shared" si="32"/>
        <v>2018</v>
      </c>
      <c r="N549" s="58" t="s">
        <v>52</v>
      </c>
      <c r="O549" s="58" t="str">
        <f t="shared" si="35"/>
        <v>2018 Cincinnati Reds</v>
      </c>
      <c r="P549" s="58">
        <v>6279</v>
      </c>
      <c r="Q549" s="58">
        <f t="shared" si="33"/>
        <v>945</v>
      </c>
      <c r="R549" s="58">
        <v>291</v>
      </c>
      <c r="S549" s="58">
        <v>27</v>
      </c>
      <c r="T549" s="58">
        <v>228</v>
      </c>
      <c r="U549" s="58">
        <v>532</v>
      </c>
      <c r="V549" s="58">
        <v>50</v>
      </c>
      <c r="W549" s="58">
        <f t="shared" si="34"/>
        <v>4206</v>
      </c>
      <c r="X549">
        <v>741</v>
      </c>
      <c r="Y549">
        <v>60</v>
      </c>
      <c r="Z549">
        <v>1258</v>
      </c>
      <c r="AA549">
        <v>43</v>
      </c>
      <c r="AB549">
        <v>48</v>
      </c>
      <c r="AC549">
        <v>48</v>
      </c>
      <c r="AD549">
        <v>8</v>
      </c>
      <c r="AE549">
        <v>118</v>
      </c>
      <c r="AF549">
        <v>73</v>
      </c>
      <c r="AG549">
        <v>67</v>
      </c>
      <c r="AH549">
        <v>95</v>
      </c>
      <c r="AI549">
        <v>4.63</v>
      </c>
    </row>
    <row r="550" spans="1:35" x14ac:dyDescent="0.5">
      <c r="A550" s="35">
        <v>2018</v>
      </c>
      <c r="B550" t="s">
        <v>55</v>
      </c>
      <c r="C550" t="s">
        <v>149</v>
      </c>
      <c r="D550">
        <v>671</v>
      </c>
      <c r="E550">
        <v>162</v>
      </c>
      <c r="F550">
        <v>5</v>
      </c>
      <c r="G550">
        <v>17</v>
      </c>
      <c r="H550">
        <v>157</v>
      </c>
      <c r="I550">
        <v>41</v>
      </c>
      <c r="J550">
        <v>1457.1</v>
      </c>
      <c r="K550">
        <v>1349</v>
      </c>
      <c r="L550">
        <v>648</v>
      </c>
      <c r="M550" s="58">
        <f t="shared" si="32"/>
        <v>2018</v>
      </c>
      <c r="N550" s="58" t="s">
        <v>54</v>
      </c>
      <c r="O550" s="58" t="str">
        <f t="shared" si="35"/>
        <v>2018 Cleveland Indians</v>
      </c>
      <c r="P550" s="58">
        <v>6071</v>
      </c>
      <c r="Q550" s="58">
        <f t="shared" si="33"/>
        <v>815</v>
      </c>
      <c r="R550" s="58">
        <v>311</v>
      </c>
      <c r="S550" s="58">
        <v>23</v>
      </c>
      <c r="T550" s="58">
        <v>200</v>
      </c>
      <c r="U550" s="58">
        <v>407</v>
      </c>
      <c r="V550" s="58">
        <v>59</v>
      </c>
      <c r="W550" s="58">
        <f t="shared" si="34"/>
        <v>4256</v>
      </c>
      <c r="X550">
        <v>611</v>
      </c>
      <c r="Y550">
        <v>29</v>
      </c>
      <c r="Z550">
        <v>1544</v>
      </c>
      <c r="AA550">
        <v>16</v>
      </c>
      <c r="AB550">
        <v>21</v>
      </c>
      <c r="AC550">
        <v>54</v>
      </c>
      <c r="AD550">
        <v>2</v>
      </c>
      <c r="AE550">
        <v>98</v>
      </c>
      <c r="AF550">
        <v>59</v>
      </c>
      <c r="AG550">
        <v>91</v>
      </c>
      <c r="AH550">
        <v>71</v>
      </c>
      <c r="AI550">
        <v>3.77</v>
      </c>
    </row>
    <row r="551" spans="1:35" x14ac:dyDescent="0.5">
      <c r="A551" s="35">
        <v>2018</v>
      </c>
      <c r="B551" t="s">
        <v>57</v>
      </c>
      <c r="C551" t="s">
        <v>38</v>
      </c>
      <c r="D551">
        <v>681</v>
      </c>
      <c r="E551">
        <v>163</v>
      </c>
      <c r="F551">
        <v>0</v>
      </c>
      <c r="G551">
        <v>10</v>
      </c>
      <c r="H551">
        <v>163</v>
      </c>
      <c r="I551">
        <v>51</v>
      </c>
      <c r="J551">
        <v>1452.1</v>
      </c>
      <c r="K551">
        <v>1378</v>
      </c>
      <c r="L551">
        <v>745</v>
      </c>
      <c r="M551" s="58">
        <f t="shared" si="32"/>
        <v>2018</v>
      </c>
      <c r="N551" s="58" t="s">
        <v>56</v>
      </c>
      <c r="O551" s="58" t="str">
        <f t="shared" si="35"/>
        <v>2018 Colorado Rockies</v>
      </c>
      <c r="P551" s="58">
        <v>6154</v>
      </c>
      <c r="Q551" s="58">
        <f t="shared" si="33"/>
        <v>878</v>
      </c>
      <c r="R551" s="58">
        <v>268</v>
      </c>
      <c r="S551" s="58">
        <v>48</v>
      </c>
      <c r="T551" s="58">
        <v>184</v>
      </c>
      <c r="U551" s="58">
        <v>525</v>
      </c>
      <c r="V551" s="58">
        <v>52</v>
      </c>
      <c r="W551" s="58">
        <f t="shared" si="34"/>
        <v>4199</v>
      </c>
      <c r="X551">
        <v>699</v>
      </c>
      <c r="Y551">
        <v>24</v>
      </c>
      <c r="Z551">
        <v>1409</v>
      </c>
      <c r="AA551">
        <v>25</v>
      </c>
      <c r="AB551">
        <v>47</v>
      </c>
      <c r="AC551">
        <v>70</v>
      </c>
      <c r="AD551">
        <v>8</v>
      </c>
      <c r="AE551">
        <v>137</v>
      </c>
      <c r="AF551">
        <v>55</v>
      </c>
      <c r="AG551">
        <v>91</v>
      </c>
      <c r="AH551">
        <v>72</v>
      </c>
      <c r="AI551">
        <v>4.33</v>
      </c>
    </row>
    <row r="552" spans="1:35" x14ac:dyDescent="0.5">
      <c r="A552" s="35">
        <v>2018</v>
      </c>
      <c r="B552" t="s">
        <v>59</v>
      </c>
      <c r="C552" t="s">
        <v>149</v>
      </c>
      <c r="D552">
        <v>704</v>
      </c>
      <c r="E552">
        <v>162</v>
      </c>
      <c r="F552">
        <v>0</v>
      </c>
      <c r="G552">
        <v>2</v>
      </c>
      <c r="H552">
        <v>162</v>
      </c>
      <c r="I552">
        <v>37</v>
      </c>
      <c r="J552">
        <v>1425.1</v>
      </c>
      <c r="K552">
        <v>1423</v>
      </c>
      <c r="L552">
        <v>796</v>
      </c>
      <c r="M552" s="58">
        <f t="shared" si="32"/>
        <v>2018</v>
      </c>
      <c r="N552" s="58" t="s">
        <v>58</v>
      </c>
      <c r="O552" s="58" t="str">
        <f t="shared" si="35"/>
        <v>2018 Detroit Tigers</v>
      </c>
      <c r="P552" s="58">
        <v>6130</v>
      </c>
      <c r="Q552" s="58">
        <f t="shared" si="33"/>
        <v>895</v>
      </c>
      <c r="R552" s="58">
        <v>278</v>
      </c>
      <c r="S552" s="58">
        <v>34</v>
      </c>
      <c r="T552" s="58">
        <v>216</v>
      </c>
      <c r="U552" s="58">
        <v>491</v>
      </c>
      <c r="V552" s="58">
        <v>60</v>
      </c>
      <c r="W552" s="58">
        <f t="shared" si="34"/>
        <v>4156</v>
      </c>
      <c r="X552">
        <v>726</v>
      </c>
      <c r="Y552">
        <v>20</v>
      </c>
      <c r="Z552">
        <v>1215</v>
      </c>
      <c r="AA552">
        <v>16</v>
      </c>
      <c r="AB552">
        <v>57</v>
      </c>
      <c r="AC552">
        <v>54</v>
      </c>
      <c r="AD552">
        <v>4</v>
      </c>
      <c r="AE552">
        <v>100</v>
      </c>
      <c r="AF552">
        <v>65</v>
      </c>
      <c r="AG552">
        <v>64</v>
      </c>
      <c r="AH552">
        <v>98</v>
      </c>
      <c r="AI552">
        <v>4.58</v>
      </c>
    </row>
    <row r="553" spans="1:35" x14ac:dyDescent="0.5">
      <c r="A553" s="35">
        <v>2018</v>
      </c>
      <c r="B553" t="s">
        <v>63</v>
      </c>
      <c r="C553" t="s">
        <v>149</v>
      </c>
      <c r="D553">
        <v>672</v>
      </c>
      <c r="E553">
        <v>162</v>
      </c>
      <c r="F553">
        <v>3</v>
      </c>
      <c r="G553">
        <v>12</v>
      </c>
      <c r="H553">
        <v>159</v>
      </c>
      <c r="I553">
        <v>46</v>
      </c>
      <c r="J553">
        <v>1455</v>
      </c>
      <c r="K553">
        <v>1164</v>
      </c>
      <c r="L553">
        <v>534</v>
      </c>
      <c r="M553" s="58">
        <f t="shared" si="32"/>
        <v>2018</v>
      </c>
      <c r="N553" s="58" t="s">
        <v>60</v>
      </c>
      <c r="O553" s="58" t="str">
        <f t="shared" si="35"/>
        <v>2018 Florida Marlins</v>
      </c>
      <c r="P553" s="58">
        <v>5913</v>
      </c>
      <c r="Q553" s="58">
        <f t="shared" si="33"/>
        <v>734</v>
      </c>
      <c r="R553" s="58">
        <v>257</v>
      </c>
      <c r="S553" s="58">
        <v>21</v>
      </c>
      <c r="T553" s="58">
        <v>152</v>
      </c>
      <c r="U553" s="58">
        <v>435</v>
      </c>
      <c r="V553" s="58">
        <v>66</v>
      </c>
      <c r="W553" s="58">
        <f t="shared" si="34"/>
        <v>4248</v>
      </c>
      <c r="X553">
        <v>503</v>
      </c>
      <c r="Y553">
        <v>4</v>
      </c>
      <c r="Z553">
        <v>1687</v>
      </c>
      <c r="AA553">
        <v>12</v>
      </c>
      <c r="AB553">
        <v>34</v>
      </c>
      <c r="AC553">
        <v>67</v>
      </c>
      <c r="AD553">
        <v>4</v>
      </c>
      <c r="AE553">
        <v>95</v>
      </c>
      <c r="AF553">
        <v>45</v>
      </c>
      <c r="AG553">
        <v>103</v>
      </c>
      <c r="AH553">
        <v>59</v>
      </c>
      <c r="AI553">
        <v>3.11</v>
      </c>
    </row>
    <row r="554" spans="1:35" x14ac:dyDescent="0.5">
      <c r="A554" s="35">
        <v>2018</v>
      </c>
      <c r="B554" t="s">
        <v>150</v>
      </c>
      <c r="C554" t="s">
        <v>149</v>
      </c>
      <c r="D554">
        <v>645</v>
      </c>
      <c r="E554">
        <v>162</v>
      </c>
      <c r="F554">
        <v>2</v>
      </c>
      <c r="G554">
        <v>8</v>
      </c>
      <c r="H554">
        <v>160</v>
      </c>
      <c r="I554">
        <v>33</v>
      </c>
      <c r="J554">
        <v>1432</v>
      </c>
      <c r="K554">
        <v>1542</v>
      </c>
      <c r="L554">
        <v>833</v>
      </c>
      <c r="M554" s="58">
        <f t="shared" si="32"/>
        <v>2018</v>
      </c>
      <c r="N554" s="58" t="s">
        <v>62</v>
      </c>
      <c r="O554" s="58" t="str">
        <f t="shared" si="35"/>
        <v>2018 Houston Astros</v>
      </c>
      <c r="P554" s="58">
        <v>6284</v>
      </c>
      <c r="Q554" s="58">
        <f t="shared" si="33"/>
        <v>1030</v>
      </c>
      <c r="R554" s="58">
        <v>271</v>
      </c>
      <c r="S554" s="58">
        <v>36</v>
      </c>
      <c r="T554" s="58">
        <v>205</v>
      </c>
      <c r="U554" s="58">
        <v>549</v>
      </c>
      <c r="V554" s="58">
        <v>51</v>
      </c>
      <c r="W554" s="58">
        <f t="shared" si="34"/>
        <v>4142</v>
      </c>
      <c r="X554">
        <v>786</v>
      </c>
      <c r="Y554">
        <v>28</v>
      </c>
      <c r="Z554">
        <v>1157</v>
      </c>
      <c r="AA554">
        <v>23</v>
      </c>
      <c r="AB554">
        <v>57</v>
      </c>
      <c r="AC554">
        <v>68</v>
      </c>
      <c r="AD554">
        <v>4</v>
      </c>
      <c r="AE554">
        <v>121</v>
      </c>
      <c r="AF554">
        <v>52</v>
      </c>
      <c r="AG554">
        <v>58</v>
      </c>
      <c r="AH554">
        <v>104</v>
      </c>
      <c r="AI554">
        <v>4.9400000000000004</v>
      </c>
    </row>
    <row r="555" spans="1:35" x14ac:dyDescent="0.5">
      <c r="A555" s="35">
        <v>2018</v>
      </c>
      <c r="B555" t="s">
        <v>145</v>
      </c>
      <c r="C555" t="s">
        <v>38</v>
      </c>
      <c r="D555">
        <v>756</v>
      </c>
      <c r="E555">
        <v>163</v>
      </c>
      <c r="F555">
        <v>0</v>
      </c>
      <c r="G555">
        <v>11</v>
      </c>
      <c r="H555">
        <v>163</v>
      </c>
      <c r="I555">
        <v>48</v>
      </c>
      <c r="J555">
        <v>1476</v>
      </c>
      <c r="K555">
        <v>1279</v>
      </c>
      <c r="L555">
        <v>610</v>
      </c>
      <c r="M555" s="58">
        <f t="shared" si="32"/>
        <v>2018</v>
      </c>
      <c r="N555" s="58" t="s">
        <v>64</v>
      </c>
      <c r="O555" s="58" t="str">
        <f t="shared" si="35"/>
        <v>2018 Kansas City Royals</v>
      </c>
      <c r="P555" s="58">
        <v>6096</v>
      </c>
      <c r="Q555" s="58">
        <f t="shared" si="33"/>
        <v>833</v>
      </c>
      <c r="R555" s="58">
        <v>242</v>
      </c>
      <c r="S555" s="58">
        <v>25</v>
      </c>
      <c r="T555" s="58">
        <v>179</v>
      </c>
      <c r="U555" s="58">
        <v>422</v>
      </c>
      <c r="V555" s="58">
        <v>61</v>
      </c>
      <c r="W555" s="58">
        <f t="shared" si="34"/>
        <v>4334</v>
      </c>
      <c r="X555">
        <v>554</v>
      </c>
      <c r="Y555">
        <v>39</v>
      </c>
      <c r="Z555">
        <v>1565</v>
      </c>
      <c r="AA555">
        <v>25</v>
      </c>
      <c r="AB555">
        <v>23</v>
      </c>
      <c r="AC555">
        <v>39</v>
      </c>
      <c r="AD555">
        <v>10</v>
      </c>
      <c r="AE555">
        <v>91</v>
      </c>
      <c r="AF555">
        <v>71</v>
      </c>
      <c r="AG555">
        <v>92</v>
      </c>
      <c r="AH555">
        <v>71</v>
      </c>
      <c r="AI555">
        <v>3.38</v>
      </c>
    </row>
    <row r="556" spans="1:35" x14ac:dyDescent="0.5">
      <c r="A556" s="35">
        <v>2018</v>
      </c>
      <c r="B556" t="s">
        <v>104</v>
      </c>
      <c r="C556" t="s">
        <v>38</v>
      </c>
      <c r="D556">
        <v>707</v>
      </c>
      <c r="E556">
        <v>161</v>
      </c>
      <c r="F556">
        <v>1</v>
      </c>
      <c r="G556">
        <v>12</v>
      </c>
      <c r="H556">
        <v>160</v>
      </c>
      <c r="I556">
        <v>30</v>
      </c>
      <c r="J556">
        <v>1442</v>
      </c>
      <c r="K556">
        <v>1388</v>
      </c>
      <c r="L556">
        <v>809</v>
      </c>
      <c r="M556" s="58">
        <f t="shared" si="32"/>
        <v>2018</v>
      </c>
      <c r="N556" s="58" t="s">
        <v>66</v>
      </c>
      <c r="O556" s="58" t="str">
        <f t="shared" si="35"/>
        <v>2018 Los Angeles Dodgers</v>
      </c>
      <c r="P556" s="58">
        <v>6236</v>
      </c>
      <c r="Q556" s="58">
        <f t="shared" si="33"/>
        <v>864</v>
      </c>
      <c r="R556" s="58">
        <v>309</v>
      </c>
      <c r="S556" s="58">
        <v>23</v>
      </c>
      <c r="T556" s="58">
        <v>192</v>
      </c>
      <c r="U556" s="58">
        <v>605</v>
      </c>
      <c r="V556" s="58">
        <v>71</v>
      </c>
      <c r="W556" s="58">
        <f t="shared" si="34"/>
        <v>4172</v>
      </c>
      <c r="X556">
        <v>762</v>
      </c>
      <c r="Y556">
        <v>73</v>
      </c>
      <c r="Z556">
        <v>1249</v>
      </c>
      <c r="AA556">
        <v>38</v>
      </c>
      <c r="AB556">
        <v>48</v>
      </c>
      <c r="AC556">
        <v>47</v>
      </c>
      <c r="AD556">
        <v>6</v>
      </c>
      <c r="AE556">
        <v>115</v>
      </c>
      <c r="AF556">
        <v>52</v>
      </c>
      <c r="AG556">
        <v>63</v>
      </c>
      <c r="AH556">
        <v>98</v>
      </c>
      <c r="AI556">
        <v>4.76</v>
      </c>
    </row>
    <row r="557" spans="1:35" x14ac:dyDescent="0.5">
      <c r="A557" s="35">
        <v>2018</v>
      </c>
      <c r="B557" t="s">
        <v>69</v>
      </c>
      <c r="C557" t="s">
        <v>38</v>
      </c>
      <c r="D557">
        <v>722</v>
      </c>
      <c r="E557">
        <v>163</v>
      </c>
      <c r="F557">
        <v>0</v>
      </c>
      <c r="G557">
        <v>14</v>
      </c>
      <c r="H557">
        <v>163</v>
      </c>
      <c r="I557">
        <v>49</v>
      </c>
      <c r="J557">
        <v>1461</v>
      </c>
      <c r="K557">
        <v>1259</v>
      </c>
      <c r="L557">
        <v>659</v>
      </c>
      <c r="M557" s="58">
        <f t="shared" si="32"/>
        <v>2018</v>
      </c>
      <c r="N557" s="58" t="s">
        <v>68</v>
      </c>
      <c r="O557" s="58" t="str">
        <f t="shared" si="35"/>
        <v>2018 Milwaukee Brewers</v>
      </c>
      <c r="P557" s="58">
        <v>6114</v>
      </c>
      <c r="Q557" s="58">
        <f t="shared" si="33"/>
        <v>807</v>
      </c>
      <c r="R557" s="58">
        <v>239</v>
      </c>
      <c r="S557" s="58">
        <v>40</v>
      </c>
      <c r="T557" s="58">
        <v>173</v>
      </c>
      <c r="U557" s="58">
        <v>553</v>
      </c>
      <c r="V557" s="58">
        <v>61</v>
      </c>
      <c r="W557" s="58">
        <f t="shared" si="34"/>
        <v>4241</v>
      </c>
      <c r="X557">
        <v>606</v>
      </c>
      <c r="Y557">
        <v>34</v>
      </c>
      <c r="Z557">
        <v>1428</v>
      </c>
      <c r="AA557">
        <v>42</v>
      </c>
      <c r="AB557">
        <v>41</v>
      </c>
      <c r="AC557">
        <v>50</v>
      </c>
      <c r="AD557">
        <v>5</v>
      </c>
      <c r="AE557">
        <v>113</v>
      </c>
      <c r="AF557">
        <v>64</v>
      </c>
      <c r="AG557">
        <v>96</v>
      </c>
      <c r="AH557">
        <v>67</v>
      </c>
      <c r="AI557">
        <v>3.73</v>
      </c>
    </row>
    <row r="558" spans="1:35" x14ac:dyDescent="0.5">
      <c r="A558" s="35">
        <v>2018</v>
      </c>
      <c r="B558" t="s">
        <v>71</v>
      </c>
      <c r="C558" t="s">
        <v>149</v>
      </c>
      <c r="D558">
        <v>728</v>
      </c>
      <c r="E558">
        <v>162</v>
      </c>
      <c r="F558">
        <v>2</v>
      </c>
      <c r="G558">
        <v>7</v>
      </c>
      <c r="H558">
        <v>160</v>
      </c>
      <c r="I558">
        <v>37</v>
      </c>
      <c r="J558">
        <v>1443.1</v>
      </c>
      <c r="K558">
        <v>1425</v>
      </c>
      <c r="L558">
        <v>775</v>
      </c>
      <c r="M558" s="58">
        <f t="shared" si="32"/>
        <v>2018</v>
      </c>
      <c r="N558" s="58" t="s">
        <v>70</v>
      </c>
      <c r="O558" s="58" t="str">
        <f t="shared" si="35"/>
        <v>2018 Minnesota Twins</v>
      </c>
      <c r="P558" s="58">
        <v>6287</v>
      </c>
      <c r="Q558" s="58">
        <f t="shared" si="33"/>
        <v>921</v>
      </c>
      <c r="R558" s="58">
        <v>280</v>
      </c>
      <c r="S558" s="58">
        <v>26</v>
      </c>
      <c r="T558" s="58">
        <v>198</v>
      </c>
      <c r="U558" s="58">
        <v>573</v>
      </c>
      <c r="V558" s="58">
        <v>80</v>
      </c>
      <c r="W558" s="58">
        <f t="shared" si="34"/>
        <v>4209</v>
      </c>
      <c r="X558">
        <v>721</v>
      </c>
      <c r="Y558">
        <v>34</v>
      </c>
      <c r="Z558">
        <v>1377</v>
      </c>
      <c r="AA558">
        <v>25</v>
      </c>
      <c r="AB558">
        <v>49</v>
      </c>
      <c r="AC558">
        <v>59</v>
      </c>
      <c r="AD558">
        <v>0</v>
      </c>
      <c r="AE558">
        <v>110</v>
      </c>
      <c r="AF558">
        <v>59</v>
      </c>
      <c r="AG558">
        <v>78</v>
      </c>
      <c r="AH558">
        <v>84</v>
      </c>
      <c r="AI558">
        <v>4.5</v>
      </c>
    </row>
    <row r="559" spans="1:35" x14ac:dyDescent="0.5">
      <c r="A559" s="35">
        <v>2018</v>
      </c>
      <c r="B559" t="s">
        <v>144</v>
      </c>
      <c r="C559" t="s">
        <v>38</v>
      </c>
      <c r="D559">
        <v>663</v>
      </c>
      <c r="E559">
        <v>162</v>
      </c>
      <c r="F559">
        <v>3</v>
      </c>
      <c r="G559">
        <v>15</v>
      </c>
      <c r="H559">
        <v>159</v>
      </c>
      <c r="I559">
        <v>41</v>
      </c>
      <c r="J559">
        <v>1460.2</v>
      </c>
      <c r="K559">
        <v>1364</v>
      </c>
      <c r="L559">
        <v>707</v>
      </c>
      <c r="M559" s="58">
        <f t="shared" si="32"/>
        <v>2018</v>
      </c>
      <c r="N559" s="58" t="s">
        <v>76</v>
      </c>
      <c r="O559" s="58" t="str">
        <f t="shared" si="35"/>
        <v>2018 New York Mets</v>
      </c>
      <c r="P559" s="58">
        <v>6178</v>
      </c>
      <c r="Q559" s="58">
        <f t="shared" si="33"/>
        <v>914</v>
      </c>
      <c r="R559" s="58">
        <v>241</v>
      </c>
      <c r="S559" s="58">
        <v>24</v>
      </c>
      <c r="T559" s="58">
        <v>185</v>
      </c>
      <c r="U559" s="58">
        <v>484</v>
      </c>
      <c r="V559" s="58">
        <v>71</v>
      </c>
      <c r="W559" s="58">
        <f t="shared" si="34"/>
        <v>4259</v>
      </c>
      <c r="X559">
        <v>661</v>
      </c>
      <c r="Y559">
        <v>32</v>
      </c>
      <c r="Z559">
        <v>1446</v>
      </c>
      <c r="AA559">
        <v>42</v>
      </c>
      <c r="AB559">
        <v>40</v>
      </c>
      <c r="AC559">
        <v>26</v>
      </c>
      <c r="AD559">
        <v>2</v>
      </c>
      <c r="AE559">
        <v>104</v>
      </c>
      <c r="AF559">
        <v>60</v>
      </c>
      <c r="AG559">
        <v>77</v>
      </c>
      <c r="AH559">
        <v>85</v>
      </c>
      <c r="AI559">
        <v>4.07</v>
      </c>
    </row>
    <row r="560" spans="1:35" x14ac:dyDescent="0.5">
      <c r="A560" s="35">
        <v>2018</v>
      </c>
      <c r="B560" t="s">
        <v>144</v>
      </c>
      <c r="C560" t="s">
        <v>149</v>
      </c>
      <c r="D560">
        <v>670</v>
      </c>
      <c r="E560">
        <v>162</v>
      </c>
      <c r="F560">
        <v>2</v>
      </c>
      <c r="G560">
        <v>11</v>
      </c>
      <c r="H560">
        <v>160</v>
      </c>
      <c r="I560">
        <v>49</v>
      </c>
      <c r="J560">
        <v>1456.1</v>
      </c>
      <c r="K560">
        <v>1311</v>
      </c>
      <c r="L560">
        <v>669</v>
      </c>
      <c r="M560" s="58">
        <f t="shared" si="32"/>
        <v>2018</v>
      </c>
      <c r="N560" s="58" t="s">
        <v>74</v>
      </c>
      <c r="O560" s="58" t="str">
        <f t="shared" si="35"/>
        <v>2018 New York Yankees</v>
      </c>
      <c r="P560" s="58">
        <v>6141</v>
      </c>
      <c r="Q560" s="58">
        <f t="shared" si="33"/>
        <v>828</v>
      </c>
      <c r="R560" s="58">
        <v>293</v>
      </c>
      <c r="S560" s="58">
        <v>13</v>
      </c>
      <c r="T560" s="58">
        <v>177</v>
      </c>
      <c r="U560" s="58">
        <v>494</v>
      </c>
      <c r="V560" s="58">
        <v>58</v>
      </c>
      <c r="W560" s="58">
        <f t="shared" si="34"/>
        <v>4278</v>
      </c>
      <c r="X560">
        <v>611</v>
      </c>
      <c r="Y560">
        <v>9</v>
      </c>
      <c r="Z560">
        <v>1634</v>
      </c>
      <c r="AA560">
        <v>17</v>
      </c>
      <c r="AB560">
        <v>29</v>
      </c>
      <c r="AC560">
        <v>73</v>
      </c>
      <c r="AD560">
        <v>4</v>
      </c>
      <c r="AE560">
        <v>82</v>
      </c>
      <c r="AF560">
        <v>65</v>
      </c>
      <c r="AG560">
        <v>100</v>
      </c>
      <c r="AH560">
        <v>62</v>
      </c>
      <c r="AI560">
        <v>3.78</v>
      </c>
    </row>
    <row r="561" spans="1:35" x14ac:dyDescent="0.5">
      <c r="A561" s="35">
        <v>2018</v>
      </c>
      <c r="B561" t="s">
        <v>79</v>
      </c>
      <c r="C561" t="s">
        <v>149</v>
      </c>
      <c r="D561">
        <v>740</v>
      </c>
      <c r="E561">
        <v>162</v>
      </c>
      <c r="F561">
        <v>2</v>
      </c>
      <c r="G561">
        <v>14</v>
      </c>
      <c r="H561">
        <v>160</v>
      </c>
      <c r="I561">
        <v>44</v>
      </c>
      <c r="J561">
        <v>1465.2</v>
      </c>
      <c r="K561">
        <v>1303</v>
      </c>
      <c r="L561">
        <v>674</v>
      </c>
      <c r="M561" s="58">
        <f t="shared" si="32"/>
        <v>2018</v>
      </c>
      <c r="N561" s="58" t="s">
        <v>78</v>
      </c>
      <c r="O561" s="58" t="str">
        <f t="shared" si="35"/>
        <v>2018 Oakland Athletics</v>
      </c>
      <c r="P561" s="58">
        <v>6099</v>
      </c>
      <c r="Q561" s="58">
        <f t="shared" si="33"/>
        <v>832</v>
      </c>
      <c r="R561" s="58">
        <v>268</v>
      </c>
      <c r="S561" s="58">
        <v>19</v>
      </c>
      <c r="T561" s="58">
        <v>184</v>
      </c>
      <c r="U561" s="58">
        <v>474</v>
      </c>
      <c r="V561" s="58">
        <v>53</v>
      </c>
      <c r="W561" s="58">
        <f t="shared" si="34"/>
        <v>4269</v>
      </c>
      <c r="X561">
        <v>621</v>
      </c>
      <c r="Y561">
        <v>19</v>
      </c>
      <c r="Z561">
        <v>1237</v>
      </c>
      <c r="AA561">
        <v>23</v>
      </c>
      <c r="AB561">
        <v>30</v>
      </c>
      <c r="AC561">
        <v>86</v>
      </c>
      <c r="AD561">
        <v>2</v>
      </c>
      <c r="AE561">
        <v>110</v>
      </c>
      <c r="AF561">
        <v>67</v>
      </c>
      <c r="AG561">
        <v>97</v>
      </c>
      <c r="AH561">
        <v>65</v>
      </c>
      <c r="AI561">
        <v>3.81</v>
      </c>
    </row>
    <row r="562" spans="1:35" x14ac:dyDescent="0.5">
      <c r="A562" s="35">
        <v>2018</v>
      </c>
      <c r="B562" t="s">
        <v>81</v>
      </c>
      <c r="C562" t="s">
        <v>38</v>
      </c>
      <c r="D562">
        <v>758</v>
      </c>
      <c r="E562">
        <v>162</v>
      </c>
      <c r="F562">
        <v>0</v>
      </c>
      <c r="G562">
        <v>12</v>
      </c>
      <c r="H562">
        <v>162</v>
      </c>
      <c r="I562">
        <v>44</v>
      </c>
      <c r="J562">
        <v>1445.2</v>
      </c>
      <c r="K562">
        <v>1366</v>
      </c>
      <c r="L562">
        <v>728</v>
      </c>
      <c r="M562" s="58">
        <f t="shared" si="32"/>
        <v>2018</v>
      </c>
      <c r="N562" s="58" t="s">
        <v>80</v>
      </c>
      <c r="O562" s="58" t="str">
        <f t="shared" si="35"/>
        <v>2018 Philadelphia Phillies</v>
      </c>
      <c r="P562" s="58">
        <v>6138</v>
      </c>
      <c r="Q562" s="58">
        <f t="shared" si="33"/>
        <v>871</v>
      </c>
      <c r="R562" s="58">
        <v>292</v>
      </c>
      <c r="S562" s="58">
        <v>32</v>
      </c>
      <c r="T562" s="58">
        <v>171</v>
      </c>
      <c r="U562" s="58">
        <v>500</v>
      </c>
      <c r="V562" s="58">
        <v>60</v>
      </c>
      <c r="W562" s="58">
        <f t="shared" si="34"/>
        <v>4212</v>
      </c>
      <c r="X562">
        <v>665</v>
      </c>
      <c r="Y562">
        <v>35</v>
      </c>
      <c r="Z562">
        <v>1465</v>
      </c>
      <c r="AA562">
        <v>39</v>
      </c>
      <c r="AB562">
        <v>45</v>
      </c>
      <c r="AC562">
        <v>81</v>
      </c>
      <c r="AD562">
        <v>7</v>
      </c>
      <c r="AE562">
        <v>119</v>
      </c>
      <c r="AF562">
        <v>79</v>
      </c>
      <c r="AG562">
        <v>80</v>
      </c>
      <c r="AH562">
        <v>82</v>
      </c>
      <c r="AI562">
        <v>4.1399999999999997</v>
      </c>
    </row>
    <row r="563" spans="1:35" x14ac:dyDescent="0.5">
      <c r="A563" s="35">
        <v>2018</v>
      </c>
      <c r="B563" t="s">
        <v>83</v>
      </c>
      <c r="C563" t="s">
        <v>38</v>
      </c>
      <c r="D563">
        <v>641</v>
      </c>
      <c r="E563">
        <v>161</v>
      </c>
      <c r="F563">
        <v>3</v>
      </c>
      <c r="G563">
        <v>16</v>
      </c>
      <c r="H563">
        <v>158</v>
      </c>
      <c r="I563">
        <v>40</v>
      </c>
      <c r="J563">
        <v>1434</v>
      </c>
      <c r="K563">
        <v>1380</v>
      </c>
      <c r="L563">
        <v>693</v>
      </c>
      <c r="M563" s="58">
        <f t="shared" si="32"/>
        <v>2018</v>
      </c>
      <c r="N563" s="58" t="s">
        <v>82</v>
      </c>
      <c r="O563" s="58" t="str">
        <f t="shared" si="35"/>
        <v>2018 Pittsburgh Pirates</v>
      </c>
      <c r="P563" s="58">
        <v>6144</v>
      </c>
      <c r="Q563" s="58">
        <f t="shared" si="33"/>
        <v>893</v>
      </c>
      <c r="R563" s="58">
        <v>287</v>
      </c>
      <c r="S563" s="58">
        <v>26</v>
      </c>
      <c r="T563" s="58">
        <v>174</v>
      </c>
      <c r="U563" s="58">
        <v>497</v>
      </c>
      <c r="V563" s="58">
        <v>69</v>
      </c>
      <c r="W563" s="58">
        <f t="shared" si="34"/>
        <v>4198</v>
      </c>
      <c r="X563">
        <v>637</v>
      </c>
      <c r="Y563">
        <v>43</v>
      </c>
      <c r="Z563">
        <v>1336</v>
      </c>
      <c r="AA563">
        <v>37</v>
      </c>
      <c r="AB563">
        <v>35</v>
      </c>
      <c r="AC563">
        <v>95</v>
      </c>
      <c r="AD563">
        <v>6</v>
      </c>
      <c r="AE563">
        <v>98</v>
      </c>
      <c r="AF563">
        <v>77</v>
      </c>
      <c r="AG563">
        <v>82</v>
      </c>
      <c r="AH563">
        <v>79</v>
      </c>
      <c r="AI563">
        <v>4</v>
      </c>
    </row>
    <row r="564" spans="1:35" x14ac:dyDescent="0.5">
      <c r="A564" s="35">
        <v>2018</v>
      </c>
      <c r="B564" t="s">
        <v>147</v>
      </c>
      <c r="C564" t="s">
        <v>38</v>
      </c>
      <c r="D564">
        <v>697</v>
      </c>
      <c r="E564">
        <v>162</v>
      </c>
      <c r="F564">
        <v>0</v>
      </c>
      <c r="G564">
        <v>5</v>
      </c>
      <c r="H564">
        <v>162</v>
      </c>
      <c r="I564">
        <v>36</v>
      </c>
      <c r="J564">
        <v>1457</v>
      </c>
      <c r="K564">
        <v>1430</v>
      </c>
      <c r="L564">
        <v>767</v>
      </c>
      <c r="M564" s="58">
        <f t="shared" si="32"/>
        <v>2018</v>
      </c>
      <c r="N564" s="58" t="s">
        <v>84</v>
      </c>
      <c r="O564" s="58" t="str">
        <f t="shared" si="35"/>
        <v>2018 San Diego Padres</v>
      </c>
      <c r="P564" s="58">
        <v>6254</v>
      </c>
      <c r="Q564" s="58">
        <f t="shared" si="33"/>
        <v>930</v>
      </c>
      <c r="R564" s="58">
        <v>283</v>
      </c>
      <c r="S564" s="58">
        <v>32</v>
      </c>
      <c r="T564" s="58">
        <v>185</v>
      </c>
      <c r="U564" s="58">
        <v>519</v>
      </c>
      <c r="V564" s="58">
        <v>68</v>
      </c>
      <c r="W564" s="58">
        <f t="shared" si="34"/>
        <v>4237</v>
      </c>
      <c r="X564">
        <v>713</v>
      </c>
      <c r="Y564">
        <v>28</v>
      </c>
      <c r="Z564">
        <v>1399</v>
      </c>
      <c r="AA564">
        <v>36</v>
      </c>
      <c r="AB564">
        <v>39</v>
      </c>
      <c r="AC564">
        <v>52</v>
      </c>
      <c r="AD564">
        <v>4</v>
      </c>
      <c r="AE564">
        <v>114</v>
      </c>
      <c r="AF564">
        <v>55</v>
      </c>
      <c r="AG564">
        <v>66</v>
      </c>
      <c r="AH564">
        <v>96</v>
      </c>
      <c r="AI564">
        <v>4.4000000000000004</v>
      </c>
    </row>
    <row r="565" spans="1:35" x14ac:dyDescent="0.5">
      <c r="A565" s="35">
        <v>2018</v>
      </c>
      <c r="B565" t="s">
        <v>87</v>
      </c>
      <c r="C565" t="s">
        <v>149</v>
      </c>
      <c r="D565">
        <v>699</v>
      </c>
      <c r="E565">
        <v>162</v>
      </c>
      <c r="F565">
        <v>3</v>
      </c>
      <c r="G565">
        <v>12</v>
      </c>
      <c r="H565">
        <v>159</v>
      </c>
      <c r="I565">
        <v>60</v>
      </c>
      <c r="J565">
        <v>1448.2</v>
      </c>
      <c r="K565">
        <v>1396</v>
      </c>
      <c r="L565">
        <v>711</v>
      </c>
      <c r="M565" s="58">
        <f t="shared" si="32"/>
        <v>2018</v>
      </c>
      <c r="N565" s="58" t="s">
        <v>86</v>
      </c>
      <c r="O565" s="58" t="str">
        <f t="shared" si="35"/>
        <v>2018 Seattle Mariners</v>
      </c>
      <c r="P565" s="58">
        <v>6073</v>
      </c>
      <c r="Q565" s="58">
        <f t="shared" si="33"/>
        <v>889</v>
      </c>
      <c r="R565" s="58">
        <v>289</v>
      </c>
      <c r="S565" s="58">
        <v>23</v>
      </c>
      <c r="T565" s="58">
        <v>195</v>
      </c>
      <c r="U565" s="58">
        <v>400</v>
      </c>
      <c r="V565" s="58">
        <v>72</v>
      </c>
      <c r="W565" s="58">
        <f t="shared" si="34"/>
        <v>4205</v>
      </c>
      <c r="X565">
        <v>664</v>
      </c>
      <c r="Y565">
        <v>21</v>
      </c>
      <c r="Z565">
        <v>1328</v>
      </c>
      <c r="AA565">
        <v>12</v>
      </c>
      <c r="AB565">
        <v>42</v>
      </c>
      <c r="AC565">
        <v>57</v>
      </c>
      <c r="AD565">
        <v>3</v>
      </c>
      <c r="AE565">
        <v>131</v>
      </c>
      <c r="AF565">
        <v>66</v>
      </c>
      <c r="AG565">
        <v>89</v>
      </c>
      <c r="AH565">
        <v>73</v>
      </c>
      <c r="AI565">
        <v>4.13</v>
      </c>
    </row>
    <row r="566" spans="1:35" x14ac:dyDescent="0.5">
      <c r="A566" s="35">
        <v>2018</v>
      </c>
      <c r="B566" t="s">
        <v>21</v>
      </c>
      <c r="C566" t="s">
        <v>38</v>
      </c>
      <c r="D566">
        <v>711</v>
      </c>
      <c r="E566">
        <v>162</v>
      </c>
      <c r="F566">
        <v>1</v>
      </c>
      <c r="G566">
        <v>15</v>
      </c>
      <c r="H566">
        <v>161</v>
      </c>
      <c r="I566">
        <v>36</v>
      </c>
      <c r="J566">
        <v>1461.1</v>
      </c>
      <c r="K566">
        <v>1387</v>
      </c>
      <c r="L566">
        <v>699</v>
      </c>
      <c r="M566" s="58">
        <f t="shared" si="32"/>
        <v>2018</v>
      </c>
      <c r="N566" s="58" t="s">
        <v>88</v>
      </c>
      <c r="O566" s="58" t="str">
        <f t="shared" si="35"/>
        <v>2018 San Francisco Giants</v>
      </c>
      <c r="P566" s="58">
        <v>6191</v>
      </c>
      <c r="Q566" s="58">
        <f t="shared" si="33"/>
        <v>898</v>
      </c>
      <c r="R566" s="58">
        <v>291</v>
      </c>
      <c r="S566" s="58">
        <v>42</v>
      </c>
      <c r="T566" s="58">
        <v>156</v>
      </c>
      <c r="U566" s="58">
        <v>524</v>
      </c>
      <c r="V566" s="58">
        <v>45</v>
      </c>
      <c r="W566" s="58">
        <f t="shared" si="34"/>
        <v>4235</v>
      </c>
      <c r="X566">
        <v>641</v>
      </c>
      <c r="Y566">
        <v>37</v>
      </c>
      <c r="Z566">
        <v>1269</v>
      </c>
      <c r="AA566">
        <v>49</v>
      </c>
      <c r="AB566">
        <v>48</v>
      </c>
      <c r="AC566">
        <v>44</v>
      </c>
      <c r="AD566">
        <v>4</v>
      </c>
      <c r="AE566">
        <v>139</v>
      </c>
      <c r="AF566">
        <v>69</v>
      </c>
      <c r="AG566">
        <v>73</v>
      </c>
      <c r="AH566">
        <v>89</v>
      </c>
      <c r="AI566">
        <v>3.95</v>
      </c>
    </row>
    <row r="567" spans="1:35" x14ac:dyDescent="0.5">
      <c r="A567" s="35">
        <v>2018</v>
      </c>
      <c r="B567" t="s">
        <v>142</v>
      </c>
      <c r="C567" t="s">
        <v>38</v>
      </c>
      <c r="D567">
        <v>727</v>
      </c>
      <c r="E567">
        <v>162</v>
      </c>
      <c r="F567">
        <v>1</v>
      </c>
      <c r="G567">
        <v>8</v>
      </c>
      <c r="H567">
        <v>161</v>
      </c>
      <c r="I567">
        <v>43</v>
      </c>
      <c r="J567">
        <v>1455.1</v>
      </c>
      <c r="K567">
        <v>1354</v>
      </c>
      <c r="L567">
        <v>691</v>
      </c>
      <c r="M567" s="58">
        <f t="shared" si="32"/>
        <v>2018</v>
      </c>
      <c r="N567" s="58" t="s">
        <v>90</v>
      </c>
      <c r="O567" s="58" t="str">
        <f t="shared" si="35"/>
        <v>2018 St. Louis Cardinals</v>
      </c>
      <c r="P567" s="58">
        <v>6271</v>
      </c>
      <c r="Q567" s="58">
        <f t="shared" si="33"/>
        <v>942</v>
      </c>
      <c r="R567" s="58">
        <v>242</v>
      </c>
      <c r="S567" s="58">
        <v>26</v>
      </c>
      <c r="T567" s="58">
        <v>144</v>
      </c>
      <c r="U567" s="58">
        <v>593</v>
      </c>
      <c r="V567" s="58">
        <v>67</v>
      </c>
      <c r="W567" s="58">
        <f t="shared" si="34"/>
        <v>4257</v>
      </c>
      <c r="X567">
        <v>622</v>
      </c>
      <c r="Y567">
        <v>49</v>
      </c>
      <c r="Z567">
        <v>1337</v>
      </c>
      <c r="AA567">
        <v>55</v>
      </c>
      <c r="AB567">
        <v>50</v>
      </c>
      <c r="AC567">
        <v>63</v>
      </c>
      <c r="AD567">
        <v>4</v>
      </c>
      <c r="AE567">
        <v>129</v>
      </c>
      <c r="AF567">
        <v>84</v>
      </c>
      <c r="AG567">
        <v>88</v>
      </c>
      <c r="AH567">
        <v>74</v>
      </c>
      <c r="AI567">
        <v>3.85</v>
      </c>
    </row>
    <row r="568" spans="1:35" x14ac:dyDescent="0.5">
      <c r="A568" s="35">
        <v>2018</v>
      </c>
      <c r="B568" t="s">
        <v>151</v>
      </c>
      <c r="C568" t="s">
        <v>149</v>
      </c>
      <c r="D568">
        <v>715</v>
      </c>
      <c r="E568">
        <v>162</v>
      </c>
      <c r="F568">
        <v>0</v>
      </c>
      <c r="G568">
        <v>14</v>
      </c>
      <c r="H568">
        <v>162</v>
      </c>
      <c r="I568">
        <v>52</v>
      </c>
      <c r="J568">
        <v>1448.1</v>
      </c>
      <c r="K568">
        <v>1236</v>
      </c>
      <c r="L568">
        <v>646</v>
      </c>
      <c r="M568" s="58">
        <f t="shared" si="32"/>
        <v>2018</v>
      </c>
      <c r="N568" s="58" t="s">
        <v>92</v>
      </c>
      <c r="O568" s="58" t="str">
        <f t="shared" si="35"/>
        <v>2018 Tampa Bay Devil Rays</v>
      </c>
      <c r="P568" s="58">
        <v>5992</v>
      </c>
      <c r="Q568" s="58">
        <f t="shared" si="33"/>
        <v>790</v>
      </c>
      <c r="R568" s="58">
        <v>262</v>
      </c>
      <c r="S568" s="58">
        <v>20</v>
      </c>
      <c r="T568" s="58">
        <v>164</v>
      </c>
      <c r="U568" s="58">
        <v>501</v>
      </c>
      <c r="V568" s="58">
        <v>53</v>
      </c>
      <c r="W568" s="58">
        <f t="shared" si="34"/>
        <v>4202</v>
      </c>
      <c r="X568">
        <v>602</v>
      </c>
      <c r="Y568">
        <v>34</v>
      </c>
      <c r="Z568">
        <v>1421</v>
      </c>
      <c r="AA568">
        <v>16</v>
      </c>
      <c r="AB568">
        <v>39</v>
      </c>
      <c r="AC568">
        <v>55</v>
      </c>
      <c r="AD568">
        <v>6</v>
      </c>
      <c r="AE568">
        <v>121</v>
      </c>
      <c r="AF568">
        <v>58</v>
      </c>
      <c r="AG568">
        <v>90</v>
      </c>
      <c r="AH568">
        <v>72</v>
      </c>
      <c r="AI568">
        <v>3.74</v>
      </c>
    </row>
    <row r="569" spans="1:35" x14ac:dyDescent="0.5">
      <c r="A569" s="35">
        <v>2018</v>
      </c>
      <c r="B569" t="s">
        <v>95</v>
      </c>
      <c r="C569" t="s">
        <v>149</v>
      </c>
      <c r="D569">
        <v>668</v>
      </c>
      <c r="E569">
        <v>162</v>
      </c>
      <c r="F569">
        <v>1</v>
      </c>
      <c r="G569">
        <v>5</v>
      </c>
      <c r="H569">
        <v>161</v>
      </c>
      <c r="I569">
        <v>42</v>
      </c>
      <c r="J569">
        <v>1431</v>
      </c>
      <c r="K569">
        <v>1516</v>
      </c>
      <c r="L569">
        <v>848</v>
      </c>
      <c r="M569" s="58">
        <f t="shared" si="32"/>
        <v>2018</v>
      </c>
      <c r="N569" s="58" t="s">
        <v>94</v>
      </c>
      <c r="O569" s="58" t="str">
        <f t="shared" si="35"/>
        <v>2018 Texas Rangers</v>
      </c>
      <c r="P569" s="58">
        <v>6231</v>
      </c>
      <c r="Q569" s="58">
        <f t="shared" si="33"/>
        <v>925</v>
      </c>
      <c r="R569" s="58">
        <v>325</v>
      </c>
      <c r="S569" s="58">
        <v>44</v>
      </c>
      <c r="T569" s="58">
        <v>222</v>
      </c>
      <c r="U569" s="58">
        <v>491</v>
      </c>
      <c r="V569" s="58">
        <v>72</v>
      </c>
      <c r="W569" s="58">
        <f t="shared" si="34"/>
        <v>4152</v>
      </c>
      <c r="X569">
        <v>783</v>
      </c>
      <c r="Y569">
        <v>23</v>
      </c>
      <c r="Z569">
        <v>1121</v>
      </c>
      <c r="AA569">
        <v>20</v>
      </c>
      <c r="AB569">
        <v>50</v>
      </c>
      <c r="AC569">
        <v>57</v>
      </c>
      <c r="AD569">
        <v>8</v>
      </c>
      <c r="AE569">
        <v>146</v>
      </c>
      <c r="AF569">
        <v>84</v>
      </c>
      <c r="AG569">
        <v>67</v>
      </c>
      <c r="AH569">
        <v>95</v>
      </c>
      <c r="AI569">
        <v>4.92</v>
      </c>
    </row>
    <row r="570" spans="1:35" x14ac:dyDescent="0.5">
      <c r="A570" s="35">
        <v>2018</v>
      </c>
      <c r="B570" t="s">
        <v>97</v>
      </c>
      <c r="C570" t="s">
        <v>149</v>
      </c>
      <c r="D570">
        <v>752</v>
      </c>
      <c r="E570">
        <v>162</v>
      </c>
      <c r="F570">
        <v>0</v>
      </c>
      <c r="G570">
        <v>3</v>
      </c>
      <c r="H570">
        <v>162</v>
      </c>
      <c r="I570">
        <v>39</v>
      </c>
      <c r="J570">
        <v>1433.2</v>
      </c>
      <c r="K570">
        <v>1476</v>
      </c>
      <c r="L570">
        <v>832</v>
      </c>
      <c r="M570" s="58">
        <f t="shared" si="32"/>
        <v>2018</v>
      </c>
      <c r="N570" s="58" t="s">
        <v>96</v>
      </c>
      <c r="O570" s="58" t="str">
        <f t="shared" si="35"/>
        <v>2018 Toronto Blue Jays</v>
      </c>
      <c r="P570" s="58">
        <v>6265</v>
      </c>
      <c r="Q570" s="58">
        <f t="shared" si="33"/>
        <v>911</v>
      </c>
      <c r="R570" s="58">
        <v>325</v>
      </c>
      <c r="S570" s="58">
        <v>32</v>
      </c>
      <c r="T570" s="58">
        <v>208</v>
      </c>
      <c r="U570" s="58">
        <v>551</v>
      </c>
      <c r="V570" s="58">
        <v>67</v>
      </c>
      <c r="W570" s="58">
        <f t="shared" si="34"/>
        <v>4171</v>
      </c>
      <c r="X570">
        <v>772</v>
      </c>
      <c r="Y570">
        <v>19</v>
      </c>
      <c r="Z570">
        <v>1298</v>
      </c>
      <c r="AA570">
        <v>18</v>
      </c>
      <c r="AB570">
        <v>48</v>
      </c>
      <c r="AC570">
        <v>71</v>
      </c>
      <c r="AD570">
        <v>5</v>
      </c>
      <c r="AE570">
        <v>117</v>
      </c>
      <c r="AF570">
        <v>68</v>
      </c>
      <c r="AG570">
        <v>73</v>
      </c>
      <c r="AH570">
        <v>89</v>
      </c>
      <c r="AI570">
        <v>4.8499999999999996</v>
      </c>
    </row>
    <row r="571" spans="1:35" x14ac:dyDescent="0.5">
      <c r="A571" s="35">
        <v>2018</v>
      </c>
      <c r="B571" t="s">
        <v>101</v>
      </c>
      <c r="C571" t="s">
        <v>38</v>
      </c>
      <c r="D571">
        <v>724</v>
      </c>
      <c r="E571">
        <v>162</v>
      </c>
      <c r="F571">
        <v>2</v>
      </c>
      <c r="G571">
        <v>7</v>
      </c>
      <c r="H571">
        <v>160</v>
      </c>
      <c r="I571">
        <v>40</v>
      </c>
      <c r="J571">
        <v>1446</v>
      </c>
      <c r="K571">
        <v>1320</v>
      </c>
      <c r="L571">
        <v>682</v>
      </c>
      <c r="M571" s="58">
        <f t="shared" si="32"/>
        <v>2018</v>
      </c>
      <c r="N571" s="58" t="s">
        <v>100</v>
      </c>
      <c r="O571" s="58" t="str">
        <f t="shared" si="35"/>
        <v>2018 Washington Nationals</v>
      </c>
      <c r="P571" s="58">
        <v>6087</v>
      </c>
      <c r="Q571" s="58">
        <f t="shared" si="33"/>
        <v>823</v>
      </c>
      <c r="R571" s="58">
        <v>273</v>
      </c>
      <c r="S571" s="58">
        <v>26</v>
      </c>
      <c r="T571" s="58">
        <v>198</v>
      </c>
      <c r="U571" s="58">
        <v>487</v>
      </c>
      <c r="V571" s="58">
        <v>76</v>
      </c>
      <c r="W571" s="58">
        <f t="shared" si="34"/>
        <v>4204</v>
      </c>
      <c r="X571">
        <v>649</v>
      </c>
      <c r="Y571">
        <v>37</v>
      </c>
      <c r="Z571">
        <v>1417</v>
      </c>
      <c r="AA571">
        <v>29</v>
      </c>
      <c r="AB571">
        <v>41</v>
      </c>
      <c r="AC571">
        <v>42</v>
      </c>
      <c r="AD571">
        <v>6</v>
      </c>
      <c r="AE571">
        <v>98</v>
      </c>
      <c r="AF571">
        <v>41</v>
      </c>
      <c r="AG571">
        <v>82</v>
      </c>
      <c r="AH571">
        <v>80</v>
      </c>
      <c r="AI571">
        <v>4.04</v>
      </c>
    </row>
  </sheetData>
  <sortState xmlns:xlrd2="http://schemas.microsoft.com/office/spreadsheetml/2017/richdata2" ref="A541:AK569">
    <sortCondition ref="B540:B569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96BE3-E95B-45EA-92DF-D9AE0C8CFC2D}">
  <sheetPr codeName="Sheet12"/>
  <dimension ref="A1:S571"/>
  <sheetViews>
    <sheetView topLeftCell="A554" workbookViewId="0">
      <selection activeCell="U4" sqref="U4"/>
    </sheetView>
  </sheetViews>
  <sheetFormatPr defaultRowHeight="15.75" x14ac:dyDescent="0.5"/>
  <cols>
    <col min="2" max="2" width="19.5" bestFit="1" customWidth="1"/>
    <col min="3" max="3" width="24.125" bestFit="1" customWidth="1"/>
    <col min="4" max="5" width="4.875" bestFit="1" customWidth="1"/>
    <col min="6" max="6" width="3.875" bestFit="1" customWidth="1"/>
    <col min="7" max="7" width="3.75" bestFit="1" customWidth="1"/>
    <col min="8" max="8" width="4" bestFit="1" customWidth="1"/>
    <col min="9" max="9" width="3.875" bestFit="1" customWidth="1"/>
    <col min="10" max="10" width="5.25" bestFit="1" customWidth="1"/>
    <col min="11" max="11" width="5.875" bestFit="1" customWidth="1"/>
    <col min="12" max="13" width="4.875" bestFit="1" customWidth="1"/>
    <col min="14" max="14" width="3.875" bestFit="1" customWidth="1"/>
    <col min="15" max="15" width="3.75" bestFit="1" customWidth="1"/>
    <col min="16" max="16" width="4" bestFit="1" customWidth="1"/>
    <col min="17" max="17" width="3.875" bestFit="1" customWidth="1"/>
    <col min="18" max="18" width="5.25" bestFit="1" customWidth="1"/>
    <col min="19" max="19" width="5.875" bestFit="1" customWidth="1"/>
  </cols>
  <sheetData>
    <row r="1" spans="1:19" ht="18" x14ac:dyDescent="0.5">
      <c r="A1" s="59" t="s">
        <v>176</v>
      </c>
      <c r="B1" s="59" t="s">
        <v>175</v>
      </c>
      <c r="C1" s="59" t="s">
        <v>200</v>
      </c>
      <c r="D1" s="59" t="s">
        <v>11</v>
      </c>
      <c r="E1" s="59" t="s">
        <v>122</v>
      </c>
      <c r="F1" s="59" t="s">
        <v>13</v>
      </c>
      <c r="G1" s="59" t="s">
        <v>14</v>
      </c>
      <c r="H1" s="59" t="s">
        <v>15</v>
      </c>
      <c r="I1" s="59" t="s">
        <v>16</v>
      </c>
      <c r="J1" s="59" t="s">
        <v>20</v>
      </c>
      <c r="K1" s="59" t="s">
        <v>131</v>
      </c>
      <c r="L1" s="57" t="s">
        <v>123</v>
      </c>
      <c r="M1" s="57" t="s">
        <v>122</v>
      </c>
      <c r="N1" s="57" t="s">
        <v>13</v>
      </c>
      <c r="O1" s="57" t="s">
        <v>14</v>
      </c>
      <c r="P1" s="57" t="s">
        <v>15</v>
      </c>
      <c r="Q1" s="57" t="s">
        <v>16</v>
      </c>
      <c r="R1" s="57" t="s">
        <v>20</v>
      </c>
      <c r="S1" s="57" t="s">
        <v>131</v>
      </c>
    </row>
    <row r="2" spans="1:19" x14ac:dyDescent="0.5">
      <c r="A2" s="60">
        <v>2000</v>
      </c>
      <c r="B2" s="60" t="s">
        <v>36</v>
      </c>
      <c r="C2" s="60" t="s">
        <v>253</v>
      </c>
      <c r="D2" s="60">
        <v>5628</v>
      </c>
      <c r="E2" s="60">
        <v>995</v>
      </c>
      <c r="F2" s="60">
        <v>309</v>
      </c>
      <c r="G2" s="60">
        <v>34</v>
      </c>
      <c r="H2" s="60">
        <v>236</v>
      </c>
      <c r="I2" s="60">
        <v>608</v>
      </c>
      <c r="J2" s="60">
        <v>47</v>
      </c>
      <c r="K2" s="60">
        <v>3399</v>
      </c>
      <c r="L2" s="58">
        <v>6401</v>
      </c>
      <c r="M2" s="58">
        <v>1007</v>
      </c>
      <c r="N2" s="58">
        <v>276</v>
      </c>
      <c r="O2" s="58">
        <v>23</v>
      </c>
      <c r="P2" s="58">
        <v>228</v>
      </c>
      <c r="Q2" s="58">
        <v>662</v>
      </c>
      <c r="R2" s="58">
        <v>36</v>
      </c>
      <c r="S2" s="58">
        <v>4169</v>
      </c>
    </row>
    <row r="3" spans="1:19" x14ac:dyDescent="0.5">
      <c r="A3" s="60">
        <v>2000</v>
      </c>
      <c r="B3" s="60" t="s">
        <v>39</v>
      </c>
      <c r="C3" s="60" t="s">
        <v>254</v>
      </c>
      <c r="D3" s="60">
        <v>5527</v>
      </c>
      <c r="E3" s="60">
        <v>961</v>
      </c>
      <c r="F3" s="60">
        <v>282</v>
      </c>
      <c r="G3" s="60">
        <v>44</v>
      </c>
      <c r="H3" s="60">
        <v>179</v>
      </c>
      <c r="I3" s="60">
        <v>535</v>
      </c>
      <c r="J3" s="60">
        <v>59</v>
      </c>
      <c r="K3" s="60">
        <v>3467</v>
      </c>
      <c r="L3" s="58">
        <v>6158</v>
      </c>
      <c r="M3" s="58">
        <v>960</v>
      </c>
      <c r="N3" s="58">
        <v>261</v>
      </c>
      <c r="O3" s="58">
        <v>30</v>
      </c>
      <c r="P3" s="58">
        <v>190</v>
      </c>
      <c r="Q3" s="58">
        <v>500</v>
      </c>
      <c r="R3" s="58">
        <v>42</v>
      </c>
      <c r="S3" s="58">
        <v>4175</v>
      </c>
    </row>
    <row r="4" spans="1:19" x14ac:dyDescent="0.5">
      <c r="A4" s="60">
        <v>2000</v>
      </c>
      <c r="B4" s="60" t="s">
        <v>41</v>
      </c>
      <c r="C4" s="60" t="s">
        <v>255</v>
      </c>
      <c r="D4" s="60">
        <v>5489</v>
      </c>
      <c r="E4" s="60">
        <v>1011</v>
      </c>
      <c r="F4" s="60">
        <v>274</v>
      </c>
      <c r="G4" s="60">
        <v>26</v>
      </c>
      <c r="H4" s="60">
        <v>179</v>
      </c>
      <c r="I4" s="60">
        <v>595</v>
      </c>
      <c r="J4" s="60">
        <v>59</v>
      </c>
      <c r="K4" s="60">
        <v>3345</v>
      </c>
      <c r="L4" s="58">
        <v>6165</v>
      </c>
      <c r="M4" s="58">
        <v>979</v>
      </c>
      <c r="N4" s="58">
        <v>263</v>
      </c>
      <c r="O4" s="58">
        <v>21</v>
      </c>
      <c r="P4" s="58">
        <v>165</v>
      </c>
      <c r="Q4" s="58">
        <v>484</v>
      </c>
      <c r="R4" s="58">
        <v>37</v>
      </c>
      <c r="S4" s="58">
        <v>4216</v>
      </c>
    </row>
    <row r="5" spans="1:19" x14ac:dyDescent="0.5">
      <c r="A5" s="60">
        <v>2000</v>
      </c>
      <c r="B5" s="60" t="s">
        <v>44</v>
      </c>
      <c r="C5" s="60" t="s">
        <v>256</v>
      </c>
      <c r="D5" s="60">
        <v>5549</v>
      </c>
      <c r="E5" s="60">
        <v>992</v>
      </c>
      <c r="F5" s="60">
        <v>310</v>
      </c>
      <c r="G5" s="60">
        <v>22</v>
      </c>
      <c r="H5" s="60">
        <v>184</v>
      </c>
      <c r="I5" s="60">
        <v>558</v>
      </c>
      <c r="J5" s="60">
        <v>49</v>
      </c>
      <c r="K5" s="60">
        <v>3434</v>
      </c>
      <c r="L5" s="58">
        <v>6433</v>
      </c>
      <c r="M5" s="58">
        <v>1010</v>
      </c>
      <c r="N5" s="58">
        <v>296</v>
      </c>
      <c r="O5" s="58">
        <v>39</v>
      </c>
      <c r="P5" s="58">
        <v>202</v>
      </c>
      <c r="Q5" s="58">
        <v>665</v>
      </c>
      <c r="R5" s="58">
        <v>36</v>
      </c>
      <c r="S5" s="58">
        <v>4185</v>
      </c>
    </row>
    <row r="6" spans="1:19" x14ac:dyDescent="0.5">
      <c r="A6" s="60">
        <v>2000</v>
      </c>
      <c r="B6" s="60" t="s">
        <v>46</v>
      </c>
      <c r="C6" s="60" t="s">
        <v>257</v>
      </c>
      <c r="D6" s="60">
        <v>5630</v>
      </c>
      <c r="E6" s="60">
        <v>988</v>
      </c>
      <c r="F6" s="60">
        <v>316</v>
      </c>
      <c r="G6" s="60">
        <v>32</v>
      </c>
      <c r="H6" s="60">
        <v>167</v>
      </c>
      <c r="I6" s="60">
        <v>611</v>
      </c>
      <c r="J6" s="60">
        <v>42</v>
      </c>
      <c r="K6" s="60">
        <v>3474</v>
      </c>
      <c r="L6" s="58">
        <v>6225</v>
      </c>
      <c r="M6" s="58">
        <v>952</v>
      </c>
      <c r="N6" s="58">
        <v>279</v>
      </c>
      <c r="O6" s="58">
        <v>29</v>
      </c>
      <c r="P6" s="58">
        <v>173</v>
      </c>
      <c r="Q6" s="58">
        <v>498</v>
      </c>
      <c r="R6" s="58">
        <v>58</v>
      </c>
      <c r="S6" s="58">
        <v>4236</v>
      </c>
    </row>
    <row r="7" spans="1:19" x14ac:dyDescent="0.5">
      <c r="A7" s="60">
        <v>2000</v>
      </c>
      <c r="B7" s="60" t="s">
        <v>50</v>
      </c>
      <c r="C7" s="60" t="s">
        <v>258</v>
      </c>
      <c r="D7" s="60">
        <v>5577</v>
      </c>
      <c r="E7" s="60">
        <v>948</v>
      </c>
      <c r="F7" s="60">
        <v>272</v>
      </c>
      <c r="G7" s="60">
        <v>23</v>
      </c>
      <c r="H7" s="60">
        <v>183</v>
      </c>
      <c r="I7" s="60">
        <v>632</v>
      </c>
      <c r="J7" s="60">
        <v>54</v>
      </c>
      <c r="K7" s="60">
        <v>3465</v>
      </c>
      <c r="L7" s="58">
        <v>6451</v>
      </c>
      <c r="M7" s="58">
        <v>965</v>
      </c>
      <c r="N7" s="58">
        <v>280</v>
      </c>
      <c r="O7" s="58">
        <v>29</v>
      </c>
      <c r="P7" s="58">
        <v>231</v>
      </c>
      <c r="Q7" s="58">
        <v>658</v>
      </c>
      <c r="R7" s="58">
        <v>62</v>
      </c>
      <c r="S7" s="58">
        <v>4226</v>
      </c>
    </row>
    <row r="8" spans="1:19" x14ac:dyDescent="0.5">
      <c r="A8" s="60">
        <v>2000</v>
      </c>
      <c r="B8" s="60" t="s">
        <v>48</v>
      </c>
      <c r="C8" s="60" t="s">
        <v>259</v>
      </c>
      <c r="D8" s="60">
        <v>5646</v>
      </c>
      <c r="E8" s="60">
        <v>1041</v>
      </c>
      <c r="F8" s="60">
        <v>325</v>
      </c>
      <c r="G8" s="60">
        <v>33</v>
      </c>
      <c r="H8" s="60">
        <v>216</v>
      </c>
      <c r="I8" s="60">
        <v>591</v>
      </c>
      <c r="J8" s="60">
        <v>53</v>
      </c>
      <c r="K8" s="60">
        <v>3387</v>
      </c>
      <c r="L8" s="58">
        <v>6337</v>
      </c>
      <c r="M8" s="58">
        <v>1018</v>
      </c>
      <c r="N8" s="58">
        <v>263</v>
      </c>
      <c r="O8" s="58">
        <v>33</v>
      </c>
      <c r="P8" s="58">
        <v>195</v>
      </c>
      <c r="Q8" s="58">
        <v>614</v>
      </c>
      <c r="R8" s="58">
        <v>54</v>
      </c>
      <c r="S8" s="58">
        <v>4160</v>
      </c>
    </row>
    <row r="9" spans="1:19" x14ac:dyDescent="0.5">
      <c r="A9" s="60">
        <v>2000</v>
      </c>
      <c r="B9" s="60" t="s">
        <v>52</v>
      </c>
      <c r="C9" s="60" t="s">
        <v>260</v>
      </c>
      <c r="D9" s="60">
        <v>5635</v>
      </c>
      <c r="E9" s="60">
        <v>1007</v>
      </c>
      <c r="F9" s="60">
        <v>302</v>
      </c>
      <c r="G9" s="60">
        <v>36</v>
      </c>
      <c r="H9" s="60">
        <v>200</v>
      </c>
      <c r="I9" s="60">
        <v>559</v>
      </c>
      <c r="J9" s="60">
        <v>64</v>
      </c>
      <c r="K9" s="60">
        <v>3467</v>
      </c>
      <c r="L9" s="58">
        <v>6362</v>
      </c>
      <c r="M9" s="58">
        <v>884</v>
      </c>
      <c r="N9" s="58">
        <v>334</v>
      </c>
      <c r="O9" s="58">
        <v>38</v>
      </c>
      <c r="P9" s="58">
        <v>190</v>
      </c>
      <c r="Q9" s="58">
        <v>659</v>
      </c>
      <c r="R9" s="58">
        <v>43</v>
      </c>
      <c r="S9" s="58">
        <v>4214</v>
      </c>
    </row>
    <row r="10" spans="1:19" x14ac:dyDescent="0.5">
      <c r="A10" s="60">
        <v>2000</v>
      </c>
      <c r="B10" s="60" t="s">
        <v>54</v>
      </c>
      <c r="C10" s="60" t="s">
        <v>261</v>
      </c>
      <c r="D10" s="60">
        <v>5683</v>
      </c>
      <c r="E10" s="60">
        <v>1078</v>
      </c>
      <c r="F10" s="60">
        <v>310</v>
      </c>
      <c r="G10" s="60">
        <v>30</v>
      </c>
      <c r="H10" s="60">
        <v>221</v>
      </c>
      <c r="I10" s="60">
        <v>685</v>
      </c>
      <c r="J10" s="60">
        <v>51</v>
      </c>
      <c r="K10" s="60">
        <v>3308</v>
      </c>
      <c r="L10" s="58">
        <v>6380</v>
      </c>
      <c r="M10" s="58">
        <v>1021</v>
      </c>
      <c r="N10" s="58">
        <v>288</v>
      </c>
      <c r="O10" s="58">
        <v>29</v>
      </c>
      <c r="P10" s="58">
        <v>173</v>
      </c>
      <c r="Q10" s="58">
        <v>666</v>
      </c>
      <c r="R10" s="58">
        <v>42</v>
      </c>
      <c r="S10" s="58">
        <v>4161</v>
      </c>
    </row>
    <row r="11" spans="1:19" x14ac:dyDescent="0.5">
      <c r="A11" s="60">
        <v>2000</v>
      </c>
      <c r="B11" s="60" t="s">
        <v>56</v>
      </c>
      <c r="C11" s="60" t="s">
        <v>262</v>
      </c>
      <c r="D11" s="60">
        <v>5660</v>
      </c>
      <c r="E11" s="60">
        <v>1130</v>
      </c>
      <c r="F11" s="60">
        <v>320</v>
      </c>
      <c r="G11" s="60">
        <v>53</v>
      </c>
      <c r="H11" s="60">
        <v>161</v>
      </c>
      <c r="I11" s="60">
        <v>601</v>
      </c>
      <c r="J11" s="60">
        <v>42</v>
      </c>
      <c r="K11" s="60">
        <v>3353</v>
      </c>
      <c r="L11" s="58">
        <v>6340</v>
      </c>
      <c r="M11" s="58">
        <v>990</v>
      </c>
      <c r="N11" s="58">
        <v>319</v>
      </c>
      <c r="O11" s="58">
        <v>38</v>
      </c>
      <c r="P11" s="58">
        <v>221</v>
      </c>
      <c r="Q11" s="58">
        <v>588</v>
      </c>
      <c r="R11" s="58">
        <v>72</v>
      </c>
      <c r="S11" s="58">
        <v>4112</v>
      </c>
    </row>
    <row r="12" spans="1:19" x14ac:dyDescent="0.5">
      <c r="A12" s="60">
        <v>2000</v>
      </c>
      <c r="B12" s="60" t="s">
        <v>58</v>
      </c>
      <c r="C12" s="60" t="s">
        <v>263</v>
      </c>
      <c r="D12" s="60">
        <v>5644</v>
      </c>
      <c r="E12" s="60">
        <v>1028</v>
      </c>
      <c r="F12" s="60">
        <v>307</v>
      </c>
      <c r="G12" s="60">
        <v>41</v>
      </c>
      <c r="H12" s="60">
        <v>177</v>
      </c>
      <c r="I12" s="60">
        <v>562</v>
      </c>
      <c r="J12" s="60">
        <v>43</v>
      </c>
      <c r="K12" s="60">
        <v>3486</v>
      </c>
      <c r="L12" s="58">
        <v>6295</v>
      </c>
      <c r="M12" s="58">
        <v>1059</v>
      </c>
      <c r="N12" s="58">
        <v>304</v>
      </c>
      <c r="O12" s="58">
        <v>43</v>
      </c>
      <c r="P12" s="58">
        <v>177</v>
      </c>
      <c r="Q12" s="58">
        <v>496</v>
      </c>
      <c r="R12" s="58">
        <v>47</v>
      </c>
      <c r="S12" s="58">
        <v>4169</v>
      </c>
    </row>
    <row r="13" spans="1:19" x14ac:dyDescent="0.5">
      <c r="A13" s="60">
        <v>2000</v>
      </c>
      <c r="B13" s="60" t="s">
        <v>60</v>
      </c>
      <c r="C13" s="60" t="s">
        <v>264</v>
      </c>
      <c r="D13" s="60">
        <v>5509</v>
      </c>
      <c r="E13" s="60">
        <v>978</v>
      </c>
      <c r="F13" s="60">
        <v>274</v>
      </c>
      <c r="G13" s="60">
        <v>29</v>
      </c>
      <c r="H13" s="60">
        <v>160</v>
      </c>
      <c r="I13" s="60">
        <v>540</v>
      </c>
      <c r="J13" s="60">
        <v>60</v>
      </c>
      <c r="K13" s="60">
        <v>3468</v>
      </c>
      <c r="L13" s="58">
        <v>6307</v>
      </c>
      <c r="M13" s="58">
        <v>980</v>
      </c>
      <c r="N13" s="58">
        <v>284</v>
      </c>
      <c r="O13" s="58">
        <v>44</v>
      </c>
      <c r="P13" s="58">
        <v>169</v>
      </c>
      <c r="Q13" s="58">
        <v>650</v>
      </c>
      <c r="R13" s="58">
        <v>43</v>
      </c>
      <c r="S13" s="58">
        <v>4137</v>
      </c>
    </row>
    <row r="14" spans="1:19" x14ac:dyDescent="0.5">
      <c r="A14" s="60">
        <v>2000</v>
      </c>
      <c r="B14" s="60" t="s">
        <v>62</v>
      </c>
      <c r="C14" s="60" t="s">
        <v>265</v>
      </c>
      <c r="D14" s="60">
        <v>5570</v>
      </c>
      <c r="E14" s="60">
        <v>973</v>
      </c>
      <c r="F14" s="60">
        <v>289</v>
      </c>
      <c r="G14" s="60">
        <v>36</v>
      </c>
      <c r="H14" s="60">
        <v>249</v>
      </c>
      <c r="I14" s="60">
        <v>673</v>
      </c>
      <c r="J14" s="60">
        <v>83</v>
      </c>
      <c r="K14" s="60">
        <v>3267</v>
      </c>
      <c r="L14" s="58">
        <v>6455</v>
      </c>
      <c r="M14" s="58">
        <v>1005</v>
      </c>
      <c r="N14" s="58">
        <v>312</v>
      </c>
      <c r="O14" s="58">
        <v>45</v>
      </c>
      <c r="P14" s="58">
        <v>234</v>
      </c>
      <c r="Q14" s="58">
        <v>598</v>
      </c>
      <c r="R14" s="58">
        <v>60</v>
      </c>
      <c r="S14" s="58">
        <v>4201</v>
      </c>
    </row>
    <row r="15" spans="1:19" x14ac:dyDescent="0.5">
      <c r="A15" s="60">
        <v>2000</v>
      </c>
      <c r="B15" s="60" t="s">
        <v>64</v>
      </c>
      <c r="C15" s="60" t="s">
        <v>266</v>
      </c>
      <c r="D15" s="60">
        <v>5709</v>
      </c>
      <c r="E15" s="60">
        <v>1186</v>
      </c>
      <c r="F15" s="60">
        <v>281</v>
      </c>
      <c r="G15" s="60">
        <v>27</v>
      </c>
      <c r="H15" s="60">
        <v>150</v>
      </c>
      <c r="I15" s="60">
        <v>511</v>
      </c>
      <c r="J15" s="60">
        <v>48</v>
      </c>
      <c r="K15" s="60">
        <v>3506</v>
      </c>
      <c r="L15" s="58">
        <v>6443</v>
      </c>
      <c r="M15" s="58">
        <v>1010</v>
      </c>
      <c r="N15" s="58">
        <v>309</v>
      </c>
      <c r="O15" s="58">
        <v>27</v>
      </c>
      <c r="P15" s="58">
        <v>239</v>
      </c>
      <c r="Q15" s="58">
        <v>693</v>
      </c>
      <c r="R15" s="58">
        <v>42</v>
      </c>
      <c r="S15" s="58">
        <v>4123</v>
      </c>
    </row>
    <row r="16" spans="1:19" x14ac:dyDescent="0.5">
      <c r="A16" s="60">
        <v>2000</v>
      </c>
      <c r="B16" s="60" t="s">
        <v>66</v>
      </c>
      <c r="C16" s="60" t="s">
        <v>267</v>
      </c>
      <c r="D16" s="60">
        <v>5481</v>
      </c>
      <c r="E16" s="60">
        <v>904</v>
      </c>
      <c r="F16" s="60">
        <v>265</v>
      </c>
      <c r="G16" s="60">
        <v>28</v>
      </c>
      <c r="H16" s="60">
        <v>211</v>
      </c>
      <c r="I16" s="60">
        <v>668</v>
      </c>
      <c r="J16" s="60">
        <v>51</v>
      </c>
      <c r="K16" s="60">
        <v>3354</v>
      </c>
      <c r="L16" s="58">
        <v>6249</v>
      </c>
      <c r="M16" s="58">
        <v>901</v>
      </c>
      <c r="N16" s="58">
        <v>283</v>
      </c>
      <c r="O16" s="58">
        <v>19</v>
      </c>
      <c r="P16" s="58">
        <v>176</v>
      </c>
      <c r="Q16" s="58">
        <v>600</v>
      </c>
      <c r="R16" s="58">
        <v>75</v>
      </c>
      <c r="S16" s="58">
        <v>4195</v>
      </c>
    </row>
    <row r="17" spans="1:19" x14ac:dyDescent="0.5">
      <c r="A17" s="60">
        <v>2000</v>
      </c>
      <c r="B17" s="60" t="s">
        <v>68</v>
      </c>
      <c r="C17" s="60" t="s">
        <v>268</v>
      </c>
      <c r="D17" s="60">
        <v>5563</v>
      </c>
      <c r="E17" s="60">
        <v>867</v>
      </c>
      <c r="F17" s="60">
        <v>297</v>
      </c>
      <c r="G17" s="60">
        <v>25</v>
      </c>
      <c r="H17" s="60">
        <v>177</v>
      </c>
      <c r="I17" s="60">
        <v>620</v>
      </c>
      <c r="J17" s="60">
        <v>61</v>
      </c>
      <c r="K17" s="60">
        <v>3516</v>
      </c>
      <c r="L17" s="58">
        <v>6497</v>
      </c>
      <c r="M17" s="58">
        <v>1040</v>
      </c>
      <c r="N17" s="58">
        <v>254</v>
      </c>
      <c r="O17" s="58">
        <v>33</v>
      </c>
      <c r="P17" s="58">
        <v>174</v>
      </c>
      <c r="Q17" s="58">
        <v>728</v>
      </c>
      <c r="R17" s="58">
        <v>65</v>
      </c>
      <c r="S17" s="58">
        <v>4203</v>
      </c>
    </row>
    <row r="18" spans="1:19" x14ac:dyDescent="0.5">
      <c r="A18" s="60">
        <v>2000</v>
      </c>
      <c r="B18" s="60" t="s">
        <v>70</v>
      </c>
      <c r="C18" s="60" t="s">
        <v>269</v>
      </c>
      <c r="D18" s="60">
        <v>5615</v>
      </c>
      <c r="E18" s="60">
        <v>1026</v>
      </c>
      <c r="F18" s="60">
        <v>325</v>
      </c>
      <c r="G18" s="60">
        <v>49</v>
      </c>
      <c r="H18" s="60">
        <v>116</v>
      </c>
      <c r="I18" s="60">
        <v>556</v>
      </c>
      <c r="J18" s="60">
        <v>35</v>
      </c>
      <c r="K18" s="60">
        <v>3508</v>
      </c>
      <c r="L18" s="58">
        <v>6336</v>
      </c>
      <c r="M18" s="58">
        <v>1070</v>
      </c>
      <c r="N18" s="58">
        <v>319</v>
      </c>
      <c r="O18" s="58">
        <v>33</v>
      </c>
      <c r="P18" s="58">
        <v>212</v>
      </c>
      <c r="Q18" s="58">
        <v>516</v>
      </c>
      <c r="R18" s="58">
        <v>35</v>
      </c>
      <c r="S18" s="58">
        <v>4151</v>
      </c>
    </row>
    <row r="19" spans="1:19" x14ac:dyDescent="0.5">
      <c r="A19" s="60">
        <v>2000</v>
      </c>
      <c r="B19" s="60" t="s">
        <v>72</v>
      </c>
      <c r="C19" s="60" t="s">
        <v>270</v>
      </c>
      <c r="D19" s="60">
        <v>5535</v>
      </c>
      <c r="E19" s="60">
        <v>952</v>
      </c>
      <c r="F19" s="60">
        <v>310</v>
      </c>
      <c r="G19" s="60">
        <v>35</v>
      </c>
      <c r="H19" s="60">
        <v>178</v>
      </c>
      <c r="I19" s="60">
        <v>476</v>
      </c>
      <c r="J19" s="60">
        <v>29</v>
      </c>
      <c r="K19" s="60">
        <v>3555</v>
      </c>
      <c r="L19" s="58">
        <v>6340</v>
      </c>
      <c r="M19" s="58">
        <v>1047</v>
      </c>
      <c r="N19" s="58">
        <v>309</v>
      </c>
      <c r="O19" s="58">
        <v>38</v>
      </c>
      <c r="P19" s="58">
        <v>181</v>
      </c>
      <c r="Q19" s="58">
        <v>579</v>
      </c>
      <c r="R19" s="58">
        <v>60</v>
      </c>
      <c r="S19" s="58">
        <v>4126</v>
      </c>
    </row>
    <row r="20" spans="1:19" x14ac:dyDescent="0.5">
      <c r="A20" s="60">
        <v>2000</v>
      </c>
      <c r="B20" s="60" t="s">
        <v>76</v>
      </c>
      <c r="C20" s="60" t="s">
        <v>271</v>
      </c>
      <c r="D20" s="60">
        <v>5486</v>
      </c>
      <c r="E20" s="60">
        <v>946</v>
      </c>
      <c r="F20" s="60">
        <v>281</v>
      </c>
      <c r="G20" s="60">
        <v>20</v>
      </c>
      <c r="H20" s="60">
        <v>198</v>
      </c>
      <c r="I20" s="60">
        <v>675</v>
      </c>
      <c r="J20" s="60">
        <v>45</v>
      </c>
      <c r="K20" s="60">
        <v>3321</v>
      </c>
      <c r="L20" s="58">
        <v>6276</v>
      </c>
      <c r="M20" s="58">
        <v>919</v>
      </c>
      <c r="N20" s="58">
        <v>286</v>
      </c>
      <c r="O20" s="58">
        <v>29</v>
      </c>
      <c r="P20" s="58">
        <v>164</v>
      </c>
      <c r="Q20" s="58">
        <v>574</v>
      </c>
      <c r="R20" s="58">
        <v>60</v>
      </c>
      <c r="S20" s="58">
        <v>4244</v>
      </c>
    </row>
    <row r="21" spans="1:19" x14ac:dyDescent="0.5">
      <c r="A21" s="60">
        <v>2000</v>
      </c>
      <c r="B21" s="60" t="s">
        <v>74</v>
      </c>
      <c r="C21" s="60" t="s">
        <v>272</v>
      </c>
      <c r="D21" s="60">
        <v>5556</v>
      </c>
      <c r="E21" s="60">
        <v>1017</v>
      </c>
      <c r="F21" s="60">
        <v>294</v>
      </c>
      <c r="G21" s="60">
        <v>25</v>
      </c>
      <c r="H21" s="60">
        <v>205</v>
      </c>
      <c r="I21" s="60">
        <v>631</v>
      </c>
      <c r="J21" s="60">
        <v>57</v>
      </c>
      <c r="K21" s="60">
        <v>3327</v>
      </c>
      <c r="L21" s="58">
        <v>6256</v>
      </c>
      <c r="M21" s="58">
        <v>960</v>
      </c>
      <c r="N21" s="58">
        <v>296</v>
      </c>
      <c r="O21" s="58">
        <v>25</v>
      </c>
      <c r="P21" s="58">
        <v>177</v>
      </c>
      <c r="Q21" s="58">
        <v>577</v>
      </c>
      <c r="R21" s="58">
        <v>52</v>
      </c>
      <c r="S21" s="58">
        <v>4169</v>
      </c>
    </row>
    <row r="22" spans="1:19" x14ac:dyDescent="0.5">
      <c r="A22" s="60">
        <v>2000</v>
      </c>
      <c r="B22" s="60" t="s">
        <v>78</v>
      </c>
      <c r="C22" s="60" t="s">
        <v>273</v>
      </c>
      <c r="D22" s="60">
        <v>5560</v>
      </c>
      <c r="E22" s="60">
        <v>958</v>
      </c>
      <c r="F22" s="60">
        <v>281</v>
      </c>
      <c r="G22" s="60">
        <v>23</v>
      </c>
      <c r="H22" s="60">
        <v>239</v>
      </c>
      <c r="I22" s="60">
        <v>750</v>
      </c>
      <c r="J22" s="60">
        <v>52</v>
      </c>
      <c r="K22" s="60">
        <v>3257</v>
      </c>
      <c r="L22" s="58">
        <v>6355</v>
      </c>
      <c r="M22" s="58">
        <v>1043</v>
      </c>
      <c r="N22" s="58">
        <v>308</v>
      </c>
      <c r="O22" s="58">
        <v>26</v>
      </c>
      <c r="P22" s="58">
        <v>158</v>
      </c>
      <c r="Q22" s="58">
        <v>615</v>
      </c>
      <c r="R22" s="58">
        <v>48</v>
      </c>
      <c r="S22" s="58">
        <v>4157</v>
      </c>
    </row>
    <row r="23" spans="1:19" x14ac:dyDescent="0.5">
      <c r="A23" s="60">
        <v>2000</v>
      </c>
      <c r="B23" s="60" t="s">
        <v>80</v>
      </c>
      <c r="C23" s="60" t="s">
        <v>274</v>
      </c>
      <c r="D23" s="60">
        <v>5511</v>
      </c>
      <c r="E23" s="60">
        <v>898</v>
      </c>
      <c r="F23" s="60">
        <v>304</v>
      </c>
      <c r="G23" s="60">
        <v>40</v>
      </c>
      <c r="H23" s="60">
        <v>144</v>
      </c>
      <c r="I23" s="60">
        <v>611</v>
      </c>
      <c r="J23" s="60">
        <v>44</v>
      </c>
      <c r="K23" s="60">
        <v>3470</v>
      </c>
      <c r="L23" s="58">
        <v>6314</v>
      </c>
      <c r="M23" s="58">
        <v>887</v>
      </c>
      <c r="N23" s="58">
        <v>337</v>
      </c>
      <c r="O23" s="58">
        <v>33</v>
      </c>
      <c r="P23" s="58">
        <v>201</v>
      </c>
      <c r="Q23" s="58">
        <v>640</v>
      </c>
      <c r="R23" s="58">
        <v>42</v>
      </c>
      <c r="S23" s="58">
        <v>4174</v>
      </c>
    </row>
    <row r="24" spans="1:19" x14ac:dyDescent="0.5">
      <c r="A24" s="60">
        <v>2000</v>
      </c>
      <c r="B24" s="60" t="s">
        <v>82</v>
      </c>
      <c r="C24" s="60" t="s">
        <v>275</v>
      </c>
      <c r="D24" s="60">
        <v>5643</v>
      </c>
      <c r="E24" s="60">
        <v>987</v>
      </c>
      <c r="F24" s="60">
        <v>320</v>
      </c>
      <c r="G24" s="60">
        <v>31</v>
      </c>
      <c r="H24" s="60">
        <v>168</v>
      </c>
      <c r="I24" s="60">
        <v>564</v>
      </c>
      <c r="J24" s="60">
        <v>66</v>
      </c>
      <c r="K24" s="60">
        <v>3507</v>
      </c>
      <c r="L24" s="58">
        <v>6514</v>
      </c>
      <c r="M24" s="58">
        <v>1043</v>
      </c>
      <c r="N24" s="58">
        <v>313</v>
      </c>
      <c r="O24" s="58">
        <v>35</v>
      </c>
      <c r="P24" s="58">
        <v>163</v>
      </c>
      <c r="Q24" s="58">
        <v>711</v>
      </c>
      <c r="R24" s="58">
        <v>60</v>
      </c>
      <c r="S24" s="58">
        <v>4189</v>
      </c>
    </row>
    <row r="25" spans="1:19" x14ac:dyDescent="0.5">
      <c r="A25" s="60">
        <v>2000</v>
      </c>
      <c r="B25" s="60" t="s">
        <v>84</v>
      </c>
      <c r="C25" s="60" t="s">
        <v>276</v>
      </c>
      <c r="D25" s="60">
        <v>5560</v>
      </c>
      <c r="E25" s="60">
        <v>940</v>
      </c>
      <c r="F25" s="60">
        <v>279</v>
      </c>
      <c r="G25" s="60">
        <v>37</v>
      </c>
      <c r="H25" s="60">
        <v>157</v>
      </c>
      <c r="I25" s="60">
        <v>602</v>
      </c>
      <c r="J25" s="60">
        <v>46</v>
      </c>
      <c r="K25" s="60">
        <v>3499</v>
      </c>
      <c r="L25" s="58">
        <v>6414</v>
      </c>
      <c r="M25" s="58">
        <v>965</v>
      </c>
      <c r="N25" s="58">
        <v>260</v>
      </c>
      <c r="O25" s="58">
        <v>27</v>
      </c>
      <c r="P25" s="58">
        <v>191</v>
      </c>
      <c r="Q25" s="58">
        <v>649</v>
      </c>
      <c r="R25" s="58">
        <v>68</v>
      </c>
      <c r="S25" s="58">
        <v>4254</v>
      </c>
    </row>
    <row r="26" spans="1:19" x14ac:dyDescent="0.5">
      <c r="A26" s="60">
        <v>2000</v>
      </c>
      <c r="B26" s="60" t="s">
        <v>86</v>
      </c>
      <c r="C26" s="60" t="s">
        <v>277</v>
      </c>
      <c r="D26" s="60">
        <v>5497</v>
      </c>
      <c r="E26" s="60">
        <v>957</v>
      </c>
      <c r="F26" s="60">
        <v>300</v>
      </c>
      <c r="G26" s="60">
        <v>26</v>
      </c>
      <c r="H26" s="60">
        <v>198</v>
      </c>
      <c r="I26" s="60">
        <v>775</v>
      </c>
      <c r="J26" s="60">
        <v>48</v>
      </c>
      <c r="K26" s="60">
        <v>3193</v>
      </c>
      <c r="L26" s="58">
        <v>6269</v>
      </c>
      <c r="M26" s="58">
        <v>957</v>
      </c>
      <c r="N26" s="58">
        <v>292</v>
      </c>
      <c r="O26" s="58">
        <v>26</v>
      </c>
      <c r="P26" s="58">
        <v>167</v>
      </c>
      <c r="Q26" s="58">
        <v>634</v>
      </c>
      <c r="R26" s="58">
        <v>38</v>
      </c>
      <c r="S26" s="58">
        <v>4155</v>
      </c>
    </row>
    <row r="27" spans="1:19" x14ac:dyDescent="0.5">
      <c r="A27" s="60">
        <v>2000</v>
      </c>
      <c r="B27" s="60" t="s">
        <v>88</v>
      </c>
      <c r="C27" s="60" t="s">
        <v>278</v>
      </c>
      <c r="D27" s="60">
        <v>5519</v>
      </c>
      <c r="E27" s="60">
        <v>961</v>
      </c>
      <c r="F27" s="60">
        <v>304</v>
      </c>
      <c r="G27" s="60">
        <v>44</v>
      </c>
      <c r="H27" s="60">
        <v>226</v>
      </c>
      <c r="I27" s="60">
        <v>709</v>
      </c>
      <c r="J27" s="60">
        <v>51</v>
      </c>
      <c r="K27" s="60">
        <v>3224</v>
      </c>
      <c r="L27" s="58">
        <v>6270</v>
      </c>
      <c r="M27" s="58">
        <v>997</v>
      </c>
      <c r="N27" s="58">
        <v>265</v>
      </c>
      <c r="O27" s="58">
        <v>39</v>
      </c>
      <c r="P27" s="58">
        <v>151</v>
      </c>
      <c r="Q27" s="58">
        <v>623</v>
      </c>
      <c r="R27" s="58">
        <v>41</v>
      </c>
      <c r="S27" s="58">
        <v>4154</v>
      </c>
    </row>
    <row r="28" spans="1:19" x14ac:dyDescent="0.5">
      <c r="A28" s="60">
        <v>2000</v>
      </c>
      <c r="B28" s="60" t="s">
        <v>90</v>
      </c>
      <c r="C28" s="60" t="s">
        <v>279</v>
      </c>
      <c r="D28" s="60">
        <v>5478</v>
      </c>
      <c r="E28" s="60">
        <v>962</v>
      </c>
      <c r="F28" s="60">
        <v>259</v>
      </c>
      <c r="G28" s="60">
        <v>25</v>
      </c>
      <c r="H28" s="60">
        <v>235</v>
      </c>
      <c r="I28" s="60">
        <v>675</v>
      </c>
      <c r="J28" s="60">
        <v>84</v>
      </c>
      <c r="K28" s="60">
        <v>3238</v>
      </c>
      <c r="L28" s="58">
        <v>6200</v>
      </c>
      <c r="M28" s="58">
        <v>880</v>
      </c>
      <c r="N28" s="58">
        <v>299</v>
      </c>
      <c r="O28" s="58">
        <v>28</v>
      </c>
      <c r="P28" s="58">
        <v>196</v>
      </c>
      <c r="Q28" s="58">
        <v>606</v>
      </c>
      <c r="R28" s="58">
        <v>62</v>
      </c>
      <c r="S28" s="58">
        <v>4129</v>
      </c>
    </row>
    <row r="29" spans="1:19" x14ac:dyDescent="0.5">
      <c r="A29" s="60">
        <v>2000</v>
      </c>
      <c r="B29" s="60" t="s">
        <v>92</v>
      </c>
      <c r="C29" s="60" t="s">
        <v>280</v>
      </c>
      <c r="D29" s="60">
        <v>5505</v>
      </c>
      <c r="E29" s="60">
        <v>977</v>
      </c>
      <c r="F29" s="60">
        <v>253</v>
      </c>
      <c r="G29" s="60">
        <v>22</v>
      </c>
      <c r="H29" s="60">
        <v>162</v>
      </c>
      <c r="I29" s="60">
        <v>558</v>
      </c>
      <c r="J29" s="60">
        <v>51</v>
      </c>
      <c r="K29" s="60">
        <v>3482</v>
      </c>
      <c r="L29" s="58">
        <v>6283</v>
      </c>
      <c r="M29" s="58">
        <v>1012</v>
      </c>
      <c r="N29" s="58">
        <v>307</v>
      </c>
      <c r="O29" s="58">
        <v>36</v>
      </c>
      <c r="P29" s="58">
        <v>198</v>
      </c>
      <c r="Q29" s="58">
        <v>533</v>
      </c>
      <c r="R29" s="58">
        <v>66</v>
      </c>
      <c r="S29" s="58">
        <v>4131</v>
      </c>
    </row>
    <row r="30" spans="1:19" x14ac:dyDescent="0.5">
      <c r="A30" s="60">
        <v>2000</v>
      </c>
      <c r="B30" s="60" t="s">
        <v>94</v>
      </c>
      <c r="C30" s="60" t="s">
        <v>281</v>
      </c>
      <c r="D30" s="60">
        <v>5648</v>
      </c>
      <c r="E30" s="60">
        <v>1063</v>
      </c>
      <c r="F30" s="60">
        <v>330</v>
      </c>
      <c r="G30" s="60">
        <v>35</v>
      </c>
      <c r="H30" s="60">
        <v>173</v>
      </c>
      <c r="I30" s="60">
        <v>580</v>
      </c>
      <c r="J30" s="60">
        <v>39</v>
      </c>
      <c r="K30" s="60">
        <v>3428</v>
      </c>
      <c r="L30" s="58">
        <v>6559</v>
      </c>
      <c r="M30" s="58">
        <v>1080</v>
      </c>
      <c r="N30" s="58">
        <v>367</v>
      </c>
      <c r="O30" s="58">
        <v>34</v>
      </c>
      <c r="P30" s="58">
        <v>202</v>
      </c>
      <c r="Q30" s="58">
        <v>661</v>
      </c>
      <c r="R30" s="58">
        <v>63</v>
      </c>
      <c r="S30" s="58">
        <v>4152</v>
      </c>
    </row>
    <row r="31" spans="1:19" x14ac:dyDescent="0.5">
      <c r="A31" s="60">
        <v>2000</v>
      </c>
      <c r="B31" s="60" t="s">
        <v>96</v>
      </c>
      <c r="C31" s="60" t="s">
        <v>282</v>
      </c>
      <c r="D31" s="60">
        <v>5677</v>
      </c>
      <c r="E31" s="60">
        <v>969</v>
      </c>
      <c r="F31" s="60">
        <v>328</v>
      </c>
      <c r="G31" s="60">
        <v>21</v>
      </c>
      <c r="H31" s="60">
        <v>244</v>
      </c>
      <c r="I31" s="60">
        <v>526</v>
      </c>
      <c r="J31" s="60">
        <v>60</v>
      </c>
      <c r="K31" s="60">
        <v>3529</v>
      </c>
      <c r="L31" s="58">
        <v>6377</v>
      </c>
      <c r="M31" s="58">
        <v>1059</v>
      </c>
      <c r="N31" s="58">
        <v>338</v>
      </c>
      <c r="O31" s="58">
        <v>23</v>
      </c>
      <c r="P31" s="58">
        <v>195</v>
      </c>
      <c r="Q31" s="58">
        <v>560</v>
      </c>
      <c r="R31" s="58">
        <v>64</v>
      </c>
      <c r="S31" s="58">
        <v>4138</v>
      </c>
    </row>
    <row r="32" spans="1:19" x14ac:dyDescent="0.5">
      <c r="A32" s="60">
        <v>2001</v>
      </c>
      <c r="B32" s="60" t="s">
        <v>36</v>
      </c>
      <c r="C32" s="60" t="s">
        <v>283</v>
      </c>
      <c r="D32" s="60">
        <v>5551</v>
      </c>
      <c r="E32" s="60">
        <v>988</v>
      </c>
      <c r="F32" s="60">
        <v>275</v>
      </c>
      <c r="G32" s="60">
        <v>26</v>
      </c>
      <c r="H32" s="60">
        <v>158</v>
      </c>
      <c r="I32" s="60">
        <v>494</v>
      </c>
      <c r="J32" s="60">
        <v>77</v>
      </c>
      <c r="K32" s="60">
        <v>3533</v>
      </c>
      <c r="L32" s="58">
        <v>6195</v>
      </c>
      <c r="M32" s="58">
        <v>980</v>
      </c>
      <c r="N32" s="58">
        <v>285</v>
      </c>
      <c r="O32" s="58">
        <v>19</v>
      </c>
      <c r="P32" s="58">
        <v>168</v>
      </c>
      <c r="Q32" s="58">
        <v>525</v>
      </c>
      <c r="R32" s="58">
        <v>64</v>
      </c>
      <c r="S32" s="58">
        <v>4154</v>
      </c>
    </row>
    <row r="33" spans="1:19" x14ac:dyDescent="0.5">
      <c r="A33" s="60">
        <v>2001</v>
      </c>
      <c r="B33" s="60" t="s">
        <v>39</v>
      </c>
      <c r="C33" s="60" t="s">
        <v>284</v>
      </c>
      <c r="D33" s="60">
        <v>5595</v>
      </c>
      <c r="E33" s="60">
        <v>967</v>
      </c>
      <c r="F33" s="60">
        <v>284</v>
      </c>
      <c r="G33" s="60">
        <v>35</v>
      </c>
      <c r="H33" s="60">
        <v>208</v>
      </c>
      <c r="I33" s="60">
        <v>587</v>
      </c>
      <c r="J33" s="60">
        <v>57</v>
      </c>
      <c r="K33" s="60">
        <v>3457</v>
      </c>
      <c r="L33" s="58">
        <v>6090</v>
      </c>
      <c r="M33" s="58">
        <v>907</v>
      </c>
      <c r="N33" s="58">
        <v>228</v>
      </c>
      <c r="O33" s="58">
        <v>22</v>
      </c>
      <c r="P33" s="58">
        <v>195</v>
      </c>
      <c r="Q33" s="58">
        <v>461</v>
      </c>
      <c r="R33" s="58">
        <v>59</v>
      </c>
      <c r="S33" s="58">
        <v>4218</v>
      </c>
    </row>
    <row r="34" spans="1:19" x14ac:dyDescent="0.5">
      <c r="A34" s="60">
        <v>2001</v>
      </c>
      <c r="B34" s="60" t="s">
        <v>41</v>
      </c>
      <c r="C34" s="60" t="s">
        <v>285</v>
      </c>
      <c r="D34" s="60">
        <v>5498</v>
      </c>
      <c r="E34" s="60">
        <v>971</v>
      </c>
      <c r="F34" s="60">
        <v>263</v>
      </c>
      <c r="G34" s="60">
        <v>24</v>
      </c>
      <c r="H34" s="60">
        <v>174</v>
      </c>
      <c r="I34" s="60">
        <v>493</v>
      </c>
      <c r="J34" s="60">
        <v>45</v>
      </c>
      <c r="K34" s="60">
        <v>3528</v>
      </c>
      <c r="L34" s="58">
        <v>6089</v>
      </c>
      <c r="M34" s="58">
        <v>960</v>
      </c>
      <c r="N34" s="58">
        <v>228</v>
      </c>
      <c r="O34" s="58">
        <v>22</v>
      </c>
      <c r="P34" s="58">
        <v>153</v>
      </c>
      <c r="Q34" s="58">
        <v>499</v>
      </c>
      <c r="R34" s="58">
        <v>33</v>
      </c>
      <c r="S34" s="58">
        <v>4194</v>
      </c>
    </row>
    <row r="35" spans="1:19" x14ac:dyDescent="0.5">
      <c r="A35" s="60">
        <v>2001</v>
      </c>
      <c r="B35" s="60" t="s">
        <v>44</v>
      </c>
      <c r="C35" s="60" t="s">
        <v>286</v>
      </c>
      <c r="D35" s="60">
        <v>5472</v>
      </c>
      <c r="E35" s="60">
        <v>937</v>
      </c>
      <c r="F35" s="60">
        <v>262</v>
      </c>
      <c r="G35" s="60">
        <v>24</v>
      </c>
      <c r="H35" s="60">
        <v>136</v>
      </c>
      <c r="I35" s="60">
        <v>514</v>
      </c>
      <c r="J35" s="60">
        <v>77</v>
      </c>
      <c r="K35" s="60">
        <v>3522</v>
      </c>
      <c r="L35" s="58">
        <v>6273</v>
      </c>
      <c r="M35" s="58">
        <v>965</v>
      </c>
      <c r="N35" s="58">
        <v>316</v>
      </c>
      <c r="O35" s="58">
        <v>29</v>
      </c>
      <c r="P35" s="58">
        <v>194</v>
      </c>
      <c r="Q35" s="58">
        <v>528</v>
      </c>
      <c r="R35" s="58">
        <v>74</v>
      </c>
      <c r="S35" s="58">
        <v>4167</v>
      </c>
    </row>
    <row r="36" spans="1:19" x14ac:dyDescent="0.5">
      <c r="A36" s="60">
        <v>2001</v>
      </c>
      <c r="B36" s="60" t="s">
        <v>46</v>
      </c>
      <c r="C36" s="60" t="s">
        <v>287</v>
      </c>
      <c r="D36" s="60">
        <v>5605</v>
      </c>
      <c r="E36" s="60">
        <v>950</v>
      </c>
      <c r="F36" s="60">
        <v>316</v>
      </c>
      <c r="G36" s="60">
        <v>29</v>
      </c>
      <c r="H36" s="60">
        <v>198</v>
      </c>
      <c r="I36" s="60">
        <v>520</v>
      </c>
      <c r="J36" s="60">
        <v>70</v>
      </c>
      <c r="K36" s="60">
        <v>3522</v>
      </c>
      <c r="L36" s="58">
        <v>6272</v>
      </c>
      <c r="M36" s="58">
        <v>959</v>
      </c>
      <c r="N36" s="58">
        <v>280</v>
      </c>
      <c r="O36" s="58">
        <v>27</v>
      </c>
      <c r="P36" s="58">
        <v>146</v>
      </c>
      <c r="Q36" s="58">
        <v>544</v>
      </c>
      <c r="R36" s="58">
        <v>93</v>
      </c>
      <c r="S36" s="58">
        <v>4223</v>
      </c>
    </row>
    <row r="37" spans="1:19" x14ac:dyDescent="0.5">
      <c r="A37" s="60">
        <v>2001</v>
      </c>
      <c r="B37" s="60" t="s">
        <v>50</v>
      </c>
      <c r="C37" s="60" t="s">
        <v>288</v>
      </c>
      <c r="D37" s="60">
        <v>5406</v>
      </c>
      <c r="E37" s="60">
        <v>915</v>
      </c>
      <c r="F37" s="60">
        <v>268</v>
      </c>
      <c r="G37" s="60">
        <v>32</v>
      </c>
      <c r="H37" s="60">
        <v>194</v>
      </c>
      <c r="I37" s="60">
        <v>577</v>
      </c>
      <c r="J37" s="60">
        <v>66</v>
      </c>
      <c r="K37" s="60">
        <v>3354</v>
      </c>
      <c r="L37" s="58">
        <v>6159</v>
      </c>
      <c r="M37" s="58">
        <v>892</v>
      </c>
      <c r="N37" s="58">
        <v>276</v>
      </c>
      <c r="O37" s="58">
        <v>25</v>
      </c>
      <c r="P37" s="58">
        <v>164</v>
      </c>
      <c r="Q37" s="58">
        <v>550</v>
      </c>
      <c r="R37" s="58">
        <v>50</v>
      </c>
      <c r="S37" s="58">
        <v>4202</v>
      </c>
    </row>
    <row r="38" spans="1:19" x14ac:dyDescent="0.5">
      <c r="A38" s="60">
        <v>2001</v>
      </c>
      <c r="B38" s="60" t="s">
        <v>48</v>
      </c>
      <c r="C38" s="60" t="s">
        <v>289</v>
      </c>
      <c r="D38" s="60">
        <v>5464</v>
      </c>
      <c r="E38" s="60">
        <v>920</v>
      </c>
      <c r="F38" s="60">
        <v>300</v>
      </c>
      <c r="G38" s="60">
        <v>29</v>
      </c>
      <c r="H38" s="60">
        <v>214</v>
      </c>
      <c r="I38" s="60">
        <v>520</v>
      </c>
      <c r="J38" s="60">
        <v>52</v>
      </c>
      <c r="K38" s="60">
        <v>3429</v>
      </c>
      <c r="L38" s="58">
        <v>6200</v>
      </c>
      <c r="M38" s="58">
        <v>968</v>
      </c>
      <c r="N38" s="58">
        <v>289</v>
      </c>
      <c r="O38" s="58">
        <v>27</v>
      </c>
      <c r="P38" s="58">
        <v>181</v>
      </c>
      <c r="Q38" s="58">
        <v>500</v>
      </c>
      <c r="R38" s="58">
        <v>88</v>
      </c>
      <c r="S38" s="58">
        <v>4147</v>
      </c>
    </row>
    <row r="39" spans="1:19" x14ac:dyDescent="0.5">
      <c r="A39" s="60">
        <v>2001</v>
      </c>
      <c r="B39" s="60" t="s">
        <v>52</v>
      </c>
      <c r="C39" s="60" t="s">
        <v>290</v>
      </c>
      <c r="D39" s="60">
        <v>5583</v>
      </c>
      <c r="E39" s="60">
        <v>962</v>
      </c>
      <c r="F39" s="60">
        <v>304</v>
      </c>
      <c r="G39" s="60">
        <v>22</v>
      </c>
      <c r="H39" s="60">
        <v>176</v>
      </c>
      <c r="I39" s="60">
        <v>468</v>
      </c>
      <c r="J39" s="60">
        <v>65</v>
      </c>
      <c r="K39" s="60">
        <v>3586</v>
      </c>
      <c r="L39" s="58">
        <v>6324</v>
      </c>
      <c r="M39" s="58">
        <v>1002</v>
      </c>
      <c r="N39" s="58">
        <v>344</v>
      </c>
      <c r="O39" s="58">
        <v>28</v>
      </c>
      <c r="P39" s="58">
        <v>198</v>
      </c>
      <c r="Q39" s="58">
        <v>515</v>
      </c>
      <c r="R39" s="58">
        <v>48</v>
      </c>
      <c r="S39" s="58">
        <v>4189</v>
      </c>
    </row>
    <row r="40" spans="1:19" x14ac:dyDescent="0.5">
      <c r="A40" s="60">
        <v>2001</v>
      </c>
      <c r="B40" s="60" t="s">
        <v>54</v>
      </c>
      <c r="C40" s="60" t="s">
        <v>291</v>
      </c>
      <c r="D40" s="60">
        <v>5600</v>
      </c>
      <c r="E40" s="60">
        <v>1016</v>
      </c>
      <c r="F40" s="60">
        <v>294</v>
      </c>
      <c r="G40" s="60">
        <v>37</v>
      </c>
      <c r="H40" s="60">
        <v>212</v>
      </c>
      <c r="I40" s="60">
        <v>577</v>
      </c>
      <c r="J40" s="60">
        <v>69</v>
      </c>
      <c r="K40" s="60">
        <v>3395</v>
      </c>
      <c r="L40" s="58">
        <v>6312</v>
      </c>
      <c r="M40" s="58">
        <v>1017</v>
      </c>
      <c r="N40" s="58">
        <v>320</v>
      </c>
      <c r="O40" s="58">
        <v>27</v>
      </c>
      <c r="P40" s="58">
        <v>148</v>
      </c>
      <c r="Q40" s="58">
        <v>573</v>
      </c>
      <c r="R40" s="58">
        <v>49</v>
      </c>
      <c r="S40" s="58">
        <v>4178</v>
      </c>
    </row>
    <row r="41" spans="1:19" x14ac:dyDescent="0.5">
      <c r="A41" s="60">
        <v>2001</v>
      </c>
      <c r="B41" s="60" t="s">
        <v>56</v>
      </c>
      <c r="C41" s="60" t="s">
        <v>292</v>
      </c>
      <c r="D41" s="60">
        <v>5690</v>
      </c>
      <c r="E41" s="60">
        <v>1065</v>
      </c>
      <c r="F41" s="60">
        <v>324</v>
      </c>
      <c r="G41" s="60">
        <v>61</v>
      </c>
      <c r="H41" s="60">
        <v>213</v>
      </c>
      <c r="I41" s="60">
        <v>511</v>
      </c>
      <c r="J41" s="60">
        <v>61</v>
      </c>
      <c r="K41" s="60">
        <v>3455</v>
      </c>
      <c r="L41" s="58">
        <v>6306</v>
      </c>
      <c r="M41" s="58">
        <v>897</v>
      </c>
      <c r="N41" s="58">
        <v>351</v>
      </c>
      <c r="O41" s="58">
        <v>35</v>
      </c>
      <c r="P41" s="58">
        <v>239</v>
      </c>
      <c r="Q41" s="58">
        <v>598</v>
      </c>
      <c r="R41" s="58">
        <v>64</v>
      </c>
      <c r="S41" s="58">
        <v>4122</v>
      </c>
    </row>
    <row r="42" spans="1:19" x14ac:dyDescent="0.5">
      <c r="A42" s="60">
        <v>2001</v>
      </c>
      <c r="B42" s="60" t="s">
        <v>58</v>
      </c>
      <c r="C42" s="60" t="s">
        <v>293</v>
      </c>
      <c r="D42" s="60">
        <v>5537</v>
      </c>
      <c r="E42" s="60">
        <v>949</v>
      </c>
      <c r="F42" s="60">
        <v>291</v>
      </c>
      <c r="G42" s="60">
        <v>60</v>
      </c>
      <c r="H42" s="60">
        <v>139</v>
      </c>
      <c r="I42" s="60">
        <v>466</v>
      </c>
      <c r="J42" s="60">
        <v>51</v>
      </c>
      <c r="K42" s="60">
        <v>3581</v>
      </c>
      <c r="L42" s="58">
        <v>6361</v>
      </c>
      <c r="M42" s="58">
        <v>1062</v>
      </c>
      <c r="N42" s="58">
        <v>333</v>
      </c>
      <c r="O42" s="58">
        <v>49</v>
      </c>
      <c r="P42" s="58">
        <v>180</v>
      </c>
      <c r="Q42" s="58">
        <v>553</v>
      </c>
      <c r="R42" s="58">
        <v>73</v>
      </c>
      <c r="S42" s="58">
        <v>4111</v>
      </c>
    </row>
    <row r="43" spans="1:19" x14ac:dyDescent="0.5">
      <c r="A43" s="60">
        <v>2001</v>
      </c>
      <c r="B43" s="60" t="s">
        <v>60</v>
      </c>
      <c r="C43" s="60" t="s">
        <v>294</v>
      </c>
      <c r="D43" s="60">
        <v>5542</v>
      </c>
      <c r="E43" s="60">
        <v>940</v>
      </c>
      <c r="F43" s="60">
        <v>325</v>
      </c>
      <c r="G43" s="60">
        <v>30</v>
      </c>
      <c r="H43" s="60">
        <v>166</v>
      </c>
      <c r="I43" s="60">
        <v>470</v>
      </c>
      <c r="J43" s="60">
        <v>67</v>
      </c>
      <c r="K43" s="60">
        <v>3544</v>
      </c>
      <c r="L43" s="58">
        <v>6227</v>
      </c>
      <c r="M43" s="58">
        <v>911</v>
      </c>
      <c r="N43" s="58">
        <v>289</v>
      </c>
      <c r="O43" s="58">
        <v>46</v>
      </c>
      <c r="P43" s="58">
        <v>151</v>
      </c>
      <c r="Q43" s="58">
        <v>617</v>
      </c>
      <c r="R43" s="58">
        <v>70</v>
      </c>
      <c r="S43" s="58">
        <v>4143</v>
      </c>
    </row>
    <row r="44" spans="1:19" x14ac:dyDescent="0.5">
      <c r="A44" s="60">
        <v>2001</v>
      </c>
      <c r="B44" s="60" t="s">
        <v>62</v>
      </c>
      <c r="C44" s="60" t="s">
        <v>295</v>
      </c>
      <c r="D44" s="60">
        <v>5528</v>
      </c>
      <c r="E44" s="60">
        <v>950</v>
      </c>
      <c r="F44" s="60">
        <v>313</v>
      </c>
      <c r="G44" s="60">
        <v>29</v>
      </c>
      <c r="H44" s="60">
        <v>208</v>
      </c>
      <c r="I44" s="60">
        <v>581</v>
      </c>
      <c r="J44" s="60">
        <v>89</v>
      </c>
      <c r="K44" s="60">
        <v>3358</v>
      </c>
      <c r="L44" s="58">
        <v>6236</v>
      </c>
      <c r="M44" s="58">
        <v>942</v>
      </c>
      <c r="N44" s="58">
        <v>262</v>
      </c>
      <c r="O44" s="58">
        <v>28</v>
      </c>
      <c r="P44" s="58">
        <v>221</v>
      </c>
      <c r="Q44" s="58">
        <v>486</v>
      </c>
      <c r="R44" s="58">
        <v>70</v>
      </c>
      <c r="S44" s="58">
        <v>4227</v>
      </c>
    </row>
    <row r="45" spans="1:19" x14ac:dyDescent="0.5">
      <c r="A45" s="60">
        <v>2001</v>
      </c>
      <c r="B45" s="60" t="s">
        <v>64</v>
      </c>
      <c r="C45" s="60" t="s">
        <v>296</v>
      </c>
      <c r="D45" s="60">
        <v>5643</v>
      </c>
      <c r="E45" s="60">
        <v>1037</v>
      </c>
      <c r="F45" s="60">
        <v>277</v>
      </c>
      <c r="G45" s="60">
        <v>37</v>
      </c>
      <c r="H45" s="60">
        <v>152</v>
      </c>
      <c r="I45" s="60">
        <v>406</v>
      </c>
      <c r="J45" s="60">
        <v>44</v>
      </c>
      <c r="K45" s="60">
        <v>3690</v>
      </c>
      <c r="L45" s="58">
        <v>6289</v>
      </c>
      <c r="M45" s="58">
        <v>1028</v>
      </c>
      <c r="N45" s="58">
        <v>261</v>
      </c>
      <c r="O45" s="58">
        <v>39</v>
      </c>
      <c r="P45" s="58">
        <v>209</v>
      </c>
      <c r="Q45" s="58">
        <v>576</v>
      </c>
      <c r="R45" s="58">
        <v>61</v>
      </c>
      <c r="S45" s="58">
        <v>4115</v>
      </c>
    </row>
    <row r="46" spans="1:19" x14ac:dyDescent="0.5">
      <c r="A46" s="60">
        <v>2001</v>
      </c>
      <c r="B46" s="60" t="s">
        <v>66</v>
      </c>
      <c r="C46" s="60" t="s">
        <v>297</v>
      </c>
      <c r="D46" s="60">
        <v>5493</v>
      </c>
      <c r="E46" s="60">
        <v>902</v>
      </c>
      <c r="F46" s="60">
        <v>264</v>
      </c>
      <c r="G46" s="60">
        <v>27</v>
      </c>
      <c r="H46" s="60">
        <v>206</v>
      </c>
      <c r="I46" s="60">
        <v>519</v>
      </c>
      <c r="J46" s="60">
        <v>56</v>
      </c>
      <c r="K46" s="60">
        <v>3519</v>
      </c>
      <c r="L46" s="58">
        <v>6201</v>
      </c>
      <c r="M46" s="58">
        <v>909</v>
      </c>
      <c r="N46" s="58">
        <v>268</v>
      </c>
      <c r="O46" s="58">
        <v>26</v>
      </c>
      <c r="P46" s="58">
        <v>184</v>
      </c>
      <c r="Q46" s="58">
        <v>524</v>
      </c>
      <c r="R46" s="58">
        <v>72</v>
      </c>
      <c r="S46" s="58">
        <v>4218</v>
      </c>
    </row>
    <row r="47" spans="1:19" x14ac:dyDescent="0.5">
      <c r="A47" s="60">
        <v>2001</v>
      </c>
      <c r="B47" s="60" t="s">
        <v>68</v>
      </c>
      <c r="C47" s="60" t="s">
        <v>298</v>
      </c>
      <c r="D47" s="60">
        <v>5488</v>
      </c>
      <c r="E47" s="60">
        <v>866</v>
      </c>
      <c r="F47" s="60">
        <v>273</v>
      </c>
      <c r="G47" s="60">
        <v>30</v>
      </c>
      <c r="H47" s="60">
        <v>209</v>
      </c>
      <c r="I47" s="60">
        <v>488</v>
      </c>
      <c r="J47" s="60">
        <v>72</v>
      </c>
      <c r="K47" s="60">
        <v>3550</v>
      </c>
      <c r="L47" s="58">
        <v>6338</v>
      </c>
      <c r="M47" s="58">
        <v>924</v>
      </c>
      <c r="N47" s="58">
        <v>293</v>
      </c>
      <c r="O47" s="58">
        <v>38</v>
      </c>
      <c r="P47" s="58">
        <v>197</v>
      </c>
      <c r="Q47" s="58">
        <v>667</v>
      </c>
      <c r="R47" s="58">
        <v>72</v>
      </c>
      <c r="S47" s="58">
        <v>4147</v>
      </c>
    </row>
    <row r="48" spans="1:19" x14ac:dyDescent="0.5">
      <c r="A48" s="60">
        <v>2001</v>
      </c>
      <c r="B48" s="60" t="s">
        <v>70</v>
      </c>
      <c r="C48" s="60" t="s">
        <v>299</v>
      </c>
      <c r="D48" s="60">
        <v>5560</v>
      </c>
      <c r="E48" s="60">
        <v>984</v>
      </c>
      <c r="F48" s="60">
        <v>328</v>
      </c>
      <c r="G48" s="60">
        <v>38</v>
      </c>
      <c r="H48" s="60">
        <v>164</v>
      </c>
      <c r="I48" s="60">
        <v>495</v>
      </c>
      <c r="J48" s="60">
        <v>64</v>
      </c>
      <c r="K48" s="60">
        <v>3487</v>
      </c>
      <c r="L48" s="58">
        <v>6187</v>
      </c>
      <c r="M48" s="58">
        <v>967</v>
      </c>
      <c r="N48" s="58">
        <v>302</v>
      </c>
      <c r="O48" s="58">
        <v>33</v>
      </c>
      <c r="P48" s="58">
        <v>192</v>
      </c>
      <c r="Q48" s="58">
        <v>445</v>
      </c>
      <c r="R48" s="58">
        <v>56</v>
      </c>
      <c r="S48" s="58">
        <v>4192</v>
      </c>
    </row>
    <row r="49" spans="1:19" x14ac:dyDescent="0.5">
      <c r="A49" s="60">
        <v>2001</v>
      </c>
      <c r="B49" s="60" t="s">
        <v>72</v>
      </c>
      <c r="C49" s="60" t="s">
        <v>300</v>
      </c>
      <c r="D49" s="60">
        <v>5379</v>
      </c>
      <c r="E49" s="60">
        <v>882</v>
      </c>
      <c r="F49" s="60">
        <v>320</v>
      </c>
      <c r="G49" s="60">
        <v>28</v>
      </c>
      <c r="H49" s="60">
        <v>131</v>
      </c>
      <c r="I49" s="60">
        <v>478</v>
      </c>
      <c r="J49" s="60">
        <v>60</v>
      </c>
      <c r="K49" s="60">
        <v>3480</v>
      </c>
      <c r="L49" s="58">
        <v>6250</v>
      </c>
      <c r="M49" s="58">
        <v>983</v>
      </c>
      <c r="N49" s="58">
        <v>306</v>
      </c>
      <c r="O49" s="58">
        <v>30</v>
      </c>
      <c r="P49" s="58">
        <v>190</v>
      </c>
      <c r="Q49" s="58">
        <v>525</v>
      </c>
      <c r="R49" s="58">
        <v>61</v>
      </c>
      <c r="S49" s="58">
        <v>4155</v>
      </c>
    </row>
    <row r="50" spans="1:19" x14ac:dyDescent="0.5">
      <c r="A50" s="60">
        <v>2001</v>
      </c>
      <c r="B50" s="60" t="s">
        <v>76</v>
      </c>
      <c r="C50" s="60" t="s">
        <v>301</v>
      </c>
      <c r="D50" s="60">
        <v>5459</v>
      </c>
      <c r="E50" s="60">
        <v>923</v>
      </c>
      <c r="F50" s="60">
        <v>273</v>
      </c>
      <c r="G50" s="60">
        <v>18</v>
      </c>
      <c r="H50" s="60">
        <v>147</v>
      </c>
      <c r="I50" s="60">
        <v>545</v>
      </c>
      <c r="J50" s="60">
        <v>65</v>
      </c>
      <c r="K50" s="60">
        <v>3488</v>
      </c>
      <c r="L50" s="58">
        <v>6107</v>
      </c>
      <c r="M50" s="58">
        <v>933</v>
      </c>
      <c r="N50" s="58">
        <v>266</v>
      </c>
      <c r="O50" s="58">
        <v>33</v>
      </c>
      <c r="P50" s="58">
        <v>186</v>
      </c>
      <c r="Q50" s="58">
        <v>438</v>
      </c>
      <c r="R50" s="58">
        <v>43</v>
      </c>
      <c r="S50" s="58">
        <v>4208</v>
      </c>
    </row>
    <row r="51" spans="1:19" x14ac:dyDescent="0.5">
      <c r="A51" s="60">
        <v>2001</v>
      </c>
      <c r="B51" s="60" t="s">
        <v>74</v>
      </c>
      <c r="C51" s="60" t="s">
        <v>302</v>
      </c>
      <c r="D51" s="60">
        <v>5577</v>
      </c>
      <c r="E51" s="60">
        <v>976</v>
      </c>
      <c r="F51" s="60">
        <v>289</v>
      </c>
      <c r="G51" s="60">
        <v>20</v>
      </c>
      <c r="H51" s="60">
        <v>203</v>
      </c>
      <c r="I51" s="60">
        <v>519</v>
      </c>
      <c r="J51" s="60">
        <v>64</v>
      </c>
      <c r="K51" s="60">
        <v>3506</v>
      </c>
      <c r="L51" s="58">
        <v>6174</v>
      </c>
      <c r="M51" s="58">
        <v>980</v>
      </c>
      <c r="N51" s="58">
        <v>266</v>
      </c>
      <c r="O51" s="58">
        <v>25</v>
      </c>
      <c r="P51" s="58">
        <v>158</v>
      </c>
      <c r="Q51" s="58">
        <v>465</v>
      </c>
      <c r="R51" s="58">
        <v>55</v>
      </c>
      <c r="S51" s="58">
        <v>4225</v>
      </c>
    </row>
    <row r="52" spans="1:19" x14ac:dyDescent="0.5">
      <c r="A52" s="60">
        <v>2001</v>
      </c>
      <c r="B52" s="60" t="s">
        <v>78</v>
      </c>
      <c r="C52" s="60" t="s">
        <v>303</v>
      </c>
      <c r="D52" s="60">
        <v>5573</v>
      </c>
      <c r="E52" s="60">
        <v>914</v>
      </c>
      <c r="F52" s="60">
        <v>334</v>
      </c>
      <c r="G52" s="60">
        <v>22</v>
      </c>
      <c r="H52" s="60">
        <v>199</v>
      </c>
      <c r="I52" s="60">
        <v>640</v>
      </c>
      <c r="J52" s="60">
        <v>88</v>
      </c>
      <c r="K52" s="60">
        <v>3376</v>
      </c>
      <c r="L52" s="58">
        <v>6115</v>
      </c>
      <c r="M52" s="58">
        <v>986</v>
      </c>
      <c r="N52" s="58">
        <v>223</v>
      </c>
      <c r="O52" s="58">
        <v>22</v>
      </c>
      <c r="P52" s="58">
        <v>153</v>
      </c>
      <c r="Q52" s="58">
        <v>440</v>
      </c>
      <c r="R52" s="58">
        <v>46</v>
      </c>
      <c r="S52" s="58">
        <v>4245</v>
      </c>
    </row>
    <row r="53" spans="1:19" x14ac:dyDescent="0.5">
      <c r="A53" s="60">
        <v>2001</v>
      </c>
      <c r="B53" s="60" t="s">
        <v>80</v>
      </c>
      <c r="C53" s="60" t="s">
        <v>304</v>
      </c>
      <c r="D53" s="60">
        <v>5497</v>
      </c>
      <c r="E53" s="60">
        <v>943</v>
      </c>
      <c r="F53" s="60">
        <v>295</v>
      </c>
      <c r="G53" s="60">
        <v>29</v>
      </c>
      <c r="H53" s="60">
        <v>164</v>
      </c>
      <c r="I53" s="60">
        <v>551</v>
      </c>
      <c r="J53" s="60">
        <v>43</v>
      </c>
      <c r="K53" s="60">
        <v>3472</v>
      </c>
      <c r="L53" s="58">
        <v>6198</v>
      </c>
      <c r="M53" s="58">
        <v>887</v>
      </c>
      <c r="N53" s="58">
        <v>322</v>
      </c>
      <c r="O53" s="58">
        <v>38</v>
      </c>
      <c r="P53" s="58">
        <v>170</v>
      </c>
      <c r="Q53" s="58">
        <v>527</v>
      </c>
      <c r="R53" s="58">
        <v>70</v>
      </c>
      <c r="S53" s="58">
        <v>4184</v>
      </c>
    </row>
    <row r="54" spans="1:19" x14ac:dyDescent="0.5">
      <c r="A54" s="60">
        <v>2001</v>
      </c>
      <c r="B54" s="60" t="s">
        <v>82</v>
      </c>
      <c r="C54" s="60" t="s">
        <v>305</v>
      </c>
      <c r="D54" s="60">
        <v>5398</v>
      </c>
      <c r="E54" s="60">
        <v>891</v>
      </c>
      <c r="F54" s="60">
        <v>256</v>
      </c>
      <c r="G54" s="60">
        <v>25</v>
      </c>
      <c r="H54" s="60">
        <v>161</v>
      </c>
      <c r="I54" s="60">
        <v>467</v>
      </c>
      <c r="J54" s="60">
        <v>67</v>
      </c>
      <c r="K54" s="60">
        <v>3531</v>
      </c>
      <c r="L54" s="58">
        <v>6222</v>
      </c>
      <c r="M54" s="58">
        <v>980</v>
      </c>
      <c r="N54" s="58">
        <v>310</v>
      </c>
      <c r="O54" s="58">
        <v>36</v>
      </c>
      <c r="P54" s="58">
        <v>167</v>
      </c>
      <c r="Q54" s="58">
        <v>549</v>
      </c>
      <c r="R54" s="58">
        <v>80</v>
      </c>
      <c r="S54" s="58">
        <v>4100</v>
      </c>
    </row>
    <row r="55" spans="1:19" x14ac:dyDescent="0.5">
      <c r="A55" s="60">
        <v>2001</v>
      </c>
      <c r="B55" s="60" t="s">
        <v>84</v>
      </c>
      <c r="C55" s="60" t="s">
        <v>306</v>
      </c>
      <c r="D55" s="60">
        <v>5482</v>
      </c>
      <c r="E55" s="60">
        <v>919</v>
      </c>
      <c r="F55" s="60">
        <v>273</v>
      </c>
      <c r="G55" s="60">
        <v>26</v>
      </c>
      <c r="H55" s="60">
        <v>161</v>
      </c>
      <c r="I55" s="60">
        <v>678</v>
      </c>
      <c r="J55" s="60">
        <v>41</v>
      </c>
      <c r="K55" s="60">
        <v>3384</v>
      </c>
      <c r="L55" s="58">
        <v>6278</v>
      </c>
      <c r="M55" s="58">
        <v>972</v>
      </c>
      <c r="N55" s="58">
        <v>294</v>
      </c>
      <c r="O55" s="58">
        <v>34</v>
      </c>
      <c r="P55" s="58">
        <v>219</v>
      </c>
      <c r="Q55" s="58">
        <v>476</v>
      </c>
      <c r="R55" s="58">
        <v>56</v>
      </c>
      <c r="S55" s="58">
        <v>4227</v>
      </c>
    </row>
    <row r="56" spans="1:19" x14ac:dyDescent="0.5">
      <c r="A56" s="60">
        <v>2001</v>
      </c>
      <c r="B56" s="60" t="s">
        <v>86</v>
      </c>
      <c r="C56" s="60" t="s">
        <v>307</v>
      </c>
      <c r="D56" s="60">
        <v>5680</v>
      </c>
      <c r="E56" s="60">
        <v>1120</v>
      </c>
      <c r="F56" s="60">
        <v>310</v>
      </c>
      <c r="G56" s="60">
        <v>38</v>
      </c>
      <c r="H56" s="60">
        <v>169</v>
      </c>
      <c r="I56" s="60">
        <v>614</v>
      </c>
      <c r="J56" s="60">
        <v>62</v>
      </c>
      <c r="K56" s="60">
        <v>3367</v>
      </c>
      <c r="L56" s="58">
        <v>6096</v>
      </c>
      <c r="M56" s="58">
        <v>852</v>
      </c>
      <c r="N56" s="58">
        <v>259</v>
      </c>
      <c r="O56" s="58">
        <v>22</v>
      </c>
      <c r="P56" s="58">
        <v>160</v>
      </c>
      <c r="Q56" s="58">
        <v>465</v>
      </c>
      <c r="R56" s="58">
        <v>64</v>
      </c>
      <c r="S56" s="58">
        <v>4274</v>
      </c>
    </row>
    <row r="57" spans="1:19" x14ac:dyDescent="0.5">
      <c r="A57" s="60">
        <v>2001</v>
      </c>
      <c r="B57" s="60" t="s">
        <v>88</v>
      </c>
      <c r="C57" s="60" t="s">
        <v>308</v>
      </c>
      <c r="D57" s="60">
        <v>5612</v>
      </c>
      <c r="E57" s="60">
        <v>914</v>
      </c>
      <c r="F57" s="60">
        <v>304</v>
      </c>
      <c r="G57" s="60">
        <v>40</v>
      </c>
      <c r="H57" s="60">
        <v>235</v>
      </c>
      <c r="I57" s="60">
        <v>625</v>
      </c>
      <c r="J57" s="60">
        <v>50</v>
      </c>
      <c r="K57" s="60">
        <v>3444</v>
      </c>
      <c r="L57" s="58">
        <v>6294</v>
      </c>
      <c r="M57" s="58">
        <v>963</v>
      </c>
      <c r="N57" s="58">
        <v>286</v>
      </c>
      <c r="O57" s="58">
        <v>43</v>
      </c>
      <c r="P57" s="58">
        <v>145</v>
      </c>
      <c r="Q57" s="58">
        <v>579</v>
      </c>
      <c r="R57" s="58">
        <v>33</v>
      </c>
      <c r="S57" s="58">
        <v>4245</v>
      </c>
    </row>
    <row r="58" spans="1:19" x14ac:dyDescent="0.5">
      <c r="A58" s="60">
        <v>2001</v>
      </c>
      <c r="B58" s="60" t="s">
        <v>90</v>
      </c>
      <c r="C58" s="60" t="s">
        <v>309</v>
      </c>
      <c r="D58" s="60">
        <v>5450</v>
      </c>
      <c r="E58" s="60">
        <v>964</v>
      </c>
      <c r="F58" s="60">
        <v>274</v>
      </c>
      <c r="G58" s="60">
        <v>32</v>
      </c>
      <c r="H58" s="60">
        <v>199</v>
      </c>
      <c r="I58" s="60">
        <v>529</v>
      </c>
      <c r="J58" s="60">
        <v>65</v>
      </c>
      <c r="K58" s="60">
        <v>3387</v>
      </c>
      <c r="L58" s="58">
        <v>6121</v>
      </c>
      <c r="M58" s="58">
        <v>874</v>
      </c>
      <c r="N58" s="58">
        <v>296</v>
      </c>
      <c r="O58" s="58">
        <v>23</v>
      </c>
      <c r="P58" s="58">
        <v>196</v>
      </c>
      <c r="Q58" s="58">
        <v>526</v>
      </c>
      <c r="R58" s="58">
        <v>72</v>
      </c>
      <c r="S58" s="58">
        <v>4134</v>
      </c>
    </row>
    <row r="59" spans="1:19" x14ac:dyDescent="0.5">
      <c r="A59" s="60">
        <v>2001</v>
      </c>
      <c r="B59" s="60" t="s">
        <v>92</v>
      </c>
      <c r="C59" s="60" t="s">
        <v>310</v>
      </c>
      <c r="D59" s="60">
        <v>5524</v>
      </c>
      <c r="E59" s="60">
        <v>973</v>
      </c>
      <c r="F59" s="60">
        <v>311</v>
      </c>
      <c r="G59" s="60">
        <v>21</v>
      </c>
      <c r="H59" s="60">
        <v>121</v>
      </c>
      <c r="I59" s="60">
        <v>456</v>
      </c>
      <c r="J59" s="60">
        <v>54</v>
      </c>
      <c r="K59" s="60">
        <v>3588</v>
      </c>
      <c r="L59" s="58">
        <v>6288</v>
      </c>
      <c r="M59" s="58">
        <v>965</v>
      </c>
      <c r="N59" s="58">
        <v>312</v>
      </c>
      <c r="O59" s="58">
        <v>29</v>
      </c>
      <c r="P59" s="58">
        <v>207</v>
      </c>
      <c r="Q59" s="58">
        <v>569</v>
      </c>
      <c r="R59" s="58">
        <v>75</v>
      </c>
      <c r="S59" s="58">
        <v>4131</v>
      </c>
    </row>
    <row r="60" spans="1:19" x14ac:dyDescent="0.5">
      <c r="A60" s="60">
        <v>2001</v>
      </c>
      <c r="B60" s="60" t="s">
        <v>94</v>
      </c>
      <c r="C60" s="60" t="s">
        <v>311</v>
      </c>
      <c r="D60" s="60">
        <v>5685</v>
      </c>
      <c r="E60" s="60">
        <v>971</v>
      </c>
      <c r="F60" s="60">
        <v>326</v>
      </c>
      <c r="G60" s="60">
        <v>23</v>
      </c>
      <c r="H60" s="60">
        <v>246</v>
      </c>
      <c r="I60" s="60">
        <v>548</v>
      </c>
      <c r="J60" s="60">
        <v>75</v>
      </c>
      <c r="K60" s="60">
        <v>3496</v>
      </c>
      <c r="L60" s="58">
        <v>6469</v>
      </c>
      <c r="M60" s="58">
        <v>1010</v>
      </c>
      <c r="N60" s="58">
        <v>391</v>
      </c>
      <c r="O60" s="58">
        <v>47</v>
      </c>
      <c r="P60" s="58">
        <v>222</v>
      </c>
      <c r="Q60" s="58">
        <v>596</v>
      </c>
      <c r="R60" s="58">
        <v>63</v>
      </c>
      <c r="S60" s="58">
        <v>4140</v>
      </c>
    </row>
    <row r="61" spans="1:19" x14ac:dyDescent="0.5">
      <c r="A61" s="60">
        <v>2001</v>
      </c>
      <c r="B61" s="60" t="s">
        <v>96</v>
      </c>
      <c r="C61" s="60" t="s">
        <v>312</v>
      </c>
      <c r="D61" s="60">
        <v>5663</v>
      </c>
      <c r="E61" s="60">
        <v>971</v>
      </c>
      <c r="F61" s="60">
        <v>287</v>
      </c>
      <c r="G61" s="60">
        <v>36</v>
      </c>
      <c r="H61" s="60">
        <v>195</v>
      </c>
      <c r="I61" s="60">
        <v>470</v>
      </c>
      <c r="J61" s="60">
        <v>74</v>
      </c>
      <c r="K61" s="60">
        <v>3630</v>
      </c>
      <c r="L61" s="58">
        <v>6305</v>
      </c>
      <c r="M61" s="58">
        <v>1005</v>
      </c>
      <c r="N61" s="58">
        <v>357</v>
      </c>
      <c r="O61" s="58">
        <v>26</v>
      </c>
      <c r="P61" s="58">
        <v>165</v>
      </c>
      <c r="Q61" s="58">
        <v>490</v>
      </c>
      <c r="R61" s="58">
        <v>76</v>
      </c>
      <c r="S61" s="58">
        <v>4186</v>
      </c>
    </row>
    <row r="62" spans="1:19" x14ac:dyDescent="0.5">
      <c r="A62" s="60">
        <v>2002</v>
      </c>
      <c r="B62" s="60" t="s">
        <v>36</v>
      </c>
      <c r="C62" s="60" t="s">
        <v>313</v>
      </c>
      <c r="D62" s="60">
        <v>5678</v>
      </c>
      <c r="E62" s="60">
        <v>1086</v>
      </c>
      <c r="F62" s="60">
        <v>333</v>
      </c>
      <c r="G62" s="60">
        <v>32</v>
      </c>
      <c r="H62" s="60">
        <v>152</v>
      </c>
      <c r="I62" s="60">
        <v>462</v>
      </c>
      <c r="J62" s="60">
        <v>74</v>
      </c>
      <c r="K62" s="60">
        <v>3539</v>
      </c>
      <c r="L62" s="58">
        <v>6097</v>
      </c>
      <c r="M62" s="58">
        <v>909</v>
      </c>
      <c r="N62" s="58">
        <v>248</v>
      </c>
      <c r="O62" s="58">
        <v>19</v>
      </c>
      <c r="P62" s="58">
        <v>169</v>
      </c>
      <c r="Q62" s="58">
        <v>509</v>
      </c>
      <c r="R62" s="58">
        <v>49</v>
      </c>
      <c r="S62" s="58">
        <v>4194</v>
      </c>
    </row>
    <row r="63" spans="1:19" x14ac:dyDescent="0.5">
      <c r="A63" s="60">
        <v>2002</v>
      </c>
      <c r="B63" s="60" t="s">
        <v>39</v>
      </c>
      <c r="C63" s="60" t="s">
        <v>314</v>
      </c>
      <c r="D63" s="60">
        <v>5508</v>
      </c>
      <c r="E63" s="60">
        <v>982</v>
      </c>
      <c r="F63" s="60">
        <v>283</v>
      </c>
      <c r="G63" s="60">
        <v>41</v>
      </c>
      <c r="H63" s="60">
        <v>165</v>
      </c>
      <c r="I63" s="60">
        <v>643</v>
      </c>
      <c r="J63" s="60">
        <v>50</v>
      </c>
      <c r="K63" s="60">
        <v>3344</v>
      </c>
      <c r="L63" s="58">
        <v>6067</v>
      </c>
      <c r="M63" s="58">
        <v>907</v>
      </c>
      <c r="N63" s="58">
        <v>252</v>
      </c>
      <c r="O63" s="58">
        <v>32</v>
      </c>
      <c r="P63" s="58">
        <v>170</v>
      </c>
      <c r="Q63" s="58">
        <v>421</v>
      </c>
      <c r="R63" s="58">
        <v>54</v>
      </c>
      <c r="S63" s="58">
        <v>4231</v>
      </c>
    </row>
    <row r="64" spans="1:19" x14ac:dyDescent="0.5">
      <c r="A64" s="60">
        <v>2002</v>
      </c>
      <c r="B64" s="60" t="s">
        <v>41</v>
      </c>
      <c r="C64" s="60" t="s">
        <v>315</v>
      </c>
      <c r="D64" s="60">
        <v>5495</v>
      </c>
      <c r="E64" s="60">
        <v>959</v>
      </c>
      <c r="F64" s="60">
        <v>280</v>
      </c>
      <c r="G64" s="60">
        <v>25</v>
      </c>
      <c r="H64" s="60">
        <v>164</v>
      </c>
      <c r="I64" s="60">
        <v>558</v>
      </c>
      <c r="J64" s="60">
        <v>54</v>
      </c>
      <c r="K64" s="60">
        <v>3455</v>
      </c>
      <c r="L64" s="58">
        <v>6131</v>
      </c>
      <c r="M64" s="58">
        <v>907</v>
      </c>
      <c r="N64" s="58">
        <v>240</v>
      </c>
      <c r="O64" s="58">
        <v>32</v>
      </c>
      <c r="P64" s="58">
        <v>123</v>
      </c>
      <c r="Q64" s="58">
        <v>554</v>
      </c>
      <c r="R64" s="58">
        <v>42</v>
      </c>
      <c r="S64" s="58">
        <v>4233</v>
      </c>
    </row>
    <row r="65" spans="1:19" x14ac:dyDescent="0.5">
      <c r="A65" s="60">
        <v>2002</v>
      </c>
      <c r="B65" s="60" t="s">
        <v>44</v>
      </c>
      <c r="C65" s="60" t="s">
        <v>316</v>
      </c>
      <c r="D65" s="60">
        <v>5491</v>
      </c>
      <c r="E65" s="60">
        <v>850</v>
      </c>
      <c r="F65" s="60">
        <v>311</v>
      </c>
      <c r="G65" s="60">
        <v>27</v>
      </c>
      <c r="H65" s="60">
        <v>165</v>
      </c>
      <c r="I65" s="60">
        <v>452</v>
      </c>
      <c r="J65" s="60">
        <v>64</v>
      </c>
      <c r="K65" s="60">
        <v>3622</v>
      </c>
      <c r="L65" s="58">
        <v>6258</v>
      </c>
      <c r="M65" s="58">
        <v>992</v>
      </c>
      <c r="N65" s="58">
        <v>265</v>
      </c>
      <c r="O65" s="58">
        <v>26</v>
      </c>
      <c r="P65" s="58">
        <v>208</v>
      </c>
      <c r="Q65" s="58">
        <v>549</v>
      </c>
      <c r="R65" s="58">
        <v>54</v>
      </c>
      <c r="S65" s="58">
        <v>4164</v>
      </c>
    </row>
    <row r="66" spans="1:19" x14ac:dyDescent="0.5">
      <c r="A66" s="60">
        <v>2002</v>
      </c>
      <c r="B66" s="60" t="s">
        <v>46</v>
      </c>
      <c r="C66" s="60" t="s">
        <v>317</v>
      </c>
      <c r="D66" s="60">
        <v>5640</v>
      </c>
      <c r="E66" s="60">
        <v>1002</v>
      </c>
      <c r="F66" s="60">
        <v>348</v>
      </c>
      <c r="G66" s="60">
        <v>33</v>
      </c>
      <c r="H66" s="60">
        <v>177</v>
      </c>
      <c r="I66" s="60">
        <v>545</v>
      </c>
      <c r="J66" s="60">
        <v>72</v>
      </c>
      <c r="K66" s="60">
        <v>3463</v>
      </c>
      <c r="L66" s="58">
        <v>6049</v>
      </c>
      <c r="M66" s="58">
        <v>892</v>
      </c>
      <c r="N66" s="58">
        <v>277</v>
      </c>
      <c r="O66" s="58">
        <v>24</v>
      </c>
      <c r="P66" s="58">
        <v>146</v>
      </c>
      <c r="Q66" s="58">
        <v>430</v>
      </c>
      <c r="R66" s="58">
        <v>84</v>
      </c>
      <c r="S66" s="58">
        <v>4196</v>
      </c>
    </row>
    <row r="67" spans="1:19" x14ac:dyDescent="0.5">
      <c r="A67" s="60">
        <v>2002</v>
      </c>
      <c r="B67" s="60" t="s">
        <v>50</v>
      </c>
      <c r="C67" s="60" t="s">
        <v>318</v>
      </c>
      <c r="D67" s="60">
        <v>5496</v>
      </c>
      <c r="E67" s="60">
        <v>863</v>
      </c>
      <c r="F67" s="60">
        <v>259</v>
      </c>
      <c r="G67" s="60">
        <v>29</v>
      </c>
      <c r="H67" s="60">
        <v>200</v>
      </c>
      <c r="I67" s="60">
        <v>585</v>
      </c>
      <c r="J67" s="60">
        <v>44</v>
      </c>
      <c r="K67" s="60">
        <v>3516</v>
      </c>
      <c r="L67" s="58">
        <v>6236</v>
      </c>
      <c r="M67" s="58">
        <v>902</v>
      </c>
      <c r="N67" s="58">
        <v>274</v>
      </c>
      <c r="O67" s="58">
        <v>30</v>
      </c>
      <c r="P67" s="58">
        <v>167</v>
      </c>
      <c r="Q67" s="58">
        <v>606</v>
      </c>
      <c r="R67" s="58">
        <v>58</v>
      </c>
      <c r="S67" s="58">
        <v>4199</v>
      </c>
    </row>
    <row r="68" spans="1:19" x14ac:dyDescent="0.5">
      <c r="A68" s="60">
        <v>2002</v>
      </c>
      <c r="B68" s="60" t="s">
        <v>48</v>
      </c>
      <c r="C68" s="60" t="s">
        <v>319</v>
      </c>
      <c r="D68" s="60">
        <v>5502</v>
      </c>
      <c r="E68" s="60">
        <v>940</v>
      </c>
      <c r="F68" s="60">
        <v>289</v>
      </c>
      <c r="G68" s="60">
        <v>29</v>
      </c>
      <c r="H68" s="60">
        <v>217</v>
      </c>
      <c r="I68" s="60">
        <v>555</v>
      </c>
      <c r="J68" s="60">
        <v>49</v>
      </c>
      <c r="K68" s="60">
        <v>3423</v>
      </c>
      <c r="L68" s="58">
        <v>6131</v>
      </c>
      <c r="M68" s="58">
        <v>929</v>
      </c>
      <c r="N68" s="58">
        <v>287</v>
      </c>
      <c r="O68" s="58">
        <v>16</v>
      </c>
      <c r="P68" s="58">
        <v>190</v>
      </c>
      <c r="Q68" s="58">
        <v>528</v>
      </c>
      <c r="R68" s="58">
        <v>60</v>
      </c>
      <c r="S68" s="58">
        <v>4121</v>
      </c>
    </row>
    <row r="69" spans="1:19" x14ac:dyDescent="0.5">
      <c r="A69" s="60">
        <v>2002</v>
      </c>
      <c r="B69" s="60" t="s">
        <v>52</v>
      </c>
      <c r="C69" s="60" t="s">
        <v>320</v>
      </c>
      <c r="D69" s="60">
        <v>5470</v>
      </c>
      <c r="E69" s="60">
        <v>899</v>
      </c>
      <c r="F69" s="60">
        <v>297</v>
      </c>
      <c r="G69" s="60">
        <v>21</v>
      </c>
      <c r="H69" s="60">
        <v>169</v>
      </c>
      <c r="I69" s="60">
        <v>583</v>
      </c>
      <c r="J69" s="60">
        <v>66</v>
      </c>
      <c r="K69" s="60">
        <v>3435</v>
      </c>
      <c r="L69" s="58">
        <v>6296</v>
      </c>
      <c r="M69" s="58">
        <v>1000</v>
      </c>
      <c r="N69" s="58">
        <v>301</v>
      </c>
      <c r="O69" s="58">
        <v>28</v>
      </c>
      <c r="P69" s="58">
        <v>173</v>
      </c>
      <c r="Q69" s="58">
        <v>550</v>
      </c>
      <c r="R69" s="58">
        <v>56</v>
      </c>
      <c r="S69" s="58">
        <v>4188</v>
      </c>
    </row>
    <row r="70" spans="1:19" x14ac:dyDescent="0.5">
      <c r="A70" s="60">
        <v>2002</v>
      </c>
      <c r="B70" s="60" t="s">
        <v>54</v>
      </c>
      <c r="C70" s="60" t="s">
        <v>321</v>
      </c>
      <c r="D70" s="60">
        <v>5423</v>
      </c>
      <c r="E70" s="60">
        <v>876</v>
      </c>
      <c r="F70" s="60">
        <v>255</v>
      </c>
      <c r="G70" s="60">
        <v>26</v>
      </c>
      <c r="H70" s="60">
        <v>192</v>
      </c>
      <c r="I70" s="60">
        <v>542</v>
      </c>
      <c r="J70" s="60">
        <v>56</v>
      </c>
      <c r="K70" s="60">
        <v>3476</v>
      </c>
      <c r="L70" s="58">
        <v>6271</v>
      </c>
      <c r="M70" s="58">
        <v>1014</v>
      </c>
      <c r="N70" s="58">
        <v>311</v>
      </c>
      <c r="O70" s="58">
        <v>41</v>
      </c>
      <c r="P70" s="58">
        <v>142</v>
      </c>
      <c r="Q70" s="58">
        <v>603</v>
      </c>
      <c r="R70" s="58">
        <v>57</v>
      </c>
      <c r="S70" s="58">
        <v>4103</v>
      </c>
    </row>
    <row r="71" spans="1:19" x14ac:dyDescent="0.5">
      <c r="A71" s="60">
        <v>2002</v>
      </c>
      <c r="B71" s="60" t="s">
        <v>56</v>
      </c>
      <c r="C71" s="60" t="s">
        <v>322</v>
      </c>
      <c r="D71" s="60">
        <v>5512</v>
      </c>
      <c r="E71" s="60">
        <v>1032</v>
      </c>
      <c r="F71" s="60">
        <v>283</v>
      </c>
      <c r="G71" s="60">
        <v>41</v>
      </c>
      <c r="H71" s="60">
        <v>152</v>
      </c>
      <c r="I71" s="60">
        <v>497</v>
      </c>
      <c r="J71" s="60">
        <v>56</v>
      </c>
      <c r="K71" s="60">
        <v>3451</v>
      </c>
      <c r="L71" s="58">
        <v>6345</v>
      </c>
      <c r="M71" s="58">
        <v>984</v>
      </c>
      <c r="N71" s="58">
        <v>306</v>
      </c>
      <c r="O71" s="58">
        <v>39</v>
      </c>
      <c r="P71" s="58">
        <v>225</v>
      </c>
      <c r="Q71" s="58">
        <v>582</v>
      </c>
      <c r="R71" s="58">
        <v>64</v>
      </c>
      <c r="S71" s="58">
        <v>4145</v>
      </c>
    </row>
    <row r="72" spans="1:19" x14ac:dyDescent="0.5">
      <c r="A72" s="60">
        <v>2002</v>
      </c>
      <c r="B72" s="60" t="s">
        <v>58</v>
      </c>
      <c r="C72" s="60" t="s">
        <v>323</v>
      </c>
      <c r="D72" s="60">
        <v>5406</v>
      </c>
      <c r="E72" s="60">
        <v>914</v>
      </c>
      <c r="F72" s="60">
        <v>265</v>
      </c>
      <c r="G72" s="60">
        <v>37</v>
      </c>
      <c r="H72" s="60">
        <v>124</v>
      </c>
      <c r="I72" s="60">
        <v>363</v>
      </c>
      <c r="J72" s="60">
        <v>64</v>
      </c>
      <c r="K72" s="60">
        <v>3639</v>
      </c>
      <c r="L72" s="58">
        <v>6215</v>
      </c>
      <c r="M72" s="58">
        <v>1027</v>
      </c>
      <c r="N72" s="58">
        <v>345</v>
      </c>
      <c r="O72" s="58">
        <v>58</v>
      </c>
      <c r="P72" s="58">
        <v>163</v>
      </c>
      <c r="Q72" s="58">
        <v>463</v>
      </c>
      <c r="R72" s="58">
        <v>62</v>
      </c>
      <c r="S72" s="58">
        <v>4097</v>
      </c>
    </row>
    <row r="73" spans="1:19" x14ac:dyDescent="0.5">
      <c r="A73" s="60">
        <v>2002</v>
      </c>
      <c r="B73" s="60" t="s">
        <v>60</v>
      </c>
      <c r="C73" s="60" t="s">
        <v>324</v>
      </c>
      <c r="D73" s="60">
        <v>5496</v>
      </c>
      <c r="E73" s="60">
        <v>975</v>
      </c>
      <c r="F73" s="60">
        <v>280</v>
      </c>
      <c r="G73" s="60">
        <v>32</v>
      </c>
      <c r="H73" s="60">
        <v>146</v>
      </c>
      <c r="I73" s="60">
        <v>595</v>
      </c>
      <c r="J73" s="60">
        <v>61</v>
      </c>
      <c r="K73" s="60">
        <v>3407</v>
      </c>
      <c r="L73" s="58">
        <v>6340</v>
      </c>
      <c r="M73" s="58">
        <v>947</v>
      </c>
      <c r="N73" s="58">
        <v>308</v>
      </c>
      <c r="O73" s="58">
        <v>43</v>
      </c>
      <c r="P73" s="58">
        <v>151</v>
      </c>
      <c r="Q73" s="58">
        <v>631</v>
      </c>
      <c r="R73" s="58">
        <v>58</v>
      </c>
      <c r="S73" s="58">
        <v>4202</v>
      </c>
    </row>
    <row r="74" spans="1:19" x14ac:dyDescent="0.5">
      <c r="A74" s="60">
        <v>2002</v>
      </c>
      <c r="B74" s="60" t="s">
        <v>62</v>
      </c>
      <c r="C74" s="60" t="s">
        <v>325</v>
      </c>
      <c r="D74" s="60">
        <v>5503</v>
      </c>
      <c r="E74" s="60">
        <v>951</v>
      </c>
      <c r="F74" s="60">
        <v>291</v>
      </c>
      <c r="G74" s="60">
        <v>32</v>
      </c>
      <c r="H74" s="60">
        <v>167</v>
      </c>
      <c r="I74" s="60">
        <v>589</v>
      </c>
      <c r="J74" s="60">
        <v>59</v>
      </c>
      <c r="K74" s="60">
        <v>3414</v>
      </c>
      <c r="L74" s="58">
        <v>6205</v>
      </c>
      <c r="M74" s="58">
        <v>934</v>
      </c>
      <c r="N74" s="58">
        <v>305</v>
      </c>
      <c r="O74" s="58">
        <v>33</v>
      </c>
      <c r="P74" s="58">
        <v>151</v>
      </c>
      <c r="Q74" s="58">
        <v>546</v>
      </c>
      <c r="R74" s="58">
        <v>55</v>
      </c>
      <c r="S74" s="58">
        <v>4181</v>
      </c>
    </row>
    <row r="75" spans="1:19" x14ac:dyDescent="0.5">
      <c r="A75" s="60">
        <v>2002</v>
      </c>
      <c r="B75" s="60" t="s">
        <v>64</v>
      </c>
      <c r="C75" s="60" t="s">
        <v>326</v>
      </c>
      <c r="D75" s="60">
        <v>5535</v>
      </c>
      <c r="E75" s="60">
        <v>948</v>
      </c>
      <c r="F75" s="60">
        <v>285</v>
      </c>
      <c r="G75" s="60">
        <v>42</v>
      </c>
      <c r="H75" s="60">
        <v>140</v>
      </c>
      <c r="I75" s="60">
        <v>524</v>
      </c>
      <c r="J75" s="60">
        <v>52</v>
      </c>
      <c r="K75" s="60">
        <v>3544</v>
      </c>
      <c r="L75" s="58">
        <v>6386</v>
      </c>
      <c r="M75" s="58">
        <v>1014</v>
      </c>
      <c r="N75" s="58">
        <v>328</v>
      </c>
      <c r="O75" s="58">
        <v>33</v>
      </c>
      <c r="P75" s="58">
        <v>212</v>
      </c>
      <c r="Q75" s="58">
        <v>572</v>
      </c>
      <c r="R75" s="58">
        <v>52</v>
      </c>
      <c r="S75" s="58">
        <v>4175</v>
      </c>
    </row>
    <row r="76" spans="1:19" x14ac:dyDescent="0.5">
      <c r="A76" s="60">
        <v>2002</v>
      </c>
      <c r="B76" s="60" t="s">
        <v>66</v>
      </c>
      <c r="C76" s="60" t="s">
        <v>327</v>
      </c>
      <c r="D76" s="60">
        <v>5554</v>
      </c>
      <c r="E76" s="60">
        <v>994</v>
      </c>
      <c r="F76" s="60">
        <v>286</v>
      </c>
      <c r="G76" s="60">
        <v>29</v>
      </c>
      <c r="H76" s="60">
        <v>155</v>
      </c>
      <c r="I76" s="60">
        <v>428</v>
      </c>
      <c r="J76" s="60">
        <v>53</v>
      </c>
      <c r="K76" s="60">
        <v>3609</v>
      </c>
      <c r="L76" s="58">
        <v>6139</v>
      </c>
      <c r="M76" s="58">
        <v>874</v>
      </c>
      <c r="N76" s="58">
        <v>252</v>
      </c>
      <c r="O76" s="58">
        <v>20</v>
      </c>
      <c r="P76" s="58">
        <v>165</v>
      </c>
      <c r="Q76" s="58">
        <v>555</v>
      </c>
      <c r="R76" s="58">
        <v>46</v>
      </c>
      <c r="S76" s="58">
        <v>4227</v>
      </c>
    </row>
    <row r="77" spans="1:19" x14ac:dyDescent="0.5">
      <c r="A77" s="60">
        <v>2002</v>
      </c>
      <c r="B77" s="60" t="s">
        <v>68</v>
      </c>
      <c r="C77" s="60" t="s">
        <v>328</v>
      </c>
      <c r="D77" s="60">
        <v>5415</v>
      </c>
      <c r="E77" s="60">
        <v>932</v>
      </c>
      <c r="F77" s="60">
        <v>269</v>
      </c>
      <c r="G77" s="60">
        <v>29</v>
      </c>
      <c r="H77" s="60">
        <v>139</v>
      </c>
      <c r="I77" s="60">
        <v>500</v>
      </c>
      <c r="J77" s="60">
        <v>55</v>
      </c>
      <c r="K77" s="60">
        <v>3491</v>
      </c>
      <c r="L77" s="58">
        <v>6339</v>
      </c>
      <c r="M77" s="58">
        <v>942</v>
      </c>
      <c r="N77" s="58">
        <v>299</v>
      </c>
      <c r="O77" s="58">
        <v>28</v>
      </c>
      <c r="P77" s="58">
        <v>199</v>
      </c>
      <c r="Q77" s="58">
        <v>666</v>
      </c>
      <c r="R77" s="58">
        <v>62</v>
      </c>
      <c r="S77" s="58">
        <v>4143</v>
      </c>
    </row>
    <row r="78" spans="1:19" x14ac:dyDescent="0.5">
      <c r="A78" s="60">
        <v>2002</v>
      </c>
      <c r="B78" s="60" t="s">
        <v>70</v>
      </c>
      <c r="C78" s="60" t="s">
        <v>329</v>
      </c>
      <c r="D78" s="60">
        <v>5582</v>
      </c>
      <c r="E78" s="60">
        <v>967</v>
      </c>
      <c r="F78" s="60">
        <v>348</v>
      </c>
      <c r="G78" s="60">
        <v>36</v>
      </c>
      <c r="H78" s="60">
        <v>167</v>
      </c>
      <c r="I78" s="60">
        <v>472</v>
      </c>
      <c r="J78" s="60">
        <v>56</v>
      </c>
      <c r="K78" s="60">
        <v>3536</v>
      </c>
      <c r="L78" s="58">
        <v>6133</v>
      </c>
      <c r="M78" s="58">
        <v>958</v>
      </c>
      <c r="N78" s="58">
        <v>280</v>
      </c>
      <c r="O78" s="58">
        <v>32</v>
      </c>
      <c r="P78" s="58">
        <v>184</v>
      </c>
      <c r="Q78" s="58">
        <v>439</v>
      </c>
      <c r="R78" s="58">
        <v>45</v>
      </c>
      <c r="S78" s="58">
        <v>4195</v>
      </c>
    </row>
    <row r="79" spans="1:19" x14ac:dyDescent="0.5">
      <c r="A79" s="60">
        <v>2002</v>
      </c>
      <c r="B79" s="60" t="s">
        <v>72</v>
      </c>
      <c r="C79" s="60" t="s">
        <v>330</v>
      </c>
      <c r="D79" s="60">
        <v>5479</v>
      </c>
      <c r="E79" s="60">
        <v>934</v>
      </c>
      <c r="F79" s="60">
        <v>300</v>
      </c>
      <c r="G79" s="60">
        <v>36</v>
      </c>
      <c r="H79" s="60">
        <v>162</v>
      </c>
      <c r="I79" s="60">
        <v>575</v>
      </c>
      <c r="J79" s="60">
        <v>46</v>
      </c>
      <c r="K79" s="60">
        <v>3426</v>
      </c>
      <c r="L79" s="58">
        <v>6246</v>
      </c>
      <c r="M79" s="58">
        <v>968</v>
      </c>
      <c r="N79" s="58">
        <v>305</v>
      </c>
      <c r="O79" s="58">
        <v>37</v>
      </c>
      <c r="P79" s="58">
        <v>165</v>
      </c>
      <c r="Q79" s="58">
        <v>508</v>
      </c>
      <c r="R79" s="58">
        <v>46</v>
      </c>
      <c r="S79" s="58">
        <v>4217</v>
      </c>
    </row>
    <row r="80" spans="1:19" x14ac:dyDescent="0.5">
      <c r="A80" s="60">
        <v>2002</v>
      </c>
      <c r="B80" s="60" t="s">
        <v>76</v>
      </c>
      <c r="C80" s="60" t="s">
        <v>331</v>
      </c>
      <c r="D80" s="60">
        <v>5496</v>
      </c>
      <c r="E80" s="60">
        <v>989</v>
      </c>
      <c r="F80" s="60">
        <v>238</v>
      </c>
      <c r="G80" s="60">
        <v>22</v>
      </c>
      <c r="H80" s="60">
        <v>160</v>
      </c>
      <c r="I80" s="60">
        <v>486</v>
      </c>
      <c r="J80" s="60">
        <v>63</v>
      </c>
      <c r="K80" s="60">
        <v>3538</v>
      </c>
      <c r="L80" s="58">
        <v>6212</v>
      </c>
      <c r="M80" s="58">
        <v>958</v>
      </c>
      <c r="N80" s="58">
        <v>256</v>
      </c>
      <c r="O80" s="58">
        <v>31</v>
      </c>
      <c r="P80" s="58">
        <v>163</v>
      </c>
      <c r="Q80" s="58">
        <v>543</v>
      </c>
      <c r="R80" s="58">
        <v>55</v>
      </c>
      <c r="S80" s="58">
        <v>4206</v>
      </c>
    </row>
    <row r="81" spans="1:19" x14ac:dyDescent="0.5">
      <c r="A81" s="60">
        <v>2002</v>
      </c>
      <c r="B81" s="60" t="s">
        <v>74</v>
      </c>
      <c r="C81" s="60" t="s">
        <v>332</v>
      </c>
      <c r="D81" s="60">
        <v>5601</v>
      </c>
      <c r="E81" s="60">
        <v>991</v>
      </c>
      <c r="F81" s="60">
        <v>314</v>
      </c>
      <c r="G81" s="60">
        <v>12</v>
      </c>
      <c r="H81" s="60">
        <v>223</v>
      </c>
      <c r="I81" s="60">
        <v>640</v>
      </c>
      <c r="J81" s="60">
        <v>72</v>
      </c>
      <c r="K81" s="60">
        <v>3349</v>
      </c>
      <c r="L81" s="58">
        <v>6159</v>
      </c>
      <c r="M81" s="58">
        <v>970</v>
      </c>
      <c r="N81" s="58">
        <v>301</v>
      </c>
      <c r="O81" s="58">
        <v>26</v>
      </c>
      <c r="P81" s="58">
        <v>144</v>
      </c>
      <c r="Q81" s="58">
        <v>403</v>
      </c>
      <c r="R81" s="58">
        <v>48</v>
      </c>
      <c r="S81" s="58">
        <v>4267</v>
      </c>
    </row>
    <row r="82" spans="1:19" x14ac:dyDescent="0.5">
      <c r="A82" s="60">
        <v>2002</v>
      </c>
      <c r="B82" s="60" t="s">
        <v>78</v>
      </c>
      <c r="C82" s="60" t="s">
        <v>333</v>
      </c>
      <c r="D82" s="60">
        <v>5558</v>
      </c>
      <c r="E82" s="60">
        <v>938</v>
      </c>
      <c r="F82" s="60">
        <v>279</v>
      </c>
      <c r="G82" s="60">
        <v>28</v>
      </c>
      <c r="H82" s="60">
        <v>205</v>
      </c>
      <c r="I82" s="60">
        <v>609</v>
      </c>
      <c r="J82" s="60">
        <v>68</v>
      </c>
      <c r="K82" s="60">
        <v>3431</v>
      </c>
      <c r="L82" s="58">
        <v>6158</v>
      </c>
      <c r="M82" s="58">
        <v>959</v>
      </c>
      <c r="N82" s="58">
        <v>269</v>
      </c>
      <c r="O82" s="58">
        <v>28</v>
      </c>
      <c r="P82" s="58">
        <v>135</v>
      </c>
      <c r="Q82" s="58">
        <v>474</v>
      </c>
      <c r="R82" s="58">
        <v>62</v>
      </c>
      <c r="S82" s="58">
        <v>4231</v>
      </c>
    </row>
    <row r="83" spans="1:19" x14ac:dyDescent="0.5">
      <c r="A83" s="60">
        <v>2002</v>
      </c>
      <c r="B83" s="60" t="s">
        <v>80</v>
      </c>
      <c r="C83" s="60" t="s">
        <v>334</v>
      </c>
      <c r="D83" s="60">
        <v>5523</v>
      </c>
      <c r="E83" s="60">
        <v>897</v>
      </c>
      <c r="F83" s="60">
        <v>325</v>
      </c>
      <c r="G83" s="60">
        <v>41</v>
      </c>
      <c r="H83" s="60">
        <v>165</v>
      </c>
      <c r="I83" s="60">
        <v>640</v>
      </c>
      <c r="J83" s="60">
        <v>53</v>
      </c>
      <c r="K83" s="60">
        <v>3402</v>
      </c>
      <c r="L83" s="58">
        <v>6222</v>
      </c>
      <c r="M83" s="58">
        <v>906</v>
      </c>
      <c r="N83" s="58">
        <v>285</v>
      </c>
      <c r="O83" s="58">
        <v>37</v>
      </c>
      <c r="P83" s="58">
        <v>153</v>
      </c>
      <c r="Q83" s="58">
        <v>570</v>
      </c>
      <c r="R83" s="58">
        <v>70</v>
      </c>
      <c r="S83" s="58">
        <v>4201</v>
      </c>
    </row>
    <row r="84" spans="1:19" x14ac:dyDescent="0.5">
      <c r="A84" s="60">
        <v>2002</v>
      </c>
      <c r="B84" s="60" t="s">
        <v>82</v>
      </c>
      <c r="C84" s="60" t="s">
        <v>335</v>
      </c>
      <c r="D84" s="60">
        <v>5330</v>
      </c>
      <c r="E84" s="60">
        <v>875</v>
      </c>
      <c r="F84" s="60">
        <v>263</v>
      </c>
      <c r="G84" s="60">
        <v>20</v>
      </c>
      <c r="H84" s="60">
        <v>142</v>
      </c>
      <c r="I84" s="60">
        <v>537</v>
      </c>
      <c r="J84" s="60">
        <v>73</v>
      </c>
      <c r="K84" s="60">
        <v>3420</v>
      </c>
      <c r="L84" s="58">
        <v>6131</v>
      </c>
      <c r="M84" s="58">
        <v>963</v>
      </c>
      <c r="N84" s="58">
        <v>290</v>
      </c>
      <c r="O84" s="58">
        <v>31</v>
      </c>
      <c r="P84" s="58">
        <v>163</v>
      </c>
      <c r="Q84" s="58">
        <v>572</v>
      </c>
      <c r="R84" s="58">
        <v>55</v>
      </c>
      <c r="S84" s="58">
        <v>4057</v>
      </c>
    </row>
    <row r="85" spans="1:19" x14ac:dyDescent="0.5">
      <c r="A85" s="60">
        <v>2002</v>
      </c>
      <c r="B85" s="60" t="s">
        <v>84</v>
      </c>
      <c r="C85" s="60" t="s">
        <v>336</v>
      </c>
      <c r="D85" s="60">
        <v>5515</v>
      </c>
      <c r="E85" s="60">
        <v>985</v>
      </c>
      <c r="F85" s="60">
        <v>243</v>
      </c>
      <c r="G85" s="60">
        <v>29</v>
      </c>
      <c r="H85" s="60">
        <v>136</v>
      </c>
      <c r="I85" s="60">
        <v>547</v>
      </c>
      <c r="J85" s="60">
        <v>30</v>
      </c>
      <c r="K85" s="60">
        <v>3545</v>
      </c>
      <c r="L85" s="58">
        <v>6333</v>
      </c>
      <c r="M85" s="58">
        <v>981</v>
      </c>
      <c r="N85" s="58">
        <v>323</v>
      </c>
      <c r="O85" s="58">
        <v>41</v>
      </c>
      <c r="P85" s="58">
        <v>177</v>
      </c>
      <c r="Q85" s="58">
        <v>582</v>
      </c>
      <c r="R85" s="58">
        <v>66</v>
      </c>
      <c r="S85" s="58">
        <v>4163</v>
      </c>
    </row>
    <row r="86" spans="1:19" x14ac:dyDescent="0.5">
      <c r="A86" s="60">
        <v>2002</v>
      </c>
      <c r="B86" s="60" t="s">
        <v>86</v>
      </c>
      <c r="C86" s="60" t="s">
        <v>337</v>
      </c>
      <c r="D86" s="60">
        <v>5569</v>
      </c>
      <c r="E86" s="60">
        <v>1063</v>
      </c>
      <c r="F86" s="60">
        <v>285</v>
      </c>
      <c r="G86" s="60">
        <v>31</v>
      </c>
      <c r="H86" s="60">
        <v>152</v>
      </c>
      <c r="I86" s="60">
        <v>629</v>
      </c>
      <c r="J86" s="60">
        <v>51</v>
      </c>
      <c r="K86" s="60">
        <v>3358</v>
      </c>
      <c r="L86" s="58">
        <v>6117</v>
      </c>
      <c r="M86" s="58">
        <v>946</v>
      </c>
      <c r="N86" s="58">
        <v>283</v>
      </c>
      <c r="O86" s="58">
        <v>15</v>
      </c>
      <c r="P86" s="58">
        <v>178</v>
      </c>
      <c r="Q86" s="58">
        <v>441</v>
      </c>
      <c r="R86" s="58">
        <v>49</v>
      </c>
      <c r="S86" s="58">
        <v>4205</v>
      </c>
    </row>
    <row r="87" spans="1:19" x14ac:dyDescent="0.5">
      <c r="A87" s="60">
        <v>2002</v>
      </c>
      <c r="B87" s="60" t="s">
        <v>88</v>
      </c>
      <c r="C87" s="60" t="s">
        <v>338</v>
      </c>
      <c r="D87" s="60">
        <v>5497</v>
      </c>
      <c r="E87" s="60">
        <v>932</v>
      </c>
      <c r="F87" s="60">
        <v>300</v>
      </c>
      <c r="G87" s="60">
        <v>35</v>
      </c>
      <c r="H87" s="60">
        <v>198</v>
      </c>
      <c r="I87" s="60">
        <v>616</v>
      </c>
      <c r="J87" s="60">
        <v>65</v>
      </c>
      <c r="K87" s="60">
        <v>3351</v>
      </c>
      <c r="L87" s="58">
        <v>6056</v>
      </c>
      <c r="M87" s="58">
        <v>960</v>
      </c>
      <c r="N87" s="58">
        <v>242</v>
      </c>
      <c r="O87" s="58">
        <v>31</v>
      </c>
      <c r="P87" s="58">
        <v>116</v>
      </c>
      <c r="Q87" s="58">
        <v>523</v>
      </c>
      <c r="R87" s="58">
        <v>36</v>
      </c>
      <c r="S87" s="58">
        <v>4148</v>
      </c>
    </row>
    <row r="88" spans="1:19" x14ac:dyDescent="0.5">
      <c r="A88" s="60">
        <v>2002</v>
      </c>
      <c r="B88" s="60" t="s">
        <v>90</v>
      </c>
      <c r="C88" s="60" t="s">
        <v>339</v>
      </c>
      <c r="D88" s="60">
        <v>5505</v>
      </c>
      <c r="E88" s="60">
        <v>989</v>
      </c>
      <c r="F88" s="60">
        <v>285</v>
      </c>
      <c r="G88" s="60">
        <v>26</v>
      </c>
      <c r="H88" s="60">
        <v>175</v>
      </c>
      <c r="I88" s="60">
        <v>542</v>
      </c>
      <c r="J88" s="60">
        <v>67</v>
      </c>
      <c r="K88" s="60">
        <v>3421</v>
      </c>
      <c r="L88" s="58">
        <v>6135</v>
      </c>
      <c r="M88" s="58">
        <v>924</v>
      </c>
      <c r="N88" s="58">
        <v>275</v>
      </c>
      <c r="O88" s="58">
        <v>15</v>
      </c>
      <c r="P88" s="58">
        <v>141</v>
      </c>
      <c r="Q88" s="58">
        <v>547</v>
      </c>
      <c r="R88" s="58">
        <v>60</v>
      </c>
      <c r="S88" s="58">
        <v>4173</v>
      </c>
    </row>
    <row r="89" spans="1:19" x14ac:dyDescent="0.5">
      <c r="A89" s="60">
        <v>2002</v>
      </c>
      <c r="B89" s="60" t="s">
        <v>92</v>
      </c>
      <c r="C89" s="60" t="s">
        <v>340</v>
      </c>
      <c r="D89" s="60">
        <v>5604</v>
      </c>
      <c r="E89" s="60">
        <v>953</v>
      </c>
      <c r="F89" s="60">
        <v>297</v>
      </c>
      <c r="G89" s="60">
        <v>35</v>
      </c>
      <c r="H89" s="60">
        <v>133</v>
      </c>
      <c r="I89" s="60">
        <v>456</v>
      </c>
      <c r="J89" s="60">
        <v>58</v>
      </c>
      <c r="K89" s="60">
        <v>3672</v>
      </c>
      <c r="L89" s="58">
        <v>6424</v>
      </c>
      <c r="M89" s="58">
        <v>990</v>
      </c>
      <c r="N89" s="58">
        <v>337</v>
      </c>
      <c r="O89" s="58">
        <v>25</v>
      </c>
      <c r="P89" s="58">
        <v>215</v>
      </c>
      <c r="Q89" s="58">
        <v>620</v>
      </c>
      <c r="R89" s="58">
        <v>94</v>
      </c>
      <c r="S89" s="58">
        <v>4143</v>
      </c>
    </row>
    <row r="90" spans="1:19" x14ac:dyDescent="0.5">
      <c r="A90" s="60">
        <v>2002</v>
      </c>
      <c r="B90" s="60" t="s">
        <v>94</v>
      </c>
      <c r="C90" s="60" t="s">
        <v>341</v>
      </c>
      <c r="D90" s="60">
        <v>5618</v>
      </c>
      <c r="E90" s="60">
        <v>949</v>
      </c>
      <c r="F90" s="60">
        <v>304</v>
      </c>
      <c r="G90" s="60">
        <v>27</v>
      </c>
      <c r="H90" s="60">
        <v>230</v>
      </c>
      <c r="I90" s="60">
        <v>554</v>
      </c>
      <c r="J90" s="60">
        <v>62</v>
      </c>
      <c r="K90" s="60">
        <v>3492</v>
      </c>
      <c r="L90" s="58">
        <v>6446</v>
      </c>
      <c r="M90" s="58">
        <v>949</v>
      </c>
      <c r="N90" s="58">
        <v>344</v>
      </c>
      <c r="O90" s="58">
        <v>41</v>
      </c>
      <c r="P90" s="58">
        <v>194</v>
      </c>
      <c r="Q90" s="58">
        <v>669</v>
      </c>
      <c r="R90" s="58">
        <v>76</v>
      </c>
      <c r="S90" s="58">
        <v>4173</v>
      </c>
    </row>
    <row r="91" spans="1:19" x14ac:dyDescent="0.5">
      <c r="A91" s="60">
        <v>2002</v>
      </c>
      <c r="B91" s="60" t="s">
        <v>96</v>
      </c>
      <c r="C91" s="60" t="s">
        <v>342</v>
      </c>
      <c r="D91" s="60">
        <v>5581</v>
      </c>
      <c r="E91" s="60">
        <v>927</v>
      </c>
      <c r="F91" s="60">
        <v>305</v>
      </c>
      <c r="G91" s="60">
        <v>38</v>
      </c>
      <c r="H91" s="60">
        <v>187</v>
      </c>
      <c r="I91" s="60">
        <v>522</v>
      </c>
      <c r="J91" s="60">
        <v>53</v>
      </c>
      <c r="K91" s="60">
        <v>3549</v>
      </c>
      <c r="L91" s="58">
        <v>6338</v>
      </c>
      <c r="M91" s="58">
        <v>986</v>
      </c>
      <c r="N91" s="58">
        <v>312</v>
      </c>
      <c r="O91" s="58">
        <v>29</v>
      </c>
      <c r="P91" s="58">
        <v>177</v>
      </c>
      <c r="Q91" s="58">
        <v>590</v>
      </c>
      <c r="R91" s="58">
        <v>71</v>
      </c>
      <c r="S91" s="58">
        <v>4173</v>
      </c>
    </row>
    <row r="92" spans="1:19" x14ac:dyDescent="0.5">
      <c r="A92" s="60">
        <v>2003</v>
      </c>
      <c r="B92" s="60" t="s">
        <v>36</v>
      </c>
      <c r="C92" s="60" t="s">
        <v>343</v>
      </c>
      <c r="D92" s="60">
        <v>5487</v>
      </c>
      <c r="E92" s="60">
        <v>1014</v>
      </c>
      <c r="F92" s="60">
        <v>276</v>
      </c>
      <c r="G92" s="60">
        <v>33</v>
      </c>
      <c r="H92" s="60">
        <v>150</v>
      </c>
      <c r="I92" s="60">
        <v>476</v>
      </c>
      <c r="J92" s="60">
        <v>56</v>
      </c>
      <c r="K92" s="60">
        <v>3482</v>
      </c>
      <c r="L92" s="58">
        <v>6161</v>
      </c>
      <c r="M92" s="58">
        <v>967</v>
      </c>
      <c r="N92" s="58">
        <v>260</v>
      </c>
      <c r="O92" s="58">
        <v>27</v>
      </c>
      <c r="P92" s="58">
        <v>190</v>
      </c>
      <c r="Q92" s="58">
        <v>486</v>
      </c>
      <c r="R92" s="58">
        <v>76</v>
      </c>
      <c r="S92" s="58">
        <v>4155</v>
      </c>
    </row>
    <row r="93" spans="1:19" x14ac:dyDescent="0.5">
      <c r="A93" s="60">
        <v>2003</v>
      </c>
      <c r="B93" s="60" t="s">
        <v>39</v>
      </c>
      <c r="C93" s="60" t="s">
        <v>344</v>
      </c>
      <c r="D93" s="60">
        <v>5570</v>
      </c>
      <c r="E93" s="60">
        <v>965</v>
      </c>
      <c r="F93" s="60">
        <v>303</v>
      </c>
      <c r="G93" s="60">
        <v>47</v>
      </c>
      <c r="H93" s="60">
        <v>152</v>
      </c>
      <c r="I93" s="60">
        <v>531</v>
      </c>
      <c r="J93" s="60">
        <v>45</v>
      </c>
      <c r="K93" s="60">
        <v>3527</v>
      </c>
      <c r="L93" s="58">
        <v>6230</v>
      </c>
      <c r="M93" s="58">
        <v>939</v>
      </c>
      <c r="N93" s="58">
        <v>266</v>
      </c>
      <c r="O93" s="58">
        <v>24</v>
      </c>
      <c r="P93" s="58">
        <v>150</v>
      </c>
      <c r="Q93" s="58">
        <v>526</v>
      </c>
      <c r="R93" s="58">
        <v>72</v>
      </c>
      <c r="S93" s="58">
        <v>4253</v>
      </c>
    </row>
    <row r="94" spans="1:19" x14ac:dyDescent="0.5">
      <c r="A94" s="60">
        <v>2003</v>
      </c>
      <c r="B94" s="60" t="s">
        <v>41</v>
      </c>
      <c r="C94" s="60" t="s">
        <v>345</v>
      </c>
      <c r="D94" s="60">
        <v>5670</v>
      </c>
      <c r="E94" s="60">
        <v>1021</v>
      </c>
      <c r="F94" s="60">
        <v>321</v>
      </c>
      <c r="G94" s="60">
        <v>31</v>
      </c>
      <c r="H94" s="60">
        <v>235</v>
      </c>
      <c r="I94" s="60">
        <v>545</v>
      </c>
      <c r="J94" s="60">
        <v>49</v>
      </c>
      <c r="K94" s="60">
        <v>3468</v>
      </c>
      <c r="L94" s="58">
        <v>6247</v>
      </c>
      <c r="M94" s="58">
        <v>944</v>
      </c>
      <c r="N94" s="58">
        <v>309</v>
      </c>
      <c r="O94" s="58">
        <v>25</v>
      </c>
      <c r="P94" s="58">
        <v>147</v>
      </c>
      <c r="Q94" s="58">
        <v>555</v>
      </c>
      <c r="R94" s="58">
        <v>42</v>
      </c>
      <c r="S94" s="58">
        <v>4225</v>
      </c>
    </row>
    <row r="95" spans="1:19" x14ac:dyDescent="0.5">
      <c r="A95" s="60">
        <v>2003</v>
      </c>
      <c r="B95" s="60" t="s">
        <v>44</v>
      </c>
      <c r="C95" s="60" t="s">
        <v>346</v>
      </c>
      <c r="D95" s="60">
        <v>5665</v>
      </c>
      <c r="E95" s="60">
        <v>1063</v>
      </c>
      <c r="F95" s="60">
        <v>277</v>
      </c>
      <c r="G95" s="60">
        <v>24</v>
      </c>
      <c r="H95" s="60">
        <v>152</v>
      </c>
      <c r="I95" s="60">
        <v>431</v>
      </c>
      <c r="J95" s="60">
        <v>54</v>
      </c>
      <c r="K95" s="60">
        <v>3664</v>
      </c>
      <c r="L95" s="58">
        <v>6366</v>
      </c>
      <c r="M95" s="58">
        <v>1045</v>
      </c>
      <c r="N95" s="58">
        <v>309</v>
      </c>
      <c r="O95" s="58">
        <v>27</v>
      </c>
      <c r="P95" s="58">
        <v>198</v>
      </c>
      <c r="Q95" s="58">
        <v>526</v>
      </c>
      <c r="R95" s="58">
        <v>80</v>
      </c>
      <c r="S95" s="58">
        <v>4181</v>
      </c>
    </row>
    <row r="96" spans="1:19" x14ac:dyDescent="0.5">
      <c r="A96" s="60">
        <v>2003</v>
      </c>
      <c r="B96" s="60" t="s">
        <v>46</v>
      </c>
      <c r="C96" s="60" t="s">
        <v>347</v>
      </c>
      <c r="D96" s="60">
        <v>5769</v>
      </c>
      <c r="E96" s="60">
        <v>1018</v>
      </c>
      <c r="F96" s="60">
        <v>371</v>
      </c>
      <c r="G96" s="60">
        <v>40</v>
      </c>
      <c r="H96" s="60">
        <v>238</v>
      </c>
      <c r="I96" s="60">
        <v>620</v>
      </c>
      <c r="J96" s="60">
        <v>53</v>
      </c>
      <c r="K96" s="60">
        <v>3429</v>
      </c>
      <c r="L96" s="58">
        <v>6355</v>
      </c>
      <c r="M96" s="58">
        <v>982</v>
      </c>
      <c r="N96" s="58">
        <v>328</v>
      </c>
      <c r="O96" s="58">
        <v>40</v>
      </c>
      <c r="P96" s="58">
        <v>153</v>
      </c>
      <c r="Q96" s="58">
        <v>488</v>
      </c>
      <c r="R96" s="58">
        <v>76</v>
      </c>
      <c r="S96" s="58">
        <v>4288</v>
      </c>
    </row>
    <row r="97" spans="1:19" x14ac:dyDescent="0.5">
      <c r="A97" s="60">
        <v>2003</v>
      </c>
      <c r="B97" s="60" t="s">
        <v>50</v>
      </c>
      <c r="C97" s="60" t="s">
        <v>348</v>
      </c>
      <c r="D97" s="60">
        <v>5519</v>
      </c>
      <c r="E97" s="60">
        <v>933</v>
      </c>
      <c r="F97" s="60">
        <v>302</v>
      </c>
      <c r="G97" s="60">
        <v>24</v>
      </c>
      <c r="H97" s="60">
        <v>172</v>
      </c>
      <c r="I97" s="60">
        <v>492</v>
      </c>
      <c r="J97" s="60">
        <v>50</v>
      </c>
      <c r="K97" s="60">
        <v>3546</v>
      </c>
      <c r="L97" s="58">
        <v>6227</v>
      </c>
      <c r="M97" s="58">
        <v>894</v>
      </c>
      <c r="N97" s="58">
        <v>248</v>
      </c>
      <c r="O97" s="58">
        <v>19</v>
      </c>
      <c r="P97" s="58">
        <v>143</v>
      </c>
      <c r="Q97" s="58">
        <v>617</v>
      </c>
      <c r="R97" s="58">
        <v>71</v>
      </c>
      <c r="S97" s="58">
        <v>4235</v>
      </c>
    </row>
    <row r="98" spans="1:19" x14ac:dyDescent="0.5">
      <c r="A98" s="60">
        <v>2003</v>
      </c>
      <c r="B98" s="60" t="s">
        <v>48</v>
      </c>
      <c r="C98" s="60" t="s">
        <v>349</v>
      </c>
      <c r="D98" s="60">
        <v>5487</v>
      </c>
      <c r="E98" s="60">
        <v>903</v>
      </c>
      <c r="F98" s="60">
        <v>303</v>
      </c>
      <c r="G98" s="60">
        <v>19</v>
      </c>
      <c r="H98" s="60">
        <v>220</v>
      </c>
      <c r="I98" s="60">
        <v>519</v>
      </c>
      <c r="J98" s="60">
        <v>58</v>
      </c>
      <c r="K98" s="60">
        <v>3465</v>
      </c>
      <c r="L98" s="58">
        <v>6067</v>
      </c>
      <c r="M98" s="58">
        <v>899</v>
      </c>
      <c r="N98" s="58">
        <v>279</v>
      </c>
      <c r="O98" s="58">
        <v>24</v>
      </c>
      <c r="P98" s="58">
        <v>162</v>
      </c>
      <c r="Q98" s="58">
        <v>518</v>
      </c>
      <c r="R98" s="58">
        <v>53</v>
      </c>
      <c r="S98" s="58">
        <v>4132</v>
      </c>
    </row>
    <row r="99" spans="1:19" x14ac:dyDescent="0.5">
      <c r="A99" s="60">
        <v>2003</v>
      </c>
      <c r="B99" s="60" t="s">
        <v>52</v>
      </c>
      <c r="C99" s="60" t="s">
        <v>350</v>
      </c>
      <c r="D99" s="60">
        <v>5509</v>
      </c>
      <c r="E99" s="60">
        <v>907</v>
      </c>
      <c r="F99" s="60">
        <v>239</v>
      </c>
      <c r="G99" s="60">
        <v>21</v>
      </c>
      <c r="H99" s="60">
        <v>182</v>
      </c>
      <c r="I99" s="60">
        <v>524</v>
      </c>
      <c r="J99" s="60">
        <v>79</v>
      </c>
      <c r="K99" s="60">
        <v>3557</v>
      </c>
      <c r="L99" s="58">
        <v>6423</v>
      </c>
      <c r="M99" s="58">
        <v>984</v>
      </c>
      <c r="N99" s="58">
        <v>348</v>
      </c>
      <c r="O99" s="58">
        <v>37</v>
      </c>
      <c r="P99" s="58">
        <v>209</v>
      </c>
      <c r="Q99" s="58">
        <v>590</v>
      </c>
      <c r="R99" s="58">
        <v>48</v>
      </c>
      <c r="S99" s="58">
        <v>4207</v>
      </c>
    </row>
    <row r="100" spans="1:19" x14ac:dyDescent="0.5">
      <c r="A100" s="60">
        <v>2003</v>
      </c>
      <c r="B100" s="60" t="s">
        <v>54</v>
      </c>
      <c r="C100" s="60" t="s">
        <v>351</v>
      </c>
      <c r="D100" s="60">
        <v>5572</v>
      </c>
      <c r="E100" s="60">
        <v>933</v>
      </c>
      <c r="F100" s="60">
        <v>296</v>
      </c>
      <c r="G100" s="60">
        <v>26</v>
      </c>
      <c r="H100" s="60">
        <v>158</v>
      </c>
      <c r="I100" s="60">
        <v>466</v>
      </c>
      <c r="J100" s="60">
        <v>62</v>
      </c>
      <c r="K100" s="60">
        <v>3631</v>
      </c>
      <c r="L100" s="58">
        <v>6254</v>
      </c>
      <c r="M100" s="58">
        <v>961</v>
      </c>
      <c r="N100" s="58">
        <v>306</v>
      </c>
      <c r="O100" s="58">
        <v>31</v>
      </c>
      <c r="P100" s="58">
        <v>179</v>
      </c>
      <c r="Q100" s="58">
        <v>501</v>
      </c>
      <c r="R100" s="58">
        <v>64</v>
      </c>
      <c r="S100" s="58">
        <v>4212</v>
      </c>
    </row>
    <row r="101" spans="1:19" x14ac:dyDescent="0.5">
      <c r="A101" s="60">
        <v>2003</v>
      </c>
      <c r="B101" s="60" t="s">
        <v>56</v>
      </c>
      <c r="C101" s="60" t="s">
        <v>352</v>
      </c>
      <c r="D101" s="60">
        <v>5518</v>
      </c>
      <c r="E101" s="60">
        <v>913</v>
      </c>
      <c r="F101" s="60">
        <v>330</v>
      </c>
      <c r="G101" s="60">
        <v>31</v>
      </c>
      <c r="H101" s="60">
        <v>198</v>
      </c>
      <c r="I101" s="60">
        <v>619</v>
      </c>
      <c r="J101" s="60">
        <v>52</v>
      </c>
      <c r="K101" s="60">
        <v>3375</v>
      </c>
      <c r="L101" s="58">
        <v>6364</v>
      </c>
      <c r="M101" s="58">
        <v>1060</v>
      </c>
      <c r="N101" s="58">
        <v>325</v>
      </c>
      <c r="O101" s="58">
        <v>44</v>
      </c>
      <c r="P101" s="58">
        <v>200</v>
      </c>
      <c r="Q101" s="58">
        <v>552</v>
      </c>
      <c r="R101" s="58">
        <v>84</v>
      </c>
      <c r="S101" s="58">
        <v>4099</v>
      </c>
    </row>
    <row r="102" spans="1:19" x14ac:dyDescent="0.5">
      <c r="A102" s="60">
        <v>2003</v>
      </c>
      <c r="B102" s="60" t="s">
        <v>58</v>
      </c>
      <c r="C102" s="60" t="s">
        <v>353</v>
      </c>
      <c r="D102" s="60">
        <v>5466</v>
      </c>
      <c r="E102" s="60">
        <v>919</v>
      </c>
      <c r="F102" s="60">
        <v>201</v>
      </c>
      <c r="G102" s="60">
        <v>39</v>
      </c>
      <c r="H102" s="60">
        <v>153</v>
      </c>
      <c r="I102" s="60">
        <v>443</v>
      </c>
      <c r="J102" s="60">
        <v>47</v>
      </c>
      <c r="K102" s="60">
        <v>3664</v>
      </c>
      <c r="L102" s="58">
        <v>6376</v>
      </c>
      <c r="M102" s="58">
        <v>1065</v>
      </c>
      <c r="N102" s="58">
        <v>308</v>
      </c>
      <c r="O102" s="58">
        <v>48</v>
      </c>
      <c r="P102" s="58">
        <v>195</v>
      </c>
      <c r="Q102" s="58">
        <v>557</v>
      </c>
      <c r="R102" s="58">
        <v>56</v>
      </c>
      <c r="S102" s="58">
        <v>4147</v>
      </c>
    </row>
    <row r="103" spans="1:19" x14ac:dyDescent="0.5">
      <c r="A103" s="60">
        <v>2003</v>
      </c>
      <c r="B103" s="60" t="s">
        <v>60</v>
      </c>
      <c r="C103" s="60" t="s">
        <v>354</v>
      </c>
      <c r="D103" s="60">
        <v>5490</v>
      </c>
      <c r="E103" s="60">
        <v>966</v>
      </c>
      <c r="F103" s="60">
        <v>292</v>
      </c>
      <c r="G103" s="60">
        <v>44</v>
      </c>
      <c r="H103" s="60">
        <v>157</v>
      </c>
      <c r="I103" s="60">
        <v>515</v>
      </c>
      <c r="J103" s="60">
        <v>57</v>
      </c>
      <c r="K103" s="60">
        <v>3459</v>
      </c>
      <c r="L103" s="58">
        <v>6165</v>
      </c>
      <c r="M103" s="58">
        <v>950</v>
      </c>
      <c r="N103" s="58">
        <v>300</v>
      </c>
      <c r="O103" s="58">
        <v>37</v>
      </c>
      <c r="P103" s="58">
        <v>128</v>
      </c>
      <c r="Q103" s="58">
        <v>530</v>
      </c>
      <c r="R103" s="58">
        <v>40</v>
      </c>
      <c r="S103" s="58">
        <v>4180</v>
      </c>
    </row>
    <row r="104" spans="1:19" x14ac:dyDescent="0.5">
      <c r="A104" s="60">
        <v>2003</v>
      </c>
      <c r="B104" s="60" t="s">
        <v>62</v>
      </c>
      <c r="C104" s="60" t="s">
        <v>355</v>
      </c>
      <c r="D104" s="60">
        <v>5583</v>
      </c>
      <c r="E104" s="60">
        <v>937</v>
      </c>
      <c r="F104" s="60">
        <v>308</v>
      </c>
      <c r="G104" s="60">
        <v>30</v>
      </c>
      <c r="H104" s="60">
        <v>191</v>
      </c>
      <c r="I104" s="60">
        <v>557</v>
      </c>
      <c r="J104" s="60">
        <v>81</v>
      </c>
      <c r="K104" s="60">
        <v>3479</v>
      </c>
      <c r="L104" s="58">
        <v>6176</v>
      </c>
      <c r="M104" s="58">
        <v>896</v>
      </c>
      <c r="N104" s="58">
        <v>262</v>
      </c>
      <c r="O104" s="58">
        <v>31</v>
      </c>
      <c r="P104" s="58">
        <v>161</v>
      </c>
      <c r="Q104" s="58">
        <v>565</v>
      </c>
      <c r="R104" s="58">
        <v>74</v>
      </c>
      <c r="S104" s="58">
        <v>4187</v>
      </c>
    </row>
    <row r="105" spans="1:19" x14ac:dyDescent="0.5">
      <c r="A105" s="60">
        <v>2003</v>
      </c>
      <c r="B105" s="60" t="s">
        <v>64</v>
      </c>
      <c r="C105" s="60" t="s">
        <v>356</v>
      </c>
      <c r="D105" s="60">
        <v>5568</v>
      </c>
      <c r="E105" s="60">
        <v>1037</v>
      </c>
      <c r="F105" s="60">
        <v>288</v>
      </c>
      <c r="G105" s="60">
        <v>39</v>
      </c>
      <c r="H105" s="60">
        <v>162</v>
      </c>
      <c r="I105" s="60">
        <v>476</v>
      </c>
      <c r="J105" s="60">
        <v>75</v>
      </c>
      <c r="K105" s="60">
        <v>3491</v>
      </c>
      <c r="L105" s="58">
        <v>6366</v>
      </c>
      <c r="M105" s="58">
        <v>1016</v>
      </c>
      <c r="N105" s="58">
        <v>329</v>
      </c>
      <c r="O105" s="58">
        <v>34</v>
      </c>
      <c r="P105" s="58">
        <v>190</v>
      </c>
      <c r="Q105" s="58">
        <v>566</v>
      </c>
      <c r="R105" s="58">
        <v>66</v>
      </c>
      <c r="S105" s="58">
        <v>4165</v>
      </c>
    </row>
    <row r="106" spans="1:19" x14ac:dyDescent="0.5">
      <c r="A106" s="60">
        <v>2003</v>
      </c>
      <c r="B106" s="60" t="s">
        <v>66</v>
      </c>
      <c r="C106" s="60" t="s">
        <v>357</v>
      </c>
      <c r="D106" s="60">
        <v>5458</v>
      </c>
      <c r="E106" s="60">
        <v>919</v>
      </c>
      <c r="F106" s="60">
        <v>260</v>
      </c>
      <c r="G106" s="60">
        <v>25</v>
      </c>
      <c r="H106" s="60">
        <v>124</v>
      </c>
      <c r="I106" s="60">
        <v>407</v>
      </c>
      <c r="J106" s="60">
        <v>72</v>
      </c>
      <c r="K106" s="60">
        <v>3651</v>
      </c>
      <c r="L106" s="58">
        <v>6001</v>
      </c>
      <c r="M106" s="58">
        <v>895</v>
      </c>
      <c r="N106" s="58">
        <v>205</v>
      </c>
      <c r="O106" s="58">
        <v>27</v>
      </c>
      <c r="P106" s="58">
        <v>127</v>
      </c>
      <c r="Q106" s="58">
        <v>526</v>
      </c>
      <c r="R106" s="58">
        <v>40</v>
      </c>
      <c r="S106" s="58">
        <v>4181</v>
      </c>
    </row>
    <row r="107" spans="1:19" x14ac:dyDescent="0.5">
      <c r="A107" s="60">
        <v>2003</v>
      </c>
      <c r="B107" s="60" t="s">
        <v>68</v>
      </c>
      <c r="C107" s="60" t="s">
        <v>358</v>
      </c>
      <c r="D107" s="60">
        <v>5548</v>
      </c>
      <c r="E107" s="60">
        <v>937</v>
      </c>
      <c r="F107" s="60">
        <v>266</v>
      </c>
      <c r="G107" s="60">
        <v>24</v>
      </c>
      <c r="H107" s="60">
        <v>196</v>
      </c>
      <c r="I107" s="60">
        <v>547</v>
      </c>
      <c r="J107" s="60">
        <v>71</v>
      </c>
      <c r="K107" s="60">
        <v>3507</v>
      </c>
      <c r="L107" s="58">
        <v>6459</v>
      </c>
      <c r="M107" s="58">
        <v>1024</v>
      </c>
      <c r="N107" s="58">
        <v>304</v>
      </c>
      <c r="O107" s="58">
        <v>43</v>
      </c>
      <c r="P107" s="58">
        <v>219</v>
      </c>
      <c r="Q107" s="58">
        <v>575</v>
      </c>
      <c r="R107" s="58">
        <v>61</v>
      </c>
      <c r="S107" s="58">
        <v>4233</v>
      </c>
    </row>
    <row r="108" spans="1:19" x14ac:dyDescent="0.5">
      <c r="A108" s="60">
        <v>2003</v>
      </c>
      <c r="B108" s="60" t="s">
        <v>70</v>
      </c>
      <c r="C108" s="60" t="s">
        <v>359</v>
      </c>
      <c r="D108" s="60">
        <v>5655</v>
      </c>
      <c r="E108" s="60">
        <v>1049</v>
      </c>
      <c r="F108" s="60">
        <v>318</v>
      </c>
      <c r="G108" s="60">
        <v>45</v>
      </c>
      <c r="H108" s="60">
        <v>155</v>
      </c>
      <c r="I108" s="60">
        <v>512</v>
      </c>
      <c r="J108" s="60">
        <v>63</v>
      </c>
      <c r="K108" s="60">
        <v>3513</v>
      </c>
      <c r="L108" s="58">
        <v>6246</v>
      </c>
      <c r="M108" s="58">
        <v>1013</v>
      </c>
      <c r="N108" s="58">
        <v>302</v>
      </c>
      <c r="O108" s="58">
        <v>24</v>
      </c>
      <c r="P108" s="58">
        <v>187</v>
      </c>
      <c r="Q108" s="58">
        <v>402</v>
      </c>
      <c r="R108" s="58">
        <v>50</v>
      </c>
      <c r="S108" s="58">
        <v>4268</v>
      </c>
    </row>
    <row r="109" spans="1:19" x14ac:dyDescent="0.5">
      <c r="A109" s="60">
        <v>2003</v>
      </c>
      <c r="B109" s="60" t="s">
        <v>72</v>
      </c>
      <c r="C109" s="60" t="s">
        <v>360</v>
      </c>
      <c r="D109" s="60">
        <v>5437</v>
      </c>
      <c r="E109" s="60">
        <v>941</v>
      </c>
      <c r="F109" s="60">
        <v>294</v>
      </c>
      <c r="G109" s="60">
        <v>25</v>
      </c>
      <c r="H109" s="60">
        <v>144</v>
      </c>
      <c r="I109" s="60">
        <v>522</v>
      </c>
      <c r="J109" s="60">
        <v>45</v>
      </c>
      <c r="K109" s="60">
        <v>3466</v>
      </c>
      <c r="L109" s="58">
        <v>6171</v>
      </c>
      <c r="M109" s="58">
        <v>970</v>
      </c>
      <c r="N109" s="58">
        <v>292</v>
      </c>
      <c r="O109" s="58">
        <v>24</v>
      </c>
      <c r="P109" s="58">
        <v>181</v>
      </c>
      <c r="Q109" s="58">
        <v>463</v>
      </c>
      <c r="R109" s="58">
        <v>71</v>
      </c>
      <c r="S109" s="58">
        <v>4170</v>
      </c>
    </row>
    <row r="110" spans="1:19" x14ac:dyDescent="0.5">
      <c r="A110" s="60">
        <v>2003</v>
      </c>
      <c r="B110" s="60" t="s">
        <v>76</v>
      </c>
      <c r="C110" s="60" t="s">
        <v>361</v>
      </c>
      <c r="D110" s="60">
        <v>5341</v>
      </c>
      <c r="E110" s="60">
        <v>907</v>
      </c>
      <c r="F110" s="60">
        <v>262</v>
      </c>
      <c r="G110" s="60">
        <v>24</v>
      </c>
      <c r="H110" s="60">
        <v>124</v>
      </c>
      <c r="I110" s="60">
        <v>489</v>
      </c>
      <c r="J110" s="60">
        <v>54</v>
      </c>
      <c r="K110" s="60">
        <v>3481</v>
      </c>
      <c r="L110" s="58">
        <v>6204</v>
      </c>
      <c r="M110" s="58">
        <v>971</v>
      </c>
      <c r="N110" s="58">
        <v>317</v>
      </c>
      <c r="O110" s="58">
        <v>41</v>
      </c>
      <c r="P110" s="58">
        <v>168</v>
      </c>
      <c r="Q110" s="58">
        <v>576</v>
      </c>
      <c r="R110" s="58">
        <v>45</v>
      </c>
      <c r="S110" s="58">
        <v>4086</v>
      </c>
    </row>
    <row r="111" spans="1:19" x14ac:dyDescent="0.5">
      <c r="A111" s="60">
        <v>2003</v>
      </c>
      <c r="B111" s="60" t="s">
        <v>74</v>
      </c>
      <c r="C111" s="60" t="s">
        <v>362</v>
      </c>
      <c r="D111" s="60">
        <v>5605</v>
      </c>
      <c r="E111" s="60">
        <v>970</v>
      </c>
      <c r="F111" s="60">
        <v>304</v>
      </c>
      <c r="G111" s="60">
        <v>14</v>
      </c>
      <c r="H111" s="60">
        <v>230</v>
      </c>
      <c r="I111" s="60">
        <v>684</v>
      </c>
      <c r="J111" s="60">
        <v>81</v>
      </c>
      <c r="K111" s="60">
        <v>3322</v>
      </c>
      <c r="L111" s="58">
        <v>6209</v>
      </c>
      <c r="M111" s="58">
        <v>1019</v>
      </c>
      <c r="N111" s="58">
        <v>323</v>
      </c>
      <c r="O111" s="58">
        <v>25</v>
      </c>
      <c r="P111" s="58">
        <v>145</v>
      </c>
      <c r="Q111" s="58">
        <v>375</v>
      </c>
      <c r="R111" s="58">
        <v>49</v>
      </c>
      <c r="S111" s="58">
        <v>4273</v>
      </c>
    </row>
    <row r="112" spans="1:19" x14ac:dyDescent="0.5">
      <c r="A112" s="60">
        <v>2003</v>
      </c>
      <c r="B112" s="60" t="s">
        <v>78</v>
      </c>
      <c r="C112" s="60" t="s">
        <v>363</v>
      </c>
      <c r="D112" s="60">
        <v>5497</v>
      </c>
      <c r="E112" s="60">
        <v>881</v>
      </c>
      <c r="F112" s="60">
        <v>317</v>
      </c>
      <c r="G112" s="60">
        <v>24</v>
      </c>
      <c r="H112" s="60">
        <v>176</v>
      </c>
      <c r="I112" s="60">
        <v>556</v>
      </c>
      <c r="J112" s="60">
        <v>59</v>
      </c>
      <c r="K112" s="60">
        <v>3484</v>
      </c>
      <c r="L112" s="58">
        <v>6078</v>
      </c>
      <c r="M112" s="58">
        <v>928</v>
      </c>
      <c r="N112" s="58">
        <v>248</v>
      </c>
      <c r="O112" s="58">
        <v>20</v>
      </c>
      <c r="P112" s="58">
        <v>140</v>
      </c>
      <c r="Q112" s="58">
        <v>499</v>
      </c>
      <c r="R112" s="58">
        <v>54</v>
      </c>
      <c r="S112" s="58">
        <v>4189</v>
      </c>
    </row>
    <row r="113" spans="1:19" x14ac:dyDescent="0.5">
      <c r="A113" s="60">
        <v>2003</v>
      </c>
      <c r="B113" s="60" t="s">
        <v>80</v>
      </c>
      <c r="C113" s="60" t="s">
        <v>364</v>
      </c>
      <c r="D113" s="60">
        <v>5543</v>
      </c>
      <c r="E113" s="60">
        <v>930</v>
      </c>
      <c r="F113" s="60">
        <v>325</v>
      </c>
      <c r="G113" s="60">
        <v>27</v>
      </c>
      <c r="H113" s="60">
        <v>166</v>
      </c>
      <c r="I113" s="60">
        <v>651</v>
      </c>
      <c r="J113" s="60">
        <v>55</v>
      </c>
      <c r="K113" s="60">
        <v>3389</v>
      </c>
      <c r="L113" s="58">
        <v>6195</v>
      </c>
      <c r="M113" s="58">
        <v>896</v>
      </c>
      <c r="N113" s="58">
        <v>315</v>
      </c>
      <c r="O113" s="58">
        <v>33</v>
      </c>
      <c r="P113" s="58">
        <v>142</v>
      </c>
      <c r="Q113" s="58">
        <v>536</v>
      </c>
      <c r="R113" s="58">
        <v>77</v>
      </c>
      <c r="S113" s="58">
        <v>4196</v>
      </c>
    </row>
    <row r="114" spans="1:19" x14ac:dyDescent="0.5">
      <c r="A114" s="60">
        <v>2003</v>
      </c>
      <c r="B114" s="60" t="s">
        <v>82</v>
      </c>
      <c r="C114" s="60" t="s">
        <v>365</v>
      </c>
      <c r="D114" s="60">
        <v>5581</v>
      </c>
      <c r="E114" s="60">
        <v>1009</v>
      </c>
      <c r="F114" s="60">
        <v>275</v>
      </c>
      <c r="G114" s="60">
        <v>45</v>
      </c>
      <c r="H114" s="60">
        <v>163</v>
      </c>
      <c r="I114" s="60">
        <v>529</v>
      </c>
      <c r="J114" s="60">
        <v>87</v>
      </c>
      <c r="K114" s="60">
        <v>3473</v>
      </c>
      <c r="L114" s="58">
        <v>6293</v>
      </c>
      <c r="M114" s="58">
        <v>1021</v>
      </c>
      <c r="N114" s="58">
        <v>301</v>
      </c>
      <c r="O114" s="58">
        <v>27</v>
      </c>
      <c r="P114" s="58">
        <v>178</v>
      </c>
      <c r="Q114" s="58">
        <v>502</v>
      </c>
      <c r="R114" s="58">
        <v>61</v>
      </c>
      <c r="S114" s="58">
        <v>4203</v>
      </c>
    </row>
    <row r="115" spans="1:19" x14ac:dyDescent="0.5">
      <c r="A115" s="60">
        <v>2003</v>
      </c>
      <c r="B115" s="60" t="s">
        <v>84</v>
      </c>
      <c r="C115" s="60" t="s">
        <v>366</v>
      </c>
      <c r="D115" s="60">
        <v>5531</v>
      </c>
      <c r="E115" s="60">
        <v>1025</v>
      </c>
      <c r="F115" s="60">
        <v>257</v>
      </c>
      <c r="G115" s="60">
        <v>32</v>
      </c>
      <c r="H115" s="60">
        <v>128</v>
      </c>
      <c r="I115" s="60">
        <v>565</v>
      </c>
      <c r="J115" s="60">
        <v>57</v>
      </c>
      <c r="K115" s="60">
        <v>3467</v>
      </c>
      <c r="L115" s="58">
        <v>6303</v>
      </c>
      <c r="M115" s="58">
        <v>954</v>
      </c>
      <c r="N115" s="58">
        <v>259</v>
      </c>
      <c r="O115" s="58">
        <v>37</v>
      </c>
      <c r="P115" s="58">
        <v>208</v>
      </c>
      <c r="Q115" s="58">
        <v>611</v>
      </c>
      <c r="R115" s="58">
        <v>62</v>
      </c>
      <c r="S115" s="58">
        <v>4172</v>
      </c>
    </row>
    <row r="116" spans="1:19" x14ac:dyDescent="0.5">
      <c r="A116" s="60">
        <v>2003</v>
      </c>
      <c r="B116" s="60" t="s">
        <v>86</v>
      </c>
      <c r="C116" s="60" t="s">
        <v>367</v>
      </c>
      <c r="D116" s="60">
        <v>5561</v>
      </c>
      <c r="E116" s="60">
        <v>1047</v>
      </c>
      <c r="F116" s="60">
        <v>290</v>
      </c>
      <c r="G116" s="60">
        <v>33</v>
      </c>
      <c r="H116" s="60">
        <v>139</v>
      </c>
      <c r="I116" s="60">
        <v>586</v>
      </c>
      <c r="J116" s="60">
        <v>53</v>
      </c>
      <c r="K116" s="60">
        <v>3413</v>
      </c>
      <c r="L116" s="58">
        <v>6025</v>
      </c>
      <c r="M116" s="58">
        <v>933</v>
      </c>
      <c r="N116" s="58">
        <v>220</v>
      </c>
      <c r="O116" s="58">
        <v>14</v>
      </c>
      <c r="P116" s="58">
        <v>173</v>
      </c>
      <c r="Q116" s="58">
        <v>466</v>
      </c>
      <c r="R116" s="58">
        <v>54</v>
      </c>
      <c r="S116" s="58">
        <v>4165</v>
      </c>
    </row>
    <row r="117" spans="1:19" x14ac:dyDescent="0.5">
      <c r="A117" s="60">
        <v>2003</v>
      </c>
      <c r="B117" s="60" t="s">
        <v>88</v>
      </c>
      <c r="C117" s="60" t="s">
        <v>368</v>
      </c>
      <c r="D117" s="60">
        <v>5456</v>
      </c>
      <c r="E117" s="60">
        <v>950</v>
      </c>
      <c r="F117" s="60">
        <v>281</v>
      </c>
      <c r="G117" s="60">
        <v>29</v>
      </c>
      <c r="H117" s="60">
        <v>180</v>
      </c>
      <c r="I117" s="60">
        <v>593</v>
      </c>
      <c r="J117" s="60">
        <v>40</v>
      </c>
      <c r="K117" s="60">
        <v>3383</v>
      </c>
      <c r="L117" s="58">
        <v>6090</v>
      </c>
      <c r="M117" s="58">
        <v>923</v>
      </c>
      <c r="N117" s="58">
        <v>259</v>
      </c>
      <c r="O117" s="58">
        <v>31</v>
      </c>
      <c r="P117" s="58">
        <v>136</v>
      </c>
      <c r="Q117" s="58">
        <v>546</v>
      </c>
      <c r="R117" s="58">
        <v>43</v>
      </c>
      <c r="S117" s="58">
        <v>4152</v>
      </c>
    </row>
    <row r="118" spans="1:19" x14ac:dyDescent="0.5">
      <c r="A118" s="60">
        <v>2003</v>
      </c>
      <c r="B118" s="60" t="s">
        <v>90</v>
      </c>
      <c r="C118" s="60" t="s">
        <v>369</v>
      </c>
      <c r="D118" s="60">
        <v>5672</v>
      </c>
      <c r="E118" s="60">
        <v>1010</v>
      </c>
      <c r="F118" s="60">
        <v>342</v>
      </c>
      <c r="G118" s="60">
        <v>32</v>
      </c>
      <c r="H118" s="60">
        <v>196</v>
      </c>
      <c r="I118" s="60">
        <v>580</v>
      </c>
      <c r="J118" s="60">
        <v>73</v>
      </c>
      <c r="K118" s="60">
        <v>3439</v>
      </c>
      <c r="L118" s="58">
        <v>6375</v>
      </c>
      <c r="M118" s="58">
        <v>969</v>
      </c>
      <c r="N118" s="58">
        <v>335</v>
      </c>
      <c r="O118" s="58">
        <v>30</v>
      </c>
      <c r="P118" s="58">
        <v>210</v>
      </c>
      <c r="Q118" s="58">
        <v>508</v>
      </c>
      <c r="R118" s="58">
        <v>65</v>
      </c>
      <c r="S118" s="58">
        <v>4258</v>
      </c>
    </row>
    <row r="119" spans="1:19" x14ac:dyDescent="0.5">
      <c r="A119" s="60">
        <v>2003</v>
      </c>
      <c r="B119" s="60" t="s">
        <v>92</v>
      </c>
      <c r="C119" s="60" t="s">
        <v>370</v>
      </c>
      <c r="D119" s="60">
        <v>5654</v>
      </c>
      <c r="E119" s="60">
        <v>1028</v>
      </c>
      <c r="F119" s="60">
        <v>298</v>
      </c>
      <c r="G119" s="60">
        <v>38</v>
      </c>
      <c r="H119" s="60">
        <v>137</v>
      </c>
      <c r="I119" s="60">
        <v>420</v>
      </c>
      <c r="J119" s="60">
        <v>56</v>
      </c>
      <c r="K119" s="60">
        <v>3677</v>
      </c>
      <c r="L119" s="58">
        <v>6340</v>
      </c>
      <c r="M119" s="58">
        <v>908</v>
      </c>
      <c r="N119" s="58">
        <v>319</v>
      </c>
      <c r="O119" s="58">
        <v>31</v>
      </c>
      <c r="P119" s="58">
        <v>196</v>
      </c>
      <c r="Q119" s="58">
        <v>639</v>
      </c>
      <c r="R119" s="58">
        <v>95</v>
      </c>
      <c r="S119" s="58">
        <v>4152</v>
      </c>
    </row>
    <row r="120" spans="1:19" x14ac:dyDescent="0.5">
      <c r="A120" s="60">
        <v>2003</v>
      </c>
      <c r="B120" s="60" t="s">
        <v>94</v>
      </c>
      <c r="C120" s="60" t="s">
        <v>371</v>
      </c>
      <c r="D120" s="60">
        <v>5664</v>
      </c>
      <c r="E120" s="60">
        <v>957</v>
      </c>
      <c r="F120" s="60">
        <v>274</v>
      </c>
      <c r="G120" s="60">
        <v>36</v>
      </c>
      <c r="H120" s="60">
        <v>239</v>
      </c>
      <c r="I120" s="60">
        <v>488</v>
      </c>
      <c r="J120" s="60">
        <v>75</v>
      </c>
      <c r="K120" s="60">
        <v>3595</v>
      </c>
      <c r="L120" s="58">
        <v>6413</v>
      </c>
      <c r="M120" s="58">
        <v>1029</v>
      </c>
      <c r="N120" s="58">
        <v>351</v>
      </c>
      <c r="O120" s="58">
        <v>37</v>
      </c>
      <c r="P120" s="58">
        <v>208</v>
      </c>
      <c r="Q120" s="58">
        <v>603</v>
      </c>
      <c r="R120" s="58">
        <v>63</v>
      </c>
      <c r="S120" s="58">
        <v>4122</v>
      </c>
    </row>
    <row r="121" spans="1:19" x14ac:dyDescent="0.5">
      <c r="A121" s="60">
        <v>2003</v>
      </c>
      <c r="B121" s="60" t="s">
        <v>96</v>
      </c>
      <c r="C121" s="60" t="s">
        <v>372</v>
      </c>
      <c r="D121" s="60">
        <v>5661</v>
      </c>
      <c r="E121" s="60">
        <v>1000</v>
      </c>
      <c r="F121" s="60">
        <v>357</v>
      </c>
      <c r="G121" s="60">
        <v>33</v>
      </c>
      <c r="H121" s="60">
        <v>190</v>
      </c>
      <c r="I121" s="60">
        <v>546</v>
      </c>
      <c r="J121" s="60">
        <v>90</v>
      </c>
      <c r="K121" s="60">
        <v>3445</v>
      </c>
      <c r="L121" s="58">
        <v>6270</v>
      </c>
      <c r="M121" s="58">
        <v>1034</v>
      </c>
      <c r="N121" s="58">
        <v>300</v>
      </c>
      <c r="O121" s="58">
        <v>42</v>
      </c>
      <c r="P121" s="58">
        <v>184</v>
      </c>
      <c r="Q121" s="58">
        <v>485</v>
      </c>
      <c r="R121" s="58">
        <v>57</v>
      </c>
      <c r="S121" s="58">
        <v>4168</v>
      </c>
    </row>
    <row r="122" spans="1:19" x14ac:dyDescent="0.5">
      <c r="A122" s="60">
        <v>2004</v>
      </c>
      <c r="B122" s="60" t="s">
        <v>36</v>
      </c>
      <c r="C122" s="60" t="s">
        <v>373</v>
      </c>
      <c r="D122" s="60">
        <v>5675</v>
      </c>
      <c r="E122" s="60">
        <v>1132</v>
      </c>
      <c r="F122" s="60">
        <v>272</v>
      </c>
      <c r="G122" s="60">
        <v>37</v>
      </c>
      <c r="H122" s="60">
        <v>162</v>
      </c>
      <c r="I122" s="60">
        <v>450</v>
      </c>
      <c r="J122" s="60">
        <v>73</v>
      </c>
      <c r="K122" s="60">
        <v>3549</v>
      </c>
      <c r="L122" s="58">
        <v>6246</v>
      </c>
      <c r="M122" s="58">
        <v>985</v>
      </c>
      <c r="N122" s="58">
        <v>298</v>
      </c>
      <c r="O122" s="58">
        <v>23</v>
      </c>
      <c r="P122" s="58">
        <v>170</v>
      </c>
      <c r="Q122" s="58">
        <v>502</v>
      </c>
      <c r="R122" s="58">
        <v>44</v>
      </c>
      <c r="S122" s="58">
        <v>4224</v>
      </c>
    </row>
    <row r="123" spans="1:19" x14ac:dyDescent="0.5">
      <c r="A123" s="60">
        <v>2004</v>
      </c>
      <c r="B123" s="60" t="s">
        <v>39</v>
      </c>
      <c r="C123" s="60" t="s">
        <v>374</v>
      </c>
      <c r="D123" s="60">
        <v>5544</v>
      </c>
      <c r="E123" s="60">
        <v>933</v>
      </c>
      <c r="F123" s="60">
        <v>295</v>
      </c>
      <c r="G123" s="60">
        <v>38</v>
      </c>
      <c r="H123" s="60">
        <v>135</v>
      </c>
      <c r="I123" s="60">
        <v>441</v>
      </c>
      <c r="J123" s="60">
        <v>35</v>
      </c>
      <c r="K123" s="60">
        <v>3667</v>
      </c>
      <c r="L123" s="58">
        <v>6418</v>
      </c>
      <c r="M123" s="58">
        <v>954</v>
      </c>
      <c r="N123" s="58">
        <v>289</v>
      </c>
      <c r="O123" s="58">
        <v>40</v>
      </c>
      <c r="P123" s="58">
        <v>197</v>
      </c>
      <c r="Q123" s="58">
        <v>668</v>
      </c>
      <c r="R123" s="58">
        <v>75</v>
      </c>
      <c r="S123" s="58">
        <v>4195</v>
      </c>
    </row>
    <row r="124" spans="1:19" x14ac:dyDescent="0.5">
      <c r="A124" s="60">
        <v>2004</v>
      </c>
      <c r="B124" s="60" t="s">
        <v>41</v>
      </c>
      <c r="C124" s="60" t="s">
        <v>375</v>
      </c>
      <c r="D124" s="60">
        <v>5570</v>
      </c>
      <c r="E124" s="60">
        <v>984</v>
      </c>
      <c r="F124" s="60">
        <v>304</v>
      </c>
      <c r="G124" s="60">
        <v>37</v>
      </c>
      <c r="H124" s="60">
        <v>178</v>
      </c>
      <c r="I124" s="60">
        <v>587</v>
      </c>
      <c r="J124" s="60">
        <v>59</v>
      </c>
      <c r="K124" s="60">
        <v>3421</v>
      </c>
      <c r="L124" s="58">
        <v>6218</v>
      </c>
      <c r="M124" s="58">
        <v>1054</v>
      </c>
      <c r="N124" s="58">
        <v>250</v>
      </c>
      <c r="O124" s="58">
        <v>17</v>
      </c>
      <c r="P124" s="58">
        <v>154</v>
      </c>
      <c r="Q124" s="58">
        <v>523</v>
      </c>
      <c r="R124" s="58">
        <v>27</v>
      </c>
      <c r="S124" s="58">
        <v>4193</v>
      </c>
    </row>
    <row r="125" spans="1:19" x14ac:dyDescent="0.5">
      <c r="A125" s="60">
        <v>2004</v>
      </c>
      <c r="B125" s="60" t="s">
        <v>44</v>
      </c>
      <c r="C125" s="60" t="s">
        <v>376</v>
      </c>
      <c r="D125" s="60">
        <v>5736</v>
      </c>
      <c r="E125" s="60">
        <v>1108</v>
      </c>
      <c r="F125" s="60">
        <v>319</v>
      </c>
      <c r="G125" s="60">
        <v>18</v>
      </c>
      <c r="H125" s="60">
        <v>169</v>
      </c>
      <c r="I125" s="60">
        <v>528</v>
      </c>
      <c r="J125" s="60">
        <v>57</v>
      </c>
      <c r="K125" s="60">
        <v>3537</v>
      </c>
      <c r="L125" s="58">
        <v>6459</v>
      </c>
      <c r="M125" s="58">
        <v>1048</v>
      </c>
      <c r="N125" s="58">
        <v>253</v>
      </c>
      <c r="O125" s="58">
        <v>28</v>
      </c>
      <c r="P125" s="58">
        <v>159</v>
      </c>
      <c r="Q125" s="58">
        <v>687</v>
      </c>
      <c r="R125" s="58">
        <v>62</v>
      </c>
      <c r="S125" s="58">
        <v>4222</v>
      </c>
    </row>
    <row r="126" spans="1:19" x14ac:dyDescent="0.5">
      <c r="A126" s="60">
        <v>2004</v>
      </c>
      <c r="B126" s="60" t="s">
        <v>46</v>
      </c>
      <c r="C126" s="60" t="s">
        <v>377</v>
      </c>
      <c r="D126" s="60">
        <v>5720</v>
      </c>
      <c r="E126" s="60">
        <v>993</v>
      </c>
      <c r="F126" s="60">
        <v>373</v>
      </c>
      <c r="G126" s="60">
        <v>25</v>
      </c>
      <c r="H126" s="60">
        <v>222</v>
      </c>
      <c r="I126" s="60">
        <v>659</v>
      </c>
      <c r="J126" s="60">
        <v>69</v>
      </c>
      <c r="K126" s="60">
        <v>3379</v>
      </c>
      <c r="L126" s="58">
        <v>6222</v>
      </c>
      <c r="M126" s="58">
        <v>922</v>
      </c>
      <c r="N126" s="58">
        <v>318</v>
      </c>
      <c r="O126" s="58">
        <v>31</v>
      </c>
      <c r="P126" s="58">
        <v>159</v>
      </c>
      <c r="Q126" s="58">
        <v>447</v>
      </c>
      <c r="R126" s="58">
        <v>92</v>
      </c>
      <c r="S126" s="58">
        <v>4253</v>
      </c>
    </row>
    <row r="127" spans="1:19" x14ac:dyDescent="0.5">
      <c r="A127" s="60">
        <v>2004</v>
      </c>
      <c r="B127" s="60" t="s">
        <v>50</v>
      </c>
      <c r="C127" s="60" t="s">
        <v>378</v>
      </c>
      <c r="D127" s="60">
        <v>5628</v>
      </c>
      <c r="E127" s="60">
        <v>936</v>
      </c>
      <c r="F127" s="60">
        <v>308</v>
      </c>
      <c r="G127" s="60">
        <v>29</v>
      </c>
      <c r="H127" s="60">
        <v>235</v>
      </c>
      <c r="I127" s="60">
        <v>489</v>
      </c>
      <c r="J127" s="60">
        <v>38</v>
      </c>
      <c r="K127" s="60">
        <v>3593</v>
      </c>
      <c r="L127" s="58">
        <v>6262</v>
      </c>
      <c r="M127" s="58">
        <v>918</v>
      </c>
      <c r="N127" s="58">
        <v>245</v>
      </c>
      <c r="O127" s="58">
        <v>31</v>
      </c>
      <c r="P127" s="58">
        <v>169</v>
      </c>
      <c r="Q127" s="58">
        <v>545</v>
      </c>
      <c r="R127" s="58">
        <v>76</v>
      </c>
      <c r="S127" s="58">
        <v>4278</v>
      </c>
    </row>
    <row r="128" spans="1:19" x14ac:dyDescent="0.5">
      <c r="A128" s="60">
        <v>2004</v>
      </c>
      <c r="B128" s="60" t="s">
        <v>48</v>
      </c>
      <c r="C128" s="60" t="s">
        <v>379</v>
      </c>
      <c r="D128" s="60">
        <v>5534</v>
      </c>
      <c r="E128" s="60">
        <v>936</v>
      </c>
      <c r="F128" s="60">
        <v>284</v>
      </c>
      <c r="G128" s="60">
        <v>19</v>
      </c>
      <c r="H128" s="60">
        <v>242</v>
      </c>
      <c r="I128" s="60">
        <v>499</v>
      </c>
      <c r="J128" s="60">
        <v>63</v>
      </c>
      <c r="K128" s="60">
        <v>3491</v>
      </c>
      <c r="L128" s="58">
        <v>6189</v>
      </c>
      <c r="M128" s="58">
        <v>981</v>
      </c>
      <c r="N128" s="58">
        <v>276</v>
      </c>
      <c r="O128" s="58">
        <v>24</v>
      </c>
      <c r="P128" s="58">
        <v>224</v>
      </c>
      <c r="Q128" s="58">
        <v>527</v>
      </c>
      <c r="R128" s="58">
        <v>48</v>
      </c>
      <c r="S128" s="58">
        <v>4109</v>
      </c>
    </row>
    <row r="129" spans="1:19" x14ac:dyDescent="0.5">
      <c r="A129" s="60">
        <v>2004</v>
      </c>
      <c r="B129" s="60" t="s">
        <v>52</v>
      </c>
      <c r="C129" s="60" t="s">
        <v>380</v>
      </c>
      <c r="D129" s="60">
        <v>5518</v>
      </c>
      <c r="E129" s="60">
        <v>871</v>
      </c>
      <c r="F129" s="60">
        <v>287</v>
      </c>
      <c r="G129" s="60">
        <v>28</v>
      </c>
      <c r="H129" s="60">
        <v>194</v>
      </c>
      <c r="I129" s="60">
        <v>599</v>
      </c>
      <c r="J129" s="60">
        <v>81</v>
      </c>
      <c r="K129" s="60">
        <v>3458</v>
      </c>
      <c r="L129" s="58">
        <v>6451</v>
      </c>
      <c r="M129" s="58">
        <v>954</v>
      </c>
      <c r="N129" s="58">
        <v>373</v>
      </c>
      <c r="O129" s="58">
        <v>32</v>
      </c>
      <c r="P129" s="58">
        <v>236</v>
      </c>
      <c r="Q129" s="58">
        <v>572</v>
      </c>
      <c r="R129" s="58">
        <v>54</v>
      </c>
      <c r="S129" s="58">
        <v>4230</v>
      </c>
    </row>
    <row r="130" spans="1:19" x14ac:dyDescent="0.5">
      <c r="A130" s="60">
        <v>2004</v>
      </c>
      <c r="B130" s="60" t="s">
        <v>54</v>
      </c>
      <c r="C130" s="60" t="s">
        <v>381</v>
      </c>
      <c r="D130" s="60">
        <v>5676</v>
      </c>
      <c r="E130" s="60">
        <v>1007</v>
      </c>
      <c r="F130" s="60">
        <v>345</v>
      </c>
      <c r="G130" s="60">
        <v>29</v>
      </c>
      <c r="H130" s="60">
        <v>184</v>
      </c>
      <c r="I130" s="60">
        <v>606</v>
      </c>
      <c r="J130" s="60">
        <v>78</v>
      </c>
      <c r="K130" s="60">
        <v>3427</v>
      </c>
      <c r="L130" s="58">
        <v>6450</v>
      </c>
      <c r="M130" s="58">
        <v>986</v>
      </c>
      <c r="N130" s="58">
        <v>338</v>
      </c>
      <c r="O130" s="58">
        <v>28</v>
      </c>
      <c r="P130" s="58">
        <v>201</v>
      </c>
      <c r="Q130" s="58">
        <v>579</v>
      </c>
      <c r="R130" s="58">
        <v>62</v>
      </c>
      <c r="S130" s="58">
        <v>4256</v>
      </c>
    </row>
    <row r="131" spans="1:19" x14ac:dyDescent="0.5">
      <c r="A131" s="60">
        <v>2004</v>
      </c>
      <c r="B131" s="60" t="s">
        <v>56</v>
      </c>
      <c r="C131" s="60" t="s">
        <v>382</v>
      </c>
      <c r="D131" s="60">
        <v>5577</v>
      </c>
      <c r="E131" s="60">
        <v>964</v>
      </c>
      <c r="F131" s="60">
        <v>331</v>
      </c>
      <c r="G131" s="60">
        <v>34</v>
      </c>
      <c r="H131" s="60">
        <v>202</v>
      </c>
      <c r="I131" s="60">
        <v>568</v>
      </c>
      <c r="J131" s="60">
        <v>54</v>
      </c>
      <c r="K131" s="60">
        <v>3424</v>
      </c>
      <c r="L131" s="58">
        <v>6535</v>
      </c>
      <c r="M131" s="58">
        <v>1057</v>
      </c>
      <c r="N131" s="58">
        <v>336</v>
      </c>
      <c r="O131" s="58">
        <v>43</v>
      </c>
      <c r="P131" s="58">
        <v>198</v>
      </c>
      <c r="Q131" s="58">
        <v>697</v>
      </c>
      <c r="R131" s="58">
        <v>71</v>
      </c>
      <c r="S131" s="58">
        <v>4133</v>
      </c>
    </row>
    <row r="132" spans="1:19" x14ac:dyDescent="0.5">
      <c r="A132" s="60">
        <v>2004</v>
      </c>
      <c r="B132" s="60" t="s">
        <v>58</v>
      </c>
      <c r="C132" s="60" t="s">
        <v>383</v>
      </c>
      <c r="D132" s="60">
        <v>5623</v>
      </c>
      <c r="E132" s="60">
        <v>992</v>
      </c>
      <c r="F132" s="60">
        <v>284</v>
      </c>
      <c r="G132" s="60">
        <v>54</v>
      </c>
      <c r="H132" s="60">
        <v>201</v>
      </c>
      <c r="I132" s="60">
        <v>518</v>
      </c>
      <c r="J132" s="60">
        <v>50</v>
      </c>
      <c r="K132" s="60">
        <v>3524</v>
      </c>
      <c r="L132" s="58">
        <v>6296</v>
      </c>
      <c r="M132" s="58">
        <v>1024</v>
      </c>
      <c r="N132" s="58">
        <v>291</v>
      </c>
      <c r="O132" s="58">
        <v>37</v>
      </c>
      <c r="P132" s="58">
        <v>190</v>
      </c>
      <c r="Q132" s="58">
        <v>530</v>
      </c>
      <c r="R132" s="58">
        <v>54</v>
      </c>
      <c r="S132" s="58">
        <v>4170</v>
      </c>
    </row>
    <row r="133" spans="1:19" x14ac:dyDescent="0.5">
      <c r="A133" s="60">
        <v>2004</v>
      </c>
      <c r="B133" s="60" t="s">
        <v>60</v>
      </c>
      <c r="C133" s="60" t="s">
        <v>384</v>
      </c>
      <c r="D133" s="60">
        <v>5486</v>
      </c>
      <c r="E133" s="60">
        <v>992</v>
      </c>
      <c r="F133" s="60">
        <v>275</v>
      </c>
      <c r="G133" s="60">
        <v>32</v>
      </c>
      <c r="H133" s="60">
        <v>148</v>
      </c>
      <c r="I133" s="60">
        <v>499</v>
      </c>
      <c r="J133" s="60">
        <v>58</v>
      </c>
      <c r="K133" s="60">
        <v>3482</v>
      </c>
      <c r="L133" s="58">
        <v>6110</v>
      </c>
      <c r="M133" s="58">
        <v>913</v>
      </c>
      <c r="N133" s="58">
        <v>280</v>
      </c>
      <c r="O133" s="58">
        <v>36</v>
      </c>
      <c r="P133" s="58">
        <v>166</v>
      </c>
      <c r="Q133" s="58">
        <v>513</v>
      </c>
      <c r="R133" s="58">
        <v>51</v>
      </c>
      <c r="S133" s="58">
        <v>4151</v>
      </c>
    </row>
    <row r="134" spans="1:19" x14ac:dyDescent="0.5">
      <c r="A134" s="60">
        <v>2004</v>
      </c>
      <c r="B134" s="60" t="s">
        <v>62</v>
      </c>
      <c r="C134" s="60" t="s">
        <v>385</v>
      </c>
      <c r="D134" s="60">
        <v>5468</v>
      </c>
      <c r="E134" s="60">
        <v>941</v>
      </c>
      <c r="F134" s="60">
        <v>294</v>
      </c>
      <c r="G134" s="60">
        <v>36</v>
      </c>
      <c r="H134" s="60">
        <v>187</v>
      </c>
      <c r="I134" s="60">
        <v>590</v>
      </c>
      <c r="J134" s="60">
        <v>61</v>
      </c>
      <c r="K134" s="60">
        <v>3359</v>
      </c>
      <c r="L134" s="58">
        <v>6201</v>
      </c>
      <c r="M134" s="58">
        <v>924</v>
      </c>
      <c r="N134" s="58">
        <v>283</v>
      </c>
      <c r="O134" s="58">
        <v>35</v>
      </c>
      <c r="P134" s="58">
        <v>174</v>
      </c>
      <c r="Q134" s="58">
        <v>525</v>
      </c>
      <c r="R134" s="58">
        <v>68</v>
      </c>
      <c r="S134" s="58">
        <v>4192</v>
      </c>
    </row>
    <row r="135" spans="1:19" x14ac:dyDescent="0.5">
      <c r="A135" s="60">
        <v>2004</v>
      </c>
      <c r="B135" s="60" t="s">
        <v>64</v>
      </c>
      <c r="C135" s="60" t="s">
        <v>386</v>
      </c>
      <c r="D135" s="60">
        <v>5538</v>
      </c>
      <c r="E135" s="60">
        <v>992</v>
      </c>
      <c r="F135" s="60">
        <v>261</v>
      </c>
      <c r="G135" s="60">
        <v>29</v>
      </c>
      <c r="H135" s="60">
        <v>150</v>
      </c>
      <c r="I135" s="60">
        <v>461</v>
      </c>
      <c r="J135" s="60">
        <v>76</v>
      </c>
      <c r="K135" s="60">
        <v>3569</v>
      </c>
      <c r="L135" s="58">
        <v>6320</v>
      </c>
      <c r="M135" s="58">
        <v>1036</v>
      </c>
      <c r="N135" s="58">
        <v>361</v>
      </c>
      <c r="O135" s="58">
        <v>33</v>
      </c>
      <c r="P135" s="58">
        <v>208</v>
      </c>
      <c r="Q135" s="58">
        <v>518</v>
      </c>
      <c r="R135" s="58">
        <v>56</v>
      </c>
      <c r="S135" s="58">
        <v>4108</v>
      </c>
    </row>
    <row r="136" spans="1:19" x14ac:dyDescent="0.5">
      <c r="A136" s="60">
        <v>2004</v>
      </c>
      <c r="B136" s="60" t="s">
        <v>66</v>
      </c>
      <c r="C136" s="60" t="s">
        <v>387</v>
      </c>
      <c r="D136" s="60">
        <v>5542</v>
      </c>
      <c r="E136" s="60">
        <v>991</v>
      </c>
      <c r="F136" s="60">
        <v>226</v>
      </c>
      <c r="G136" s="60">
        <v>30</v>
      </c>
      <c r="H136" s="60">
        <v>203</v>
      </c>
      <c r="I136" s="60">
        <v>536</v>
      </c>
      <c r="J136" s="60">
        <v>62</v>
      </c>
      <c r="K136" s="60">
        <v>3494</v>
      </c>
      <c r="L136" s="58">
        <v>6155</v>
      </c>
      <c r="M136" s="58">
        <v>927</v>
      </c>
      <c r="N136" s="58">
        <v>255</v>
      </c>
      <c r="O136" s="58">
        <v>26</v>
      </c>
      <c r="P136" s="58">
        <v>178</v>
      </c>
      <c r="Q136" s="58">
        <v>521</v>
      </c>
      <c r="R136" s="58">
        <v>54</v>
      </c>
      <c r="S136" s="58">
        <v>4194</v>
      </c>
    </row>
    <row r="137" spans="1:19" x14ac:dyDescent="0.5">
      <c r="A137" s="60">
        <v>2004</v>
      </c>
      <c r="B137" s="60" t="s">
        <v>68</v>
      </c>
      <c r="C137" s="60" t="s">
        <v>388</v>
      </c>
      <c r="D137" s="60">
        <v>5483</v>
      </c>
      <c r="E137" s="60">
        <v>896</v>
      </c>
      <c r="F137" s="60">
        <v>295</v>
      </c>
      <c r="G137" s="60">
        <v>32</v>
      </c>
      <c r="H137" s="60">
        <v>135</v>
      </c>
      <c r="I137" s="60">
        <v>540</v>
      </c>
      <c r="J137" s="60">
        <v>68</v>
      </c>
      <c r="K137" s="60">
        <v>3517</v>
      </c>
      <c r="L137" s="58">
        <v>6204</v>
      </c>
      <c r="M137" s="58">
        <v>920</v>
      </c>
      <c r="N137" s="58">
        <v>325</v>
      </c>
      <c r="O137" s="58">
        <v>31</v>
      </c>
      <c r="P137" s="58">
        <v>164</v>
      </c>
      <c r="Q137" s="58">
        <v>476</v>
      </c>
      <c r="R137" s="58">
        <v>51</v>
      </c>
      <c r="S137" s="58">
        <v>4237</v>
      </c>
    </row>
    <row r="138" spans="1:19" x14ac:dyDescent="0.5">
      <c r="A138" s="60">
        <v>2004</v>
      </c>
      <c r="B138" s="60" t="s">
        <v>70</v>
      </c>
      <c r="C138" s="60" t="s">
        <v>389</v>
      </c>
      <c r="D138" s="60">
        <v>5623</v>
      </c>
      <c r="E138" s="60">
        <v>969</v>
      </c>
      <c r="F138" s="60">
        <v>310</v>
      </c>
      <c r="G138" s="60">
        <v>24</v>
      </c>
      <c r="H138" s="60">
        <v>191</v>
      </c>
      <c r="I138" s="60">
        <v>513</v>
      </c>
      <c r="J138" s="60">
        <v>64</v>
      </c>
      <c r="K138" s="60">
        <v>3552</v>
      </c>
      <c r="L138" s="58">
        <v>6269</v>
      </c>
      <c r="M138" s="58">
        <v>1086</v>
      </c>
      <c r="N138" s="58">
        <v>247</v>
      </c>
      <c r="O138" s="58">
        <v>23</v>
      </c>
      <c r="P138" s="58">
        <v>167</v>
      </c>
      <c r="Q138" s="58">
        <v>431</v>
      </c>
      <c r="R138" s="58">
        <v>54</v>
      </c>
      <c r="S138" s="58">
        <v>4261</v>
      </c>
    </row>
    <row r="139" spans="1:19" x14ac:dyDescent="0.5">
      <c r="A139" s="60">
        <v>2004</v>
      </c>
      <c r="B139" s="60" t="s">
        <v>72</v>
      </c>
      <c r="C139" s="60" t="s">
        <v>390</v>
      </c>
      <c r="D139" s="60">
        <v>5474</v>
      </c>
      <c r="E139" s="60">
        <v>907</v>
      </c>
      <c r="F139" s="60">
        <v>276</v>
      </c>
      <c r="G139" s="60">
        <v>27</v>
      </c>
      <c r="H139" s="60">
        <v>151</v>
      </c>
      <c r="I139" s="60">
        <v>496</v>
      </c>
      <c r="J139" s="60">
        <v>35</v>
      </c>
      <c r="K139" s="60">
        <v>3582</v>
      </c>
      <c r="L139" s="58">
        <v>6307</v>
      </c>
      <c r="M139" s="58">
        <v>973</v>
      </c>
      <c r="N139" s="58">
        <v>284</v>
      </c>
      <c r="O139" s="58">
        <v>29</v>
      </c>
      <c r="P139" s="58">
        <v>191</v>
      </c>
      <c r="Q139" s="58">
        <v>582</v>
      </c>
      <c r="R139" s="58">
        <v>79</v>
      </c>
      <c r="S139" s="58">
        <v>4169</v>
      </c>
    </row>
    <row r="140" spans="1:19" x14ac:dyDescent="0.5">
      <c r="A140" s="60">
        <v>2004</v>
      </c>
      <c r="B140" s="60" t="s">
        <v>76</v>
      </c>
      <c r="C140" s="60" t="s">
        <v>391</v>
      </c>
      <c r="D140" s="60">
        <v>5532</v>
      </c>
      <c r="E140" s="60">
        <v>882</v>
      </c>
      <c r="F140" s="60">
        <v>289</v>
      </c>
      <c r="G140" s="60">
        <v>20</v>
      </c>
      <c r="H140" s="60">
        <v>185</v>
      </c>
      <c r="I140" s="60">
        <v>512</v>
      </c>
      <c r="J140" s="60">
        <v>61</v>
      </c>
      <c r="K140" s="60">
        <v>3583</v>
      </c>
      <c r="L140" s="58">
        <v>6333</v>
      </c>
      <c r="M140" s="58">
        <v>984</v>
      </c>
      <c r="N140" s="58">
        <v>288</v>
      </c>
      <c r="O140" s="58">
        <v>24</v>
      </c>
      <c r="P140" s="58">
        <v>156</v>
      </c>
      <c r="Q140" s="58">
        <v>592</v>
      </c>
      <c r="R140" s="58">
        <v>49</v>
      </c>
      <c r="S140" s="58">
        <v>4240</v>
      </c>
    </row>
    <row r="141" spans="1:19" x14ac:dyDescent="0.5">
      <c r="A141" s="60">
        <v>2004</v>
      </c>
      <c r="B141" s="60" t="s">
        <v>74</v>
      </c>
      <c r="C141" s="60" t="s">
        <v>392</v>
      </c>
      <c r="D141" s="60">
        <v>5527</v>
      </c>
      <c r="E141" s="60">
        <v>940</v>
      </c>
      <c r="F141" s="60">
        <v>281</v>
      </c>
      <c r="G141" s="60">
        <v>20</v>
      </c>
      <c r="H141" s="60">
        <v>242</v>
      </c>
      <c r="I141" s="60">
        <v>670</v>
      </c>
      <c r="J141" s="60">
        <v>80</v>
      </c>
      <c r="K141" s="60">
        <v>3294</v>
      </c>
      <c r="L141" s="58">
        <v>6240</v>
      </c>
      <c r="M141" s="58">
        <v>1018</v>
      </c>
      <c r="N141" s="58">
        <v>304</v>
      </c>
      <c r="O141" s="58">
        <v>28</v>
      </c>
      <c r="P141" s="58">
        <v>182</v>
      </c>
      <c r="Q141" s="58">
        <v>445</v>
      </c>
      <c r="R141" s="58">
        <v>60</v>
      </c>
      <c r="S141" s="58">
        <v>4203</v>
      </c>
    </row>
    <row r="142" spans="1:19" x14ac:dyDescent="0.5">
      <c r="A142" s="60">
        <v>2004</v>
      </c>
      <c r="B142" s="60" t="s">
        <v>78</v>
      </c>
      <c r="C142" s="60" t="s">
        <v>393</v>
      </c>
      <c r="D142" s="60">
        <v>5728</v>
      </c>
      <c r="E142" s="60">
        <v>1005</v>
      </c>
      <c r="F142" s="60">
        <v>336</v>
      </c>
      <c r="G142" s="60">
        <v>15</v>
      </c>
      <c r="H142" s="60">
        <v>189</v>
      </c>
      <c r="I142" s="60">
        <v>608</v>
      </c>
      <c r="J142" s="60">
        <v>55</v>
      </c>
      <c r="K142" s="60">
        <v>3520</v>
      </c>
      <c r="L142" s="58">
        <v>6313</v>
      </c>
      <c r="M142" s="58">
        <v>989</v>
      </c>
      <c r="N142" s="58">
        <v>291</v>
      </c>
      <c r="O142" s="58">
        <v>22</v>
      </c>
      <c r="P142" s="58">
        <v>164</v>
      </c>
      <c r="Q142" s="58">
        <v>544</v>
      </c>
      <c r="R142" s="58">
        <v>68</v>
      </c>
      <c r="S142" s="58">
        <v>4235</v>
      </c>
    </row>
    <row r="143" spans="1:19" x14ac:dyDescent="0.5">
      <c r="A143" s="60">
        <v>2004</v>
      </c>
      <c r="B143" s="60" t="s">
        <v>80</v>
      </c>
      <c r="C143" s="60" t="s">
        <v>394</v>
      </c>
      <c r="D143" s="60">
        <v>5643</v>
      </c>
      <c r="E143" s="60">
        <v>964</v>
      </c>
      <c r="F143" s="60">
        <v>303</v>
      </c>
      <c r="G143" s="60">
        <v>23</v>
      </c>
      <c r="H143" s="60">
        <v>215</v>
      </c>
      <c r="I143" s="60">
        <v>645</v>
      </c>
      <c r="J143" s="60">
        <v>58</v>
      </c>
      <c r="K143" s="60">
        <v>3435</v>
      </c>
      <c r="L143" s="58">
        <v>6308</v>
      </c>
      <c r="M143" s="58">
        <v>920</v>
      </c>
      <c r="N143" s="58">
        <v>318</v>
      </c>
      <c r="O143" s="58">
        <v>36</v>
      </c>
      <c r="P143" s="58">
        <v>214</v>
      </c>
      <c r="Q143" s="58">
        <v>502</v>
      </c>
      <c r="R143" s="58">
        <v>66</v>
      </c>
      <c r="S143" s="58">
        <v>4252</v>
      </c>
    </row>
    <row r="144" spans="1:19" x14ac:dyDescent="0.5">
      <c r="A144" s="60">
        <v>2004</v>
      </c>
      <c r="B144" s="60" t="s">
        <v>82</v>
      </c>
      <c r="C144" s="60" t="s">
        <v>395</v>
      </c>
      <c r="D144" s="60">
        <v>5483</v>
      </c>
      <c r="E144" s="60">
        <v>980</v>
      </c>
      <c r="F144" s="60">
        <v>267</v>
      </c>
      <c r="G144" s="60">
        <v>39</v>
      </c>
      <c r="H144" s="60">
        <v>142</v>
      </c>
      <c r="I144" s="60">
        <v>415</v>
      </c>
      <c r="J144" s="60">
        <v>95</v>
      </c>
      <c r="K144" s="60">
        <v>3545</v>
      </c>
      <c r="L144" s="58">
        <v>6197</v>
      </c>
      <c r="M144" s="58">
        <v>973</v>
      </c>
      <c r="N144" s="58">
        <v>295</v>
      </c>
      <c r="O144" s="58">
        <v>34</v>
      </c>
      <c r="P144" s="58">
        <v>149</v>
      </c>
      <c r="Q144" s="58">
        <v>576</v>
      </c>
      <c r="R144" s="58">
        <v>63</v>
      </c>
      <c r="S144" s="58">
        <v>4107</v>
      </c>
    </row>
    <row r="145" spans="1:19" x14ac:dyDescent="0.5">
      <c r="A145" s="60">
        <v>2004</v>
      </c>
      <c r="B145" s="60" t="s">
        <v>84</v>
      </c>
      <c r="C145" s="60" t="s">
        <v>396</v>
      </c>
      <c r="D145" s="60">
        <v>5573</v>
      </c>
      <c r="E145" s="60">
        <v>1046</v>
      </c>
      <c r="F145" s="60">
        <v>304</v>
      </c>
      <c r="G145" s="60">
        <v>32</v>
      </c>
      <c r="H145" s="60">
        <v>139</v>
      </c>
      <c r="I145" s="60">
        <v>566</v>
      </c>
      <c r="J145" s="60">
        <v>56</v>
      </c>
      <c r="K145" s="60">
        <v>3430</v>
      </c>
      <c r="L145" s="58">
        <v>6135</v>
      </c>
      <c r="M145" s="58">
        <v>932</v>
      </c>
      <c r="N145" s="58">
        <v>308</v>
      </c>
      <c r="O145" s="58">
        <v>36</v>
      </c>
      <c r="P145" s="58">
        <v>184</v>
      </c>
      <c r="Q145" s="58">
        <v>422</v>
      </c>
      <c r="R145" s="58">
        <v>48</v>
      </c>
      <c r="S145" s="58">
        <v>4205</v>
      </c>
    </row>
    <row r="146" spans="1:19" x14ac:dyDescent="0.5">
      <c r="A146" s="60">
        <v>2004</v>
      </c>
      <c r="B146" s="60" t="s">
        <v>86</v>
      </c>
      <c r="C146" s="60" t="s">
        <v>397</v>
      </c>
      <c r="D146" s="60">
        <v>5722</v>
      </c>
      <c r="E146" s="60">
        <v>1112</v>
      </c>
      <c r="F146" s="60">
        <v>276</v>
      </c>
      <c r="G146" s="60">
        <v>20</v>
      </c>
      <c r="H146" s="60">
        <v>136</v>
      </c>
      <c r="I146" s="60">
        <v>492</v>
      </c>
      <c r="J146" s="60">
        <v>54</v>
      </c>
      <c r="K146" s="60">
        <v>3632</v>
      </c>
      <c r="L146" s="58">
        <v>6389</v>
      </c>
      <c r="M146" s="58">
        <v>949</v>
      </c>
      <c r="N146" s="58">
        <v>317</v>
      </c>
      <c r="O146" s="58">
        <v>20</v>
      </c>
      <c r="P146" s="58">
        <v>212</v>
      </c>
      <c r="Q146" s="58">
        <v>575</v>
      </c>
      <c r="R146" s="58">
        <v>72</v>
      </c>
      <c r="S146" s="58">
        <v>4244</v>
      </c>
    </row>
    <row r="147" spans="1:19" x14ac:dyDescent="0.5">
      <c r="A147" s="60">
        <v>2004</v>
      </c>
      <c r="B147" s="60" t="s">
        <v>88</v>
      </c>
      <c r="C147" s="60" t="s">
        <v>398</v>
      </c>
      <c r="D147" s="60">
        <v>5546</v>
      </c>
      <c r="E147" s="60">
        <v>970</v>
      </c>
      <c r="F147" s="60">
        <v>314</v>
      </c>
      <c r="G147" s="60">
        <v>33</v>
      </c>
      <c r="H147" s="60">
        <v>183</v>
      </c>
      <c r="I147" s="60">
        <v>705</v>
      </c>
      <c r="J147" s="60">
        <v>72</v>
      </c>
      <c r="K147" s="60">
        <v>3269</v>
      </c>
      <c r="L147" s="58">
        <v>6321</v>
      </c>
      <c r="M147" s="58">
        <v>963</v>
      </c>
      <c r="N147" s="58">
        <v>310</v>
      </c>
      <c r="O147" s="58">
        <v>47</v>
      </c>
      <c r="P147" s="58">
        <v>161</v>
      </c>
      <c r="Q147" s="58">
        <v>548</v>
      </c>
      <c r="R147" s="58">
        <v>47</v>
      </c>
      <c r="S147" s="58">
        <v>4245</v>
      </c>
    </row>
    <row r="148" spans="1:19" x14ac:dyDescent="0.5">
      <c r="A148" s="60">
        <v>2004</v>
      </c>
      <c r="B148" s="60" t="s">
        <v>90</v>
      </c>
      <c r="C148" s="60" t="s">
        <v>399</v>
      </c>
      <c r="D148" s="60">
        <v>5555</v>
      </c>
      <c r="E148" s="60">
        <v>987</v>
      </c>
      <c r="F148" s="60">
        <v>319</v>
      </c>
      <c r="G148" s="60">
        <v>24</v>
      </c>
      <c r="H148" s="60">
        <v>214</v>
      </c>
      <c r="I148" s="60">
        <v>548</v>
      </c>
      <c r="J148" s="60">
        <v>51</v>
      </c>
      <c r="K148" s="60">
        <v>3412</v>
      </c>
      <c r="L148" s="58">
        <v>6104</v>
      </c>
      <c r="M148" s="58">
        <v>905</v>
      </c>
      <c r="N148" s="58">
        <v>285</v>
      </c>
      <c r="O148" s="58">
        <v>19</v>
      </c>
      <c r="P148" s="58">
        <v>169</v>
      </c>
      <c r="Q148" s="58">
        <v>440</v>
      </c>
      <c r="R148" s="58">
        <v>67</v>
      </c>
      <c r="S148" s="58">
        <v>4219</v>
      </c>
    </row>
    <row r="149" spans="1:19" x14ac:dyDescent="0.5">
      <c r="A149" s="60">
        <v>2004</v>
      </c>
      <c r="B149" s="60" t="s">
        <v>92</v>
      </c>
      <c r="C149" s="60" t="s">
        <v>400</v>
      </c>
      <c r="D149" s="60">
        <v>5483</v>
      </c>
      <c r="E149" s="60">
        <v>947</v>
      </c>
      <c r="F149" s="60">
        <v>278</v>
      </c>
      <c r="G149" s="60">
        <v>46</v>
      </c>
      <c r="H149" s="60">
        <v>145</v>
      </c>
      <c r="I149" s="60">
        <v>469</v>
      </c>
      <c r="J149" s="60">
        <v>55</v>
      </c>
      <c r="K149" s="60">
        <v>3543</v>
      </c>
      <c r="L149" s="58">
        <v>6261</v>
      </c>
      <c r="M149" s="58">
        <v>916</v>
      </c>
      <c r="N149" s="58">
        <v>324</v>
      </c>
      <c r="O149" s="58">
        <v>27</v>
      </c>
      <c r="P149" s="58">
        <v>192</v>
      </c>
      <c r="Q149" s="58">
        <v>580</v>
      </c>
      <c r="R149" s="58">
        <v>93</v>
      </c>
      <c r="S149" s="58">
        <v>4129</v>
      </c>
    </row>
    <row r="150" spans="1:19" x14ac:dyDescent="0.5">
      <c r="A150" s="60">
        <v>2004</v>
      </c>
      <c r="B150" s="60" t="s">
        <v>94</v>
      </c>
      <c r="C150" s="60" t="s">
        <v>401</v>
      </c>
      <c r="D150" s="60">
        <v>5615</v>
      </c>
      <c r="E150" s="60">
        <v>908</v>
      </c>
      <c r="F150" s="60">
        <v>323</v>
      </c>
      <c r="G150" s="60">
        <v>34</v>
      </c>
      <c r="H150" s="60">
        <v>227</v>
      </c>
      <c r="I150" s="60">
        <v>500</v>
      </c>
      <c r="J150" s="60">
        <v>61</v>
      </c>
      <c r="K150" s="60">
        <v>3562</v>
      </c>
      <c r="L150" s="58">
        <v>6345</v>
      </c>
      <c r="M150" s="58">
        <v>1040</v>
      </c>
      <c r="N150" s="58">
        <v>284</v>
      </c>
      <c r="O150" s="58">
        <v>30</v>
      </c>
      <c r="P150" s="58">
        <v>182</v>
      </c>
      <c r="Q150" s="58">
        <v>547</v>
      </c>
      <c r="R150" s="58">
        <v>81</v>
      </c>
      <c r="S150" s="58">
        <v>4181</v>
      </c>
    </row>
    <row r="151" spans="1:19" x14ac:dyDescent="0.5">
      <c r="A151" s="60">
        <v>2004</v>
      </c>
      <c r="B151" s="60" t="s">
        <v>96</v>
      </c>
      <c r="C151" s="60" t="s">
        <v>402</v>
      </c>
      <c r="D151" s="60">
        <v>5531</v>
      </c>
      <c r="E151" s="60">
        <v>969</v>
      </c>
      <c r="F151" s="60">
        <v>290</v>
      </c>
      <c r="G151" s="60">
        <v>34</v>
      </c>
      <c r="H151" s="60">
        <v>145</v>
      </c>
      <c r="I151" s="60">
        <v>513</v>
      </c>
      <c r="J151" s="60">
        <v>71</v>
      </c>
      <c r="K151" s="60">
        <v>3509</v>
      </c>
      <c r="L151" s="58">
        <v>6281</v>
      </c>
      <c r="M151" s="58">
        <v>1003</v>
      </c>
      <c r="N151" s="58">
        <v>293</v>
      </c>
      <c r="O151" s="58">
        <v>28</v>
      </c>
      <c r="P151" s="58">
        <v>181</v>
      </c>
      <c r="Q151" s="58">
        <v>608</v>
      </c>
      <c r="R151" s="58">
        <v>58</v>
      </c>
      <c r="S151" s="58">
        <v>4110</v>
      </c>
    </row>
    <row r="152" spans="1:19" x14ac:dyDescent="0.5">
      <c r="A152" s="60">
        <v>2005</v>
      </c>
      <c r="B152" s="60" t="s">
        <v>36</v>
      </c>
      <c r="C152" s="60" t="s">
        <v>403</v>
      </c>
      <c r="D152" s="60">
        <v>5624</v>
      </c>
      <c r="E152" s="60">
        <v>1065</v>
      </c>
      <c r="F152" s="60">
        <v>278</v>
      </c>
      <c r="G152" s="60">
        <v>30</v>
      </c>
      <c r="H152" s="60">
        <v>147</v>
      </c>
      <c r="I152" s="60">
        <v>447</v>
      </c>
      <c r="J152" s="60">
        <v>29</v>
      </c>
      <c r="K152" s="60">
        <v>3628</v>
      </c>
      <c r="L152" s="58">
        <v>6158</v>
      </c>
      <c r="M152" s="58">
        <v>945</v>
      </c>
      <c r="N152" s="58">
        <v>285</v>
      </c>
      <c r="O152" s="58">
        <v>31</v>
      </c>
      <c r="P152" s="58">
        <v>158</v>
      </c>
      <c r="Q152" s="58">
        <v>443</v>
      </c>
      <c r="R152" s="58">
        <v>48</v>
      </c>
      <c r="S152" s="58">
        <v>4248</v>
      </c>
    </row>
    <row r="153" spans="1:19" x14ac:dyDescent="0.5">
      <c r="A153" s="60">
        <v>2005</v>
      </c>
      <c r="B153" s="60" t="s">
        <v>39</v>
      </c>
      <c r="C153" s="60" t="s">
        <v>404</v>
      </c>
      <c r="D153" s="60">
        <v>5550</v>
      </c>
      <c r="E153" s="60">
        <v>910</v>
      </c>
      <c r="F153" s="60">
        <v>291</v>
      </c>
      <c r="G153" s="60">
        <v>27</v>
      </c>
      <c r="H153" s="60">
        <v>191</v>
      </c>
      <c r="I153" s="60">
        <v>606</v>
      </c>
      <c r="J153" s="60">
        <v>55</v>
      </c>
      <c r="K153" s="60">
        <v>3470</v>
      </c>
      <c r="L153" s="58">
        <v>6402</v>
      </c>
      <c r="M153" s="58">
        <v>1005</v>
      </c>
      <c r="N153" s="58">
        <v>341</v>
      </c>
      <c r="O153" s="58">
        <v>41</v>
      </c>
      <c r="P153" s="58">
        <v>193</v>
      </c>
      <c r="Q153" s="58">
        <v>537</v>
      </c>
      <c r="R153" s="58">
        <v>62</v>
      </c>
      <c r="S153" s="58">
        <v>4223</v>
      </c>
    </row>
    <row r="154" spans="1:19" x14ac:dyDescent="0.5">
      <c r="A154" s="60">
        <v>2005</v>
      </c>
      <c r="B154" s="60" t="s">
        <v>41</v>
      </c>
      <c r="C154" s="60" t="s">
        <v>405</v>
      </c>
      <c r="D154" s="60">
        <v>5486</v>
      </c>
      <c r="E154" s="60">
        <v>924</v>
      </c>
      <c r="F154" s="60">
        <v>308</v>
      </c>
      <c r="G154" s="60">
        <v>37</v>
      </c>
      <c r="H154" s="60">
        <v>184</v>
      </c>
      <c r="I154" s="60">
        <v>534</v>
      </c>
      <c r="J154" s="60">
        <v>45</v>
      </c>
      <c r="K154" s="60">
        <v>3454</v>
      </c>
      <c r="L154" s="58">
        <v>6186</v>
      </c>
      <c r="M154" s="58">
        <v>1035</v>
      </c>
      <c r="N154" s="58">
        <v>285</v>
      </c>
      <c r="O154" s="58">
        <v>22</v>
      </c>
      <c r="P154" s="58">
        <v>145</v>
      </c>
      <c r="Q154" s="58">
        <v>520</v>
      </c>
      <c r="R154" s="58">
        <v>32</v>
      </c>
      <c r="S154" s="58">
        <v>4147</v>
      </c>
    </row>
    <row r="155" spans="1:19" x14ac:dyDescent="0.5">
      <c r="A155" s="60">
        <v>2005</v>
      </c>
      <c r="B155" s="60" t="s">
        <v>44</v>
      </c>
      <c r="C155" s="60" t="s">
        <v>406</v>
      </c>
      <c r="D155" s="60">
        <v>5551</v>
      </c>
      <c r="E155" s="60">
        <v>980</v>
      </c>
      <c r="F155" s="60">
        <v>296</v>
      </c>
      <c r="G155" s="60">
        <v>27</v>
      </c>
      <c r="H155" s="60">
        <v>189</v>
      </c>
      <c r="I155" s="60">
        <v>447</v>
      </c>
      <c r="J155" s="60">
        <v>54</v>
      </c>
      <c r="K155" s="60">
        <v>3558</v>
      </c>
      <c r="L155" s="58">
        <v>6242</v>
      </c>
      <c r="M155" s="58">
        <v>996</v>
      </c>
      <c r="N155" s="58">
        <v>260</v>
      </c>
      <c r="O155" s="58">
        <v>22</v>
      </c>
      <c r="P155" s="58">
        <v>180</v>
      </c>
      <c r="Q155" s="58">
        <v>580</v>
      </c>
      <c r="R155" s="58">
        <v>52</v>
      </c>
      <c r="S155" s="58">
        <v>4152</v>
      </c>
    </row>
    <row r="156" spans="1:19" x14ac:dyDescent="0.5">
      <c r="A156" s="60">
        <v>2005</v>
      </c>
      <c r="B156" s="60" t="s">
        <v>46</v>
      </c>
      <c r="C156" s="60" t="s">
        <v>407</v>
      </c>
      <c r="D156" s="60">
        <v>5626</v>
      </c>
      <c r="E156" s="60">
        <v>1020</v>
      </c>
      <c r="F156" s="60">
        <v>339</v>
      </c>
      <c r="G156" s="60">
        <v>21</v>
      </c>
      <c r="H156" s="60">
        <v>199</v>
      </c>
      <c r="I156" s="60">
        <v>653</v>
      </c>
      <c r="J156" s="60">
        <v>47</v>
      </c>
      <c r="K156" s="60">
        <v>3347</v>
      </c>
      <c r="L156" s="58">
        <v>6227</v>
      </c>
      <c r="M156" s="58">
        <v>991</v>
      </c>
      <c r="N156" s="58">
        <v>354</v>
      </c>
      <c r="O156" s="58">
        <v>41</v>
      </c>
      <c r="P156" s="58">
        <v>164</v>
      </c>
      <c r="Q156" s="58">
        <v>440</v>
      </c>
      <c r="R156" s="58">
        <v>89</v>
      </c>
      <c r="S156" s="58">
        <v>4148</v>
      </c>
    </row>
    <row r="157" spans="1:19" x14ac:dyDescent="0.5">
      <c r="A157" s="60">
        <v>2005</v>
      </c>
      <c r="B157" s="60" t="s">
        <v>50</v>
      </c>
      <c r="C157" s="60" t="s">
        <v>408</v>
      </c>
      <c r="D157" s="60">
        <v>5584</v>
      </c>
      <c r="E157" s="60">
        <v>966</v>
      </c>
      <c r="F157" s="60">
        <v>323</v>
      </c>
      <c r="G157" s="60">
        <v>23</v>
      </c>
      <c r="H157" s="60">
        <v>194</v>
      </c>
      <c r="I157" s="60">
        <v>419</v>
      </c>
      <c r="J157" s="60">
        <v>50</v>
      </c>
      <c r="K157" s="60">
        <v>3609</v>
      </c>
      <c r="L157" s="58">
        <v>6185</v>
      </c>
      <c r="M157" s="58">
        <v>894</v>
      </c>
      <c r="N157" s="58">
        <v>258</v>
      </c>
      <c r="O157" s="58">
        <v>19</v>
      </c>
      <c r="P157" s="58">
        <v>186</v>
      </c>
      <c r="Q157" s="58">
        <v>576</v>
      </c>
      <c r="R157" s="58">
        <v>50</v>
      </c>
      <c r="S157" s="58">
        <v>4202</v>
      </c>
    </row>
    <row r="158" spans="1:19" x14ac:dyDescent="0.5">
      <c r="A158" s="60">
        <v>2005</v>
      </c>
      <c r="B158" s="60" t="s">
        <v>48</v>
      </c>
      <c r="C158" s="60" t="s">
        <v>409</v>
      </c>
      <c r="D158" s="60">
        <v>5529</v>
      </c>
      <c r="E158" s="60">
        <v>974</v>
      </c>
      <c r="F158" s="60">
        <v>253</v>
      </c>
      <c r="G158" s="60">
        <v>23</v>
      </c>
      <c r="H158" s="60">
        <v>200</v>
      </c>
      <c r="I158" s="60">
        <v>435</v>
      </c>
      <c r="J158" s="60">
        <v>79</v>
      </c>
      <c r="K158" s="60">
        <v>3565</v>
      </c>
      <c r="L158" s="58">
        <v>6176</v>
      </c>
      <c r="M158" s="58">
        <v>924</v>
      </c>
      <c r="N158" s="58">
        <v>278</v>
      </c>
      <c r="O158" s="58">
        <v>23</v>
      </c>
      <c r="P158" s="58">
        <v>167</v>
      </c>
      <c r="Q158" s="58">
        <v>459</v>
      </c>
      <c r="R158" s="58">
        <v>52</v>
      </c>
      <c r="S158" s="58">
        <v>4273</v>
      </c>
    </row>
    <row r="159" spans="1:19" x14ac:dyDescent="0.5">
      <c r="A159" s="60">
        <v>2005</v>
      </c>
      <c r="B159" s="60" t="s">
        <v>52</v>
      </c>
      <c r="C159" s="60" t="s">
        <v>410</v>
      </c>
      <c r="D159" s="60">
        <v>5565</v>
      </c>
      <c r="E159" s="60">
        <v>881</v>
      </c>
      <c r="F159" s="60">
        <v>335</v>
      </c>
      <c r="G159" s="60">
        <v>15</v>
      </c>
      <c r="H159" s="60">
        <v>222</v>
      </c>
      <c r="I159" s="60">
        <v>611</v>
      </c>
      <c r="J159" s="60">
        <v>62</v>
      </c>
      <c r="K159" s="60">
        <v>3439</v>
      </c>
      <c r="L159" s="58">
        <v>6397</v>
      </c>
      <c r="M159" s="58">
        <v>1033</v>
      </c>
      <c r="N159" s="58">
        <v>366</v>
      </c>
      <c r="O159" s="58">
        <v>39</v>
      </c>
      <c r="P159" s="58">
        <v>219</v>
      </c>
      <c r="Q159" s="58">
        <v>492</v>
      </c>
      <c r="R159" s="58">
        <v>80</v>
      </c>
      <c r="S159" s="58">
        <v>4168</v>
      </c>
    </row>
    <row r="160" spans="1:19" x14ac:dyDescent="0.5">
      <c r="A160" s="60">
        <v>2005</v>
      </c>
      <c r="B160" s="60" t="s">
        <v>54</v>
      </c>
      <c r="C160" s="60" t="s">
        <v>411</v>
      </c>
      <c r="D160" s="60">
        <v>5609</v>
      </c>
      <c r="E160" s="60">
        <v>948</v>
      </c>
      <c r="F160" s="60">
        <v>337</v>
      </c>
      <c r="G160" s="60">
        <v>30</v>
      </c>
      <c r="H160" s="60">
        <v>207</v>
      </c>
      <c r="I160" s="60">
        <v>503</v>
      </c>
      <c r="J160" s="60">
        <v>54</v>
      </c>
      <c r="K160" s="60">
        <v>3530</v>
      </c>
      <c r="L160" s="58">
        <v>6048</v>
      </c>
      <c r="M160" s="58">
        <v>922</v>
      </c>
      <c r="N160" s="58">
        <v>269</v>
      </c>
      <c r="O160" s="58">
        <v>15</v>
      </c>
      <c r="P160" s="58">
        <v>157</v>
      </c>
      <c r="Q160" s="58">
        <v>413</v>
      </c>
      <c r="R160" s="58">
        <v>41</v>
      </c>
      <c r="S160" s="58">
        <v>4231</v>
      </c>
    </row>
    <row r="161" spans="1:19" x14ac:dyDescent="0.5">
      <c r="A161" s="60">
        <v>2005</v>
      </c>
      <c r="B161" s="60" t="s">
        <v>56</v>
      </c>
      <c r="C161" s="60" t="s">
        <v>412</v>
      </c>
      <c r="D161" s="60">
        <v>5542</v>
      </c>
      <c r="E161" s="60">
        <v>1013</v>
      </c>
      <c r="F161" s="60">
        <v>280</v>
      </c>
      <c r="G161" s="60">
        <v>34</v>
      </c>
      <c r="H161" s="60">
        <v>150</v>
      </c>
      <c r="I161" s="60">
        <v>509</v>
      </c>
      <c r="J161" s="60">
        <v>64</v>
      </c>
      <c r="K161" s="60">
        <v>3492</v>
      </c>
      <c r="L161" s="58">
        <v>6385</v>
      </c>
      <c r="M161" s="58">
        <v>1036</v>
      </c>
      <c r="N161" s="58">
        <v>357</v>
      </c>
      <c r="O161" s="58">
        <v>32</v>
      </c>
      <c r="P161" s="58">
        <v>175</v>
      </c>
      <c r="Q161" s="58">
        <v>604</v>
      </c>
      <c r="R161" s="58">
        <v>84</v>
      </c>
      <c r="S161" s="58">
        <v>4097</v>
      </c>
    </row>
    <row r="162" spans="1:19" x14ac:dyDescent="0.5">
      <c r="A162" s="60">
        <v>2005</v>
      </c>
      <c r="B162" s="60" t="s">
        <v>58</v>
      </c>
      <c r="C162" s="60" t="s">
        <v>413</v>
      </c>
      <c r="D162" s="60">
        <v>5602</v>
      </c>
      <c r="E162" s="60">
        <v>1025</v>
      </c>
      <c r="F162" s="60">
        <v>283</v>
      </c>
      <c r="G162" s="60">
        <v>45</v>
      </c>
      <c r="H162" s="60">
        <v>168</v>
      </c>
      <c r="I162" s="60">
        <v>384</v>
      </c>
      <c r="J162" s="60">
        <v>53</v>
      </c>
      <c r="K162" s="60">
        <v>3644</v>
      </c>
      <c r="L162" s="58">
        <v>6139</v>
      </c>
      <c r="M162" s="58">
        <v>1018</v>
      </c>
      <c r="N162" s="58">
        <v>258</v>
      </c>
      <c r="O162" s="58">
        <v>35</v>
      </c>
      <c r="P162" s="58">
        <v>193</v>
      </c>
      <c r="Q162" s="58">
        <v>461</v>
      </c>
      <c r="R162" s="58">
        <v>51</v>
      </c>
      <c r="S162" s="58">
        <v>4123</v>
      </c>
    </row>
    <row r="163" spans="1:19" x14ac:dyDescent="0.5">
      <c r="A163" s="60">
        <v>2005</v>
      </c>
      <c r="B163" s="60" t="s">
        <v>60</v>
      </c>
      <c r="C163" s="60" t="s">
        <v>414</v>
      </c>
      <c r="D163" s="60">
        <v>5502</v>
      </c>
      <c r="E163" s="60">
        <v>1033</v>
      </c>
      <c r="F163" s="60">
        <v>306</v>
      </c>
      <c r="G163" s="60">
        <v>32</v>
      </c>
      <c r="H163" s="60">
        <v>128</v>
      </c>
      <c r="I163" s="60">
        <v>512</v>
      </c>
      <c r="J163" s="60">
        <v>67</v>
      </c>
      <c r="K163" s="60">
        <v>3424</v>
      </c>
      <c r="L163" s="58">
        <v>6236</v>
      </c>
      <c r="M163" s="58">
        <v>991</v>
      </c>
      <c r="N163" s="58">
        <v>306</v>
      </c>
      <c r="O163" s="58">
        <v>46</v>
      </c>
      <c r="P163" s="58">
        <v>116</v>
      </c>
      <c r="Q163" s="58">
        <v>563</v>
      </c>
      <c r="R163" s="58">
        <v>65</v>
      </c>
      <c r="S163" s="58">
        <v>4149</v>
      </c>
    </row>
    <row r="164" spans="1:19" x14ac:dyDescent="0.5">
      <c r="A164" s="60">
        <v>2005</v>
      </c>
      <c r="B164" s="60" t="s">
        <v>62</v>
      </c>
      <c r="C164" s="60" t="s">
        <v>415</v>
      </c>
      <c r="D164" s="60">
        <v>5462</v>
      </c>
      <c r="E164" s="60">
        <v>926</v>
      </c>
      <c r="F164" s="60">
        <v>281</v>
      </c>
      <c r="G164" s="60">
        <v>32</v>
      </c>
      <c r="H164" s="60">
        <v>161</v>
      </c>
      <c r="I164" s="60">
        <v>481</v>
      </c>
      <c r="J164" s="60">
        <v>72</v>
      </c>
      <c r="K164" s="60">
        <v>3509</v>
      </c>
      <c r="L164" s="58">
        <v>6023</v>
      </c>
      <c r="M164" s="58">
        <v>895</v>
      </c>
      <c r="N164" s="58">
        <v>259</v>
      </c>
      <c r="O164" s="58">
        <v>27</v>
      </c>
      <c r="P164" s="58">
        <v>155</v>
      </c>
      <c r="Q164" s="58">
        <v>440</v>
      </c>
      <c r="R164" s="58">
        <v>59</v>
      </c>
      <c r="S164" s="58">
        <v>4188</v>
      </c>
    </row>
    <row r="165" spans="1:19" x14ac:dyDescent="0.5">
      <c r="A165" s="60">
        <v>2005</v>
      </c>
      <c r="B165" s="60" t="s">
        <v>64</v>
      </c>
      <c r="C165" s="60" t="s">
        <v>416</v>
      </c>
      <c r="D165" s="60">
        <v>5503</v>
      </c>
      <c r="E165" s="60">
        <v>996</v>
      </c>
      <c r="F165" s="60">
        <v>289</v>
      </c>
      <c r="G165" s="60">
        <v>34</v>
      </c>
      <c r="H165" s="60">
        <v>126</v>
      </c>
      <c r="I165" s="60">
        <v>424</v>
      </c>
      <c r="J165" s="60">
        <v>63</v>
      </c>
      <c r="K165" s="60">
        <v>3571</v>
      </c>
      <c r="L165" s="58">
        <v>6370</v>
      </c>
      <c r="M165" s="58">
        <v>1073</v>
      </c>
      <c r="N165" s="58">
        <v>347</v>
      </c>
      <c r="O165" s="58">
        <v>42</v>
      </c>
      <c r="P165" s="58">
        <v>178</v>
      </c>
      <c r="Q165" s="58">
        <v>580</v>
      </c>
      <c r="R165" s="58">
        <v>74</v>
      </c>
      <c r="S165" s="58">
        <v>4076</v>
      </c>
    </row>
    <row r="166" spans="1:19" x14ac:dyDescent="0.5">
      <c r="A166" s="60">
        <v>2005</v>
      </c>
      <c r="B166" s="60" t="s">
        <v>66</v>
      </c>
      <c r="C166" s="60" t="s">
        <v>417</v>
      </c>
      <c r="D166" s="60">
        <v>5433</v>
      </c>
      <c r="E166" s="60">
        <v>920</v>
      </c>
      <c r="F166" s="60">
        <v>284</v>
      </c>
      <c r="G166" s="60">
        <v>21</v>
      </c>
      <c r="H166" s="60">
        <v>149</v>
      </c>
      <c r="I166" s="60">
        <v>541</v>
      </c>
      <c r="J166" s="60">
        <v>67</v>
      </c>
      <c r="K166" s="60">
        <v>3451</v>
      </c>
      <c r="L166" s="58">
        <v>6113</v>
      </c>
      <c r="M166" s="58">
        <v>928</v>
      </c>
      <c r="N166" s="58">
        <v>291</v>
      </c>
      <c r="O166" s="58">
        <v>33</v>
      </c>
      <c r="P166" s="58">
        <v>182</v>
      </c>
      <c r="Q166" s="58">
        <v>471</v>
      </c>
      <c r="R166" s="58">
        <v>64</v>
      </c>
      <c r="S166" s="58">
        <v>4144</v>
      </c>
    </row>
    <row r="167" spans="1:19" x14ac:dyDescent="0.5">
      <c r="A167" s="60">
        <v>2005</v>
      </c>
      <c r="B167" s="60" t="s">
        <v>68</v>
      </c>
      <c r="C167" s="60" t="s">
        <v>418</v>
      </c>
      <c r="D167" s="60">
        <v>5448</v>
      </c>
      <c r="E167" s="60">
        <v>892</v>
      </c>
      <c r="F167" s="60">
        <v>327</v>
      </c>
      <c r="G167" s="60">
        <v>19</v>
      </c>
      <c r="H167" s="60">
        <v>175</v>
      </c>
      <c r="I167" s="60">
        <v>531</v>
      </c>
      <c r="J167" s="60">
        <v>73</v>
      </c>
      <c r="K167" s="60">
        <v>3431</v>
      </c>
      <c r="L167" s="58">
        <v>6208</v>
      </c>
      <c r="M167" s="58">
        <v>883</v>
      </c>
      <c r="N167" s="58">
        <v>300</v>
      </c>
      <c r="O167" s="58">
        <v>30</v>
      </c>
      <c r="P167" s="58">
        <v>169</v>
      </c>
      <c r="Q167" s="58">
        <v>569</v>
      </c>
      <c r="R167" s="58">
        <v>45</v>
      </c>
      <c r="S167" s="58">
        <v>4212</v>
      </c>
    </row>
    <row r="168" spans="1:19" x14ac:dyDescent="0.5">
      <c r="A168" s="60">
        <v>2005</v>
      </c>
      <c r="B168" s="60" t="s">
        <v>70</v>
      </c>
      <c r="C168" s="60" t="s">
        <v>419</v>
      </c>
      <c r="D168" s="60">
        <v>5564</v>
      </c>
      <c r="E168" s="60">
        <v>1006</v>
      </c>
      <c r="F168" s="60">
        <v>269</v>
      </c>
      <c r="G168" s="60">
        <v>32</v>
      </c>
      <c r="H168" s="60">
        <v>134</v>
      </c>
      <c r="I168" s="60">
        <v>485</v>
      </c>
      <c r="J168" s="60">
        <v>59</v>
      </c>
      <c r="K168" s="60">
        <v>3579</v>
      </c>
      <c r="L168" s="58">
        <v>6072</v>
      </c>
      <c r="M168" s="58">
        <v>1004</v>
      </c>
      <c r="N168" s="58">
        <v>257</v>
      </c>
      <c r="O168" s="58">
        <v>28</v>
      </c>
      <c r="P168" s="58">
        <v>169</v>
      </c>
      <c r="Q168" s="58">
        <v>348</v>
      </c>
      <c r="R168" s="58">
        <v>43</v>
      </c>
      <c r="S168" s="58">
        <v>4223</v>
      </c>
    </row>
    <row r="169" spans="1:19" x14ac:dyDescent="0.5">
      <c r="A169" s="60">
        <v>2005</v>
      </c>
      <c r="B169" s="60" t="s">
        <v>76</v>
      </c>
      <c r="C169" s="60" t="s">
        <v>420</v>
      </c>
      <c r="D169" s="60">
        <v>5505</v>
      </c>
      <c r="E169" s="60">
        <v>935</v>
      </c>
      <c r="F169" s="60">
        <v>279</v>
      </c>
      <c r="G169" s="60">
        <v>32</v>
      </c>
      <c r="H169" s="60">
        <v>175</v>
      </c>
      <c r="I169" s="60">
        <v>486</v>
      </c>
      <c r="J169" s="60">
        <v>48</v>
      </c>
      <c r="K169" s="60">
        <v>3550</v>
      </c>
      <c r="L169" s="58">
        <v>6121</v>
      </c>
      <c r="M169" s="58">
        <v>957</v>
      </c>
      <c r="N169" s="58">
        <v>277</v>
      </c>
      <c r="O169" s="58">
        <v>21</v>
      </c>
      <c r="P169" s="58">
        <v>135</v>
      </c>
      <c r="Q169" s="58">
        <v>491</v>
      </c>
      <c r="R169" s="58">
        <v>56</v>
      </c>
      <c r="S169" s="58">
        <v>4184</v>
      </c>
    </row>
    <row r="170" spans="1:19" x14ac:dyDescent="0.5">
      <c r="A170" s="60">
        <v>2005</v>
      </c>
      <c r="B170" s="60" t="s">
        <v>74</v>
      </c>
      <c r="C170" s="60" t="s">
        <v>421</v>
      </c>
      <c r="D170" s="60">
        <v>5624</v>
      </c>
      <c r="E170" s="60">
        <v>1048</v>
      </c>
      <c r="F170" s="60">
        <v>259</v>
      </c>
      <c r="G170" s="60">
        <v>16</v>
      </c>
      <c r="H170" s="60">
        <v>229</v>
      </c>
      <c r="I170" s="60">
        <v>637</v>
      </c>
      <c r="J170" s="60">
        <v>73</v>
      </c>
      <c r="K170" s="60">
        <v>3362</v>
      </c>
      <c r="L170" s="58">
        <v>6182</v>
      </c>
      <c r="M170" s="58">
        <v>1005</v>
      </c>
      <c r="N170" s="58">
        <v>295</v>
      </c>
      <c r="O170" s="58">
        <v>31</v>
      </c>
      <c r="P170" s="58">
        <v>164</v>
      </c>
      <c r="Q170" s="58">
        <v>463</v>
      </c>
      <c r="R170" s="58">
        <v>84</v>
      </c>
      <c r="S170" s="58">
        <v>4140</v>
      </c>
    </row>
    <row r="171" spans="1:19" x14ac:dyDescent="0.5">
      <c r="A171" s="60">
        <v>2005</v>
      </c>
      <c r="B171" s="60" t="s">
        <v>78</v>
      </c>
      <c r="C171" s="60" t="s">
        <v>422</v>
      </c>
      <c r="D171" s="60">
        <v>5627</v>
      </c>
      <c r="E171" s="60">
        <v>991</v>
      </c>
      <c r="F171" s="60">
        <v>310</v>
      </c>
      <c r="G171" s="60">
        <v>20</v>
      </c>
      <c r="H171" s="60">
        <v>155</v>
      </c>
      <c r="I171" s="60">
        <v>537</v>
      </c>
      <c r="J171" s="60">
        <v>52</v>
      </c>
      <c r="K171" s="60">
        <v>3562</v>
      </c>
      <c r="L171" s="58">
        <v>6080</v>
      </c>
      <c r="M171" s="58">
        <v>881</v>
      </c>
      <c r="N171" s="58">
        <v>257</v>
      </c>
      <c r="O171" s="58">
        <v>23</v>
      </c>
      <c r="P171" s="58">
        <v>154</v>
      </c>
      <c r="Q171" s="58">
        <v>504</v>
      </c>
      <c r="R171" s="58">
        <v>60</v>
      </c>
      <c r="S171" s="58">
        <v>4201</v>
      </c>
    </row>
    <row r="172" spans="1:19" x14ac:dyDescent="0.5">
      <c r="A172" s="60">
        <v>2005</v>
      </c>
      <c r="B172" s="60" t="s">
        <v>80</v>
      </c>
      <c r="C172" s="60" t="s">
        <v>423</v>
      </c>
      <c r="D172" s="60">
        <v>5542</v>
      </c>
      <c r="E172" s="60">
        <v>1010</v>
      </c>
      <c r="F172" s="60">
        <v>282</v>
      </c>
      <c r="G172" s="60">
        <v>35</v>
      </c>
      <c r="H172" s="60">
        <v>167</v>
      </c>
      <c r="I172" s="60">
        <v>639</v>
      </c>
      <c r="J172" s="60">
        <v>56</v>
      </c>
      <c r="K172" s="60">
        <v>3353</v>
      </c>
      <c r="L172" s="58">
        <v>6119</v>
      </c>
      <c r="M172" s="58">
        <v>843</v>
      </c>
      <c r="N172" s="58">
        <v>319</v>
      </c>
      <c r="O172" s="58">
        <v>28</v>
      </c>
      <c r="P172" s="58">
        <v>189</v>
      </c>
      <c r="Q172" s="58">
        <v>487</v>
      </c>
      <c r="R172" s="58">
        <v>72</v>
      </c>
      <c r="S172" s="58">
        <v>4181</v>
      </c>
    </row>
    <row r="173" spans="1:19" x14ac:dyDescent="0.5">
      <c r="A173" s="60">
        <v>2005</v>
      </c>
      <c r="B173" s="60" t="s">
        <v>82</v>
      </c>
      <c r="C173" s="60" t="s">
        <v>424</v>
      </c>
      <c r="D173" s="60">
        <v>5573</v>
      </c>
      <c r="E173" s="60">
        <v>976</v>
      </c>
      <c r="F173" s="60">
        <v>292</v>
      </c>
      <c r="G173" s="60">
        <v>38</v>
      </c>
      <c r="H173" s="60">
        <v>139</v>
      </c>
      <c r="I173" s="60">
        <v>471</v>
      </c>
      <c r="J173" s="60">
        <v>72</v>
      </c>
      <c r="K173" s="60">
        <v>3585</v>
      </c>
      <c r="L173" s="58">
        <v>6264</v>
      </c>
      <c r="M173" s="58">
        <v>945</v>
      </c>
      <c r="N173" s="58">
        <v>322</v>
      </c>
      <c r="O173" s="58">
        <v>27</v>
      </c>
      <c r="P173" s="58">
        <v>162</v>
      </c>
      <c r="Q173" s="58">
        <v>612</v>
      </c>
      <c r="R173" s="58">
        <v>65</v>
      </c>
      <c r="S173" s="58">
        <v>4131</v>
      </c>
    </row>
    <row r="174" spans="1:19" x14ac:dyDescent="0.5">
      <c r="A174" s="60">
        <v>2005</v>
      </c>
      <c r="B174" s="60" t="s">
        <v>84</v>
      </c>
      <c r="C174" s="60" t="s">
        <v>425</v>
      </c>
      <c r="D174" s="60">
        <v>5502</v>
      </c>
      <c r="E174" s="60">
        <v>978</v>
      </c>
      <c r="F174" s="60">
        <v>269</v>
      </c>
      <c r="G174" s="60">
        <v>39</v>
      </c>
      <c r="H174" s="60">
        <v>130</v>
      </c>
      <c r="I174" s="60">
        <v>600</v>
      </c>
      <c r="J174" s="60">
        <v>49</v>
      </c>
      <c r="K174" s="60">
        <v>3437</v>
      </c>
      <c r="L174" s="58">
        <v>6253</v>
      </c>
      <c r="M174" s="58">
        <v>946</v>
      </c>
      <c r="N174" s="58">
        <v>318</v>
      </c>
      <c r="O174" s="58">
        <v>42</v>
      </c>
      <c r="P174" s="58">
        <v>146</v>
      </c>
      <c r="Q174" s="58">
        <v>503</v>
      </c>
      <c r="R174" s="58">
        <v>46</v>
      </c>
      <c r="S174" s="58">
        <v>4252</v>
      </c>
    </row>
    <row r="175" spans="1:19" x14ac:dyDescent="0.5">
      <c r="A175" s="60">
        <v>2005</v>
      </c>
      <c r="B175" s="60" t="s">
        <v>86</v>
      </c>
      <c r="C175" s="60" t="s">
        <v>426</v>
      </c>
      <c r="D175" s="60">
        <v>5507</v>
      </c>
      <c r="E175" s="60">
        <v>955</v>
      </c>
      <c r="F175" s="60">
        <v>289</v>
      </c>
      <c r="G175" s="60">
        <v>34</v>
      </c>
      <c r="H175" s="60">
        <v>130</v>
      </c>
      <c r="I175" s="60">
        <v>466</v>
      </c>
      <c r="J175" s="60">
        <v>48</v>
      </c>
      <c r="K175" s="60">
        <v>3585</v>
      </c>
      <c r="L175" s="58">
        <v>6172</v>
      </c>
      <c r="M175" s="58">
        <v>1015</v>
      </c>
      <c r="N175" s="58">
        <v>267</v>
      </c>
      <c r="O175" s="58">
        <v>22</v>
      </c>
      <c r="P175" s="58">
        <v>179</v>
      </c>
      <c r="Q175" s="58">
        <v>496</v>
      </c>
      <c r="R175" s="58">
        <v>57</v>
      </c>
      <c r="S175" s="58">
        <v>4136</v>
      </c>
    </row>
    <row r="176" spans="1:19" x14ac:dyDescent="0.5">
      <c r="A176" s="60">
        <v>2005</v>
      </c>
      <c r="B176" s="60" t="s">
        <v>88</v>
      </c>
      <c r="C176" s="60" t="s">
        <v>427</v>
      </c>
      <c r="D176" s="60">
        <v>5462</v>
      </c>
      <c r="E176" s="60">
        <v>974</v>
      </c>
      <c r="F176" s="60">
        <v>299</v>
      </c>
      <c r="G176" s="60">
        <v>26</v>
      </c>
      <c r="H176" s="60">
        <v>128</v>
      </c>
      <c r="I176" s="60">
        <v>431</v>
      </c>
      <c r="J176" s="60">
        <v>49</v>
      </c>
      <c r="K176" s="60">
        <v>3555</v>
      </c>
      <c r="L176" s="58">
        <v>6280</v>
      </c>
      <c r="M176" s="58">
        <v>977</v>
      </c>
      <c r="N176" s="58">
        <v>288</v>
      </c>
      <c r="O176" s="58">
        <v>40</v>
      </c>
      <c r="P176" s="58">
        <v>151</v>
      </c>
      <c r="Q176" s="58">
        <v>592</v>
      </c>
      <c r="R176" s="58">
        <v>42</v>
      </c>
      <c r="S176" s="58">
        <v>4190</v>
      </c>
    </row>
    <row r="177" spans="1:19" x14ac:dyDescent="0.5">
      <c r="A177" s="60">
        <v>2005</v>
      </c>
      <c r="B177" s="60" t="s">
        <v>90</v>
      </c>
      <c r="C177" s="60" t="s">
        <v>428</v>
      </c>
      <c r="D177" s="60">
        <v>5538</v>
      </c>
      <c r="E177" s="60">
        <v>1011</v>
      </c>
      <c r="F177" s="60">
        <v>287</v>
      </c>
      <c r="G177" s="60">
        <v>26</v>
      </c>
      <c r="H177" s="60">
        <v>170</v>
      </c>
      <c r="I177" s="60">
        <v>534</v>
      </c>
      <c r="J177" s="60">
        <v>62</v>
      </c>
      <c r="K177" s="60">
        <v>3448</v>
      </c>
      <c r="L177" s="58">
        <v>6047</v>
      </c>
      <c r="M177" s="58">
        <v>958</v>
      </c>
      <c r="N177" s="58">
        <v>267</v>
      </c>
      <c r="O177" s="58">
        <v>21</v>
      </c>
      <c r="P177" s="58">
        <v>153</v>
      </c>
      <c r="Q177" s="58">
        <v>443</v>
      </c>
      <c r="R177" s="58">
        <v>60</v>
      </c>
      <c r="S177" s="58">
        <v>4145</v>
      </c>
    </row>
    <row r="178" spans="1:19" x14ac:dyDescent="0.5">
      <c r="A178" s="60">
        <v>2005</v>
      </c>
      <c r="B178" s="60" t="s">
        <v>92</v>
      </c>
      <c r="C178" s="60" t="s">
        <v>429</v>
      </c>
      <c r="D178" s="60">
        <v>5552</v>
      </c>
      <c r="E178" s="60">
        <v>1033</v>
      </c>
      <c r="F178" s="60">
        <v>289</v>
      </c>
      <c r="G178" s="60">
        <v>40</v>
      </c>
      <c r="H178" s="60">
        <v>157</v>
      </c>
      <c r="I178" s="60">
        <v>412</v>
      </c>
      <c r="J178" s="60">
        <v>69</v>
      </c>
      <c r="K178" s="60">
        <v>3552</v>
      </c>
      <c r="L178" s="58">
        <v>6384</v>
      </c>
      <c r="M178" s="58">
        <v>1020</v>
      </c>
      <c r="N178" s="58">
        <v>315</v>
      </c>
      <c r="O178" s="58">
        <v>41</v>
      </c>
      <c r="P178" s="58">
        <v>194</v>
      </c>
      <c r="Q178" s="58">
        <v>615</v>
      </c>
      <c r="R178" s="58">
        <v>64</v>
      </c>
      <c r="S178" s="58">
        <v>4135</v>
      </c>
    </row>
    <row r="179" spans="1:19" x14ac:dyDescent="0.5">
      <c r="A179" s="60">
        <v>2005</v>
      </c>
      <c r="B179" s="60" t="s">
        <v>94</v>
      </c>
      <c r="C179" s="60" t="s">
        <v>430</v>
      </c>
      <c r="D179" s="60">
        <v>5716</v>
      </c>
      <c r="E179" s="60">
        <v>928</v>
      </c>
      <c r="F179" s="60">
        <v>311</v>
      </c>
      <c r="G179" s="60">
        <v>29</v>
      </c>
      <c r="H179" s="60">
        <v>260</v>
      </c>
      <c r="I179" s="60">
        <v>495</v>
      </c>
      <c r="J179" s="60">
        <v>48</v>
      </c>
      <c r="K179" s="60">
        <v>3645</v>
      </c>
      <c r="L179" s="58">
        <v>6371</v>
      </c>
      <c r="M179" s="58">
        <v>1080</v>
      </c>
      <c r="N179" s="58">
        <v>325</v>
      </c>
      <c r="O179" s="58">
        <v>25</v>
      </c>
      <c r="P179" s="58">
        <v>159</v>
      </c>
      <c r="Q179" s="58">
        <v>522</v>
      </c>
      <c r="R179" s="58">
        <v>60</v>
      </c>
      <c r="S179" s="58">
        <v>4200</v>
      </c>
    </row>
    <row r="180" spans="1:19" x14ac:dyDescent="0.5">
      <c r="A180" s="60">
        <v>2005</v>
      </c>
      <c r="B180" s="60" t="s">
        <v>96</v>
      </c>
      <c r="C180" s="60" t="s">
        <v>431</v>
      </c>
      <c r="D180" s="60">
        <v>5581</v>
      </c>
      <c r="E180" s="60">
        <v>998</v>
      </c>
      <c r="F180" s="60">
        <v>307</v>
      </c>
      <c r="G180" s="60">
        <v>39</v>
      </c>
      <c r="H180" s="60">
        <v>136</v>
      </c>
      <c r="I180" s="60">
        <v>486</v>
      </c>
      <c r="J180" s="60">
        <v>89</v>
      </c>
      <c r="K180" s="60">
        <v>3526</v>
      </c>
      <c r="L180" s="58">
        <v>6166</v>
      </c>
      <c r="M180" s="58">
        <v>1007</v>
      </c>
      <c r="N180" s="58">
        <v>263</v>
      </c>
      <c r="O180" s="58">
        <v>20</v>
      </c>
      <c r="P180" s="58">
        <v>185</v>
      </c>
      <c r="Q180" s="58">
        <v>444</v>
      </c>
      <c r="R180" s="58">
        <v>68</v>
      </c>
      <c r="S180" s="58">
        <v>4179</v>
      </c>
    </row>
    <row r="181" spans="1:19" x14ac:dyDescent="0.5">
      <c r="A181" s="60">
        <v>2005</v>
      </c>
      <c r="B181" s="60" t="s">
        <v>100</v>
      </c>
      <c r="C181" s="60" t="s">
        <v>432</v>
      </c>
      <c r="D181" s="60">
        <v>5426</v>
      </c>
      <c r="E181" s="60">
        <v>907</v>
      </c>
      <c r="F181" s="60">
        <v>311</v>
      </c>
      <c r="G181" s="60">
        <v>32</v>
      </c>
      <c r="H181" s="60">
        <v>117</v>
      </c>
      <c r="I181" s="60">
        <v>491</v>
      </c>
      <c r="J181" s="60">
        <v>89</v>
      </c>
      <c r="K181" s="60">
        <v>3479</v>
      </c>
      <c r="L181" s="58">
        <v>6286</v>
      </c>
      <c r="M181" s="58">
        <v>1016</v>
      </c>
      <c r="N181" s="58">
        <v>279</v>
      </c>
      <c r="O181" s="58">
        <v>21</v>
      </c>
      <c r="P181" s="58">
        <v>140</v>
      </c>
      <c r="Q181" s="58">
        <v>539</v>
      </c>
      <c r="R181" s="58">
        <v>72</v>
      </c>
      <c r="S181" s="58">
        <v>4219</v>
      </c>
    </row>
    <row r="182" spans="1:19" x14ac:dyDescent="0.5">
      <c r="A182" s="60">
        <v>2006</v>
      </c>
      <c r="B182" s="60" t="s">
        <v>36</v>
      </c>
      <c r="C182" s="60" t="s">
        <v>433</v>
      </c>
      <c r="D182" s="60">
        <v>5609</v>
      </c>
      <c r="E182" s="60">
        <v>1042</v>
      </c>
      <c r="F182" s="60">
        <v>309</v>
      </c>
      <c r="G182" s="60">
        <v>29</v>
      </c>
      <c r="H182" s="60">
        <v>159</v>
      </c>
      <c r="I182" s="60">
        <v>486</v>
      </c>
      <c r="J182" s="60">
        <v>42</v>
      </c>
      <c r="K182" s="60">
        <v>3542</v>
      </c>
      <c r="L182" s="58">
        <v>6149</v>
      </c>
      <c r="M182" s="58">
        <v>929</v>
      </c>
      <c r="N182" s="58">
        <v>300</v>
      </c>
      <c r="O182" s="58">
        <v>23</v>
      </c>
      <c r="P182" s="58">
        <v>158</v>
      </c>
      <c r="Q182" s="58">
        <v>471</v>
      </c>
      <c r="R182" s="58">
        <v>50</v>
      </c>
      <c r="S182" s="58">
        <v>4218</v>
      </c>
    </row>
    <row r="183" spans="1:19" x14ac:dyDescent="0.5">
      <c r="A183" s="60">
        <v>2006</v>
      </c>
      <c r="B183" s="60" t="s">
        <v>39</v>
      </c>
      <c r="C183" s="60" t="s">
        <v>434</v>
      </c>
      <c r="D183" s="60">
        <v>5645</v>
      </c>
      <c r="E183" s="60">
        <v>977</v>
      </c>
      <c r="F183" s="60">
        <v>331</v>
      </c>
      <c r="G183" s="60">
        <v>38</v>
      </c>
      <c r="H183" s="60">
        <v>160</v>
      </c>
      <c r="I183" s="60">
        <v>504</v>
      </c>
      <c r="J183" s="60">
        <v>67</v>
      </c>
      <c r="K183" s="60">
        <v>3568</v>
      </c>
      <c r="L183" s="58">
        <v>6341</v>
      </c>
      <c r="M183" s="58">
        <v>961</v>
      </c>
      <c r="N183" s="58">
        <v>325</v>
      </c>
      <c r="O183" s="58">
        <v>49</v>
      </c>
      <c r="P183" s="58">
        <v>168</v>
      </c>
      <c r="Q183" s="58">
        <v>536</v>
      </c>
      <c r="R183" s="58">
        <v>61</v>
      </c>
      <c r="S183" s="58">
        <v>4241</v>
      </c>
    </row>
    <row r="184" spans="1:19" x14ac:dyDescent="0.5">
      <c r="A184" s="60">
        <v>2006</v>
      </c>
      <c r="B184" s="60" t="s">
        <v>41</v>
      </c>
      <c r="C184" s="60" t="s">
        <v>435</v>
      </c>
      <c r="D184" s="60">
        <v>5583</v>
      </c>
      <c r="E184" s="60">
        <v>950</v>
      </c>
      <c r="F184" s="60">
        <v>312</v>
      </c>
      <c r="G184" s="60">
        <v>26</v>
      </c>
      <c r="H184" s="60">
        <v>222</v>
      </c>
      <c r="I184" s="60">
        <v>526</v>
      </c>
      <c r="J184" s="60">
        <v>52</v>
      </c>
      <c r="K184" s="60">
        <v>3495</v>
      </c>
      <c r="L184" s="58">
        <v>6350</v>
      </c>
      <c r="M184" s="58">
        <v>1006</v>
      </c>
      <c r="N184" s="58">
        <v>304</v>
      </c>
      <c r="O184" s="58">
        <v>36</v>
      </c>
      <c r="P184" s="58">
        <v>183</v>
      </c>
      <c r="Q184" s="58">
        <v>572</v>
      </c>
      <c r="R184" s="58">
        <v>55</v>
      </c>
      <c r="S184" s="58">
        <v>4194</v>
      </c>
    </row>
    <row r="185" spans="1:19" x14ac:dyDescent="0.5">
      <c r="A185" s="60">
        <v>2006</v>
      </c>
      <c r="B185" s="60" t="s">
        <v>44</v>
      </c>
      <c r="C185" s="60" t="s">
        <v>436</v>
      </c>
      <c r="D185" s="60">
        <v>5610</v>
      </c>
      <c r="E185" s="60">
        <v>1084</v>
      </c>
      <c r="F185" s="60">
        <v>288</v>
      </c>
      <c r="G185" s="60">
        <v>20</v>
      </c>
      <c r="H185" s="60">
        <v>164</v>
      </c>
      <c r="I185" s="60">
        <v>474</v>
      </c>
      <c r="J185" s="60">
        <v>73</v>
      </c>
      <c r="K185" s="60">
        <v>3507</v>
      </c>
      <c r="L185" s="58">
        <v>6327</v>
      </c>
      <c r="M185" s="58">
        <v>1049</v>
      </c>
      <c r="N185" s="58">
        <v>286</v>
      </c>
      <c r="O185" s="58">
        <v>28</v>
      </c>
      <c r="P185" s="58">
        <v>216</v>
      </c>
      <c r="Q185" s="58">
        <v>613</v>
      </c>
      <c r="R185" s="58">
        <v>48</v>
      </c>
      <c r="S185" s="58">
        <v>4087</v>
      </c>
    </row>
    <row r="186" spans="1:19" x14ac:dyDescent="0.5">
      <c r="A186" s="60">
        <v>2006</v>
      </c>
      <c r="B186" s="60" t="s">
        <v>46</v>
      </c>
      <c r="C186" s="60" t="s">
        <v>437</v>
      </c>
      <c r="D186" s="60">
        <v>5619</v>
      </c>
      <c r="E186" s="60">
        <v>975</v>
      </c>
      <c r="F186" s="60">
        <v>327</v>
      </c>
      <c r="G186" s="60">
        <v>16</v>
      </c>
      <c r="H186" s="60">
        <v>192</v>
      </c>
      <c r="I186" s="60">
        <v>672</v>
      </c>
      <c r="J186" s="60">
        <v>66</v>
      </c>
      <c r="K186" s="60">
        <v>3371</v>
      </c>
      <c r="L186" s="58">
        <v>6292</v>
      </c>
      <c r="M186" s="58">
        <v>1013</v>
      </c>
      <c r="N186" s="58">
        <v>348</v>
      </c>
      <c r="O186" s="58">
        <v>28</v>
      </c>
      <c r="P186" s="58">
        <v>181</v>
      </c>
      <c r="Q186" s="58">
        <v>509</v>
      </c>
      <c r="R186" s="58">
        <v>68</v>
      </c>
      <c r="S186" s="58">
        <v>4145</v>
      </c>
    </row>
    <row r="187" spans="1:19" x14ac:dyDescent="0.5">
      <c r="A187" s="60">
        <v>2006</v>
      </c>
      <c r="B187" s="60" t="s">
        <v>50</v>
      </c>
      <c r="C187" s="60" t="s">
        <v>438</v>
      </c>
      <c r="D187" s="60">
        <v>5587</v>
      </c>
      <c r="E187" s="60">
        <v>1013</v>
      </c>
      <c r="F187" s="60">
        <v>271</v>
      </c>
      <c r="G187" s="60">
        <v>46</v>
      </c>
      <c r="H187" s="60">
        <v>166</v>
      </c>
      <c r="I187" s="60">
        <v>395</v>
      </c>
      <c r="J187" s="60">
        <v>43</v>
      </c>
      <c r="K187" s="60">
        <v>3653</v>
      </c>
      <c r="L187" s="58">
        <v>6366</v>
      </c>
      <c r="M187" s="58">
        <v>878</v>
      </c>
      <c r="N187" s="58">
        <v>276</v>
      </c>
      <c r="O187" s="58">
        <v>32</v>
      </c>
      <c r="P187" s="58">
        <v>210</v>
      </c>
      <c r="Q187" s="58">
        <v>687</v>
      </c>
      <c r="R187" s="58">
        <v>67</v>
      </c>
      <c r="S187" s="58">
        <v>4216</v>
      </c>
    </row>
    <row r="188" spans="1:19" x14ac:dyDescent="0.5">
      <c r="A188" s="60">
        <v>2006</v>
      </c>
      <c r="B188" s="60" t="s">
        <v>48</v>
      </c>
      <c r="C188" s="60" t="s">
        <v>439</v>
      </c>
      <c r="D188" s="60">
        <v>5657</v>
      </c>
      <c r="E188" s="60">
        <v>1039</v>
      </c>
      <c r="F188" s="60">
        <v>291</v>
      </c>
      <c r="G188" s="60">
        <v>20</v>
      </c>
      <c r="H188" s="60">
        <v>236</v>
      </c>
      <c r="I188" s="60">
        <v>502</v>
      </c>
      <c r="J188" s="60">
        <v>58</v>
      </c>
      <c r="K188" s="60">
        <v>3511</v>
      </c>
      <c r="L188" s="58">
        <v>6232</v>
      </c>
      <c r="M188" s="58">
        <v>1007</v>
      </c>
      <c r="N188" s="58">
        <v>296</v>
      </c>
      <c r="O188" s="58">
        <v>31</v>
      </c>
      <c r="P188" s="58">
        <v>200</v>
      </c>
      <c r="Q188" s="58">
        <v>433</v>
      </c>
      <c r="R188" s="58">
        <v>58</v>
      </c>
      <c r="S188" s="58">
        <v>4207</v>
      </c>
    </row>
    <row r="189" spans="1:19" x14ac:dyDescent="0.5">
      <c r="A189" s="60">
        <v>2006</v>
      </c>
      <c r="B189" s="60" t="s">
        <v>52</v>
      </c>
      <c r="C189" s="60" t="s">
        <v>440</v>
      </c>
      <c r="D189" s="60">
        <v>5515</v>
      </c>
      <c r="E189" s="60">
        <v>899</v>
      </c>
      <c r="F189" s="60">
        <v>291</v>
      </c>
      <c r="G189" s="60">
        <v>12</v>
      </c>
      <c r="H189" s="60">
        <v>217</v>
      </c>
      <c r="I189" s="60">
        <v>614</v>
      </c>
      <c r="J189" s="60">
        <v>59</v>
      </c>
      <c r="K189" s="60">
        <v>3423</v>
      </c>
      <c r="L189" s="58">
        <v>6319</v>
      </c>
      <c r="M189" s="58">
        <v>1008</v>
      </c>
      <c r="N189" s="58">
        <v>332</v>
      </c>
      <c r="O189" s="58">
        <v>23</v>
      </c>
      <c r="P189" s="58">
        <v>213</v>
      </c>
      <c r="Q189" s="58">
        <v>464</v>
      </c>
      <c r="R189" s="58">
        <v>60</v>
      </c>
      <c r="S189" s="58">
        <v>4219</v>
      </c>
    </row>
    <row r="190" spans="1:19" x14ac:dyDescent="0.5">
      <c r="A190" s="60">
        <v>2006</v>
      </c>
      <c r="B190" s="60" t="s">
        <v>54</v>
      </c>
      <c r="C190" s="60" t="s">
        <v>441</v>
      </c>
      <c r="D190" s="60">
        <v>5619</v>
      </c>
      <c r="E190" s="60">
        <v>1002</v>
      </c>
      <c r="F190" s="60">
        <v>351</v>
      </c>
      <c r="G190" s="60">
        <v>27</v>
      </c>
      <c r="H190" s="60">
        <v>196</v>
      </c>
      <c r="I190" s="60">
        <v>556</v>
      </c>
      <c r="J190" s="60">
        <v>54</v>
      </c>
      <c r="K190" s="60">
        <v>3433</v>
      </c>
      <c r="L190" s="58">
        <v>6190</v>
      </c>
      <c r="M190" s="58">
        <v>1101</v>
      </c>
      <c r="N190" s="58">
        <v>293</v>
      </c>
      <c r="O190" s="58">
        <v>23</v>
      </c>
      <c r="P190" s="58">
        <v>166</v>
      </c>
      <c r="Q190" s="58">
        <v>429</v>
      </c>
      <c r="R190" s="58">
        <v>51</v>
      </c>
      <c r="S190" s="58">
        <v>4127</v>
      </c>
    </row>
    <row r="191" spans="1:19" x14ac:dyDescent="0.5">
      <c r="A191" s="60">
        <v>2006</v>
      </c>
      <c r="B191" s="60" t="s">
        <v>56</v>
      </c>
      <c r="C191" s="60" t="s">
        <v>442</v>
      </c>
      <c r="D191" s="60">
        <v>5562</v>
      </c>
      <c r="E191" s="60">
        <v>968</v>
      </c>
      <c r="F191" s="60">
        <v>325</v>
      </c>
      <c r="G191" s="60">
        <v>54</v>
      </c>
      <c r="H191" s="60">
        <v>157</v>
      </c>
      <c r="I191" s="60">
        <v>561</v>
      </c>
      <c r="J191" s="60">
        <v>60</v>
      </c>
      <c r="K191" s="60">
        <v>3437</v>
      </c>
      <c r="L191" s="58">
        <v>6318</v>
      </c>
      <c r="M191" s="58">
        <v>1008</v>
      </c>
      <c r="N191" s="58">
        <v>331</v>
      </c>
      <c r="O191" s="58">
        <v>55</v>
      </c>
      <c r="P191" s="58">
        <v>155</v>
      </c>
      <c r="Q191" s="58">
        <v>553</v>
      </c>
      <c r="R191" s="58">
        <v>66</v>
      </c>
      <c r="S191" s="58">
        <v>4150</v>
      </c>
    </row>
    <row r="192" spans="1:19" x14ac:dyDescent="0.5">
      <c r="A192" s="60">
        <v>2006</v>
      </c>
      <c r="B192" s="60" t="s">
        <v>58</v>
      </c>
      <c r="C192" s="60" t="s">
        <v>443</v>
      </c>
      <c r="D192" s="60">
        <v>5642</v>
      </c>
      <c r="E192" s="60">
        <v>1011</v>
      </c>
      <c r="F192" s="60">
        <v>294</v>
      </c>
      <c r="G192" s="60">
        <v>40</v>
      </c>
      <c r="H192" s="60">
        <v>203</v>
      </c>
      <c r="I192" s="60">
        <v>430</v>
      </c>
      <c r="J192" s="60">
        <v>45</v>
      </c>
      <c r="K192" s="60">
        <v>3619</v>
      </c>
      <c r="L192" s="58">
        <v>6145</v>
      </c>
      <c r="M192" s="58">
        <v>959</v>
      </c>
      <c r="N192" s="58">
        <v>263</v>
      </c>
      <c r="O192" s="58">
        <v>38</v>
      </c>
      <c r="P192" s="58">
        <v>160</v>
      </c>
      <c r="Q192" s="58">
        <v>489</v>
      </c>
      <c r="R192" s="58">
        <v>53</v>
      </c>
      <c r="S192" s="58">
        <v>4183</v>
      </c>
    </row>
    <row r="193" spans="1:19" x14ac:dyDescent="0.5">
      <c r="A193" s="60">
        <v>2006</v>
      </c>
      <c r="B193" s="60" t="s">
        <v>60</v>
      </c>
      <c r="C193" s="60" t="s">
        <v>444</v>
      </c>
      <c r="D193" s="60">
        <v>5502</v>
      </c>
      <c r="E193" s="60">
        <v>921</v>
      </c>
      <c r="F193" s="60">
        <v>309</v>
      </c>
      <c r="G193" s="60">
        <v>42</v>
      </c>
      <c r="H193" s="60">
        <v>182</v>
      </c>
      <c r="I193" s="60">
        <v>497</v>
      </c>
      <c r="J193" s="60">
        <v>74</v>
      </c>
      <c r="K193" s="60">
        <v>3477</v>
      </c>
      <c r="L193" s="58">
        <v>6294</v>
      </c>
      <c r="M193" s="58">
        <v>984</v>
      </c>
      <c r="N193" s="58">
        <v>268</v>
      </c>
      <c r="O193" s="58">
        <v>47</v>
      </c>
      <c r="P193" s="58">
        <v>166</v>
      </c>
      <c r="Q193" s="58">
        <v>622</v>
      </c>
      <c r="R193" s="58">
        <v>74</v>
      </c>
      <c r="S193" s="58">
        <v>4133</v>
      </c>
    </row>
    <row r="194" spans="1:19" x14ac:dyDescent="0.5">
      <c r="A194" s="60">
        <v>2006</v>
      </c>
      <c r="B194" s="60" t="s">
        <v>62</v>
      </c>
      <c r="C194" s="60" t="s">
        <v>445</v>
      </c>
      <c r="D194" s="60">
        <v>5521</v>
      </c>
      <c r="E194" s="60">
        <v>931</v>
      </c>
      <c r="F194" s="60">
        <v>275</v>
      </c>
      <c r="G194" s="60">
        <v>27</v>
      </c>
      <c r="H194" s="60">
        <v>174</v>
      </c>
      <c r="I194" s="60">
        <v>585</v>
      </c>
      <c r="J194" s="60">
        <v>73</v>
      </c>
      <c r="K194" s="60">
        <v>3456</v>
      </c>
      <c r="L194" s="58">
        <v>6219</v>
      </c>
      <c r="M194" s="58">
        <v>894</v>
      </c>
      <c r="N194" s="58">
        <v>321</v>
      </c>
      <c r="O194" s="58">
        <v>28</v>
      </c>
      <c r="P194" s="58">
        <v>182</v>
      </c>
      <c r="Q194" s="58">
        <v>480</v>
      </c>
      <c r="R194" s="58">
        <v>54</v>
      </c>
      <c r="S194" s="58">
        <v>4260</v>
      </c>
    </row>
    <row r="195" spans="1:19" x14ac:dyDescent="0.5">
      <c r="A195" s="60">
        <v>2006</v>
      </c>
      <c r="B195" s="60" t="s">
        <v>64</v>
      </c>
      <c r="C195" s="60" t="s">
        <v>446</v>
      </c>
      <c r="D195" s="60">
        <v>5589</v>
      </c>
      <c r="E195" s="60">
        <v>1019</v>
      </c>
      <c r="F195" s="60">
        <v>335</v>
      </c>
      <c r="G195" s="60">
        <v>37</v>
      </c>
      <c r="H195" s="60">
        <v>124</v>
      </c>
      <c r="I195" s="60">
        <v>474</v>
      </c>
      <c r="J195" s="60">
        <v>64</v>
      </c>
      <c r="K195" s="60">
        <v>3536</v>
      </c>
      <c r="L195" s="58">
        <v>6434</v>
      </c>
      <c r="M195" s="58">
        <v>1067</v>
      </c>
      <c r="N195" s="58">
        <v>341</v>
      </c>
      <c r="O195" s="58">
        <v>27</v>
      </c>
      <c r="P195" s="58">
        <v>213</v>
      </c>
      <c r="Q195" s="58">
        <v>637</v>
      </c>
      <c r="R195" s="58">
        <v>60</v>
      </c>
      <c r="S195" s="58">
        <v>4089</v>
      </c>
    </row>
    <row r="196" spans="1:19" x14ac:dyDescent="0.5">
      <c r="A196" s="60">
        <v>2006</v>
      </c>
      <c r="B196" s="60" t="s">
        <v>66</v>
      </c>
      <c r="C196" s="60" t="s">
        <v>447</v>
      </c>
      <c r="D196" s="60">
        <v>5628</v>
      </c>
      <c r="E196" s="60">
        <v>1034</v>
      </c>
      <c r="F196" s="60">
        <v>307</v>
      </c>
      <c r="G196" s="60">
        <v>58</v>
      </c>
      <c r="H196" s="60">
        <v>153</v>
      </c>
      <c r="I196" s="60">
        <v>601</v>
      </c>
      <c r="J196" s="60">
        <v>51</v>
      </c>
      <c r="K196" s="60">
        <v>3424</v>
      </c>
      <c r="L196" s="58">
        <v>6289</v>
      </c>
      <c r="M196" s="58">
        <v>1019</v>
      </c>
      <c r="N196" s="58">
        <v>323</v>
      </c>
      <c r="O196" s="58">
        <v>30</v>
      </c>
      <c r="P196" s="58">
        <v>152</v>
      </c>
      <c r="Q196" s="58">
        <v>492</v>
      </c>
      <c r="R196" s="58">
        <v>41</v>
      </c>
      <c r="S196" s="58">
        <v>4232</v>
      </c>
    </row>
    <row r="197" spans="1:19" x14ac:dyDescent="0.5">
      <c r="A197" s="60">
        <v>2006</v>
      </c>
      <c r="B197" s="60" t="s">
        <v>68</v>
      </c>
      <c r="C197" s="60" t="s">
        <v>448</v>
      </c>
      <c r="D197" s="60">
        <v>5433</v>
      </c>
      <c r="E197" s="60">
        <v>899</v>
      </c>
      <c r="F197" s="60">
        <v>301</v>
      </c>
      <c r="G197" s="60">
        <v>20</v>
      </c>
      <c r="H197" s="60">
        <v>180</v>
      </c>
      <c r="I197" s="60">
        <v>502</v>
      </c>
      <c r="J197" s="60">
        <v>82</v>
      </c>
      <c r="K197" s="60">
        <v>3449</v>
      </c>
      <c r="L197" s="58">
        <v>6210</v>
      </c>
      <c r="M197" s="58">
        <v>890</v>
      </c>
      <c r="N197" s="58">
        <v>355</v>
      </c>
      <c r="O197" s="58">
        <v>32</v>
      </c>
      <c r="P197" s="58">
        <v>177</v>
      </c>
      <c r="Q197" s="58">
        <v>514</v>
      </c>
      <c r="R197" s="58">
        <v>74</v>
      </c>
      <c r="S197" s="58">
        <v>4168</v>
      </c>
    </row>
    <row r="198" spans="1:19" x14ac:dyDescent="0.5">
      <c r="A198" s="60">
        <v>2006</v>
      </c>
      <c r="B198" s="60" t="s">
        <v>70</v>
      </c>
      <c r="C198" s="60" t="s">
        <v>449</v>
      </c>
      <c r="D198" s="60">
        <v>5602</v>
      </c>
      <c r="E198" s="60">
        <v>1156</v>
      </c>
      <c r="F198" s="60">
        <v>275</v>
      </c>
      <c r="G198" s="60">
        <v>34</v>
      </c>
      <c r="H198" s="60">
        <v>143</v>
      </c>
      <c r="I198" s="60">
        <v>490</v>
      </c>
      <c r="J198" s="60">
        <v>50</v>
      </c>
      <c r="K198" s="60">
        <v>3454</v>
      </c>
      <c r="L198" s="58">
        <v>6066</v>
      </c>
      <c r="M198" s="58">
        <v>1005</v>
      </c>
      <c r="N198" s="58">
        <v>280</v>
      </c>
      <c r="O198" s="58">
        <v>23</v>
      </c>
      <c r="P198" s="58">
        <v>182</v>
      </c>
      <c r="Q198" s="58">
        <v>356</v>
      </c>
      <c r="R198" s="58">
        <v>36</v>
      </c>
      <c r="S198" s="58">
        <v>4184</v>
      </c>
    </row>
    <row r="199" spans="1:19" x14ac:dyDescent="0.5">
      <c r="A199" s="60">
        <v>2006</v>
      </c>
      <c r="B199" s="60" t="s">
        <v>76</v>
      </c>
      <c r="C199" s="60" t="s">
        <v>450</v>
      </c>
      <c r="D199" s="60">
        <v>5558</v>
      </c>
      <c r="E199" s="60">
        <v>905</v>
      </c>
      <c r="F199" s="60">
        <v>323</v>
      </c>
      <c r="G199" s="60">
        <v>41</v>
      </c>
      <c r="H199" s="60">
        <v>200</v>
      </c>
      <c r="I199" s="60">
        <v>547</v>
      </c>
      <c r="J199" s="60">
        <v>62</v>
      </c>
      <c r="K199" s="60">
        <v>3480</v>
      </c>
      <c r="L199" s="58">
        <v>6240</v>
      </c>
      <c r="M199" s="58">
        <v>930</v>
      </c>
      <c r="N199" s="58">
        <v>274</v>
      </c>
      <c r="O199" s="58">
        <v>18</v>
      </c>
      <c r="P199" s="58">
        <v>180</v>
      </c>
      <c r="Q199" s="58">
        <v>527</v>
      </c>
      <c r="R199" s="58">
        <v>62</v>
      </c>
      <c r="S199" s="58">
        <v>4249</v>
      </c>
    </row>
    <row r="200" spans="1:19" x14ac:dyDescent="0.5">
      <c r="A200" s="60">
        <v>2006</v>
      </c>
      <c r="B200" s="60" t="s">
        <v>74</v>
      </c>
      <c r="C200" s="60" t="s">
        <v>451</v>
      </c>
      <c r="D200" s="60">
        <v>5651</v>
      </c>
      <c r="E200" s="60">
        <v>1050</v>
      </c>
      <c r="F200" s="60">
        <v>327</v>
      </c>
      <c r="G200" s="60">
        <v>21</v>
      </c>
      <c r="H200" s="60">
        <v>210</v>
      </c>
      <c r="I200" s="60">
        <v>649</v>
      </c>
      <c r="J200" s="60">
        <v>72</v>
      </c>
      <c r="K200" s="60">
        <v>3322</v>
      </c>
      <c r="L200" s="58">
        <v>6215</v>
      </c>
      <c r="M200" s="58">
        <v>977</v>
      </c>
      <c r="N200" s="58">
        <v>294</v>
      </c>
      <c r="O200" s="58">
        <v>22</v>
      </c>
      <c r="P200" s="58">
        <v>170</v>
      </c>
      <c r="Q200" s="58">
        <v>496</v>
      </c>
      <c r="R200" s="58">
        <v>59</v>
      </c>
      <c r="S200" s="58">
        <v>4197</v>
      </c>
    </row>
    <row r="201" spans="1:19" x14ac:dyDescent="0.5">
      <c r="A201" s="60">
        <v>2006</v>
      </c>
      <c r="B201" s="60" t="s">
        <v>78</v>
      </c>
      <c r="C201" s="60" t="s">
        <v>452</v>
      </c>
      <c r="D201" s="60">
        <v>5500</v>
      </c>
      <c r="E201" s="60">
        <v>966</v>
      </c>
      <c r="F201" s="60">
        <v>266</v>
      </c>
      <c r="G201" s="60">
        <v>22</v>
      </c>
      <c r="H201" s="60">
        <v>175</v>
      </c>
      <c r="I201" s="60">
        <v>650</v>
      </c>
      <c r="J201" s="60">
        <v>50</v>
      </c>
      <c r="K201" s="60">
        <v>3371</v>
      </c>
      <c r="L201" s="58">
        <v>6279</v>
      </c>
      <c r="M201" s="58">
        <v>1040</v>
      </c>
      <c r="N201" s="58">
        <v>289</v>
      </c>
      <c r="O201" s="58">
        <v>34</v>
      </c>
      <c r="P201" s="58">
        <v>162</v>
      </c>
      <c r="Q201" s="58">
        <v>529</v>
      </c>
      <c r="R201" s="58">
        <v>55</v>
      </c>
      <c r="S201" s="58">
        <v>4170</v>
      </c>
    </row>
    <row r="202" spans="1:19" x14ac:dyDescent="0.5">
      <c r="A202" s="60">
        <v>2006</v>
      </c>
      <c r="B202" s="60" t="s">
        <v>80</v>
      </c>
      <c r="C202" s="60" t="s">
        <v>453</v>
      </c>
      <c r="D202" s="60">
        <v>5687</v>
      </c>
      <c r="E202" s="60">
        <v>967</v>
      </c>
      <c r="F202" s="60">
        <v>294</v>
      </c>
      <c r="G202" s="60">
        <v>41</v>
      </c>
      <c r="H202" s="60">
        <v>216</v>
      </c>
      <c r="I202" s="60">
        <v>626</v>
      </c>
      <c r="J202" s="60">
        <v>95</v>
      </c>
      <c r="K202" s="60">
        <v>3448</v>
      </c>
      <c r="L202" s="58">
        <v>6366</v>
      </c>
      <c r="M202" s="58">
        <v>975</v>
      </c>
      <c r="N202" s="58">
        <v>335</v>
      </c>
      <c r="O202" s="58">
        <v>40</v>
      </c>
      <c r="P202" s="58">
        <v>211</v>
      </c>
      <c r="Q202" s="58">
        <v>512</v>
      </c>
      <c r="R202" s="58">
        <v>62</v>
      </c>
      <c r="S202" s="58">
        <v>4231</v>
      </c>
    </row>
    <row r="203" spans="1:19" x14ac:dyDescent="0.5">
      <c r="A203" s="60">
        <v>2006</v>
      </c>
      <c r="B203" s="60" t="s">
        <v>82</v>
      </c>
      <c r="C203" s="60" t="s">
        <v>454</v>
      </c>
      <c r="D203" s="60">
        <v>5558</v>
      </c>
      <c r="E203" s="60">
        <v>1018</v>
      </c>
      <c r="F203" s="60">
        <v>286</v>
      </c>
      <c r="G203" s="60">
        <v>17</v>
      </c>
      <c r="H203" s="60">
        <v>141</v>
      </c>
      <c r="I203" s="60">
        <v>459</v>
      </c>
      <c r="J203" s="60">
        <v>89</v>
      </c>
      <c r="K203" s="60">
        <v>3548</v>
      </c>
      <c r="L203" s="58">
        <v>6354</v>
      </c>
      <c r="M203" s="58">
        <v>1058</v>
      </c>
      <c r="N203" s="58">
        <v>300</v>
      </c>
      <c r="O203" s="58">
        <v>31</v>
      </c>
      <c r="P203" s="58">
        <v>156</v>
      </c>
      <c r="Q203" s="58">
        <v>620</v>
      </c>
      <c r="R203" s="58">
        <v>70</v>
      </c>
      <c r="S203" s="58">
        <v>4119</v>
      </c>
    </row>
    <row r="204" spans="1:19" x14ac:dyDescent="0.5">
      <c r="A204" s="60">
        <v>2006</v>
      </c>
      <c r="B204" s="60" t="s">
        <v>84</v>
      </c>
      <c r="C204" s="60" t="s">
        <v>455</v>
      </c>
      <c r="D204" s="60">
        <v>5576</v>
      </c>
      <c r="E204" s="60">
        <v>968</v>
      </c>
      <c r="F204" s="60">
        <v>298</v>
      </c>
      <c r="G204" s="60">
        <v>38</v>
      </c>
      <c r="H204" s="60">
        <v>161</v>
      </c>
      <c r="I204" s="60">
        <v>564</v>
      </c>
      <c r="J204" s="60">
        <v>40</v>
      </c>
      <c r="K204" s="60">
        <v>3507</v>
      </c>
      <c r="L204" s="58">
        <v>6175</v>
      </c>
      <c r="M204" s="58">
        <v>910</v>
      </c>
      <c r="N204" s="58">
        <v>264</v>
      </c>
      <c r="O204" s="58">
        <v>35</v>
      </c>
      <c r="P204" s="58">
        <v>176</v>
      </c>
      <c r="Q204" s="58">
        <v>468</v>
      </c>
      <c r="R204" s="58">
        <v>50</v>
      </c>
      <c r="S204" s="58">
        <v>4272</v>
      </c>
    </row>
    <row r="205" spans="1:19" x14ac:dyDescent="0.5">
      <c r="A205" s="60">
        <v>2006</v>
      </c>
      <c r="B205" s="60" t="s">
        <v>86</v>
      </c>
      <c r="C205" s="60" t="s">
        <v>456</v>
      </c>
      <c r="D205" s="60">
        <v>5670</v>
      </c>
      <c r="E205" s="60">
        <v>1060</v>
      </c>
      <c r="F205" s="60">
        <v>266</v>
      </c>
      <c r="G205" s="60">
        <v>42</v>
      </c>
      <c r="H205" s="60">
        <v>172</v>
      </c>
      <c r="I205" s="60">
        <v>404</v>
      </c>
      <c r="J205" s="60">
        <v>63</v>
      </c>
      <c r="K205" s="60">
        <v>3663</v>
      </c>
      <c r="L205" s="58">
        <v>6294</v>
      </c>
      <c r="M205" s="58">
        <v>967</v>
      </c>
      <c r="N205" s="58">
        <v>327</v>
      </c>
      <c r="O205" s="58">
        <v>23</v>
      </c>
      <c r="P205" s="58">
        <v>183</v>
      </c>
      <c r="Q205" s="58">
        <v>560</v>
      </c>
      <c r="R205" s="58">
        <v>53</v>
      </c>
      <c r="S205" s="58">
        <v>4181</v>
      </c>
    </row>
    <row r="206" spans="1:19" x14ac:dyDescent="0.5">
      <c r="A206" s="60">
        <v>2006</v>
      </c>
      <c r="B206" s="60" t="s">
        <v>88</v>
      </c>
      <c r="C206" s="60" t="s">
        <v>457</v>
      </c>
      <c r="D206" s="60">
        <v>5472</v>
      </c>
      <c r="E206" s="60">
        <v>906</v>
      </c>
      <c r="F206" s="60">
        <v>297</v>
      </c>
      <c r="G206" s="60">
        <v>52</v>
      </c>
      <c r="H206" s="60">
        <v>163</v>
      </c>
      <c r="I206" s="60">
        <v>494</v>
      </c>
      <c r="J206" s="60">
        <v>53</v>
      </c>
      <c r="K206" s="60">
        <v>3507</v>
      </c>
      <c r="L206" s="58">
        <v>6225</v>
      </c>
      <c r="M206" s="58">
        <v>935</v>
      </c>
      <c r="N206" s="58">
        <v>287</v>
      </c>
      <c r="O206" s="58">
        <v>47</v>
      </c>
      <c r="P206" s="58">
        <v>153</v>
      </c>
      <c r="Q206" s="58">
        <v>584</v>
      </c>
      <c r="R206" s="58">
        <v>70</v>
      </c>
      <c r="S206" s="58">
        <v>4149</v>
      </c>
    </row>
    <row r="207" spans="1:19" x14ac:dyDescent="0.5">
      <c r="A207" s="60">
        <v>2006</v>
      </c>
      <c r="B207" s="60" t="s">
        <v>90</v>
      </c>
      <c r="C207" s="60" t="s">
        <v>458</v>
      </c>
      <c r="D207" s="60">
        <v>5522</v>
      </c>
      <c r="E207" s="60">
        <v>981</v>
      </c>
      <c r="F207" s="60">
        <v>292</v>
      </c>
      <c r="G207" s="60">
        <v>27</v>
      </c>
      <c r="H207" s="60">
        <v>184</v>
      </c>
      <c r="I207" s="60">
        <v>531</v>
      </c>
      <c r="J207" s="60">
        <v>61</v>
      </c>
      <c r="K207" s="60">
        <v>3446</v>
      </c>
      <c r="L207" s="58">
        <v>6196</v>
      </c>
      <c r="M207" s="58">
        <v>938</v>
      </c>
      <c r="N207" s="58">
        <v>310</v>
      </c>
      <c r="O207" s="58">
        <v>34</v>
      </c>
      <c r="P207" s="58">
        <v>193</v>
      </c>
      <c r="Q207" s="58">
        <v>504</v>
      </c>
      <c r="R207" s="58">
        <v>80</v>
      </c>
      <c r="S207" s="58">
        <v>4137</v>
      </c>
    </row>
    <row r="208" spans="1:19" x14ac:dyDescent="0.5">
      <c r="A208" s="60">
        <v>2006</v>
      </c>
      <c r="B208" s="60" t="s">
        <v>92</v>
      </c>
      <c r="C208" s="60" t="s">
        <v>459</v>
      </c>
      <c r="D208" s="60">
        <v>5474</v>
      </c>
      <c r="E208" s="60">
        <v>905</v>
      </c>
      <c r="F208" s="60">
        <v>267</v>
      </c>
      <c r="G208" s="60">
        <v>33</v>
      </c>
      <c r="H208" s="60">
        <v>190</v>
      </c>
      <c r="I208" s="60">
        <v>441</v>
      </c>
      <c r="J208" s="60">
        <v>47</v>
      </c>
      <c r="K208" s="60">
        <v>3591</v>
      </c>
      <c r="L208" s="58">
        <v>6374</v>
      </c>
      <c r="M208" s="58">
        <v>1059</v>
      </c>
      <c r="N208" s="58">
        <v>334</v>
      </c>
      <c r="O208" s="58">
        <v>27</v>
      </c>
      <c r="P208" s="58">
        <v>180</v>
      </c>
      <c r="Q208" s="58">
        <v>606</v>
      </c>
      <c r="R208" s="58">
        <v>63</v>
      </c>
      <c r="S208" s="58">
        <v>4105</v>
      </c>
    </row>
    <row r="209" spans="1:19" x14ac:dyDescent="0.5">
      <c r="A209" s="60">
        <v>2006</v>
      </c>
      <c r="B209" s="60" t="s">
        <v>94</v>
      </c>
      <c r="C209" s="60" t="s">
        <v>460</v>
      </c>
      <c r="D209" s="60">
        <v>5659</v>
      </c>
      <c r="E209" s="60">
        <v>1008</v>
      </c>
      <c r="F209" s="60">
        <v>357</v>
      </c>
      <c r="G209" s="60">
        <v>23</v>
      </c>
      <c r="H209" s="60">
        <v>183</v>
      </c>
      <c r="I209" s="60">
        <v>505</v>
      </c>
      <c r="J209" s="60">
        <v>40</v>
      </c>
      <c r="K209" s="60">
        <v>3543</v>
      </c>
      <c r="L209" s="58">
        <v>6237</v>
      </c>
      <c r="M209" s="58">
        <v>1088</v>
      </c>
      <c r="N209" s="58">
        <v>283</v>
      </c>
      <c r="O209" s="58">
        <v>25</v>
      </c>
      <c r="P209" s="58">
        <v>162</v>
      </c>
      <c r="Q209" s="58">
        <v>496</v>
      </c>
      <c r="R209" s="58">
        <v>66</v>
      </c>
      <c r="S209" s="58">
        <v>4117</v>
      </c>
    </row>
    <row r="210" spans="1:19" x14ac:dyDescent="0.5">
      <c r="A210" s="60">
        <v>2006</v>
      </c>
      <c r="B210" s="60" t="s">
        <v>96</v>
      </c>
      <c r="C210" s="60" t="s">
        <v>461</v>
      </c>
      <c r="D210" s="60">
        <v>5596</v>
      </c>
      <c r="E210" s="60">
        <v>1017</v>
      </c>
      <c r="F210" s="60">
        <v>348</v>
      </c>
      <c r="G210" s="60">
        <v>27</v>
      </c>
      <c r="H210" s="60">
        <v>199</v>
      </c>
      <c r="I210" s="60">
        <v>514</v>
      </c>
      <c r="J210" s="60">
        <v>63</v>
      </c>
      <c r="K210" s="60">
        <v>3428</v>
      </c>
      <c r="L210" s="58">
        <v>6151</v>
      </c>
      <c r="M210" s="58">
        <v>950</v>
      </c>
      <c r="N210" s="58">
        <v>291</v>
      </c>
      <c r="O210" s="58">
        <v>21</v>
      </c>
      <c r="P210" s="58">
        <v>185</v>
      </c>
      <c r="Q210" s="58">
        <v>504</v>
      </c>
      <c r="R210" s="58">
        <v>59</v>
      </c>
      <c r="S210" s="58">
        <v>4141</v>
      </c>
    </row>
    <row r="211" spans="1:19" x14ac:dyDescent="0.5">
      <c r="A211" s="60">
        <v>2006</v>
      </c>
      <c r="B211" s="60" t="s">
        <v>100</v>
      </c>
      <c r="C211" s="60" t="s">
        <v>462</v>
      </c>
      <c r="D211" s="60">
        <v>5495</v>
      </c>
      <c r="E211" s="60">
        <v>929</v>
      </c>
      <c r="F211" s="60">
        <v>322</v>
      </c>
      <c r="G211" s="60">
        <v>22</v>
      </c>
      <c r="H211" s="60">
        <v>164</v>
      </c>
      <c r="I211" s="60">
        <v>594</v>
      </c>
      <c r="J211" s="60">
        <v>69</v>
      </c>
      <c r="K211" s="60">
        <v>3395</v>
      </c>
      <c r="L211" s="58">
        <v>6424</v>
      </c>
      <c r="M211" s="58">
        <v>995</v>
      </c>
      <c r="N211" s="58">
        <v>305</v>
      </c>
      <c r="O211" s="58">
        <v>42</v>
      </c>
      <c r="P211" s="58">
        <v>193</v>
      </c>
      <c r="Q211" s="58">
        <v>584</v>
      </c>
      <c r="R211" s="58">
        <v>92</v>
      </c>
      <c r="S211" s="58">
        <v>4213</v>
      </c>
    </row>
    <row r="212" spans="1:19" x14ac:dyDescent="0.5">
      <c r="A212" s="60">
        <v>2007</v>
      </c>
      <c r="B212" s="60" t="s">
        <v>36</v>
      </c>
      <c r="C212" s="60" t="s">
        <v>463</v>
      </c>
      <c r="D212" s="60">
        <v>5554</v>
      </c>
      <c r="E212" s="60">
        <v>1108</v>
      </c>
      <c r="F212" s="60">
        <v>324</v>
      </c>
      <c r="G212" s="60">
        <v>23</v>
      </c>
      <c r="H212" s="60">
        <v>123</v>
      </c>
      <c r="I212" s="60">
        <v>507</v>
      </c>
      <c r="J212" s="60">
        <v>40</v>
      </c>
      <c r="K212" s="60">
        <v>3429</v>
      </c>
      <c r="L212" s="58">
        <v>6161</v>
      </c>
      <c r="M212" s="58">
        <v>1006</v>
      </c>
      <c r="N212" s="58">
        <v>289</v>
      </c>
      <c r="O212" s="58">
        <v>34</v>
      </c>
      <c r="P212" s="58">
        <v>151</v>
      </c>
      <c r="Q212" s="58">
        <v>477</v>
      </c>
      <c r="R212" s="58">
        <v>51</v>
      </c>
      <c r="S212" s="58">
        <v>4153</v>
      </c>
    </row>
    <row r="213" spans="1:19" x14ac:dyDescent="0.5">
      <c r="A213" s="60">
        <v>2007</v>
      </c>
      <c r="B213" s="60" t="s">
        <v>39</v>
      </c>
      <c r="C213" s="60" t="s">
        <v>464</v>
      </c>
      <c r="D213" s="60">
        <v>5398</v>
      </c>
      <c r="E213" s="60">
        <v>853</v>
      </c>
      <c r="F213" s="60">
        <v>286</v>
      </c>
      <c r="G213" s="60">
        <v>40</v>
      </c>
      <c r="H213" s="60">
        <v>171</v>
      </c>
      <c r="I213" s="60">
        <v>532</v>
      </c>
      <c r="J213" s="60">
        <v>57</v>
      </c>
      <c r="K213" s="60">
        <v>3459</v>
      </c>
      <c r="L213" s="58">
        <v>6216</v>
      </c>
      <c r="M213" s="58">
        <v>950</v>
      </c>
      <c r="N213" s="58">
        <v>293</v>
      </c>
      <c r="O213" s="58">
        <v>34</v>
      </c>
      <c r="P213" s="58">
        <v>169</v>
      </c>
      <c r="Q213" s="58">
        <v>546</v>
      </c>
      <c r="R213" s="58">
        <v>61</v>
      </c>
      <c r="S213" s="58">
        <v>4163</v>
      </c>
    </row>
    <row r="214" spans="1:19" x14ac:dyDescent="0.5">
      <c r="A214" s="60">
        <v>2007</v>
      </c>
      <c r="B214" s="60" t="s">
        <v>41</v>
      </c>
      <c r="C214" s="60" t="s">
        <v>465</v>
      </c>
      <c r="D214" s="60">
        <v>5689</v>
      </c>
      <c r="E214" s="60">
        <v>1031</v>
      </c>
      <c r="F214" s="60">
        <v>328</v>
      </c>
      <c r="G214" s="60">
        <v>27</v>
      </c>
      <c r="H214" s="60">
        <v>176</v>
      </c>
      <c r="I214" s="60">
        <v>534</v>
      </c>
      <c r="J214" s="60">
        <v>49</v>
      </c>
      <c r="K214" s="60">
        <v>3544</v>
      </c>
      <c r="L214" s="58">
        <v>6263</v>
      </c>
      <c r="M214" s="58">
        <v>959</v>
      </c>
      <c r="N214" s="58">
        <v>272</v>
      </c>
      <c r="O214" s="58">
        <v>39</v>
      </c>
      <c r="P214" s="58">
        <v>172</v>
      </c>
      <c r="Q214" s="58">
        <v>537</v>
      </c>
      <c r="R214" s="58">
        <v>42</v>
      </c>
      <c r="S214" s="58">
        <v>4242</v>
      </c>
    </row>
    <row r="215" spans="1:19" x14ac:dyDescent="0.5">
      <c r="A215" s="60">
        <v>2007</v>
      </c>
      <c r="B215" s="60" t="s">
        <v>44</v>
      </c>
      <c r="C215" s="60" t="s">
        <v>466</v>
      </c>
      <c r="D215" s="60">
        <v>5631</v>
      </c>
      <c r="E215" s="60">
        <v>1051</v>
      </c>
      <c r="F215" s="60">
        <v>306</v>
      </c>
      <c r="G215" s="60">
        <v>30</v>
      </c>
      <c r="H215" s="60">
        <v>142</v>
      </c>
      <c r="I215" s="60">
        <v>500</v>
      </c>
      <c r="J215" s="60">
        <v>47</v>
      </c>
      <c r="K215" s="60">
        <v>3555</v>
      </c>
      <c r="L215" s="58">
        <v>6418</v>
      </c>
      <c r="M215" s="58">
        <v>1030</v>
      </c>
      <c r="N215" s="58">
        <v>283</v>
      </c>
      <c r="O215" s="58">
        <v>17</v>
      </c>
      <c r="P215" s="58">
        <v>161</v>
      </c>
      <c r="Q215" s="58">
        <v>696</v>
      </c>
      <c r="R215" s="58">
        <v>72</v>
      </c>
      <c r="S215" s="58">
        <v>4159</v>
      </c>
    </row>
    <row r="216" spans="1:19" x14ac:dyDescent="0.5">
      <c r="A216" s="60">
        <v>2007</v>
      </c>
      <c r="B216" s="60" t="s">
        <v>46</v>
      </c>
      <c r="C216" s="60" t="s">
        <v>467</v>
      </c>
      <c r="D216" s="60">
        <v>5589</v>
      </c>
      <c r="E216" s="60">
        <v>1008</v>
      </c>
      <c r="F216" s="60">
        <v>352</v>
      </c>
      <c r="G216" s="60">
        <v>35</v>
      </c>
      <c r="H216" s="60">
        <v>166</v>
      </c>
      <c r="I216" s="60">
        <v>689</v>
      </c>
      <c r="J216" s="60">
        <v>64</v>
      </c>
      <c r="K216" s="60">
        <v>3275</v>
      </c>
      <c r="L216" s="58">
        <v>6071</v>
      </c>
      <c r="M216" s="58">
        <v>884</v>
      </c>
      <c r="N216" s="58">
        <v>295</v>
      </c>
      <c r="O216" s="58">
        <v>20</v>
      </c>
      <c r="P216" s="58">
        <v>151</v>
      </c>
      <c r="Q216" s="58">
        <v>482</v>
      </c>
      <c r="R216" s="58">
        <v>62</v>
      </c>
      <c r="S216" s="58">
        <v>4177</v>
      </c>
    </row>
    <row r="217" spans="1:19" x14ac:dyDescent="0.5">
      <c r="A217" s="60">
        <v>2007</v>
      </c>
      <c r="B217" s="60" t="s">
        <v>50</v>
      </c>
      <c r="C217" s="60" t="s">
        <v>468</v>
      </c>
      <c r="D217" s="60">
        <v>5643</v>
      </c>
      <c r="E217" s="60">
        <v>1011</v>
      </c>
      <c r="F217" s="60">
        <v>340</v>
      </c>
      <c r="G217" s="60">
        <v>28</v>
      </c>
      <c r="H217" s="60">
        <v>151</v>
      </c>
      <c r="I217" s="60">
        <v>500</v>
      </c>
      <c r="J217" s="60">
        <v>40</v>
      </c>
      <c r="K217" s="60">
        <v>3573</v>
      </c>
      <c r="L217" s="58">
        <v>6186</v>
      </c>
      <c r="M217" s="58">
        <v>866</v>
      </c>
      <c r="N217" s="58">
        <v>280</v>
      </c>
      <c r="O217" s="58">
        <v>29</v>
      </c>
      <c r="P217" s="58">
        <v>165</v>
      </c>
      <c r="Q217" s="58">
        <v>573</v>
      </c>
      <c r="R217" s="58">
        <v>59</v>
      </c>
      <c r="S217" s="58">
        <v>4214</v>
      </c>
    </row>
    <row r="218" spans="1:19" x14ac:dyDescent="0.5">
      <c r="A218" s="60">
        <v>2007</v>
      </c>
      <c r="B218" s="60" t="s">
        <v>48</v>
      </c>
      <c r="C218" s="60" t="s">
        <v>469</v>
      </c>
      <c r="D218" s="60">
        <v>5441</v>
      </c>
      <c r="E218" s="60">
        <v>882</v>
      </c>
      <c r="F218" s="60">
        <v>249</v>
      </c>
      <c r="G218" s="60">
        <v>20</v>
      </c>
      <c r="H218" s="60">
        <v>190</v>
      </c>
      <c r="I218" s="60">
        <v>532</v>
      </c>
      <c r="J218" s="60">
        <v>52</v>
      </c>
      <c r="K218" s="60">
        <v>3516</v>
      </c>
      <c r="L218" s="58">
        <v>6293</v>
      </c>
      <c r="M218" s="58">
        <v>1049</v>
      </c>
      <c r="N218" s="58">
        <v>297</v>
      </c>
      <c r="O218" s="58">
        <v>36</v>
      </c>
      <c r="P218" s="58">
        <v>174</v>
      </c>
      <c r="Q218" s="58">
        <v>499</v>
      </c>
      <c r="R218" s="58">
        <v>59</v>
      </c>
      <c r="S218" s="58">
        <v>4179</v>
      </c>
    </row>
    <row r="219" spans="1:19" x14ac:dyDescent="0.5">
      <c r="A219" s="60">
        <v>2007</v>
      </c>
      <c r="B219" s="60" t="s">
        <v>52</v>
      </c>
      <c r="C219" s="60" t="s">
        <v>470</v>
      </c>
      <c r="D219" s="60">
        <v>5607</v>
      </c>
      <c r="E219" s="60">
        <v>976</v>
      </c>
      <c r="F219" s="60">
        <v>293</v>
      </c>
      <c r="G219" s="60">
        <v>23</v>
      </c>
      <c r="H219" s="60">
        <v>204</v>
      </c>
      <c r="I219" s="60">
        <v>536</v>
      </c>
      <c r="J219" s="60">
        <v>66</v>
      </c>
      <c r="K219" s="60">
        <v>3509</v>
      </c>
      <c r="L219" s="58">
        <v>6354</v>
      </c>
      <c r="M219" s="58">
        <v>1036</v>
      </c>
      <c r="N219" s="58">
        <v>345</v>
      </c>
      <c r="O219" s="58">
        <v>26</v>
      </c>
      <c r="P219" s="58">
        <v>198</v>
      </c>
      <c r="Q219" s="58">
        <v>482</v>
      </c>
      <c r="R219" s="58">
        <v>73</v>
      </c>
      <c r="S219" s="58">
        <v>4194</v>
      </c>
    </row>
    <row r="220" spans="1:19" x14ac:dyDescent="0.5">
      <c r="A220" s="60">
        <v>2007</v>
      </c>
      <c r="B220" s="60" t="s">
        <v>54</v>
      </c>
      <c r="C220" s="60" t="s">
        <v>471</v>
      </c>
      <c r="D220" s="60">
        <v>5604</v>
      </c>
      <c r="E220" s="60">
        <v>994</v>
      </c>
      <c r="F220" s="60">
        <v>305</v>
      </c>
      <c r="G220" s="60">
        <v>27</v>
      </c>
      <c r="H220" s="60">
        <v>178</v>
      </c>
      <c r="I220" s="60">
        <v>590</v>
      </c>
      <c r="J220" s="60">
        <v>80</v>
      </c>
      <c r="K220" s="60">
        <v>3430</v>
      </c>
      <c r="L220" s="58">
        <v>6206</v>
      </c>
      <c r="M220" s="58">
        <v>1045</v>
      </c>
      <c r="N220" s="58">
        <v>306</v>
      </c>
      <c r="O220" s="58">
        <v>22</v>
      </c>
      <c r="P220" s="58">
        <v>146</v>
      </c>
      <c r="Q220" s="58">
        <v>410</v>
      </c>
      <c r="R220" s="58">
        <v>56</v>
      </c>
      <c r="S220" s="58">
        <v>4221</v>
      </c>
    </row>
    <row r="221" spans="1:19" x14ac:dyDescent="0.5">
      <c r="A221" s="60">
        <v>2007</v>
      </c>
      <c r="B221" s="60" t="s">
        <v>56</v>
      </c>
      <c r="C221" s="60" t="s">
        <v>472</v>
      </c>
      <c r="D221" s="60">
        <v>5691</v>
      </c>
      <c r="E221" s="60">
        <v>1071</v>
      </c>
      <c r="F221" s="60">
        <v>313</v>
      </c>
      <c r="G221" s="60">
        <v>36</v>
      </c>
      <c r="H221" s="60">
        <v>171</v>
      </c>
      <c r="I221" s="60">
        <v>622</v>
      </c>
      <c r="J221" s="60">
        <v>58</v>
      </c>
      <c r="K221" s="60">
        <v>3420</v>
      </c>
      <c r="L221" s="58">
        <v>6293</v>
      </c>
      <c r="M221" s="58">
        <v>990</v>
      </c>
      <c r="N221" s="58">
        <v>298</v>
      </c>
      <c r="O221" s="58">
        <v>45</v>
      </c>
      <c r="P221" s="58">
        <v>164</v>
      </c>
      <c r="Q221" s="58">
        <v>504</v>
      </c>
      <c r="R221" s="58">
        <v>59</v>
      </c>
      <c r="S221" s="58">
        <v>4233</v>
      </c>
    </row>
    <row r="222" spans="1:19" x14ac:dyDescent="0.5">
      <c r="A222" s="60">
        <v>2007</v>
      </c>
      <c r="B222" s="60" t="s">
        <v>58</v>
      </c>
      <c r="C222" s="60" t="s">
        <v>473</v>
      </c>
      <c r="D222" s="60">
        <v>5757</v>
      </c>
      <c r="E222" s="60">
        <v>1073</v>
      </c>
      <c r="F222" s="60">
        <v>352</v>
      </c>
      <c r="G222" s="60">
        <v>50</v>
      </c>
      <c r="H222" s="60">
        <v>177</v>
      </c>
      <c r="I222" s="60">
        <v>474</v>
      </c>
      <c r="J222" s="60">
        <v>56</v>
      </c>
      <c r="K222" s="60">
        <v>3575</v>
      </c>
      <c r="L222" s="58">
        <v>6345</v>
      </c>
      <c r="M222" s="58">
        <v>990</v>
      </c>
      <c r="N222" s="58">
        <v>288</v>
      </c>
      <c r="O222" s="58">
        <v>46</v>
      </c>
      <c r="P222" s="58">
        <v>174</v>
      </c>
      <c r="Q222" s="58">
        <v>566</v>
      </c>
      <c r="R222" s="58">
        <v>68</v>
      </c>
      <c r="S222" s="58">
        <v>4213</v>
      </c>
    </row>
    <row r="223" spans="1:19" x14ac:dyDescent="0.5">
      <c r="A223" s="60">
        <v>2007</v>
      </c>
      <c r="B223" s="60" t="s">
        <v>60</v>
      </c>
      <c r="C223" s="60" t="s">
        <v>474</v>
      </c>
      <c r="D223" s="60">
        <v>5627</v>
      </c>
      <c r="E223" s="60">
        <v>925</v>
      </c>
      <c r="F223" s="60">
        <v>340</v>
      </c>
      <c r="G223" s="60">
        <v>38</v>
      </c>
      <c r="H223" s="60">
        <v>201</v>
      </c>
      <c r="I223" s="60">
        <v>521</v>
      </c>
      <c r="J223" s="60">
        <v>82</v>
      </c>
      <c r="K223" s="60">
        <v>3520</v>
      </c>
      <c r="L223" s="58">
        <v>6544</v>
      </c>
      <c r="M223" s="58">
        <v>1108</v>
      </c>
      <c r="N223" s="58">
        <v>302</v>
      </c>
      <c r="O223" s="58">
        <v>31</v>
      </c>
      <c r="P223" s="58">
        <v>176</v>
      </c>
      <c r="Q223" s="58">
        <v>661</v>
      </c>
      <c r="R223" s="58">
        <v>76</v>
      </c>
      <c r="S223" s="58">
        <v>4190</v>
      </c>
    </row>
    <row r="224" spans="1:19" x14ac:dyDescent="0.5">
      <c r="A224" s="60">
        <v>2007</v>
      </c>
      <c r="B224" s="60" t="s">
        <v>62</v>
      </c>
      <c r="C224" s="60" t="s">
        <v>475</v>
      </c>
      <c r="D224" s="60">
        <v>5605</v>
      </c>
      <c r="E224" s="60">
        <v>967</v>
      </c>
      <c r="F224" s="60">
        <v>293</v>
      </c>
      <c r="G224" s="60">
        <v>30</v>
      </c>
      <c r="H224" s="60">
        <v>167</v>
      </c>
      <c r="I224" s="60">
        <v>547</v>
      </c>
      <c r="J224" s="60">
        <v>55</v>
      </c>
      <c r="K224" s="60">
        <v>3546</v>
      </c>
      <c r="L224" s="58">
        <v>6417</v>
      </c>
      <c r="M224" s="58">
        <v>978</v>
      </c>
      <c r="N224" s="58">
        <v>345</v>
      </c>
      <c r="O224" s="58">
        <v>37</v>
      </c>
      <c r="P224" s="58">
        <v>206</v>
      </c>
      <c r="Q224" s="58">
        <v>510</v>
      </c>
      <c r="R224" s="58">
        <v>63</v>
      </c>
      <c r="S224" s="58">
        <v>4278</v>
      </c>
    </row>
    <row r="225" spans="1:19" x14ac:dyDescent="0.5">
      <c r="A225" s="60">
        <v>2007</v>
      </c>
      <c r="B225" s="60" t="s">
        <v>64</v>
      </c>
      <c r="C225" s="60" t="s">
        <v>476</v>
      </c>
      <c r="D225" s="60">
        <v>5534</v>
      </c>
      <c r="E225" s="60">
        <v>999</v>
      </c>
      <c r="F225" s="60">
        <v>300</v>
      </c>
      <c r="G225" s="60">
        <v>46</v>
      </c>
      <c r="H225" s="60">
        <v>102</v>
      </c>
      <c r="I225" s="60">
        <v>428</v>
      </c>
      <c r="J225" s="60">
        <v>89</v>
      </c>
      <c r="K225" s="60">
        <v>3570</v>
      </c>
      <c r="L225" s="58">
        <v>6253</v>
      </c>
      <c r="M225" s="58">
        <v>969</v>
      </c>
      <c r="N225" s="58">
        <v>380</v>
      </c>
      <c r="O225" s="58">
        <v>30</v>
      </c>
      <c r="P225" s="58">
        <v>168</v>
      </c>
      <c r="Q225" s="58">
        <v>520</v>
      </c>
      <c r="R225" s="58">
        <v>41</v>
      </c>
      <c r="S225" s="58">
        <v>4145</v>
      </c>
    </row>
    <row r="226" spans="1:19" x14ac:dyDescent="0.5">
      <c r="A226" s="60">
        <v>2007</v>
      </c>
      <c r="B226" s="60" t="s">
        <v>66</v>
      </c>
      <c r="C226" s="60" t="s">
        <v>477</v>
      </c>
      <c r="D226" s="60">
        <v>5614</v>
      </c>
      <c r="E226" s="60">
        <v>1104</v>
      </c>
      <c r="F226" s="60">
        <v>276</v>
      </c>
      <c r="G226" s="60">
        <v>35</v>
      </c>
      <c r="H226" s="60">
        <v>129</v>
      </c>
      <c r="I226" s="60">
        <v>511</v>
      </c>
      <c r="J226" s="60">
        <v>41</v>
      </c>
      <c r="K226" s="60">
        <v>3518</v>
      </c>
      <c r="L226" s="58">
        <v>6196</v>
      </c>
      <c r="M226" s="58">
        <v>996</v>
      </c>
      <c r="N226" s="58">
        <v>279</v>
      </c>
      <c r="O226" s="58">
        <v>22</v>
      </c>
      <c r="P226" s="58">
        <v>146</v>
      </c>
      <c r="Q226" s="58">
        <v>518</v>
      </c>
      <c r="R226" s="58">
        <v>38</v>
      </c>
      <c r="S226" s="58">
        <v>4197</v>
      </c>
    </row>
    <row r="227" spans="1:19" x14ac:dyDescent="0.5">
      <c r="A227" s="60">
        <v>2007</v>
      </c>
      <c r="B227" s="60" t="s">
        <v>68</v>
      </c>
      <c r="C227" s="60" t="s">
        <v>478</v>
      </c>
      <c r="D227" s="60">
        <v>5554</v>
      </c>
      <c r="E227" s="60">
        <v>877</v>
      </c>
      <c r="F227" s="60">
        <v>310</v>
      </c>
      <c r="G227" s="60">
        <v>37</v>
      </c>
      <c r="H227" s="60">
        <v>231</v>
      </c>
      <c r="I227" s="60">
        <v>501</v>
      </c>
      <c r="J227" s="60">
        <v>76</v>
      </c>
      <c r="K227" s="60">
        <v>3522</v>
      </c>
      <c r="L227" s="58">
        <v>6285</v>
      </c>
      <c r="M227" s="58">
        <v>1005</v>
      </c>
      <c r="N227" s="58">
        <v>321</v>
      </c>
      <c r="O227" s="58">
        <v>26</v>
      </c>
      <c r="P227" s="58">
        <v>161</v>
      </c>
      <c r="Q227" s="58">
        <v>507</v>
      </c>
      <c r="R227" s="58">
        <v>52</v>
      </c>
      <c r="S227" s="58">
        <v>4213</v>
      </c>
    </row>
    <row r="228" spans="1:19" x14ac:dyDescent="0.5">
      <c r="A228" s="60">
        <v>2007</v>
      </c>
      <c r="B228" s="60" t="s">
        <v>70</v>
      </c>
      <c r="C228" s="60" t="s">
        <v>479</v>
      </c>
      <c r="D228" s="60">
        <v>5522</v>
      </c>
      <c r="E228" s="60">
        <v>1033</v>
      </c>
      <c r="F228" s="60">
        <v>273</v>
      </c>
      <c r="G228" s="60">
        <v>36</v>
      </c>
      <c r="H228" s="60">
        <v>118</v>
      </c>
      <c r="I228" s="60">
        <v>512</v>
      </c>
      <c r="J228" s="60">
        <v>48</v>
      </c>
      <c r="K228" s="60">
        <v>3502</v>
      </c>
      <c r="L228" s="58">
        <v>6133</v>
      </c>
      <c r="M228" s="58">
        <v>996</v>
      </c>
      <c r="N228" s="58">
        <v>297</v>
      </c>
      <c r="O228" s="58">
        <v>27</v>
      </c>
      <c r="P228" s="58">
        <v>185</v>
      </c>
      <c r="Q228" s="58">
        <v>420</v>
      </c>
      <c r="R228" s="58">
        <v>51</v>
      </c>
      <c r="S228" s="58">
        <v>4157</v>
      </c>
    </row>
    <row r="229" spans="1:19" x14ac:dyDescent="0.5">
      <c r="A229" s="60">
        <v>2007</v>
      </c>
      <c r="B229" s="60" t="s">
        <v>76</v>
      </c>
      <c r="C229" s="60" t="s">
        <v>480</v>
      </c>
      <c r="D229" s="60">
        <v>5605</v>
      </c>
      <c r="E229" s="60">
        <v>1045</v>
      </c>
      <c r="F229" s="60">
        <v>294</v>
      </c>
      <c r="G229" s="60">
        <v>27</v>
      </c>
      <c r="H229" s="60">
        <v>177</v>
      </c>
      <c r="I229" s="60">
        <v>549</v>
      </c>
      <c r="J229" s="60">
        <v>54</v>
      </c>
      <c r="K229" s="60">
        <v>3459</v>
      </c>
      <c r="L229" s="58">
        <v>6293</v>
      </c>
      <c r="M229" s="58">
        <v>921</v>
      </c>
      <c r="N229" s="58">
        <v>296</v>
      </c>
      <c r="O229" s="58">
        <v>33</v>
      </c>
      <c r="P229" s="58">
        <v>165</v>
      </c>
      <c r="Q229" s="58">
        <v>570</v>
      </c>
      <c r="R229" s="58">
        <v>61</v>
      </c>
      <c r="S229" s="58">
        <v>4247</v>
      </c>
    </row>
    <row r="230" spans="1:19" x14ac:dyDescent="0.5">
      <c r="A230" s="60">
        <v>2007</v>
      </c>
      <c r="B230" s="60" t="s">
        <v>74</v>
      </c>
      <c r="C230" s="60" t="s">
        <v>481</v>
      </c>
      <c r="D230" s="60">
        <v>5717</v>
      </c>
      <c r="E230" s="60">
        <v>1097</v>
      </c>
      <c r="F230" s="60">
        <v>326</v>
      </c>
      <c r="G230" s="60">
        <v>32</v>
      </c>
      <c r="H230" s="60">
        <v>201</v>
      </c>
      <c r="I230" s="60">
        <v>637</v>
      </c>
      <c r="J230" s="60">
        <v>78</v>
      </c>
      <c r="K230" s="60">
        <v>3346</v>
      </c>
      <c r="L230" s="58">
        <v>6308</v>
      </c>
      <c r="M230" s="58">
        <v>994</v>
      </c>
      <c r="N230" s="58">
        <v>327</v>
      </c>
      <c r="O230" s="58">
        <v>27</v>
      </c>
      <c r="P230" s="58">
        <v>150</v>
      </c>
      <c r="Q230" s="58">
        <v>578</v>
      </c>
      <c r="R230" s="58">
        <v>60</v>
      </c>
      <c r="S230" s="58">
        <v>4172</v>
      </c>
    </row>
    <row r="231" spans="1:19" x14ac:dyDescent="0.5">
      <c r="A231" s="60">
        <v>2007</v>
      </c>
      <c r="B231" s="60" t="s">
        <v>78</v>
      </c>
      <c r="C231" s="60" t="s">
        <v>482</v>
      </c>
      <c r="D231" s="60">
        <v>5577</v>
      </c>
      <c r="E231" s="60">
        <v>948</v>
      </c>
      <c r="F231" s="60">
        <v>295</v>
      </c>
      <c r="G231" s="60">
        <v>16</v>
      </c>
      <c r="H231" s="60">
        <v>171</v>
      </c>
      <c r="I231" s="60">
        <v>664</v>
      </c>
      <c r="J231" s="60">
        <v>49</v>
      </c>
      <c r="K231" s="60">
        <v>3434</v>
      </c>
      <c r="L231" s="58">
        <v>6247</v>
      </c>
      <c r="M231" s="58">
        <v>1003</v>
      </c>
      <c r="N231" s="58">
        <v>282</v>
      </c>
      <c r="O231" s="58">
        <v>45</v>
      </c>
      <c r="P231" s="58">
        <v>138</v>
      </c>
      <c r="Q231" s="58">
        <v>530</v>
      </c>
      <c r="R231" s="58">
        <v>43</v>
      </c>
      <c r="S231" s="58">
        <v>4206</v>
      </c>
    </row>
    <row r="232" spans="1:19" x14ac:dyDescent="0.5">
      <c r="A232" s="60">
        <v>2007</v>
      </c>
      <c r="B232" s="60" t="s">
        <v>80</v>
      </c>
      <c r="C232" s="60" t="s">
        <v>483</v>
      </c>
      <c r="D232" s="60">
        <v>5688</v>
      </c>
      <c r="E232" s="60">
        <v>978</v>
      </c>
      <c r="F232" s="60">
        <v>326</v>
      </c>
      <c r="G232" s="60">
        <v>41</v>
      </c>
      <c r="H232" s="60">
        <v>213</v>
      </c>
      <c r="I232" s="60">
        <v>641</v>
      </c>
      <c r="J232" s="60">
        <v>90</v>
      </c>
      <c r="K232" s="60">
        <v>3399</v>
      </c>
      <c r="L232" s="58">
        <v>6385</v>
      </c>
      <c r="M232" s="58">
        <v>986</v>
      </c>
      <c r="N232" s="58">
        <v>345</v>
      </c>
      <c r="O232" s="58">
        <v>26</v>
      </c>
      <c r="P232" s="58">
        <v>198</v>
      </c>
      <c r="Q232" s="58">
        <v>558</v>
      </c>
      <c r="R232" s="58">
        <v>72</v>
      </c>
      <c r="S232" s="58">
        <v>4200</v>
      </c>
    </row>
    <row r="233" spans="1:19" x14ac:dyDescent="0.5">
      <c r="A233" s="60">
        <v>2007</v>
      </c>
      <c r="B233" s="60" t="s">
        <v>82</v>
      </c>
      <c r="C233" s="60" t="s">
        <v>484</v>
      </c>
      <c r="D233" s="60">
        <v>5569</v>
      </c>
      <c r="E233" s="60">
        <v>962</v>
      </c>
      <c r="F233" s="60">
        <v>322</v>
      </c>
      <c r="G233" s="60">
        <v>31</v>
      </c>
      <c r="H233" s="60">
        <v>148</v>
      </c>
      <c r="I233" s="60">
        <v>463</v>
      </c>
      <c r="J233" s="60">
        <v>71</v>
      </c>
      <c r="K233" s="60">
        <v>3572</v>
      </c>
      <c r="L233" s="58">
        <v>6374</v>
      </c>
      <c r="M233" s="58">
        <v>1095</v>
      </c>
      <c r="N233" s="58">
        <v>337</v>
      </c>
      <c r="O233" s="58">
        <v>21</v>
      </c>
      <c r="P233" s="58">
        <v>174</v>
      </c>
      <c r="Q233" s="58">
        <v>518</v>
      </c>
      <c r="R233" s="58">
        <v>76</v>
      </c>
      <c r="S233" s="58">
        <v>4153</v>
      </c>
    </row>
    <row r="234" spans="1:19" x14ac:dyDescent="0.5">
      <c r="A234" s="60">
        <v>2007</v>
      </c>
      <c r="B234" s="60" t="s">
        <v>84</v>
      </c>
      <c r="C234" s="60" t="s">
        <v>485</v>
      </c>
      <c r="D234" s="60">
        <v>5612</v>
      </c>
      <c r="E234" s="60">
        <v>884</v>
      </c>
      <c r="F234" s="60">
        <v>322</v>
      </c>
      <c r="G234" s="60">
        <v>31</v>
      </c>
      <c r="H234" s="60">
        <v>171</v>
      </c>
      <c r="I234" s="60">
        <v>557</v>
      </c>
      <c r="J234" s="60">
        <v>49</v>
      </c>
      <c r="K234" s="60">
        <v>3598</v>
      </c>
      <c r="L234" s="58">
        <v>6254</v>
      </c>
      <c r="M234" s="58">
        <v>979</v>
      </c>
      <c r="N234" s="58">
        <v>270</v>
      </c>
      <c r="O234" s="58">
        <v>38</v>
      </c>
      <c r="P234" s="58">
        <v>119</v>
      </c>
      <c r="Q234" s="58">
        <v>474</v>
      </c>
      <c r="R234" s="58">
        <v>48</v>
      </c>
      <c r="S234" s="58">
        <v>4326</v>
      </c>
    </row>
    <row r="235" spans="1:19" x14ac:dyDescent="0.5">
      <c r="A235" s="60">
        <v>2007</v>
      </c>
      <c r="B235" s="60" t="s">
        <v>86</v>
      </c>
      <c r="C235" s="60" t="s">
        <v>486</v>
      </c>
      <c r="D235" s="60">
        <v>5684</v>
      </c>
      <c r="E235" s="60">
        <v>1170</v>
      </c>
      <c r="F235" s="60">
        <v>284</v>
      </c>
      <c r="G235" s="60">
        <v>22</v>
      </c>
      <c r="H235" s="60">
        <v>153</v>
      </c>
      <c r="I235" s="60">
        <v>389</v>
      </c>
      <c r="J235" s="60">
        <v>62</v>
      </c>
      <c r="K235" s="60">
        <v>3604</v>
      </c>
      <c r="L235" s="58">
        <v>6313</v>
      </c>
      <c r="M235" s="58">
        <v>1066</v>
      </c>
      <c r="N235" s="58">
        <v>331</v>
      </c>
      <c r="O235" s="58">
        <v>34</v>
      </c>
      <c r="P235" s="58">
        <v>147</v>
      </c>
      <c r="Q235" s="58">
        <v>546</v>
      </c>
      <c r="R235" s="58">
        <v>62</v>
      </c>
      <c r="S235" s="58">
        <v>4127</v>
      </c>
    </row>
    <row r="236" spans="1:19" x14ac:dyDescent="0.5">
      <c r="A236" s="60">
        <v>2007</v>
      </c>
      <c r="B236" s="60" t="s">
        <v>88</v>
      </c>
      <c r="C236" s="60" t="s">
        <v>487</v>
      </c>
      <c r="D236" s="60">
        <v>5538</v>
      </c>
      <c r="E236" s="60">
        <v>972</v>
      </c>
      <c r="F236" s="60">
        <v>267</v>
      </c>
      <c r="G236" s="60">
        <v>37</v>
      </c>
      <c r="H236" s="60">
        <v>131</v>
      </c>
      <c r="I236" s="60">
        <v>532</v>
      </c>
      <c r="J236" s="60">
        <v>39</v>
      </c>
      <c r="K236" s="60">
        <v>3560</v>
      </c>
      <c r="L236" s="58">
        <v>6299</v>
      </c>
      <c r="M236" s="58">
        <v>948</v>
      </c>
      <c r="N236" s="58">
        <v>320</v>
      </c>
      <c r="O236" s="58">
        <v>41</v>
      </c>
      <c r="P236" s="58">
        <v>133</v>
      </c>
      <c r="Q236" s="58">
        <v>593</v>
      </c>
      <c r="R236" s="58">
        <v>47</v>
      </c>
      <c r="S236" s="58">
        <v>4217</v>
      </c>
    </row>
    <row r="237" spans="1:19" x14ac:dyDescent="0.5">
      <c r="A237" s="60">
        <v>2007</v>
      </c>
      <c r="B237" s="60" t="s">
        <v>90</v>
      </c>
      <c r="C237" s="60" t="s">
        <v>488</v>
      </c>
      <c r="D237" s="60">
        <v>5529</v>
      </c>
      <c r="E237" s="60">
        <v>1080</v>
      </c>
      <c r="F237" s="60">
        <v>279</v>
      </c>
      <c r="G237" s="60">
        <v>13</v>
      </c>
      <c r="H237" s="60">
        <v>141</v>
      </c>
      <c r="I237" s="60">
        <v>506</v>
      </c>
      <c r="J237" s="60">
        <v>54</v>
      </c>
      <c r="K237" s="60">
        <v>3456</v>
      </c>
      <c r="L237" s="58">
        <v>6283</v>
      </c>
      <c r="M237" s="58">
        <v>989</v>
      </c>
      <c r="N237" s="58">
        <v>319</v>
      </c>
      <c r="O237" s="58">
        <v>38</v>
      </c>
      <c r="P237" s="58">
        <v>168</v>
      </c>
      <c r="Q237" s="58">
        <v>509</v>
      </c>
      <c r="R237" s="58">
        <v>73</v>
      </c>
      <c r="S237" s="58">
        <v>4187</v>
      </c>
    </row>
    <row r="238" spans="1:19" x14ac:dyDescent="0.5">
      <c r="A238" s="60">
        <v>2007</v>
      </c>
      <c r="B238" s="60" t="s">
        <v>92</v>
      </c>
      <c r="C238" s="60" t="s">
        <v>489</v>
      </c>
      <c r="D238" s="60">
        <v>5593</v>
      </c>
      <c r="E238" s="60">
        <v>986</v>
      </c>
      <c r="F238" s="60">
        <v>291</v>
      </c>
      <c r="G238" s="60">
        <v>36</v>
      </c>
      <c r="H238" s="60">
        <v>187</v>
      </c>
      <c r="I238" s="60">
        <v>545</v>
      </c>
      <c r="J238" s="60">
        <v>53</v>
      </c>
      <c r="K238" s="60">
        <v>3495</v>
      </c>
      <c r="L238" s="58">
        <v>6403</v>
      </c>
      <c r="M238" s="58">
        <v>1078</v>
      </c>
      <c r="N238" s="58">
        <v>334</v>
      </c>
      <c r="O238" s="58">
        <v>38</v>
      </c>
      <c r="P238" s="58">
        <v>199</v>
      </c>
      <c r="Q238" s="58">
        <v>568</v>
      </c>
      <c r="R238" s="58">
        <v>63</v>
      </c>
      <c r="S238" s="58">
        <v>4123</v>
      </c>
    </row>
    <row r="239" spans="1:19" x14ac:dyDescent="0.5">
      <c r="A239" s="60">
        <v>2007</v>
      </c>
      <c r="B239" s="60" t="s">
        <v>94</v>
      </c>
      <c r="C239" s="60" t="s">
        <v>490</v>
      </c>
      <c r="D239" s="60">
        <v>5555</v>
      </c>
      <c r="E239" s="60">
        <v>947</v>
      </c>
      <c r="F239" s="60">
        <v>298</v>
      </c>
      <c r="G239" s="60">
        <v>36</v>
      </c>
      <c r="H239" s="60">
        <v>179</v>
      </c>
      <c r="I239" s="60">
        <v>503</v>
      </c>
      <c r="J239" s="60">
        <v>56</v>
      </c>
      <c r="K239" s="60">
        <v>3536</v>
      </c>
      <c r="L239" s="58">
        <v>6389</v>
      </c>
      <c r="M239" s="58">
        <v>1031</v>
      </c>
      <c r="N239" s="58">
        <v>314</v>
      </c>
      <c r="O239" s="58">
        <v>25</v>
      </c>
      <c r="P239" s="58">
        <v>155</v>
      </c>
      <c r="Q239" s="58">
        <v>668</v>
      </c>
      <c r="R239" s="58">
        <v>70</v>
      </c>
      <c r="S239" s="58">
        <v>4126</v>
      </c>
    </row>
    <row r="240" spans="1:19" x14ac:dyDescent="0.5">
      <c r="A240" s="60">
        <v>2007</v>
      </c>
      <c r="B240" s="60" t="s">
        <v>96</v>
      </c>
      <c r="C240" s="60" t="s">
        <v>491</v>
      </c>
      <c r="D240" s="60">
        <v>5536</v>
      </c>
      <c r="E240" s="60">
        <v>901</v>
      </c>
      <c r="F240" s="60">
        <v>344</v>
      </c>
      <c r="G240" s="60">
        <v>24</v>
      </c>
      <c r="H240" s="60">
        <v>165</v>
      </c>
      <c r="I240" s="60">
        <v>533</v>
      </c>
      <c r="J240" s="60">
        <v>47</v>
      </c>
      <c r="K240" s="60">
        <v>3522</v>
      </c>
      <c r="L240" s="58">
        <v>6108</v>
      </c>
      <c r="M240" s="58">
        <v>950</v>
      </c>
      <c r="N240" s="58">
        <v>252</v>
      </c>
      <c r="O240" s="58">
        <v>24</v>
      </c>
      <c r="P240" s="58">
        <v>157</v>
      </c>
      <c r="Q240" s="58">
        <v>479</v>
      </c>
      <c r="R240" s="58">
        <v>55</v>
      </c>
      <c r="S240" s="58">
        <v>4191</v>
      </c>
    </row>
    <row r="241" spans="1:19" x14ac:dyDescent="0.5">
      <c r="A241" s="60">
        <v>2007</v>
      </c>
      <c r="B241" s="60" t="s">
        <v>100</v>
      </c>
      <c r="C241" s="60" t="s">
        <v>492</v>
      </c>
      <c r="D241" s="60">
        <v>5520</v>
      </c>
      <c r="E241" s="60">
        <v>952</v>
      </c>
      <c r="F241" s="60">
        <v>309</v>
      </c>
      <c r="G241" s="60">
        <v>31</v>
      </c>
      <c r="H241" s="60">
        <v>123</v>
      </c>
      <c r="I241" s="60">
        <v>524</v>
      </c>
      <c r="J241" s="60">
        <v>53</v>
      </c>
      <c r="K241" s="60">
        <v>3528</v>
      </c>
      <c r="L241" s="58">
        <v>6333</v>
      </c>
      <c r="M241" s="58">
        <v>988</v>
      </c>
      <c r="N241" s="58">
        <v>300</v>
      </c>
      <c r="O241" s="58">
        <v>27</v>
      </c>
      <c r="P241" s="58">
        <v>187</v>
      </c>
      <c r="Q241" s="58">
        <v>580</v>
      </c>
      <c r="R241" s="58">
        <v>42</v>
      </c>
      <c r="S241" s="58">
        <v>4209</v>
      </c>
    </row>
    <row r="242" spans="1:19" x14ac:dyDescent="0.5">
      <c r="A242" s="60">
        <v>2008</v>
      </c>
      <c r="B242" s="60" t="s">
        <v>36</v>
      </c>
      <c r="C242" s="60" t="s">
        <v>493</v>
      </c>
      <c r="D242" s="60">
        <v>5540</v>
      </c>
      <c r="E242" s="60">
        <v>1028</v>
      </c>
      <c r="F242" s="60">
        <v>274</v>
      </c>
      <c r="G242" s="60">
        <v>25</v>
      </c>
      <c r="H242" s="60">
        <v>159</v>
      </c>
      <c r="I242" s="60">
        <v>481</v>
      </c>
      <c r="J242" s="60">
        <v>52</v>
      </c>
      <c r="K242" s="60">
        <v>3521</v>
      </c>
      <c r="L242" s="58">
        <v>6161</v>
      </c>
      <c r="M242" s="58">
        <v>995</v>
      </c>
      <c r="N242" s="58">
        <v>272</v>
      </c>
      <c r="O242" s="58">
        <v>28</v>
      </c>
      <c r="P242" s="58">
        <v>160</v>
      </c>
      <c r="Q242" s="58">
        <v>457</v>
      </c>
      <c r="R242" s="58">
        <v>63</v>
      </c>
      <c r="S242" s="58">
        <v>4186</v>
      </c>
    </row>
    <row r="243" spans="1:19" x14ac:dyDescent="0.5">
      <c r="A243" s="60">
        <v>2008</v>
      </c>
      <c r="B243" s="60" t="s">
        <v>39</v>
      </c>
      <c r="C243" s="60" t="s">
        <v>494</v>
      </c>
      <c r="D243" s="60">
        <v>5409</v>
      </c>
      <c r="E243" s="60">
        <v>831</v>
      </c>
      <c r="F243" s="60">
        <v>318</v>
      </c>
      <c r="G243" s="60">
        <v>47</v>
      </c>
      <c r="H243" s="60">
        <v>159</v>
      </c>
      <c r="I243" s="60">
        <v>587</v>
      </c>
      <c r="J243" s="60">
        <v>49</v>
      </c>
      <c r="K243" s="60">
        <v>3418</v>
      </c>
      <c r="L243" s="58">
        <v>6119</v>
      </c>
      <c r="M243" s="58">
        <v>950</v>
      </c>
      <c r="N243" s="58">
        <v>276</v>
      </c>
      <c r="O243" s="58">
        <v>30</v>
      </c>
      <c r="P243" s="58">
        <v>147</v>
      </c>
      <c r="Q243" s="58">
        <v>451</v>
      </c>
      <c r="R243" s="58">
        <v>68</v>
      </c>
      <c r="S243" s="58">
        <v>4197</v>
      </c>
    </row>
    <row r="244" spans="1:19" x14ac:dyDescent="0.5">
      <c r="A244" s="60">
        <v>2008</v>
      </c>
      <c r="B244" s="60" t="s">
        <v>41</v>
      </c>
      <c r="C244" s="60" t="s">
        <v>495</v>
      </c>
      <c r="D244" s="60">
        <v>5604</v>
      </c>
      <c r="E244" s="60">
        <v>1035</v>
      </c>
      <c r="F244" s="60">
        <v>316</v>
      </c>
      <c r="G244" s="60">
        <v>33</v>
      </c>
      <c r="H244" s="60">
        <v>130</v>
      </c>
      <c r="I244" s="60">
        <v>618</v>
      </c>
      <c r="J244" s="60">
        <v>42</v>
      </c>
      <c r="K244" s="60">
        <v>3430</v>
      </c>
      <c r="L244" s="58">
        <v>6244</v>
      </c>
      <c r="M244" s="58">
        <v>916</v>
      </c>
      <c r="N244" s="58">
        <v>325</v>
      </c>
      <c r="O244" s="58">
        <v>42</v>
      </c>
      <c r="P244" s="58">
        <v>156</v>
      </c>
      <c r="Q244" s="58">
        <v>586</v>
      </c>
      <c r="R244" s="58">
        <v>42</v>
      </c>
      <c r="S244" s="58">
        <v>4177</v>
      </c>
    </row>
    <row r="245" spans="1:19" x14ac:dyDescent="0.5">
      <c r="A245" s="60">
        <v>2008</v>
      </c>
      <c r="B245" s="60" t="s">
        <v>44</v>
      </c>
      <c r="C245" s="60" t="s">
        <v>496</v>
      </c>
      <c r="D245" s="60">
        <v>5559</v>
      </c>
      <c r="E245" s="60">
        <v>962</v>
      </c>
      <c r="F245" s="60">
        <v>322</v>
      </c>
      <c r="G245" s="60">
        <v>30</v>
      </c>
      <c r="H245" s="60">
        <v>172</v>
      </c>
      <c r="I245" s="60">
        <v>533</v>
      </c>
      <c r="J245" s="60">
        <v>42</v>
      </c>
      <c r="K245" s="60">
        <v>3498</v>
      </c>
      <c r="L245" s="58">
        <v>6414</v>
      </c>
      <c r="M245" s="58">
        <v>1052</v>
      </c>
      <c r="N245" s="58">
        <v>279</v>
      </c>
      <c r="O245" s="58">
        <v>23</v>
      </c>
      <c r="P245" s="58">
        <v>184</v>
      </c>
      <c r="Q245" s="58">
        <v>687</v>
      </c>
      <c r="R245" s="58">
        <v>80</v>
      </c>
      <c r="S245" s="58">
        <v>4109</v>
      </c>
    </row>
    <row r="246" spans="1:19" x14ac:dyDescent="0.5">
      <c r="A246" s="60">
        <v>2008</v>
      </c>
      <c r="B246" s="60" t="s">
        <v>46</v>
      </c>
      <c r="C246" s="60" t="s">
        <v>497</v>
      </c>
      <c r="D246" s="60">
        <v>5596</v>
      </c>
      <c r="E246" s="60">
        <v>1006</v>
      </c>
      <c r="F246" s="60">
        <v>353</v>
      </c>
      <c r="G246" s="60">
        <v>33</v>
      </c>
      <c r="H246" s="60">
        <v>173</v>
      </c>
      <c r="I246" s="60">
        <v>646</v>
      </c>
      <c r="J246" s="60">
        <v>70</v>
      </c>
      <c r="K246" s="60">
        <v>3315</v>
      </c>
      <c r="L246" s="58">
        <v>6180</v>
      </c>
      <c r="M246" s="58">
        <v>914</v>
      </c>
      <c r="N246" s="58">
        <v>289</v>
      </c>
      <c r="O246" s="58">
        <v>19</v>
      </c>
      <c r="P246" s="58">
        <v>147</v>
      </c>
      <c r="Q246" s="58">
        <v>548</v>
      </c>
      <c r="R246" s="58">
        <v>68</v>
      </c>
      <c r="S246" s="58">
        <v>4195</v>
      </c>
    </row>
    <row r="247" spans="1:19" x14ac:dyDescent="0.5">
      <c r="A247" s="60">
        <v>2008</v>
      </c>
      <c r="B247" s="60" t="s">
        <v>50</v>
      </c>
      <c r="C247" s="60" t="s">
        <v>498</v>
      </c>
      <c r="D247" s="60">
        <v>5588</v>
      </c>
      <c r="E247" s="60">
        <v>1018</v>
      </c>
      <c r="F247" s="60">
        <v>329</v>
      </c>
      <c r="G247" s="60">
        <v>21</v>
      </c>
      <c r="H247" s="60">
        <v>184</v>
      </c>
      <c r="I247" s="60">
        <v>636</v>
      </c>
      <c r="J247" s="60">
        <v>50</v>
      </c>
      <c r="K247" s="60">
        <v>3350</v>
      </c>
      <c r="L247" s="58">
        <v>6194</v>
      </c>
      <c r="M247" s="58">
        <v>847</v>
      </c>
      <c r="N247" s="58">
        <v>283</v>
      </c>
      <c r="O247" s="58">
        <v>39</v>
      </c>
      <c r="P247" s="58">
        <v>160</v>
      </c>
      <c r="Q247" s="58">
        <v>548</v>
      </c>
      <c r="R247" s="58">
        <v>65</v>
      </c>
      <c r="S247" s="58">
        <v>4252</v>
      </c>
    </row>
    <row r="248" spans="1:19" x14ac:dyDescent="0.5">
      <c r="A248" s="60">
        <v>2008</v>
      </c>
      <c r="B248" s="60" t="s">
        <v>48</v>
      </c>
      <c r="C248" s="60" t="s">
        <v>499</v>
      </c>
      <c r="D248" s="60">
        <v>5553</v>
      </c>
      <c r="E248" s="60">
        <v>914</v>
      </c>
      <c r="F248" s="60">
        <v>296</v>
      </c>
      <c r="G248" s="60">
        <v>13</v>
      </c>
      <c r="H248" s="60">
        <v>235</v>
      </c>
      <c r="I248" s="60">
        <v>540</v>
      </c>
      <c r="J248" s="60">
        <v>63</v>
      </c>
      <c r="K248" s="60">
        <v>3492</v>
      </c>
      <c r="L248" s="58">
        <v>6218</v>
      </c>
      <c r="M248" s="58">
        <v>970</v>
      </c>
      <c r="N248" s="58">
        <v>314</v>
      </c>
      <c r="O248" s="58">
        <v>31</v>
      </c>
      <c r="P248" s="58">
        <v>156</v>
      </c>
      <c r="Q248" s="58">
        <v>460</v>
      </c>
      <c r="R248" s="58">
        <v>48</v>
      </c>
      <c r="S248" s="58">
        <v>4239</v>
      </c>
    </row>
    <row r="249" spans="1:19" x14ac:dyDescent="0.5">
      <c r="A249" s="60">
        <v>2008</v>
      </c>
      <c r="B249" s="60" t="s">
        <v>52</v>
      </c>
      <c r="C249" s="60" t="s">
        <v>500</v>
      </c>
      <c r="D249" s="60">
        <v>5465</v>
      </c>
      <c r="E249" s="60">
        <v>871</v>
      </c>
      <c r="F249" s="60">
        <v>269</v>
      </c>
      <c r="G249" s="60">
        <v>24</v>
      </c>
      <c r="H249" s="60">
        <v>187</v>
      </c>
      <c r="I249" s="60">
        <v>560</v>
      </c>
      <c r="J249" s="60">
        <v>50</v>
      </c>
      <c r="K249" s="60">
        <v>3504</v>
      </c>
      <c r="L249" s="58">
        <v>6352</v>
      </c>
      <c r="M249" s="58">
        <v>990</v>
      </c>
      <c r="N249" s="58">
        <v>322</v>
      </c>
      <c r="O249" s="58">
        <v>29</v>
      </c>
      <c r="P249" s="58">
        <v>201</v>
      </c>
      <c r="Q249" s="58">
        <v>557</v>
      </c>
      <c r="R249" s="58">
        <v>67</v>
      </c>
      <c r="S249" s="58">
        <v>4186</v>
      </c>
    </row>
    <row r="250" spans="1:19" x14ac:dyDescent="0.5">
      <c r="A250" s="60">
        <v>2008</v>
      </c>
      <c r="B250" s="60" t="s">
        <v>54</v>
      </c>
      <c r="C250" s="60" t="s">
        <v>501</v>
      </c>
      <c r="D250" s="60">
        <v>5543</v>
      </c>
      <c r="E250" s="60">
        <v>923</v>
      </c>
      <c r="F250" s="60">
        <v>339</v>
      </c>
      <c r="G250" s="60">
        <v>22</v>
      </c>
      <c r="H250" s="60">
        <v>171</v>
      </c>
      <c r="I250" s="60">
        <v>560</v>
      </c>
      <c r="J250" s="60">
        <v>103</v>
      </c>
      <c r="K250" s="60">
        <v>3425</v>
      </c>
      <c r="L250" s="58">
        <v>6164</v>
      </c>
      <c r="M250" s="58">
        <v>1049</v>
      </c>
      <c r="N250" s="58">
        <v>290</v>
      </c>
      <c r="O250" s="58">
        <v>21</v>
      </c>
      <c r="P250" s="58">
        <v>170</v>
      </c>
      <c r="Q250" s="58">
        <v>444</v>
      </c>
      <c r="R250" s="58">
        <v>51</v>
      </c>
      <c r="S250" s="58">
        <v>4139</v>
      </c>
    </row>
    <row r="251" spans="1:19" x14ac:dyDescent="0.5">
      <c r="A251" s="60">
        <v>2008</v>
      </c>
      <c r="B251" s="60" t="s">
        <v>56</v>
      </c>
      <c r="C251" s="60" t="s">
        <v>502</v>
      </c>
      <c r="D251" s="60">
        <v>5557</v>
      </c>
      <c r="E251" s="60">
        <v>964</v>
      </c>
      <c r="F251" s="60">
        <v>310</v>
      </c>
      <c r="G251" s="60">
        <v>28</v>
      </c>
      <c r="H251" s="60">
        <v>160</v>
      </c>
      <c r="I251" s="60">
        <v>570</v>
      </c>
      <c r="J251" s="60">
        <v>57</v>
      </c>
      <c r="K251" s="60">
        <v>3468</v>
      </c>
      <c r="L251" s="58">
        <v>6338</v>
      </c>
      <c r="M251" s="58">
        <v>1018</v>
      </c>
      <c r="N251" s="58">
        <v>335</v>
      </c>
      <c r="O251" s="58">
        <v>46</v>
      </c>
      <c r="P251" s="58">
        <v>148</v>
      </c>
      <c r="Q251" s="58">
        <v>562</v>
      </c>
      <c r="R251" s="58">
        <v>53</v>
      </c>
      <c r="S251" s="58">
        <v>4176</v>
      </c>
    </row>
    <row r="252" spans="1:19" x14ac:dyDescent="0.5">
      <c r="A252" s="60">
        <v>2008</v>
      </c>
      <c r="B252" s="60" t="s">
        <v>58</v>
      </c>
      <c r="C252" s="60" t="s">
        <v>503</v>
      </c>
      <c r="D252" s="60">
        <v>5641</v>
      </c>
      <c r="E252" s="60">
        <v>995</v>
      </c>
      <c r="F252" s="60">
        <v>293</v>
      </c>
      <c r="G252" s="60">
        <v>41</v>
      </c>
      <c r="H252" s="60">
        <v>200</v>
      </c>
      <c r="I252" s="60">
        <v>572</v>
      </c>
      <c r="J252" s="60">
        <v>44</v>
      </c>
      <c r="K252" s="60">
        <v>3496</v>
      </c>
      <c r="L252" s="58">
        <v>6411</v>
      </c>
      <c r="M252" s="58">
        <v>1002</v>
      </c>
      <c r="N252" s="58">
        <v>334</v>
      </c>
      <c r="O252" s="58">
        <v>33</v>
      </c>
      <c r="P252" s="58">
        <v>172</v>
      </c>
      <c r="Q252" s="58">
        <v>644</v>
      </c>
      <c r="R252" s="58">
        <v>68</v>
      </c>
      <c r="S252" s="58">
        <v>4158</v>
      </c>
    </row>
    <row r="253" spans="1:19" x14ac:dyDescent="0.5">
      <c r="A253" s="60">
        <v>2008</v>
      </c>
      <c r="B253" s="60" t="s">
        <v>60</v>
      </c>
      <c r="C253" s="60" t="s">
        <v>504</v>
      </c>
      <c r="D253" s="60">
        <v>5499</v>
      </c>
      <c r="E253" s="60">
        <v>859</v>
      </c>
      <c r="F253" s="60">
        <v>302</v>
      </c>
      <c r="G253" s="60">
        <v>28</v>
      </c>
      <c r="H253" s="60">
        <v>208</v>
      </c>
      <c r="I253" s="60">
        <v>543</v>
      </c>
      <c r="J253" s="60">
        <v>69</v>
      </c>
      <c r="K253" s="60">
        <v>3490</v>
      </c>
      <c r="L253" s="58">
        <v>6271</v>
      </c>
      <c r="M253" s="58">
        <v>947</v>
      </c>
      <c r="N253" s="58">
        <v>291</v>
      </c>
      <c r="O253" s="58">
        <v>22</v>
      </c>
      <c r="P253" s="58">
        <v>161</v>
      </c>
      <c r="Q253" s="58">
        <v>586</v>
      </c>
      <c r="R253" s="58">
        <v>58</v>
      </c>
      <c r="S253" s="58">
        <v>4206</v>
      </c>
    </row>
    <row r="254" spans="1:19" x14ac:dyDescent="0.5">
      <c r="A254" s="60">
        <v>2008</v>
      </c>
      <c r="B254" s="60" t="s">
        <v>62</v>
      </c>
      <c r="C254" s="60" t="s">
        <v>505</v>
      </c>
      <c r="D254" s="60">
        <v>5451</v>
      </c>
      <c r="E254" s="60">
        <v>959</v>
      </c>
      <c r="F254" s="60">
        <v>284</v>
      </c>
      <c r="G254" s="60">
        <v>22</v>
      </c>
      <c r="H254" s="60">
        <v>167</v>
      </c>
      <c r="I254" s="60">
        <v>449</v>
      </c>
      <c r="J254" s="60">
        <v>52</v>
      </c>
      <c r="K254" s="60">
        <v>3518</v>
      </c>
      <c r="L254" s="58">
        <v>6125</v>
      </c>
      <c r="M254" s="58">
        <v>914</v>
      </c>
      <c r="N254" s="58">
        <v>309</v>
      </c>
      <c r="O254" s="58">
        <v>33</v>
      </c>
      <c r="P254" s="58">
        <v>197</v>
      </c>
      <c r="Q254" s="58">
        <v>492</v>
      </c>
      <c r="R254" s="58">
        <v>50</v>
      </c>
      <c r="S254" s="58">
        <v>4130</v>
      </c>
    </row>
    <row r="255" spans="1:19" x14ac:dyDescent="0.5">
      <c r="A255" s="60">
        <v>2008</v>
      </c>
      <c r="B255" s="60" t="s">
        <v>64</v>
      </c>
      <c r="C255" s="60" t="s">
        <v>506</v>
      </c>
      <c r="D255" s="60">
        <v>5608</v>
      </c>
      <c r="E255" s="60">
        <v>1056</v>
      </c>
      <c r="F255" s="60">
        <v>303</v>
      </c>
      <c r="G255" s="60">
        <v>28</v>
      </c>
      <c r="H255" s="60">
        <v>120</v>
      </c>
      <c r="I255" s="60">
        <v>392</v>
      </c>
      <c r="J255" s="60">
        <v>50</v>
      </c>
      <c r="K255" s="60">
        <v>3659</v>
      </c>
      <c r="L255" s="58">
        <v>6214</v>
      </c>
      <c r="M255" s="58">
        <v>991</v>
      </c>
      <c r="N255" s="58">
        <v>282</v>
      </c>
      <c r="O255" s="58">
        <v>41</v>
      </c>
      <c r="P255" s="58">
        <v>159</v>
      </c>
      <c r="Q255" s="58">
        <v>515</v>
      </c>
      <c r="R255" s="58">
        <v>41</v>
      </c>
      <c r="S255" s="58">
        <v>4185</v>
      </c>
    </row>
    <row r="256" spans="1:19" x14ac:dyDescent="0.5">
      <c r="A256" s="60">
        <v>2008</v>
      </c>
      <c r="B256" s="60" t="s">
        <v>66</v>
      </c>
      <c r="C256" s="60" t="s">
        <v>507</v>
      </c>
      <c r="D256" s="60">
        <v>5506</v>
      </c>
      <c r="E256" s="60">
        <v>1018</v>
      </c>
      <c r="F256" s="60">
        <v>271</v>
      </c>
      <c r="G256" s="60">
        <v>29</v>
      </c>
      <c r="H256" s="60">
        <v>137</v>
      </c>
      <c r="I256" s="60">
        <v>543</v>
      </c>
      <c r="J256" s="60">
        <v>43</v>
      </c>
      <c r="K256" s="60">
        <v>3465</v>
      </c>
      <c r="L256" s="58">
        <v>6127</v>
      </c>
      <c r="M256" s="58">
        <v>971</v>
      </c>
      <c r="N256" s="58">
        <v>259</v>
      </c>
      <c r="O256" s="58">
        <v>28</v>
      </c>
      <c r="P256" s="58">
        <v>123</v>
      </c>
      <c r="Q256" s="58">
        <v>480</v>
      </c>
      <c r="R256" s="58">
        <v>48</v>
      </c>
      <c r="S256" s="58">
        <v>4218</v>
      </c>
    </row>
    <row r="257" spans="1:19" x14ac:dyDescent="0.5">
      <c r="A257" s="60">
        <v>2008</v>
      </c>
      <c r="B257" s="60" t="s">
        <v>68</v>
      </c>
      <c r="C257" s="60" t="s">
        <v>508</v>
      </c>
      <c r="D257" s="60">
        <v>5535</v>
      </c>
      <c r="E257" s="60">
        <v>841</v>
      </c>
      <c r="F257" s="60">
        <v>324</v>
      </c>
      <c r="G257" s="60">
        <v>35</v>
      </c>
      <c r="H257" s="60">
        <v>198</v>
      </c>
      <c r="I257" s="60">
        <v>550</v>
      </c>
      <c r="J257" s="60">
        <v>69</v>
      </c>
      <c r="K257" s="60">
        <v>3518</v>
      </c>
      <c r="L257" s="58">
        <v>6209</v>
      </c>
      <c r="M257" s="58">
        <v>957</v>
      </c>
      <c r="N257" s="58">
        <v>261</v>
      </c>
      <c r="O257" s="58">
        <v>22</v>
      </c>
      <c r="P257" s="58">
        <v>175</v>
      </c>
      <c r="Q257" s="58">
        <v>528</v>
      </c>
      <c r="R257" s="58">
        <v>42</v>
      </c>
      <c r="S257" s="58">
        <v>4224</v>
      </c>
    </row>
    <row r="258" spans="1:19" x14ac:dyDescent="0.5">
      <c r="A258" s="60">
        <v>2008</v>
      </c>
      <c r="B258" s="60" t="s">
        <v>70</v>
      </c>
      <c r="C258" s="60" t="s">
        <v>509</v>
      </c>
      <c r="D258" s="60">
        <v>5641</v>
      </c>
      <c r="E258" s="60">
        <v>1114</v>
      </c>
      <c r="F258" s="60">
        <v>298</v>
      </c>
      <c r="G258" s="60">
        <v>49</v>
      </c>
      <c r="H258" s="60">
        <v>111</v>
      </c>
      <c r="I258" s="60">
        <v>529</v>
      </c>
      <c r="J258" s="60">
        <v>36</v>
      </c>
      <c r="K258" s="60">
        <v>3504</v>
      </c>
      <c r="L258" s="58">
        <v>6221</v>
      </c>
      <c r="M258" s="58">
        <v>1063</v>
      </c>
      <c r="N258" s="58">
        <v>295</v>
      </c>
      <c r="O258" s="58">
        <v>27</v>
      </c>
      <c r="P258" s="58">
        <v>183</v>
      </c>
      <c r="Q258" s="58">
        <v>406</v>
      </c>
      <c r="R258" s="58">
        <v>31</v>
      </c>
      <c r="S258" s="58">
        <v>4216</v>
      </c>
    </row>
    <row r="259" spans="1:19" x14ac:dyDescent="0.5">
      <c r="A259" s="60">
        <v>2008</v>
      </c>
      <c r="B259" s="60" t="s">
        <v>76</v>
      </c>
      <c r="C259" s="60" t="s">
        <v>510</v>
      </c>
      <c r="D259" s="60">
        <v>5606</v>
      </c>
      <c r="E259" s="60">
        <v>1007</v>
      </c>
      <c r="F259" s="60">
        <v>274</v>
      </c>
      <c r="G259" s="60">
        <v>38</v>
      </c>
      <c r="H259" s="60">
        <v>172</v>
      </c>
      <c r="I259" s="60">
        <v>619</v>
      </c>
      <c r="J259" s="60">
        <v>39</v>
      </c>
      <c r="K259" s="60">
        <v>3457</v>
      </c>
      <c r="L259" s="58">
        <v>6338</v>
      </c>
      <c r="M259" s="58">
        <v>966</v>
      </c>
      <c r="N259" s="58">
        <v>264</v>
      </c>
      <c r="O259" s="58">
        <v>22</v>
      </c>
      <c r="P259" s="58">
        <v>163</v>
      </c>
      <c r="Q259" s="58">
        <v>590</v>
      </c>
      <c r="R259" s="58">
        <v>70</v>
      </c>
      <c r="S259" s="58">
        <v>4263</v>
      </c>
    </row>
    <row r="260" spans="1:19" x14ac:dyDescent="0.5">
      <c r="A260" s="60">
        <v>2008</v>
      </c>
      <c r="B260" s="60" t="s">
        <v>74</v>
      </c>
      <c r="C260" s="60" t="s">
        <v>511</v>
      </c>
      <c r="D260" s="60">
        <v>5572</v>
      </c>
      <c r="E260" s="60">
        <v>1023</v>
      </c>
      <c r="F260" s="60">
        <v>289</v>
      </c>
      <c r="G260" s="60">
        <v>20</v>
      </c>
      <c r="H260" s="60">
        <v>180</v>
      </c>
      <c r="I260" s="60">
        <v>535</v>
      </c>
      <c r="J260" s="60">
        <v>80</v>
      </c>
      <c r="K260" s="60">
        <v>3445</v>
      </c>
      <c r="L260" s="58">
        <v>6175</v>
      </c>
      <c r="M260" s="58">
        <v>1022</v>
      </c>
      <c r="N260" s="58">
        <v>288</v>
      </c>
      <c r="O260" s="58">
        <v>25</v>
      </c>
      <c r="P260" s="58">
        <v>143</v>
      </c>
      <c r="Q260" s="58">
        <v>489</v>
      </c>
      <c r="R260" s="58">
        <v>51</v>
      </c>
      <c r="S260" s="58">
        <v>4157</v>
      </c>
    </row>
    <row r="261" spans="1:19" x14ac:dyDescent="0.5">
      <c r="A261" s="60">
        <v>2008</v>
      </c>
      <c r="B261" s="60" t="s">
        <v>78</v>
      </c>
      <c r="C261" s="60" t="s">
        <v>512</v>
      </c>
      <c r="D261" s="60">
        <v>5451</v>
      </c>
      <c r="E261" s="60">
        <v>900</v>
      </c>
      <c r="F261" s="60">
        <v>270</v>
      </c>
      <c r="G261" s="60">
        <v>23</v>
      </c>
      <c r="H261" s="60">
        <v>125</v>
      </c>
      <c r="I261" s="60">
        <v>574</v>
      </c>
      <c r="J261" s="60">
        <v>48</v>
      </c>
      <c r="K261" s="60">
        <v>3511</v>
      </c>
      <c r="L261" s="58">
        <v>6112</v>
      </c>
      <c r="M261" s="58">
        <v>914</v>
      </c>
      <c r="N261" s="58">
        <v>284</v>
      </c>
      <c r="O261" s="58">
        <v>31</v>
      </c>
      <c r="P261" s="58">
        <v>135</v>
      </c>
      <c r="Q261" s="58">
        <v>576</v>
      </c>
      <c r="R261" s="58">
        <v>54</v>
      </c>
      <c r="S261" s="58">
        <v>4118</v>
      </c>
    </row>
    <row r="262" spans="1:19" x14ac:dyDescent="0.5">
      <c r="A262" s="60">
        <v>2008</v>
      </c>
      <c r="B262" s="60" t="s">
        <v>80</v>
      </c>
      <c r="C262" s="60" t="s">
        <v>513</v>
      </c>
      <c r="D262" s="60">
        <v>5509</v>
      </c>
      <c r="E262" s="60">
        <v>866</v>
      </c>
      <c r="F262" s="60">
        <v>291</v>
      </c>
      <c r="G262" s="60">
        <v>36</v>
      </c>
      <c r="H262" s="60">
        <v>214</v>
      </c>
      <c r="I262" s="60">
        <v>586</v>
      </c>
      <c r="J262" s="60">
        <v>67</v>
      </c>
      <c r="K262" s="60">
        <v>3449</v>
      </c>
      <c r="L262" s="58">
        <v>6229</v>
      </c>
      <c r="M262" s="58">
        <v>953</v>
      </c>
      <c r="N262" s="58">
        <v>306</v>
      </c>
      <c r="O262" s="58">
        <v>25</v>
      </c>
      <c r="P262" s="58">
        <v>160</v>
      </c>
      <c r="Q262" s="58">
        <v>533</v>
      </c>
      <c r="R262" s="58">
        <v>57</v>
      </c>
      <c r="S262" s="58">
        <v>4195</v>
      </c>
    </row>
    <row r="263" spans="1:19" x14ac:dyDescent="0.5">
      <c r="A263" s="60">
        <v>2008</v>
      </c>
      <c r="B263" s="60" t="s">
        <v>82</v>
      </c>
      <c r="C263" s="60" t="s">
        <v>514</v>
      </c>
      <c r="D263" s="60">
        <v>5628</v>
      </c>
      <c r="E263" s="60">
        <v>966</v>
      </c>
      <c r="F263" s="60">
        <v>314</v>
      </c>
      <c r="G263" s="60">
        <v>21</v>
      </c>
      <c r="H263" s="60">
        <v>153</v>
      </c>
      <c r="I263" s="60">
        <v>474</v>
      </c>
      <c r="J263" s="60">
        <v>59</v>
      </c>
      <c r="K263" s="60">
        <v>3641</v>
      </c>
      <c r="L263" s="58">
        <v>6528</v>
      </c>
      <c r="M263" s="58">
        <v>1061</v>
      </c>
      <c r="N263" s="58">
        <v>361</v>
      </c>
      <c r="O263" s="58">
        <v>33</v>
      </c>
      <c r="P263" s="58">
        <v>176</v>
      </c>
      <c r="Q263" s="58">
        <v>657</v>
      </c>
      <c r="R263" s="58">
        <v>49</v>
      </c>
      <c r="S263" s="58">
        <v>4191</v>
      </c>
    </row>
    <row r="264" spans="1:19" x14ac:dyDescent="0.5">
      <c r="A264" s="60">
        <v>2008</v>
      </c>
      <c r="B264" s="60" t="s">
        <v>84</v>
      </c>
      <c r="C264" s="60" t="s">
        <v>515</v>
      </c>
      <c r="D264" s="60">
        <v>5568</v>
      </c>
      <c r="E264" s="60">
        <v>945</v>
      </c>
      <c r="F264" s="60">
        <v>264</v>
      </c>
      <c r="G264" s="60">
        <v>27</v>
      </c>
      <c r="H264" s="60">
        <v>154</v>
      </c>
      <c r="I264" s="60">
        <v>518</v>
      </c>
      <c r="J264" s="60">
        <v>53</v>
      </c>
      <c r="K264" s="60">
        <v>3607</v>
      </c>
      <c r="L264" s="58">
        <v>6286</v>
      </c>
      <c r="M264" s="58">
        <v>1011</v>
      </c>
      <c r="N264" s="58">
        <v>261</v>
      </c>
      <c r="O264" s="58">
        <v>29</v>
      </c>
      <c r="P264" s="58">
        <v>165</v>
      </c>
      <c r="Q264" s="58">
        <v>561</v>
      </c>
      <c r="R264" s="58">
        <v>38</v>
      </c>
      <c r="S264" s="58">
        <v>4221</v>
      </c>
    </row>
    <row r="265" spans="1:19" x14ac:dyDescent="0.5">
      <c r="A265" s="60">
        <v>2008</v>
      </c>
      <c r="B265" s="60" t="s">
        <v>86</v>
      </c>
      <c r="C265" s="60" t="s">
        <v>516</v>
      </c>
      <c r="D265" s="60">
        <v>5643</v>
      </c>
      <c r="E265" s="60">
        <v>1069</v>
      </c>
      <c r="F265" s="60">
        <v>285</v>
      </c>
      <c r="G265" s="60">
        <v>20</v>
      </c>
      <c r="H265" s="60">
        <v>124</v>
      </c>
      <c r="I265" s="60">
        <v>417</v>
      </c>
      <c r="J265" s="60">
        <v>38</v>
      </c>
      <c r="K265" s="60">
        <v>3690</v>
      </c>
      <c r="L265" s="58">
        <v>6368</v>
      </c>
      <c r="M265" s="58">
        <v>1012</v>
      </c>
      <c r="N265" s="58">
        <v>351</v>
      </c>
      <c r="O265" s="58">
        <v>20</v>
      </c>
      <c r="P265" s="58">
        <v>161</v>
      </c>
      <c r="Q265" s="58">
        <v>626</v>
      </c>
      <c r="R265" s="58">
        <v>53</v>
      </c>
      <c r="S265" s="58">
        <v>4145</v>
      </c>
    </row>
    <row r="266" spans="1:19" x14ac:dyDescent="0.5">
      <c r="A266" s="60">
        <v>2008</v>
      </c>
      <c r="B266" s="60" t="s">
        <v>88</v>
      </c>
      <c r="C266" s="60" t="s">
        <v>517</v>
      </c>
      <c r="D266" s="60">
        <v>5543</v>
      </c>
      <c r="E266" s="60">
        <v>1010</v>
      </c>
      <c r="F266" s="60">
        <v>311</v>
      </c>
      <c r="G266" s="60">
        <v>37</v>
      </c>
      <c r="H266" s="60">
        <v>94</v>
      </c>
      <c r="I266" s="60">
        <v>452</v>
      </c>
      <c r="J266" s="60">
        <v>48</v>
      </c>
      <c r="K266" s="60">
        <v>3591</v>
      </c>
      <c r="L266" s="58">
        <v>6341</v>
      </c>
      <c r="M266" s="58">
        <v>936</v>
      </c>
      <c r="N266" s="58">
        <v>301</v>
      </c>
      <c r="O266" s="58">
        <v>32</v>
      </c>
      <c r="P266" s="58">
        <v>147</v>
      </c>
      <c r="Q266" s="58">
        <v>652</v>
      </c>
      <c r="R266" s="58">
        <v>70</v>
      </c>
      <c r="S266" s="58">
        <v>4203</v>
      </c>
    </row>
    <row r="267" spans="1:19" x14ac:dyDescent="0.5">
      <c r="A267" s="60">
        <v>2008</v>
      </c>
      <c r="B267" s="60" t="s">
        <v>90</v>
      </c>
      <c r="C267" s="60" t="s">
        <v>518</v>
      </c>
      <c r="D267" s="60">
        <v>5636</v>
      </c>
      <c r="E267" s="60">
        <v>1102</v>
      </c>
      <c r="F267" s="60">
        <v>283</v>
      </c>
      <c r="G267" s="60">
        <v>26</v>
      </c>
      <c r="H267" s="60">
        <v>174</v>
      </c>
      <c r="I267" s="60">
        <v>577</v>
      </c>
      <c r="J267" s="60">
        <v>42</v>
      </c>
      <c r="K267" s="60">
        <v>3432</v>
      </c>
      <c r="L267" s="58">
        <v>6264</v>
      </c>
      <c r="M267" s="58">
        <v>968</v>
      </c>
      <c r="N267" s="58">
        <v>352</v>
      </c>
      <c r="O267" s="58">
        <v>34</v>
      </c>
      <c r="P267" s="58">
        <v>163</v>
      </c>
      <c r="Q267" s="58">
        <v>496</v>
      </c>
      <c r="R267" s="58">
        <v>51</v>
      </c>
      <c r="S267" s="58">
        <v>4200</v>
      </c>
    </row>
    <row r="268" spans="1:19" x14ac:dyDescent="0.5">
      <c r="A268" s="60">
        <v>2008</v>
      </c>
      <c r="B268" s="60" t="s">
        <v>92</v>
      </c>
      <c r="C268" s="60" t="s">
        <v>519</v>
      </c>
      <c r="D268" s="60">
        <v>5541</v>
      </c>
      <c r="E268" s="60">
        <v>942</v>
      </c>
      <c r="F268" s="60">
        <v>284</v>
      </c>
      <c r="G268" s="60">
        <v>37</v>
      </c>
      <c r="H268" s="60">
        <v>180</v>
      </c>
      <c r="I268" s="60">
        <v>626</v>
      </c>
      <c r="J268" s="60">
        <v>68</v>
      </c>
      <c r="K268" s="60">
        <v>3404</v>
      </c>
      <c r="L268" s="58">
        <v>6145</v>
      </c>
      <c r="M268" s="58">
        <v>862</v>
      </c>
      <c r="N268" s="58">
        <v>289</v>
      </c>
      <c r="O268" s="58">
        <v>32</v>
      </c>
      <c r="P268" s="58">
        <v>166</v>
      </c>
      <c r="Q268" s="58">
        <v>526</v>
      </c>
      <c r="R268" s="58">
        <v>46</v>
      </c>
      <c r="S268" s="58">
        <v>4224</v>
      </c>
    </row>
    <row r="269" spans="1:19" x14ac:dyDescent="0.5">
      <c r="A269" s="60">
        <v>2008</v>
      </c>
      <c r="B269" s="60" t="s">
        <v>94</v>
      </c>
      <c r="C269" s="60" t="s">
        <v>520</v>
      </c>
      <c r="D269" s="60">
        <v>5728</v>
      </c>
      <c r="E269" s="60">
        <v>1014</v>
      </c>
      <c r="F269" s="60">
        <v>376</v>
      </c>
      <c r="G269" s="60">
        <v>35</v>
      </c>
      <c r="H269" s="60">
        <v>194</v>
      </c>
      <c r="I269" s="60">
        <v>595</v>
      </c>
      <c r="J269" s="60">
        <v>63</v>
      </c>
      <c r="K269" s="60">
        <v>3451</v>
      </c>
      <c r="L269" s="58">
        <v>6506</v>
      </c>
      <c r="M269" s="58">
        <v>1080</v>
      </c>
      <c r="N269" s="58">
        <v>355</v>
      </c>
      <c r="O269" s="58">
        <v>36</v>
      </c>
      <c r="P269" s="58">
        <v>176</v>
      </c>
      <c r="Q269" s="58">
        <v>625</v>
      </c>
      <c r="R269" s="58">
        <v>72</v>
      </c>
      <c r="S269" s="58">
        <v>4162</v>
      </c>
    </row>
    <row r="270" spans="1:19" x14ac:dyDescent="0.5">
      <c r="A270" s="60">
        <v>2008</v>
      </c>
      <c r="B270" s="60" t="s">
        <v>96</v>
      </c>
      <c r="C270" s="60" t="s">
        <v>521</v>
      </c>
      <c r="D270" s="60">
        <v>5503</v>
      </c>
      <c r="E270" s="60">
        <v>992</v>
      </c>
      <c r="F270" s="60">
        <v>303</v>
      </c>
      <c r="G270" s="60">
        <v>32</v>
      </c>
      <c r="H270" s="60">
        <v>126</v>
      </c>
      <c r="I270" s="60">
        <v>521</v>
      </c>
      <c r="J270" s="60">
        <v>59</v>
      </c>
      <c r="K270" s="60">
        <v>3470</v>
      </c>
      <c r="L270" s="58">
        <v>6067</v>
      </c>
      <c r="M270" s="58">
        <v>884</v>
      </c>
      <c r="N270" s="58">
        <v>281</v>
      </c>
      <c r="O270" s="58">
        <v>31</v>
      </c>
      <c r="P270" s="58">
        <v>134</v>
      </c>
      <c r="Q270" s="58">
        <v>467</v>
      </c>
      <c r="R270" s="58">
        <v>67</v>
      </c>
      <c r="S270" s="58">
        <v>4203</v>
      </c>
    </row>
    <row r="271" spans="1:19" x14ac:dyDescent="0.5">
      <c r="A271" s="60">
        <v>2008</v>
      </c>
      <c r="B271" s="60" t="s">
        <v>100</v>
      </c>
      <c r="C271" s="60" t="s">
        <v>522</v>
      </c>
      <c r="D271" s="60">
        <v>5491</v>
      </c>
      <c r="E271" s="60">
        <v>964</v>
      </c>
      <c r="F271" s="60">
        <v>269</v>
      </c>
      <c r="G271" s="60">
        <v>26</v>
      </c>
      <c r="H271" s="60">
        <v>117</v>
      </c>
      <c r="I271" s="60">
        <v>534</v>
      </c>
      <c r="J271" s="60">
        <v>67</v>
      </c>
      <c r="K271" s="60">
        <v>3514</v>
      </c>
      <c r="L271" s="58">
        <v>6310</v>
      </c>
      <c r="M271" s="58">
        <v>979</v>
      </c>
      <c r="N271" s="58">
        <v>305</v>
      </c>
      <c r="O271" s="58">
        <v>22</v>
      </c>
      <c r="P271" s="58">
        <v>190</v>
      </c>
      <c r="Q271" s="58">
        <v>588</v>
      </c>
      <c r="R271" s="58">
        <v>51</v>
      </c>
      <c r="S271" s="58">
        <v>4175</v>
      </c>
    </row>
    <row r="272" spans="1:19" x14ac:dyDescent="0.5">
      <c r="A272" s="60">
        <v>2009</v>
      </c>
      <c r="B272" s="60" t="s">
        <v>36</v>
      </c>
      <c r="C272" s="60" t="s">
        <v>523</v>
      </c>
      <c r="D272" s="60">
        <v>5622</v>
      </c>
      <c r="E272" s="60">
        <v>1105</v>
      </c>
      <c r="F272" s="60">
        <v>293</v>
      </c>
      <c r="G272" s="60">
        <v>33</v>
      </c>
      <c r="H272" s="60">
        <v>173</v>
      </c>
      <c r="I272" s="60">
        <v>547</v>
      </c>
      <c r="J272" s="60">
        <v>41</v>
      </c>
      <c r="K272" s="60">
        <v>3430</v>
      </c>
      <c r="L272" s="58">
        <v>6252</v>
      </c>
      <c r="M272" s="58">
        <v>1010</v>
      </c>
      <c r="N272" s="58">
        <v>298</v>
      </c>
      <c r="O272" s="58">
        <v>25</v>
      </c>
      <c r="P272" s="58">
        <v>180</v>
      </c>
      <c r="Q272" s="58">
        <v>523</v>
      </c>
      <c r="R272" s="58">
        <v>58</v>
      </c>
      <c r="S272" s="58">
        <v>4158</v>
      </c>
    </row>
    <row r="273" spans="1:19" x14ac:dyDescent="0.5">
      <c r="A273" s="60">
        <v>2009</v>
      </c>
      <c r="B273" s="60" t="s">
        <v>39</v>
      </c>
      <c r="C273" s="60" t="s">
        <v>524</v>
      </c>
      <c r="D273" s="60">
        <v>5565</v>
      </c>
      <c r="E273" s="60">
        <v>883</v>
      </c>
      <c r="F273" s="60">
        <v>307</v>
      </c>
      <c r="G273" s="60">
        <v>45</v>
      </c>
      <c r="H273" s="60">
        <v>173</v>
      </c>
      <c r="I273" s="60">
        <v>571</v>
      </c>
      <c r="J273" s="60">
        <v>37</v>
      </c>
      <c r="K273" s="60">
        <v>3549</v>
      </c>
      <c r="L273" s="58">
        <v>6267</v>
      </c>
      <c r="M273" s="58">
        <v>975</v>
      </c>
      <c r="N273" s="58">
        <v>285</v>
      </c>
      <c r="O273" s="58">
        <v>42</v>
      </c>
      <c r="P273" s="58">
        <v>168</v>
      </c>
      <c r="Q273" s="58">
        <v>525</v>
      </c>
      <c r="R273" s="58">
        <v>53</v>
      </c>
      <c r="S273" s="58">
        <v>4219</v>
      </c>
    </row>
    <row r="274" spans="1:19" x14ac:dyDescent="0.5">
      <c r="A274" s="60">
        <v>2009</v>
      </c>
      <c r="B274" s="60" t="s">
        <v>41</v>
      </c>
      <c r="C274" s="60" t="s">
        <v>525</v>
      </c>
      <c r="D274" s="60">
        <v>5539</v>
      </c>
      <c r="E274" s="60">
        <v>990</v>
      </c>
      <c r="F274" s="60">
        <v>300</v>
      </c>
      <c r="G274" s="60">
        <v>20</v>
      </c>
      <c r="H274" s="60">
        <v>149</v>
      </c>
      <c r="I274" s="60">
        <v>602</v>
      </c>
      <c r="J274" s="60">
        <v>52</v>
      </c>
      <c r="K274" s="60">
        <v>3426</v>
      </c>
      <c r="L274" s="58">
        <v>6208</v>
      </c>
      <c r="M274" s="58">
        <v>936</v>
      </c>
      <c r="N274" s="58">
        <v>295</v>
      </c>
      <c r="O274" s="58">
        <v>49</v>
      </c>
      <c r="P274" s="58">
        <v>119</v>
      </c>
      <c r="Q274" s="58">
        <v>530</v>
      </c>
      <c r="R274" s="58">
        <v>49</v>
      </c>
      <c r="S274" s="58">
        <v>4230</v>
      </c>
    </row>
    <row r="275" spans="1:19" x14ac:dyDescent="0.5">
      <c r="A275" s="60">
        <v>2009</v>
      </c>
      <c r="B275" s="60" t="s">
        <v>44</v>
      </c>
      <c r="C275" s="60" t="s">
        <v>526</v>
      </c>
      <c r="D275" s="60">
        <v>5618</v>
      </c>
      <c r="E275" s="60">
        <v>1022</v>
      </c>
      <c r="F275" s="60">
        <v>307</v>
      </c>
      <c r="G275" s="60">
        <v>19</v>
      </c>
      <c r="H275" s="60">
        <v>160</v>
      </c>
      <c r="I275" s="60">
        <v>517</v>
      </c>
      <c r="J275" s="60">
        <v>39</v>
      </c>
      <c r="K275" s="60">
        <v>3554</v>
      </c>
      <c r="L275" s="58">
        <v>6359</v>
      </c>
      <c r="M275" s="58">
        <v>1031</v>
      </c>
      <c r="N275" s="58">
        <v>356</v>
      </c>
      <c r="O275" s="58">
        <v>28</v>
      </c>
      <c r="P275" s="58">
        <v>218</v>
      </c>
      <c r="Q275" s="58">
        <v>546</v>
      </c>
      <c r="R275" s="58">
        <v>51</v>
      </c>
      <c r="S275" s="58">
        <v>4129</v>
      </c>
    </row>
    <row r="276" spans="1:19" x14ac:dyDescent="0.5">
      <c r="A276" s="60">
        <v>2009</v>
      </c>
      <c r="B276" s="60" t="s">
        <v>46</v>
      </c>
      <c r="C276" s="60" t="s">
        <v>527</v>
      </c>
      <c r="D276" s="60">
        <v>5543</v>
      </c>
      <c r="E276" s="60">
        <v>923</v>
      </c>
      <c r="F276" s="60">
        <v>335</v>
      </c>
      <c r="G276" s="60">
        <v>25</v>
      </c>
      <c r="H276" s="60">
        <v>212</v>
      </c>
      <c r="I276" s="60">
        <v>659</v>
      </c>
      <c r="J276" s="60">
        <v>70</v>
      </c>
      <c r="K276" s="60">
        <v>3319</v>
      </c>
      <c r="L276" s="58">
        <v>6283</v>
      </c>
      <c r="M276" s="58">
        <v>988</v>
      </c>
      <c r="N276" s="58">
        <v>312</v>
      </c>
      <c r="O276" s="58">
        <v>27</v>
      </c>
      <c r="P276" s="58">
        <v>167</v>
      </c>
      <c r="Q276" s="58">
        <v>530</v>
      </c>
      <c r="R276" s="58">
        <v>68</v>
      </c>
      <c r="S276" s="58">
        <v>4191</v>
      </c>
    </row>
    <row r="277" spans="1:19" x14ac:dyDescent="0.5">
      <c r="A277" s="60">
        <v>2009</v>
      </c>
      <c r="B277" s="60" t="s">
        <v>50</v>
      </c>
      <c r="C277" s="60" t="s">
        <v>528</v>
      </c>
      <c r="D277" s="60">
        <v>5486</v>
      </c>
      <c r="E277" s="60">
        <v>915</v>
      </c>
      <c r="F277" s="60">
        <v>293</v>
      </c>
      <c r="G277" s="60">
        <v>29</v>
      </c>
      <c r="H277" s="60">
        <v>161</v>
      </c>
      <c r="I277" s="60">
        <v>592</v>
      </c>
      <c r="J277" s="60">
        <v>59</v>
      </c>
      <c r="K277" s="60">
        <v>3437</v>
      </c>
      <c r="L277" s="58">
        <v>6177</v>
      </c>
      <c r="M277" s="58">
        <v>902</v>
      </c>
      <c r="N277" s="58">
        <v>233</v>
      </c>
      <c r="O277" s="58">
        <v>34</v>
      </c>
      <c r="P277" s="58">
        <v>160</v>
      </c>
      <c r="Q277" s="58">
        <v>586</v>
      </c>
      <c r="R277" s="58">
        <v>59</v>
      </c>
      <c r="S277" s="58">
        <v>4203</v>
      </c>
    </row>
    <row r="278" spans="1:19" x14ac:dyDescent="0.5">
      <c r="A278" s="60">
        <v>2009</v>
      </c>
      <c r="B278" s="60" t="s">
        <v>48</v>
      </c>
      <c r="C278" s="60" t="s">
        <v>529</v>
      </c>
      <c r="D278" s="60">
        <v>5463</v>
      </c>
      <c r="E278" s="60">
        <v>960</v>
      </c>
      <c r="F278" s="60">
        <v>246</v>
      </c>
      <c r="G278" s="60">
        <v>20</v>
      </c>
      <c r="H278" s="60">
        <v>184</v>
      </c>
      <c r="I278" s="60">
        <v>534</v>
      </c>
      <c r="J278" s="60">
        <v>62</v>
      </c>
      <c r="K278" s="60">
        <v>3457</v>
      </c>
      <c r="L278" s="58">
        <v>6155</v>
      </c>
      <c r="M278" s="58">
        <v>955</v>
      </c>
      <c r="N278" s="58">
        <v>291</v>
      </c>
      <c r="O278" s="58">
        <v>23</v>
      </c>
      <c r="P278" s="58">
        <v>169</v>
      </c>
      <c r="Q278" s="58">
        <v>507</v>
      </c>
      <c r="R278" s="58">
        <v>41</v>
      </c>
      <c r="S278" s="58">
        <v>4169</v>
      </c>
    </row>
    <row r="279" spans="1:19" x14ac:dyDescent="0.5">
      <c r="A279" s="60">
        <v>2009</v>
      </c>
      <c r="B279" s="60" t="s">
        <v>52</v>
      </c>
      <c r="C279" s="60" t="s">
        <v>530</v>
      </c>
      <c r="D279" s="60">
        <v>5462</v>
      </c>
      <c r="E279" s="60">
        <v>886</v>
      </c>
      <c r="F279" s="60">
        <v>280</v>
      </c>
      <c r="G279" s="60">
        <v>25</v>
      </c>
      <c r="H279" s="60">
        <v>158</v>
      </c>
      <c r="I279" s="60">
        <v>531</v>
      </c>
      <c r="J279" s="60">
        <v>53</v>
      </c>
      <c r="K279" s="60">
        <v>3529</v>
      </c>
      <c r="L279" s="58">
        <v>6253</v>
      </c>
      <c r="M279" s="58">
        <v>936</v>
      </c>
      <c r="N279" s="58">
        <v>273</v>
      </c>
      <c r="O279" s="58">
        <v>23</v>
      </c>
      <c r="P279" s="58">
        <v>188</v>
      </c>
      <c r="Q279" s="58">
        <v>577</v>
      </c>
      <c r="R279" s="58">
        <v>65</v>
      </c>
      <c r="S279" s="58">
        <v>4191</v>
      </c>
    </row>
    <row r="280" spans="1:19" x14ac:dyDescent="0.5">
      <c r="A280" s="60">
        <v>2009</v>
      </c>
      <c r="B280" s="60" t="s">
        <v>54</v>
      </c>
      <c r="C280" s="60" t="s">
        <v>531</v>
      </c>
      <c r="D280" s="60">
        <v>5568</v>
      </c>
      <c r="E280" s="60">
        <v>965</v>
      </c>
      <c r="F280" s="60">
        <v>314</v>
      </c>
      <c r="G280" s="60">
        <v>28</v>
      </c>
      <c r="H280" s="60">
        <v>161</v>
      </c>
      <c r="I280" s="60">
        <v>582</v>
      </c>
      <c r="J280" s="60">
        <v>81</v>
      </c>
      <c r="K280" s="60">
        <v>3437</v>
      </c>
      <c r="L280" s="58">
        <v>6354</v>
      </c>
      <c r="M280" s="58">
        <v>1049</v>
      </c>
      <c r="N280" s="58">
        <v>311</v>
      </c>
      <c r="O280" s="58">
        <v>27</v>
      </c>
      <c r="P280" s="58">
        <v>183</v>
      </c>
      <c r="Q280" s="58">
        <v>598</v>
      </c>
      <c r="R280" s="58">
        <v>45</v>
      </c>
      <c r="S280" s="58">
        <v>4141</v>
      </c>
    </row>
    <row r="281" spans="1:19" x14ac:dyDescent="0.5">
      <c r="A281" s="60">
        <v>2009</v>
      </c>
      <c r="B281" s="60" t="s">
        <v>56</v>
      </c>
      <c r="C281" s="60" t="s">
        <v>532</v>
      </c>
      <c r="D281" s="60">
        <v>5398</v>
      </c>
      <c r="E281" s="60">
        <v>868</v>
      </c>
      <c r="F281" s="60">
        <v>300</v>
      </c>
      <c r="G281" s="60">
        <v>50</v>
      </c>
      <c r="H281" s="60">
        <v>190</v>
      </c>
      <c r="I281" s="60">
        <v>660</v>
      </c>
      <c r="J281" s="60">
        <v>47</v>
      </c>
      <c r="K281" s="60">
        <v>3283</v>
      </c>
      <c r="L281" s="58">
        <v>6171</v>
      </c>
      <c r="M281" s="58">
        <v>968</v>
      </c>
      <c r="N281" s="58">
        <v>271</v>
      </c>
      <c r="O281" s="58">
        <v>47</v>
      </c>
      <c r="P281" s="58">
        <v>141</v>
      </c>
      <c r="Q281" s="58">
        <v>528</v>
      </c>
      <c r="R281" s="58">
        <v>46</v>
      </c>
      <c r="S281" s="58">
        <v>4170</v>
      </c>
    </row>
    <row r="282" spans="1:19" x14ac:dyDescent="0.5">
      <c r="A282" s="60">
        <v>2009</v>
      </c>
      <c r="B282" s="60" t="s">
        <v>58</v>
      </c>
      <c r="C282" s="60" t="s">
        <v>533</v>
      </c>
      <c r="D282" s="60">
        <v>5540</v>
      </c>
      <c r="E282" s="60">
        <v>980</v>
      </c>
      <c r="F282" s="60">
        <v>245</v>
      </c>
      <c r="G282" s="60">
        <v>35</v>
      </c>
      <c r="H282" s="60">
        <v>183</v>
      </c>
      <c r="I282" s="60">
        <v>540</v>
      </c>
      <c r="J282" s="60">
        <v>61</v>
      </c>
      <c r="K282" s="60">
        <v>3496</v>
      </c>
      <c r="L282" s="58">
        <v>6240</v>
      </c>
      <c r="M282" s="58">
        <v>965</v>
      </c>
      <c r="N282" s="58">
        <v>271</v>
      </c>
      <c r="O282" s="58">
        <v>31</v>
      </c>
      <c r="P282" s="58">
        <v>182</v>
      </c>
      <c r="Q282" s="58">
        <v>594</v>
      </c>
      <c r="R282" s="58">
        <v>41</v>
      </c>
      <c r="S282" s="58">
        <v>4156</v>
      </c>
    </row>
    <row r="283" spans="1:19" x14ac:dyDescent="0.5">
      <c r="A283" s="60">
        <v>2009</v>
      </c>
      <c r="B283" s="60" t="s">
        <v>60</v>
      </c>
      <c r="C283" s="60" t="s">
        <v>534</v>
      </c>
      <c r="D283" s="60">
        <v>5572</v>
      </c>
      <c r="E283" s="60">
        <v>1013</v>
      </c>
      <c r="F283" s="60">
        <v>296</v>
      </c>
      <c r="G283" s="60">
        <v>25</v>
      </c>
      <c r="H283" s="60">
        <v>159</v>
      </c>
      <c r="I283" s="60">
        <v>568</v>
      </c>
      <c r="J283" s="60">
        <v>63</v>
      </c>
      <c r="K283" s="60">
        <v>3448</v>
      </c>
      <c r="L283" s="58">
        <v>6299</v>
      </c>
      <c r="M283" s="58">
        <v>957</v>
      </c>
      <c r="N283" s="58">
        <v>261</v>
      </c>
      <c r="O283" s="58">
        <v>47</v>
      </c>
      <c r="P283" s="58">
        <v>160</v>
      </c>
      <c r="Q283" s="58">
        <v>601</v>
      </c>
      <c r="R283" s="58">
        <v>45</v>
      </c>
      <c r="S283" s="58">
        <v>4228</v>
      </c>
    </row>
    <row r="284" spans="1:19" x14ac:dyDescent="0.5">
      <c r="A284" s="60">
        <v>2009</v>
      </c>
      <c r="B284" s="60" t="s">
        <v>62</v>
      </c>
      <c r="C284" s="60" t="s">
        <v>535</v>
      </c>
      <c r="D284" s="60">
        <v>5436</v>
      </c>
      <c r="E284" s="60">
        <v>971</v>
      </c>
      <c r="F284" s="60">
        <v>270</v>
      </c>
      <c r="G284" s="60">
        <v>32</v>
      </c>
      <c r="H284" s="60">
        <v>142</v>
      </c>
      <c r="I284" s="60">
        <v>448</v>
      </c>
      <c r="J284" s="60">
        <v>43</v>
      </c>
      <c r="K284" s="60">
        <v>3530</v>
      </c>
      <c r="L284" s="58">
        <v>6237</v>
      </c>
      <c r="M284" s="58">
        <v>1002</v>
      </c>
      <c r="N284" s="58">
        <v>305</v>
      </c>
      <c r="O284" s="58">
        <v>38</v>
      </c>
      <c r="P284" s="58">
        <v>176</v>
      </c>
      <c r="Q284" s="58">
        <v>546</v>
      </c>
      <c r="R284" s="58">
        <v>50</v>
      </c>
      <c r="S284" s="58">
        <v>4120</v>
      </c>
    </row>
    <row r="285" spans="1:19" x14ac:dyDescent="0.5">
      <c r="A285" s="60">
        <v>2009</v>
      </c>
      <c r="B285" s="60" t="s">
        <v>64</v>
      </c>
      <c r="C285" s="60" t="s">
        <v>536</v>
      </c>
      <c r="D285" s="60">
        <v>5532</v>
      </c>
      <c r="E285" s="60">
        <v>961</v>
      </c>
      <c r="F285" s="60">
        <v>276</v>
      </c>
      <c r="G285" s="60">
        <v>51</v>
      </c>
      <c r="H285" s="60">
        <v>144</v>
      </c>
      <c r="I285" s="60">
        <v>457</v>
      </c>
      <c r="J285" s="60">
        <v>42</v>
      </c>
      <c r="K285" s="60">
        <v>3601</v>
      </c>
      <c r="L285" s="58">
        <v>6265</v>
      </c>
      <c r="M285" s="58">
        <v>1009</v>
      </c>
      <c r="N285" s="58">
        <v>273</v>
      </c>
      <c r="O285" s="58">
        <v>38</v>
      </c>
      <c r="P285" s="58">
        <v>166</v>
      </c>
      <c r="Q285" s="58">
        <v>600</v>
      </c>
      <c r="R285" s="58">
        <v>51</v>
      </c>
      <c r="S285" s="58">
        <v>4128</v>
      </c>
    </row>
    <row r="286" spans="1:19" x14ac:dyDescent="0.5">
      <c r="A286" s="60">
        <v>2009</v>
      </c>
      <c r="B286" s="60" t="s">
        <v>66</v>
      </c>
      <c r="C286" s="60" t="s">
        <v>537</v>
      </c>
      <c r="D286" s="60">
        <v>5592</v>
      </c>
      <c r="E286" s="60">
        <v>1049</v>
      </c>
      <c r="F286" s="60">
        <v>278</v>
      </c>
      <c r="G286" s="60">
        <v>39</v>
      </c>
      <c r="H286" s="60">
        <v>145</v>
      </c>
      <c r="I286" s="60">
        <v>607</v>
      </c>
      <c r="J286" s="60">
        <v>63</v>
      </c>
      <c r="K286" s="60">
        <v>3411</v>
      </c>
      <c r="L286" s="58">
        <v>6182</v>
      </c>
      <c r="M286" s="58">
        <v>853</v>
      </c>
      <c r="N286" s="58">
        <v>255</v>
      </c>
      <c r="O286" s="58">
        <v>30</v>
      </c>
      <c r="P286" s="58">
        <v>127</v>
      </c>
      <c r="Q286" s="58">
        <v>584</v>
      </c>
      <c r="R286" s="58">
        <v>57</v>
      </c>
      <c r="S286" s="58">
        <v>4276</v>
      </c>
    </row>
    <row r="287" spans="1:19" x14ac:dyDescent="0.5">
      <c r="A287" s="60">
        <v>2009</v>
      </c>
      <c r="B287" s="60" t="s">
        <v>68</v>
      </c>
      <c r="C287" s="60" t="s">
        <v>538</v>
      </c>
      <c r="D287" s="60">
        <v>5510</v>
      </c>
      <c r="E287" s="60">
        <v>947</v>
      </c>
      <c r="F287" s="60">
        <v>281</v>
      </c>
      <c r="G287" s="60">
        <v>37</v>
      </c>
      <c r="H287" s="60">
        <v>182</v>
      </c>
      <c r="I287" s="60">
        <v>610</v>
      </c>
      <c r="J287" s="60">
        <v>71</v>
      </c>
      <c r="K287" s="60">
        <v>3382</v>
      </c>
      <c r="L287" s="58">
        <v>6352</v>
      </c>
      <c r="M287" s="58">
        <v>927</v>
      </c>
      <c r="N287" s="58">
        <v>332</v>
      </c>
      <c r="O287" s="58">
        <v>32</v>
      </c>
      <c r="P287" s="58">
        <v>207</v>
      </c>
      <c r="Q287" s="58">
        <v>607</v>
      </c>
      <c r="R287" s="58">
        <v>65</v>
      </c>
      <c r="S287" s="58">
        <v>4182</v>
      </c>
    </row>
    <row r="288" spans="1:19" x14ac:dyDescent="0.5">
      <c r="A288" s="60">
        <v>2009</v>
      </c>
      <c r="B288" s="60" t="s">
        <v>70</v>
      </c>
      <c r="C288" s="60" t="s">
        <v>539</v>
      </c>
      <c r="D288" s="60">
        <v>5608</v>
      </c>
      <c r="E288" s="60">
        <v>1056</v>
      </c>
      <c r="F288" s="60">
        <v>271</v>
      </c>
      <c r="G288" s="60">
        <v>40</v>
      </c>
      <c r="H288" s="60">
        <v>172</v>
      </c>
      <c r="I288" s="60">
        <v>585</v>
      </c>
      <c r="J288" s="60">
        <v>45</v>
      </c>
      <c r="K288" s="60">
        <v>3439</v>
      </c>
      <c r="L288" s="58">
        <v>6274</v>
      </c>
      <c r="M288" s="58">
        <v>1040</v>
      </c>
      <c r="N288" s="58">
        <v>290</v>
      </c>
      <c r="O288" s="58">
        <v>27</v>
      </c>
      <c r="P288" s="58">
        <v>185</v>
      </c>
      <c r="Q288" s="58">
        <v>466</v>
      </c>
      <c r="R288" s="58">
        <v>58</v>
      </c>
      <c r="S288" s="58">
        <v>4208</v>
      </c>
    </row>
    <row r="289" spans="1:19" x14ac:dyDescent="0.5">
      <c r="A289" s="60">
        <v>2009</v>
      </c>
      <c r="B289" s="60" t="s">
        <v>76</v>
      </c>
      <c r="C289" s="60" t="s">
        <v>540</v>
      </c>
      <c r="D289" s="60">
        <v>5453</v>
      </c>
      <c r="E289" s="60">
        <v>1033</v>
      </c>
      <c r="F289" s="60">
        <v>295</v>
      </c>
      <c r="G289" s="60">
        <v>49</v>
      </c>
      <c r="H289" s="60">
        <v>95</v>
      </c>
      <c r="I289" s="60">
        <v>526</v>
      </c>
      <c r="J289" s="60">
        <v>36</v>
      </c>
      <c r="K289" s="60">
        <v>3419</v>
      </c>
      <c r="L289" s="58">
        <v>6284</v>
      </c>
      <c r="M289" s="58">
        <v>955</v>
      </c>
      <c r="N289" s="58">
        <v>311</v>
      </c>
      <c r="O289" s="58">
        <v>28</v>
      </c>
      <c r="P289" s="58">
        <v>158</v>
      </c>
      <c r="Q289" s="58">
        <v>616</v>
      </c>
      <c r="R289" s="58">
        <v>55</v>
      </c>
      <c r="S289" s="58">
        <v>4161</v>
      </c>
    </row>
    <row r="290" spans="1:19" x14ac:dyDescent="0.5">
      <c r="A290" s="60">
        <v>2009</v>
      </c>
      <c r="B290" s="60" t="s">
        <v>74</v>
      </c>
      <c r="C290" s="60" t="s">
        <v>541</v>
      </c>
      <c r="D290" s="60">
        <v>5660</v>
      </c>
      <c r="E290" s="60">
        <v>1014</v>
      </c>
      <c r="F290" s="60">
        <v>325</v>
      </c>
      <c r="G290" s="60">
        <v>21</v>
      </c>
      <c r="H290" s="60">
        <v>244</v>
      </c>
      <c r="I290" s="60">
        <v>663</v>
      </c>
      <c r="J290" s="60">
        <v>54</v>
      </c>
      <c r="K290" s="60">
        <v>3339</v>
      </c>
      <c r="L290" s="58">
        <v>6247</v>
      </c>
      <c r="M290" s="58">
        <v>907</v>
      </c>
      <c r="N290" s="58">
        <v>274</v>
      </c>
      <c r="O290" s="58">
        <v>24</v>
      </c>
      <c r="P290" s="58">
        <v>181</v>
      </c>
      <c r="Q290" s="58">
        <v>574</v>
      </c>
      <c r="R290" s="58">
        <v>71</v>
      </c>
      <c r="S290" s="58">
        <v>4216</v>
      </c>
    </row>
    <row r="291" spans="1:19" x14ac:dyDescent="0.5">
      <c r="A291" s="60">
        <v>2009</v>
      </c>
      <c r="B291" s="60" t="s">
        <v>78</v>
      </c>
      <c r="C291" s="60" t="s">
        <v>542</v>
      </c>
      <c r="D291" s="60">
        <v>5584</v>
      </c>
      <c r="E291" s="60">
        <v>1001</v>
      </c>
      <c r="F291" s="60">
        <v>307</v>
      </c>
      <c r="G291" s="60">
        <v>21</v>
      </c>
      <c r="H291" s="60">
        <v>135</v>
      </c>
      <c r="I291" s="60">
        <v>527</v>
      </c>
      <c r="J291" s="60">
        <v>50</v>
      </c>
      <c r="K291" s="60">
        <v>3543</v>
      </c>
      <c r="L291" s="58">
        <v>6243</v>
      </c>
      <c r="M291" s="58">
        <v>997</v>
      </c>
      <c r="N291" s="58">
        <v>305</v>
      </c>
      <c r="O291" s="58">
        <v>28</v>
      </c>
      <c r="P291" s="58">
        <v>156</v>
      </c>
      <c r="Q291" s="58">
        <v>523</v>
      </c>
      <c r="R291" s="58">
        <v>36</v>
      </c>
      <c r="S291" s="58">
        <v>4198</v>
      </c>
    </row>
    <row r="292" spans="1:19" x14ac:dyDescent="0.5">
      <c r="A292" s="60">
        <v>2009</v>
      </c>
      <c r="B292" s="60" t="s">
        <v>80</v>
      </c>
      <c r="C292" s="60" t="s">
        <v>543</v>
      </c>
      <c r="D292" s="60">
        <v>5578</v>
      </c>
      <c r="E292" s="60">
        <v>868</v>
      </c>
      <c r="F292" s="60">
        <v>312</v>
      </c>
      <c r="G292" s="60">
        <v>35</v>
      </c>
      <c r="H292" s="60">
        <v>224</v>
      </c>
      <c r="I292" s="60">
        <v>589</v>
      </c>
      <c r="J292" s="60">
        <v>71</v>
      </c>
      <c r="K292" s="60">
        <v>3479</v>
      </c>
      <c r="L292" s="58">
        <v>6263</v>
      </c>
      <c r="M292" s="58">
        <v>970</v>
      </c>
      <c r="N292" s="58">
        <v>296</v>
      </c>
      <c r="O292" s="58">
        <v>24</v>
      </c>
      <c r="P292" s="58">
        <v>189</v>
      </c>
      <c r="Q292" s="58">
        <v>489</v>
      </c>
      <c r="R292" s="58">
        <v>75</v>
      </c>
      <c r="S292" s="58">
        <v>4220</v>
      </c>
    </row>
    <row r="293" spans="1:19" x14ac:dyDescent="0.5">
      <c r="A293" s="60">
        <v>2009</v>
      </c>
      <c r="B293" s="60" t="s">
        <v>82</v>
      </c>
      <c r="C293" s="60" t="s">
        <v>544</v>
      </c>
      <c r="D293" s="60">
        <v>5417</v>
      </c>
      <c r="E293" s="60">
        <v>916</v>
      </c>
      <c r="F293" s="60">
        <v>289</v>
      </c>
      <c r="G293" s="60">
        <v>34</v>
      </c>
      <c r="H293" s="60">
        <v>125</v>
      </c>
      <c r="I293" s="60">
        <v>499</v>
      </c>
      <c r="J293" s="60">
        <v>46</v>
      </c>
      <c r="K293" s="60">
        <v>3508</v>
      </c>
      <c r="L293" s="58">
        <v>6144</v>
      </c>
      <c r="M293" s="58">
        <v>943</v>
      </c>
      <c r="N293" s="58">
        <v>349</v>
      </c>
      <c r="O293" s="58">
        <v>47</v>
      </c>
      <c r="P293" s="58">
        <v>152</v>
      </c>
      <c r="Q293" s="58">
        <v>563</v>
      </c>
      <c r="R293" s="58">
        <v>47</v>
      </c>
      <c r="S293" s="58">
        <v>4043</v>
      </c>
    </row>
    <row r="294" spans="1:19" x14ac:dyDescent="0.5">
      <c r="A294" s="60">
        <v>2009</v>
      </c>
      <c r="B294" s="60" t="s">
        <v>84</v>
      </c>
      <c r="C294" s="60" t="s">
        <v>545</v>
      </c>
      <c r="D294" s="60">
        <v>5425</v>
      </c>
      <c r="E294" s="60">
        <v>878</v>
      </c>
      <c r="F294" s="60">
        <v>265</v>
      </c>
      <c r="G294" s="60">
        <v>31</v>
      </c>
      <c r="H294" s="60">
        <v>141</v>
      </c>
      <c r="I294" s="60">
        <v>586</v>
      </c>
      <c r="J294" s="60">
        <v>57</v>
      </c>
      <c r="K294" s="60">
        <v>3467</v>
      </c>
      <c r="L294" s="58">
        <v>6273</v>
      </c>
      <c r="M294" s="58">
        <v>972</v>
      </c>
      <c r="N294" s="58">
        <v>250</v>
      </c>
      <c r="O294" s="58">
        <v>33</v>
      </c>
      <c r="P294" s="58">
        <v>167</v>
      </c>
      <c r="Q294" s="58">
        <v>603</v>
      </c>
      <c r="R294" s="58">
        <v>45</v>
      </c>
      <c r="S294" s="58">
        <v>4203</v>
      </c>
    </row>
    <row r="295" spans="1:19" x14ac:dyDescent="0.5">
      <c r="A295" s="60">
        <v>2009</v>
      </c>
      <c r="B295" s="60" t="s">
        <v>86</v>
      </c>
      <c r="C295" s="60" t="s">
        <v>546</v>
      </c>
      <c r="D295" s="60">
        <v>5543</v>
      </c>
      <c r="E295" s="60">
        <v>971</v>
      </c>
      <c r="F295" s="60">
        <v>280</v>
      </c>
      <c r="G295" s="60">
        <v>19</v>
      </c>
      <c r="H295" s="60">
        <v>160</v>
      </c>
      <c r="I295" s="60">
        <v>421</v>
      </c>
      <c r="J295" s="60">
        <v>49</v>
      </c>
      <c r="K295" s="60">
        <v>3643</v>
      </c>
      <c r="L295" s="58">
        <v>6159</v>
      </c>
      <c r="M295" s="58">
        <v>912</v>
      </c>
      <c r="N295" s="58">
        <v>259</v>
      </c>
      <c r="O295" s="58">
        <v>16</v>
      </c>
      <c r="P295" s="58">
        <v>172</v>
      </c>
      <c r="Q295" s="58">
        <v>534</v>
      </c>
      <c r="R295" s="58">
        <v>43</v>
      </c>
      <c r="S295" s="58">
        <v>4223</v>
      </c>
    </row>
    <row r="296" spans="1:19" x14ac:dyDescent="0.5">
      <c r="A296" s="60">
        <v>2009</v>
      </c>
      <c r="B296" s="60" t="s">
        <v>88</v>
      </c>
      <c r="C296" s="60" t="s">
        <v>547</v>
      </c>
      <c r="D296" s="60">
        <v>5493</v>
      </c>
      <c r="E296" s="60">
        <v>971</v>
      </c>
      <c r="F296" s="60">
        <v>275</v>
      </c>
      <c r="G296" s="60">
        <v>43</v>
      </c>
      <c r="H296" s="60">
        <v>122</v>
      </c>
      <c r="I296" s="60">
        <v>392</v>
      </c>
      <c r="J296" s="60">
        <v>50</v>
      </c>
      <c r="K296" s="60">
        <v>3640</v>
      </c>
      <c r="L296" s="58">
        <v>6103</v>
      </c>
      <c r="M296" s="58">
        <v>852</v>
      </c>
      <c r="N296" s="58">
        <v>243</v>
      </c>
      <c r="O296" s="58">
        <v>33</v>
      </c>
      <c r="P296" s="58">
        <v>140</v>
      </c>
      <c r="Q296" s="58">
        <v>584</v>
      </c>
      <c r="R296" s="58">
        <v>41</v>
      </c>
      <c r="S296" s="58">
        <v>4210</v>
      </c>
    </row>
    <row r="297" spans="1:19" x14ac:dyDescent="0.5">
      <c r="A297" s="60">
        <v>2009</v>
      </c>
      <c r="B297" s="60" t="s">
        <v>90</v>
      </c>
      <c r="C297" s="60" t="s">
        <v>548</v>
      </c>
      <c r="D297" s="60">
        <v>5465</v>
      </c>
      <c r="E297" s="60">
        <v>953</v>
      </c>
      <c r="F297" s="60">
        <v>294</v>
      </c>
      <c r="G297" s="60">
        <v>29</v>
      </c>
      <c r="H297" s="60">
        <v>160</v>
      </c>
      <c r="I297" s="60">
        <v>528</v>
      </c>
      <c r="J297" s="60">
        <v>61</v>
      </c>
      <c r="K297" s="60">
        <v>3440</v>
      </c>
      <c r="L297" s="58">
        <v>6087</v>
      </c>
      <c r="M297" s="58">
        <v>980</v>
      </c>
      <c r="N297" s="58">
        <v>274</v>
      </c>
      <c r="O297" s="58">
        <v>30</v>
      </c>
      <c r="P297" s="58">
        <v>123</v>
      </c>
      <c r="Q297" s="58">
        <v>460</v>
      </c>
      <c r="R297" s="58">
        <v>53</v>
      </c>
      <c r="S297" s="58">
        <v>4167</v>
      </c>
    </row>
    <row r="298" spans="1:19" x14ac:dyDescent="0.5">
      <c r="A298" s="60">
        <v>2009</v>
      </c>
      <c r="B298" s="60" t="s">
        <v>92</v>
      </c>
      <c r="C298" s="60" t="s">
        <v>549</v>
      </c>
      <c r="D298" s="60">
        <v>5462</v>
      </c>
      <c r="E298" s="60">
        <v>902</v>
      </c>
      <c r="F298" s="60">
        <v>297</v>
      </c>
      <c r="G298" s="60">
        <v>36</v>
      </c>
      <c r="H298" s="60">
        <v>199</v>
      </c>
      <c r="I298" s="60">
        <v>642</v>
      </c>
      <c r="J298" s="60">
        <v>49</v>
      </c>
      <c r="K298" s="60">
        <v>3337</v>
      </c>
      <c r="L298" s="58">
        <v>6146</v>
      </c>
      <c r="M298" s="58">
        <v>927</v>
      </c>
      <c r="N298" s="58">
        <v>287</v>
      </c>
      <c r="O298" s="58">
        <v>24</v>
      </c>
      <c r="P298" s="58">
        <v>183</v>
      </c>
      <c r="Q298" s="58">
        <v>515</v>
      </c>
      <c r="R298" s="58">
        <v>46</v>
      </c>
      <c r="S298" s="58">
        <v>4164</v>
      </c>
    </row>
    <row r="299" spans="1:19" x14ac:dyDescent="0.5">
      <c r="A299" s="60">
        <v>2009</v>
      </c>
      <c r="B299" s="60" t="s">
        <v>94</v>
      </c>
      <c r="C299" s="60" t="s">
        <v>550</v>
      </c>
      <c r="D299" s="60">
        <v>5526</v>
      </c>
      <c r="E299" s="60">
        <v>889</v>
      </c>
      <c r="F299" s="60">
        <v>296</v>
      </c>
      <c r="G299" s="60">
        <v>27</v>
      </c>
      <c r="H299" s="60">
        <v>224</v>
      </c>
      <c r="I299" s="60">
        <v>472</v>
      </c>
      <c r="J299" s="60">
        <v>37</v>
      </c>
      <c r="K299" s="60">
        <v>3581</v>
      </c>
      <c r="L299" s="58">
        <v>6172</v>
      </c>
      <c r="M299" s="58">
        <v>941</v>
      </c>
      <c r="N299" s="58">
        <v>293</v>
      </c>
      <c r="O299" s="58">
        <v>27</v>
      </c>
      <c r="P299" s="58">
        <v>171</v>
      </c>
      <c r="Q299" s="58">
        <v>531</v>
      </c>
      <c r="R299" s="58">
        <v>70</v>
      </c>
      <c r="S299" s="58">
        <v>4139</v>
      </c>
    </row>
    <row r="300" spans="1:19" x14ac:dyDescent="0.5">
      <c r="A300" s="60">
        <v>2009</v>
      </c>
      <c r="B300" s="60" t="s">
        <v>96</v>
      </c>
      <c r="C300" s="60" t="s">
        <v>551</v>
      </c>
      <c r="D300" s="60">
        <v>5696</v>
      </c>
      <c r="E300" s="60">
        <v>955</v>
      </c>
      <c r="F300" s="60">
        <v>339</v>
      </c>
      <c r="G300" s="60">
        <v>13</v>
      </c>
      <c r="H300" s="60">
        <v>209</v>
      </c>
      <c r="I300" s="60">
        <v>548</v>
      </c>
      <c r="J300" s="60">
        <v>45</v>
      </c>
      <c r="K300" s="60">
        <v>3587</v>
      </c>
      <c r="L300" s="58">
        <v>6281</v>
      </c>
      <c r="M300" s="58">
        <v>979</v>
      </c>
      <c r="N300" s="58">
        <v>323</v>
      </c>
      <c r="O300" s="58">
        <v>26</v>
      </c>
      <c r="P300" s="58">
        <v>181</v>
      </c>
      <c r="Q300" s="58">
        <v>551</v>
      </c>
      <c r="R300" s="58">
        <v>58</v>
      </c>
      <c r="S300" s="58">
        <v>4163</v>
      </c>
    </row>
    <row r="301" spans="1:19" x14ac:dyDescent="0.5">
      <c r="A301" s="60">
        <v>2009</v>
      </c>
      <c r="B301" s="60" t="s">
        <v>100</v>
      </c>
      <c r="C301" s="60" t="s">
        <v>552</v>
      </c>
      <c r="D301" s="60">
        <v>5493</v>
      </c>
      <c r="E301" s="60">
        <v>951</v>
      </c>
      <c r="F301" s="60">
        <v>271</v>
      </c>
      <c r="G301" s="60">
        <v>38</v>
      </c>
      <c r="H301" s="60">
        <v>156</v>
      </c>
      <c r="I301" s="60">
        <v>617</v>
      </c>
      <c r="J301" s="60">
        <v>56</v>
      </c>
      <c r="K301" s="60">
        <v>3404</v>
      </c>
      <c r="L301" s="58">
        <v>6349</v>
      </c>
      <c r="M301" s="58">
        <v>958</v>
      </c>
      <c r="N301" s="58">
        <v>361</v>
      </c>
      <c r="O301" s="58">
        <v>41</v>
      </c>
      <c r="P301" s="58">
        <v>173</v>
      </c>
      <c r="Q301" s="58">
        <v>629</v>
      </c>
      <c r="R301" s="58">
        <v>48</v>
      </c>
      <c r="S301" s="58">
        <v>4139</v>
      </c>
    </row>
    <row r="302" spans="1:19" x14ac:dyDescent="0.5">
      <c r="A302" s="60">
        <v>2010</v>
      </c>
      <c r="B302" s="60" t="s">
        <v>36</v>
      </c>
      <c r="C302" s="60" t="s">
        <v>553</v>
      </c>
      <c r="D302" s="60">
        <v>5488</v>
      </c>
      <c r="E302" s="60">
        <v>913</v>
      </c>
      <c r="F302" s="60">
        <v>276</v>
      </c>
      <c r="G302" s="60">
        <v>19</v>
      </c>
      <c r="H302" s="60">
        <v>155</v>
      </c>
      <c r="I302" s="60">
        <v>466</v>
      </c>
      <c r="J302" s="60">
        <v>52</v>
      </c>
      <c r="K302" s="60">
        <v>3607</v>
      </c>
      <c r="L302" s="58">
        <v>6252</v>
      </c>
      <c r="M302" s="58">
        <v>930</v>
      </c>
      <c r="N302" s="58">
        <v>313</v>
      </c>
      <c r="O302" s="58">
        <v>31</v>
      </c>
      <c r="P302" s="58">
        <v>148</v>
      </c>
      <c r="Q302" s="58">
        <v>565</v>
      </c>
      <c r="R302" s="58">
        <v>46</v>
      </c>
      <c r="S302" s="58">
        <v>4219</v>
      </c>
    </row>
    <row r="303" spans="1:19" x14ac:dyDescent="0.5">
      <c r="A303" s="60">
        <v>2010</v>
      </c>
      <c r="B303" s="60" t="s">
        <v>39</v>
      </c>
      <c r="C303" s="60" t="s">
        <v>554</v>
      </c>
      <c r="D303" s="60">
        <v>5473</v>
      </c>
      <c r="E303" s="60">
        <v>851</v>
      </c>
      <c r="F303" s="60">
        <v>301</v>
      </c>
      <c r="G303" s="60">
        <v>34</v>
      </c>
      <c r="H303" s="60">
        <v>180</v>
      </c>
      <c r="I303" s="60">
        <v>589</v>
      </c>
      <c r="J303" s="60">
        <v>39</v>
      </c>
      <c r="K303" s="60">
        <v>3479</v>
      </c>
      <c r="L303" s="58">
        <v>6260</v>
      </c>
      <c r="M303" s="58">
        <v>977</v>
      </c>
      <c r="N303" s="58">
        <v>284</v>
      </c>
      <c r="O303" s="58">
        <v>32</v>
      </c>
      <c r="P303" s="58">
        <v>210</v>
      </c>
      <c r="Q303" s="58">
        <v>548</v>
      </c>
      <c r="R303" s="58">
        <v>58</v>
      </c>
      <c r="S303" s="58">
        <v>4151</v>
      </c>
    </row>
    <row r="304" spans="1:19" x14ac:dyDescent="0.5">
      <c r="A304" s="60">
        <v>2010</v>
      </c>
      <c r="B304" s="60" t="s">
        <v>41</v>
      </c>
      <c r="C304" s="60" t="s">
        <v>555</v>
      </c>
      <c r="D304" s="60">
        <v>5463</v>
      </c>
      <c r="E304" s="60">
        <v>935</v>
      </c>
      <c r="F304" s="60">
        <v>312</v>
      </c>
      <c r="G304" s="60">
        <v>25</v>
      </c>
      <c r="H304" s="60">
        <v>139</v>
      </c>
      <c r="I304" s="60">
        <v>634</v>
      </c>
      <c r="J304" s="60">
        <v>51</v>
      </c>
      <c r="K304" s="60">
        <v>3367</v>
      </c>
      <c r="L304" s="58">
        <v>6052</v>
      </c>
      <c r="M304" s="58">
        <v>906</v>
      </c>
      <c r="N304" s="58">
        <v>262</v>
      </c>
      <c r="O304" s="58">
        <v>32</v>
      </c>
      <c r="P304" s="58">
        <v>126</v>
      </c>
      <c r="Q304" s="58">
        <v>505</v>
      </c>
      <c r="R304" s="58">
        <v>49</v>
      </c>
      <c r="S304" s="58">
        <v>4172</v>
      </c>
    </row>
    <row r="305" spans="1:19" x14ac:dyDescent="0.5">
      <c r="A305" s="60">
        <v>2010</v>
      </c>
      <c r="B305" s="60" t="s">
        <v>44</v>
      </c>
      <c r="C305" s="60" t="s">
        <v>556</v>
      </c>
      <c r="D305" s="60">
        <v>5554</v>
      </c>
      <c r="E305" s="60">
        <v>1022</v>
      </c>
      <c r="F305" s="60">
        <v>264</v>
      </c>
      <c r="G305" s="60">
        <v>21</v>
      </c>
      <c r="H305" s="60">
        <v>133</v>
      </c>
      <c r="I305" s="60">
        <v>424</v>
      </c>
      <c r="J305" s="60">
        <v>54</v>
      </c>
      <c r="K305" s="60">
        <v>3636</v>
      </c>
      <c r="L305" s="58">
        <v>6262</v>
      </c>
      <c r="M305" s="58">
        <v>992</v>
      </c>
      <c r="N305" s="58">
        <v>298</v>
      </c>
      <c r="O305" s="58">
        <v>32</v>
      </c>
      <c r="P305" s="58">
        <v>186</v>
      </c>
      <c r="Q305" s="58">
        <v>520</v>
      </c>
      <c r="R305" s="58">
        <v>59</v>
      </c>
      <c r="S305" s="58">
        <v>4175</v>
      </c>
    </row>
    <row r="306" spans="1:19" x14ac:dyDescent="0.5">
      <c r="A306" s="60">
        <v>2010</v>
      </c>
      <c r="B306" s="60" t="s">
        <v>46</v>
      </c>
      <c r="C306" s="60" t="s">
        <v>557</v>
      </c>
      <c r="D306" s="60">
        <v>5646</v>
      </c>
      <c r="E306" s="60">
        <v>920</v>
      </c>
      <c r="F306" s="60">
        <v>358</v>
      </c>
      <c r="G306" s="60">
        <v>22</v>
      </c>
      <c r="H306" s="60">
        <v>211</v>
      </c>
      <c r="I306" s="60">
        <v>587</v>
      </c>
      <c r="J306" s="60">
        <v>47</v>
      </c>
      <c r="K306" s="60">
        <v>3501</v>
      </c>
      <c r="L306" s="58">
        <v>6267</v>
      </c>
      <c r="M306" s="58">
        <v>917</v>
      </c>
      <c r="N306" s="58">
        <v>308</v>
      </c>
      <c r="O306" s="58">
        <v>25</v>
      </c>
      <c r="P306" s="58">
        <v>152</v>
      </c>
      <c r="Q306" s="58">
        <v>580</v>
      </c>
      <c r="R306" s="58">
        <v>53</v>
      </c>
      <c r="S306" s="58">
        <v>4232</v>
      </c>
    </row>
    <row r="307" spans="1:19" x14ac:dyDescent="0.5">
      <c r="A307" s="60">
        <v>2010</v>
      </c>
      <c r="B307" s="60" t="s">
        <v>50</v>
      </c>
      <c r="C307" s="60" t="s">
        <v>558</v>
      </c>
      <c r="D307" s="60">
        <v>5512</v>
      </c>
      <c r="E307" s="60">
        <v>940</v>
      </c>
      <c r="F307" s="60">
        <v>298</v>
      </c>
      <c r="G307" s="60">
        <v>27</v>
      </c>
      <c r="H307" s="60">
        <v>149</v>
      </c>
      <c r="I307" s="60">
        <v>479</v>
      </c>
      <c r="J307" s="60">
        <v>50</v>
      </c>
      <c r="K307" s="60">
        <v>3569</v>
      </c>
      <c r="L307" s="58">
        <v>6298</v>
      </c>
      <c r="M307" s="58">
        <v>960</v>
      </c>
      <c r="N307" s="58">
        <v>263</v>
      </c>
      <c r="O307" s="58">
        <v>32</v>
      </c>
      <c r="P307" s="58">
        <v>154</v>
      </c>
      <c r="Q307" s="58">
        <v>605</v>
      </c>
      <c r="R307" s="58">
        <v>65</v>
      </c>
      <c r="S307" s="58">
        <v>4219</v>
      </c>
    </row>
    <row r="308" spans="1:19" x14ac:dyDescent="0.5">
      <c r="A308" s="60">
        <v>2010</v>
      </c>
      <c r="B308" s="60" t="s">
        <v>48</v>
      </c>
      <c r="C308" s="60" t="s">
        <v>559</v>
      </c>
      <c r="D308" s="60">
        <v>5484</v>
      </c>
      <c r="E308" s="60">
        <v>1006</v>
      </c>
      <c r="F308" s="60">
        <v>263</v>
      </c>
      <c r="G308" s="60">
        <v>21</v>
      </c>
      <c r="H308" s="60">
        <v>177</v>
      </c>
      <c r="I308" s="60">
        <v>467</v>
      </c>
      <c r="J308" s="60">
        <v>79</v>
      </c>
      <c r="K308" s="60">
        <v>3471</v>
      </c>
      <c r="L308" s="58">
        <v>6180</v>
      </c>
      <c r="M308" s="58">
        <v>1030</v>
      </c>
      <c r="N308" s="58">
        <v>285</v>
      </c>
      <c r="O308" s="58">
        <v>20</v>
      </c>
      <c r="P308" s="58">
        <v>136</v>
      </c>
      <c r="Q308" s="58">
        <v>490</v>
      </c>
      <c r="R308" s="58">
        <v>34</v>
      </c>
      <c r="S308" s="58">
        <v>4185</v>
      </c>
    </row>
    <row r="309" spans="1:19" x14ac:dyDescent="0.5">
      <c r="A309" s="60">
        <v>2010</v>
      </c>
      <c r="B309" s="60" t="s">
        <v>52</v>
      </c>
      <c r="C309" s="60" t="s">
        <v>560</v>
      </c>
      <c r="D309" s="60">
        <v>5579</v>
      </c>
      <c r="E309" s="60">
        <v>1004</v>
      </c>
      <c r="F309" s="60">
        <v>293</v>
      </c>
      <c r="G309" s="60">
        <v>30</v>
      </c>
      <c r="H309" s="60">
        <v>188</v>
      </c>
      <c r="I309" s="60">
        <v>522</v>
      </c>
      <c r="J309" s="60">
        <v>68</v>
      </c>
      <c r="K309" s="60">
        <v>3474</v>
      </c>
      <c r="L309" s="58">
        <v>6182</v>
      </c>
      <c r="M309" s="58">
        <v>952</v>
      </c>
      <c r="N309" s="58">
        <v>276</v>
      </c>
      <c r="O309" s="58">
        <v>18</v>
      </c>
      <c r="P309" s="58">
        <v>158</v>
      </c>
      <c r="Q309" s="58">
        <v>524</v>
      </c>
      <c r="R309" s="58">
        <v>50</v>
      </c>
      <c r="S309" s="58">
        <v>4204</v>
      </c>
    </row>
    <row r="310" spans="1:19" x14ac:dyDescent="0.5">
      <c r="A310" s="60">
        <v>2010</v>
      </c>
      <c r="B310" s="60" t="s">
        <v>54</v>
      </c>
      <c r="C310" s="60" t="s">
        <v>561</v>
      </c>
      <c r="D310" s="60">
        <v>5487</v>
      </c>
      <c r="E310" s="60">
        <v>924</v>
      </c>
      <c r="F310" s="60">
        <v>290</v>
      </c>
      <c r="G310" s="60">
        <v>20</v>
      </c>
      <c r="H310" s="60">
        <v>128</v>
      </c>
      <c r="I310" s="60">
        <v>545</v>
      </c>
      <c r="J310" s="60">
        <v>64</v>
      </c>
      <c r="K310" s="60">
        <v>3516</v>
      </c>
      <c r="L310" s="58">
        <v>6224</v>
      </c>
      <c r="M310" s="58">
        <v>994</v>
      </c>
      <c r="N310" s="58">
        <v>307</v>
      </c>
      <c r="O310" s="58">
        <v>29</v>
      </c>
      <c r="P310" s="58">
        <v>147</v>
      </c>
      <c r="Q310" s="58">
        <v>572</v>
      </c>
      <c r="R310" s="58">
        <v>66</v>
      </c>
      <c r="S310" s="58">
        <v>4109</v>
      </c>
    </row>
    <row r="311" spans="1:19" x14ac:dyDescent="0.5">
      <c r="A311" s="60">
        <v>2010</v>
      </c>
      <c r="B311" s="60" t="s">
        <v>56</v>
      </c>
      <c r="C311" s="60" t="s">
        <v>562</v>
      </c>
      <c r="D311" s="60">
        <v>5530</v>
      </c>
      <c r="E311" s="60">
        <v>955</v>
      </c>
      <c r="F311" s="60">
        <v>270</v>
      </c>
      <c r="G311" s="60">
        <v>54</v>
      </c>
      <c r="H311" s="60">
        <v>173</v>
      </c>
      <c r="I311" s="60">
        <v>585</v>
      </c>
      <c r="J311" s="60">
        <v>47</v>
      </c>
      <c r="K311" s="60">
        <v>3446</v>
      </c>
      <c r="L311" s="58">
        <v>6143</v>
      </c>
      <c r="M311" s="58">
        <v>948</v>
      </c>
      <c r="N311" s="58">
        <v>289</v>
      </c>
      <c r="O311" s="58">
        <v>29</v>
      </c>
      <c r="P311" s="58">
        <v>139</v>
      </c>
      <c r="Q311" s="58">
        <v>525</v>
      </c>
      <c r="R311" s="58">
        <v>56</v>
      </c>
      <c r="S311" s="58">
        <v>4157</v>
      </c>
    </row>
    <row r="312" spans="1:19" x14ac:dyDescent="0.5">
      <c r="A312" s="60">
        <v>2010</v>
      </c>
      <c r="B312" s="60" t="s">
        <v>58</v>
      </c>
      <c r="C312" s="60" t="s">
        <v>563</v>
      </c>
      <c r="D312" s="60">
        <v>5643</v>
      </c>
      <c r="E312" s="60">
        <v>1023</v>
      </c>
      <c r="F312" s="60">
        <v>308</v>
      </c>
      <c r="G312" s="60">
        <v>32</v>
      </c>
      <c r="H312" s="60">
        <v>152</v>
      </c>
      <c r="I312" s="60">
        <v>546</v>
      </c>
      <c r="J312" s="60">
        <v>41</v>
      </c>
      <c r="K312" s="60">
        <v>3541</v>
      </c>
      <c r="L312" s="58">
        <v>6198</v>
      </c>
      <c r="M312" s="58">
        <v>1017</v>
      </c>
      <c r="N312" s="58">
        <v>243</v>
      </c>
      <c r="O312" s="58">
        <v>43</v>
      </c>
      <c r="P312" s="58">
        <v>142</v>
      </c>
      <c r="Q312" s="58">
        <v>537</v>
      </c>
      <c r="R312" s="58">
        <v>65</v>
      </c>
      <c r="S312" s="58">
        <v>4151</v>
      </c>
    </row>
    <row r="313" spans="1:19" x14ac:dyDescent="0.5">
      <c r="A313" s="60">
        <v>2010</v>
      </c>
      <c r="B313" s="60" t="s">
        <v>60</v>
      </c>
      <c r="C313" s="60" t="s">
        <v>564</v>
      </c>
      <c r="D313" s="60">
        <v>5531</v>
      </c>
      <c r="E313" s="60">
        <v>920</v>
      </c>
      <c r="F313" s="60">
        <v>294</v>
      </c>
      <c r="G313" s="60">
        <v>37</v>
      </c>
      <c r="H313" s="60">
        <v>152</v>
      </c>
      <c r="I313" s="60">
        <v>514</v>
      </c>
      <c r="J313" s="60">
        <v>55</v>
      </c>
      <c r="K313" s="60">
        <v>3559</v>
      </c>
      <c r="L313" s="58">
        <v>6217</v>
      </c>
      <c r="M313" s="58">
        <v>982</v>
      </c>
      <c r="N313" s="58">
        <v>282</v>
      </c>
      <c r="O313" s="58">
        <v>35</v>
      </c>
      <c r="P313" s="58">
        <v>134</v>
      </c>
      <c r="Q313" s="58">
        <v>549</v>
      </c>
      <c r="R313" s="58">
        <v>51</v>
      </c>
      <c r="S313" s="58">
        <v>4184</v>
      </c>
    </row>
    <row r="314" spans="1:19" x14ac:dyDescent="0.5">
      <c r="A314" s="60">
        <v>2010</v>
      </c>
      <c r="B314" s="60" t="s">
        <v>62</v>
      </c>
      <c r="C314" s="60" t="s">
        <v>565</v>
      </c>
      <c r="D314" s="60">
        <v>5452</v>
      </c>
      <c r="E314" s="60">
        <v>963</v>
      </c>
      <c r="F314" s="60">
        <v>252</v>
      </c>
      <c r="G314" s="60">
        <v>25</v>
      </c>
      <c r="H314" s="60">
        <v>108</v>
      </c>
      <c r="I314" s="60">
        <v>415</v>
      </c>
      <c r="J314" s="60">
        <v>33</v>
      </c>
      <c r="K314" s="60">
        <v>3656</v>
      </c>
      <c r="L314" s="58">
        <v>6221</v>
      </c>
      <c r="M314" s="58">
        <v>980</v>
      </c>
      <c r="N314" s="58">
        <v>289</v>
      </c>
      <c r="O314" s="58">
        <v>37</v>
      </c>
      <c r="P314" s="58">
        <v>140</v>
      </c>
      <c r="Q314" s="58">
        <v>548</v>
      </c>
      <c r="R314" s="58">
        <v>40</v>
      </c>
      <c r="S314" s="58">
        <v>4187</v>
      </c>
    </row>
    <row r="315" spans="1:19" x14ac:dyDescent="0.5">
      <c r="A315" s="60">
        <v>2010</v>
      </c>
      <c r="B315" s="60" t="s">
        <v>64</v>
      </c>
      <c r="C315" s="60" t="s">
        <v>566</v>
      </c>
      <c r="D315" s="60">
        <v>5604</v>
      </c>
      <c r="E315" s="60">
        <v>1103</v>
      </c>
      <c r="F315" s="60">
        <v>279</v>
      </c>
      <c r="G315" s="60">
        <v>31</v>
      </c>
      <c r="H315" s="60">
        <v>121</v>
      </c>
      <c r="I315" s="60">
        <v>471</v>
      </c>
      <c r="J315" s="60">
        <v>35</v>
      </c>
      <c r="K315" s="60">
        <v>3564</v>
      </c>
      <c r="L315" s="58">
        <v>6333</v>
      </c>
      <c r="M315" s="58">
        <v>1033</v>
      </c>
      <c r="N315" s="58">
        <v>321</v>
      </c>
      <c r="O315" s="58">
        <v>23</v>
      </c>
      <c r="P315" s="58">
        <v>176</v>
      </c>
      <c r="Q315" s="58">
        <v>551</v>
      </c>
      <c r="R315" s="58">
        <v>47</v>
      </c>
      <c r="S315" s="58">
        <v>4182</v>
      </c>
    </row>
    <row r="316" spans="1:19" x14ac:dyDescent="0.5">
      <c r="A316" s="60">
        <v>2010</v>
      </c>
      <c r="B316" s="60" t="s">
        <v>66</v>
      </c>
      <c r="C316" s="60" t="s">
        <v>567</v>
      </c>
      <c r="D316" s="60">
        <v>5426</v>
      </c>
      <c r="E316" s="60">
        <v>949</v>
      </c>
      <c r="F316" s="60">
        <v>270</v>
      </c>
      <c r="G316" s="60">
        <v>29</v>
      </c>
      <c r="H316" s="60">
        <v>120</v>
      </c>
      <c r="I316" s="60">
        <v>533</v>
      </c>
      <c r="J316" s="60">
        <v>46</v>
      </c>
      <c r="K316" s="60">
        <v>3479</v>
      </c>
      <c r="L316" s="58">
        <v>6141</v>
      </c>
      <c r="M316" s="58">
        <v>907</v>
      </c>
      <c r="N316" s="58">
        <v>242</v>
      </c>
      <c r="O316" s="58">
        <v>40</v>
      </c>
      <c r="P316" s="58">
        <v>134</v>
      </c>
      <c r="Q316" s="58">
        <v>539</v>
      </c>
      <c r="R316" s="58">
        <v>58</v>
      </c>
      <c r="S316" s="58">
        <v>4221</v>
      </c>
    </row>
    <row r="317" spans="1:19" x14ac:dyDescent="0.5">
      <c r="A317" s="60">
        <v>2010</v>
      </c>
      <c r="B317" s="60" t="s">
        <v>68</v>
      </c>
      <c r="C317" s="60" t="s">
        <v>568</v>
      </c>
      <c r="D317" s="60">
        <v>5606</v>
      </c>
      <c r="E317" s="60">
        <v>963</v>
      </c>
      <c r="F317" s="60">
        <v>293</v>
      </c>
      <c r="G317" s="60">
        <v>33</v>
      </c>
      <c r="H317" s="60">
        <v>182</v>
      </c>
      <c r="I317" s="60">
        <v>546</v>
      </c>
      <c r="J317" s="60">
        <v>81</v>
      </c>
      <c r="K317" s="60">
        <v>3508</v>
      </c>
      <c r="L317" s="58">
        <v>6324</v>
      </c>
      <c r="M317" s="58">
        <v>962</v>
      </c>
      <c r="N317" s="58">
        <v>329</v>
      </c>
      <c r="O317" s="58">
        <v>23</v>
      </c>
      <c r="P317" s="58">
        <v>173</v>
      </c>
      <c r="Q317" s="58">
        <v>582</v>
      </c>
      <c r="R317" s="58">
        <v>48</v>
      </c>
      <c r="S317" s="58">
        <v>4207</v>
      </c>
    </row>
    <row r="318" spans="1:19" x14ac:dyDescent="0.5">
      <c r="A318" s="60">
        <v>2010</v>
      </c>
      <c r="B318" s="60" t="s">
        <v>70</v>
      </c>
      <c r="C318" s="60" t="s">
        <v>569</v>
      </c>
      <c r="D318" s="60">
        <v>5568</v>
      </c>
      <c r="E318" s="60">
        <v>1020</v>
      </c>
      <c r="F318" s="60">
        <v>318</v>
      </c>
      <c r="G318" s="60">
        <v>41</v>
      </c>
      <c r="H318" s="60">
        <v>142</v>
      </c>
      <c r="I318" s="60">
        <v>559</v>
      </c>
      <c r="J318" s="60">
        <v>39</v>
      </c>
      <c r="K318" s="60">
        <v>3449</v>
      </c>
      <c r="L318" s="58">
        <v>6106</v>
      </c>
      <c r="M318" s="58">
        <v>996</v>
      </c>
      <c r="N318" s="58">
        <v>307</v>
      </c>
      <c r="O318" s="58">
        <v>35</v>
      </c>
      <c r="P318" s="58">
        <v>155</v>
      </c>
      <c r="Q318" s="58">
        <v>383</v>
      </c>
      <c r="R318" s="58">
        <v>47</v>
      </c>
      <c r="S318" s="58">
        <v>4183</v>
      </c>
    </row>
    <row r="319" spans="1:19" x14ac:dyDescent="0.5">
      <c r="A319" s="60">
        <v>2010</v>
      </c>
      <c r="B319" s="60" t="s">
        <v>76</v>
      </c>
      <c r="C319" s="60" t="s">
        <v>570</v>
      </c>
      <c r="D319" s="60">
        <v>5465</v>
      </c>
      <c r="E319" s="60">
        <v>927</v>
      </c>
      <c r="F319" s="60">
        <v>266</v>
      </c>
      <c r="G319" s="60">
        <v>40</v>
      </c>
      <c r="H319" s="60">
        <v>128</v>
      </c>
      <c r="I319" s="60">
        <v>502</v>
      </c>
      <c r="J319" s="60">
        <v>46</v>
      </c>
      <c r="K319" s="60">
        <v>3556</v>
      </c>
      <c r="L319" s="58">
        <v>6245</v>
      </c>
      <c r="M319" s="58">
        <v>994</v>
      </c>
      <c r="N319" s="58">
        <v>282</v>
      </c>
      <c r="O319" s="58">
        <v>27</v>
      </c>
      <c r="P319" s="58">
        <v>135</v>
      </c>
      <c r="Q319" s="58">
        <v>545</v>
      </c>
      <c r="R319" s="58">
        <v>52</v>
      </c>
      <c r="S319" s="58">
        <v>4210</v>
      </c>
    </row>
    <row r="320" spans="1:19" x14ac:dyDescent="0.5">
      <c r="A320" s="60">
        <v>2010</v>
      </c>
      <c r="B320" s="60" t="s">
        <v>74</v>
      </c>
      <c r="C320" s="60" t="s">
        <v>571</v>
      </c>
      <c r="D320" s="60">
        <v>5567</v>
      </c>
      <c r="E320" s="60">
        <v>977</v>
      </c>
      <c r="F320" s="60">
        <v>275</v>
      </c>
      <c r="G320" s="60">
        <v>32</v>
      </c>
      <c r="H320" s="60">
        <v>201</v>
      </c>
      <c r="I320" s="60">
        <v>662</v>
      </c>
      <c r="J320" s="60">
        <v>73</v>
      </c>
      <c r="K320" s="60">
        <v>3347</v>
      </c>
      <c r="L320" s="58">
        <v>6102</v>
      </c>
      <c r="M320" s="58">
        <v>910</v>
      </c>
      <c r="N320" s="58">
        <v>246</v>
      </c>
      <c r="O320" s="58">
        <v>14</v>
      </c>
      <c r="P320" s="58">
        <v>179</v>
      </c>
      <c r="Q320" s="58">
        <v>540</v>
      </c>
      <c r="R320" s="58">
        <v>62</v>
      </c>
      <c r="S320" s="58">
        <v>4151</v>
      </c>
    </row>
    <row r="321" spans="1:19" x14ac:dyDescent="0.5">
      <c r="A321" s="60">
        <v>2010</v>
      </c>
      <c r="B321" s="60" t="s">
        <v>78</v>
      </c>
      <c r="C321" s="60" t="s">
        <v>572</v>
      </c>
      <c r="D321" s="60">
        <v>5448</v>
      </c>
      <c r="E321" s="60">
        <v>981</v>
      </c>
      <c r="F321" s="60">
        <v>276</v>
      </c>
      <c r="G321" s="60">
        <v>30</v>
      </c>
      <c r="H321" s="60">
        <v>109</v>
      </c>
      <c r="I321" s="60">
        <v>527</v>
      </c>
      <c r="J321" s="60">
        <v>47</v>
      </c>
      <c r="K321" s="60">
        <v>3478</v>
      </c>
      <c r="L321" s="58">
        <v>6011</v>
      </c>
      <c r="M321" s="58">
        <v>913</v>
      </c>
      <c r="N321" s="58">
        <v>232</v>
      </c>
      <c r="O321" s="58">
        <v>17</v>
      </c>
      <c r="P321" s="58">
        <v>153</v>
      </c>
      <c r="Q321" s="58">
        <v>512</v>
      </c>
      <c r="R321" s="58">
        <v>38</v>
      </c>
      <c r="S321" s="58">
        <v>4146</v>
      </c>
    </row>
    <row r="322" spans="1:19" x14ac:dyDescent="0.5">
      <c r="A322" s="60">
        <v>2010</v>
      </c>
      <c r="B322" s="60" t="s">
        <v>80</v>
      </c>
      <c r="C322" s="60" t="s">
        <v>573</v>
      </c>
      <c r="D322" s="60">
        <v>5581</v>
      </c>
      <c r="E322" s="60">
        <v>961</v>
      </c>
      <c r="F322" s="60">
        <v>290</v>
      </c>
      <c r="G322" s="60">
        <v>34</v>
      </c>
      <c r="H322" s="60">
        <v>166</v>
      </c>
      <c r="I322" s="60">
        <v>560</v>
      </c>
      <c r="J322" s="60">
        <v>63</v>
      </c>
      <c r="K322" s="60">
        <v>3507</v>
      </c>
      <c r="L322" s="58">
        <v>6095</v>
      </c>
      <c r="M322" s="58">
        <v>927</v>
      </c>
      <c r="N322" s="58">
        <v>283</v>
      </c>
      <c r="O322" s="58">
        <v>24</v>
      </c>
      <c r="P322" s="58">
        <v>168</v>
      </c>
      <c r="Q322" s="58">
        <v>416</v>
      </c>
      <c r="R322" s="58">
        <v>57</v>
      </c>
      <c r="S322" s="58">
        <v>4220</v>
      </c>
    </row>
    <row r="323" spans="1:19" x14ac:dyDescent="0.5">
      <c r="A323" s="60">
        <v>2010</v>
      </c>
      <c r="B323" s="60" t="s">
        <v>82</v>
      </c>
      <c r="C323" s="60" t="s">
        <v>574</v>
      </c>
      <c r="D323" s="60">
        <v>5386</v>
      </c>
      <c r="E323" s="60">
        <v>874</v>
      </c>
      <c r="F323" s="60">
        <v>276</v>
      </c>
      <c r="G323" s="60">
        <v>27</v>
      </c>
      <c r="H323" s="60">
        <v>126</v>
      </c>
      <c r="I323" s="60">
        <v>463</v>
      </c>
      <c r="J323" s="60">
        <v>33</v>
      </c>
      <c r="K323" s="60">
        <v>3587</v>
      </c>
      <c r="L323" s="58">
        <v>6300</v>
      </c>
      <c r="M323" s="58">
        <v>1005</v>
      </c>
      <c r="N323" s="58">
        <v>360</v>
      </c>
      <c r="O323" s="58">
        <v>35</v>
      </c>
      <c r="P323" s="58">
        <v>167</v>
      </c>
      <c r="Q323" s="58">
        <v>538</v>
      </c>
      <c r="R323" s="58">
        <v>66</v>
      </c>
      <c r="S323" s="58">
        <v>4129</v>
      </c>
    </row>
    <row r="324" spans="1:19" x14ac:dyDescent="0.5">
      <c r="A324" s="60">
        <v>2010</v>
      </c>
      <c r="B324" s="60" t="s">
        <v>84</v>
      </c>
      <c r="C324" s="60" t="s">
        <v>575</v>
      </c>
      <c r="D324" s="60">
        <v>5434</v>
      </c>
      <c r="E324" s="60">
        <v>946</v>
      </c>
      <c r="F324" s="60">
        <v>236</v>
      </c>
      <c r="G324" s="60">
        <v>24</v>
      </c>
      <c r="H324" s="60">
        <v>132</v>
      </c>
      <c r="I324" s="60">
        <v>538</v>
      </c>
      <c r="J324" s="60">
        <v>50</v>
      </c>
      <c r="K324" s="60">
        <v>3508</v>
      </c>
      <c r="L324" s="58">
        <v>6058</v>
      </c>
      <c r="M324" s="58">
        <v>904</v>
      </c>
      <c r="N324" s="58">
        <v>240</v>
      </c>
      <c r="O324" s="58">
        <v>22</v>
      </c>
      <c r="P324" s="58">
        <v>139</v>
      </c>
      <c r="Q324" s="58">
        <v>517</v>
      </c>
      <c r="R324" s="58">
        <v>28</v>
      </c>
      <c r="S324" s="58">
        <v>4208</v>
      </c>
    </row>
    <row r="325" spans="1:19" x14ac:dyDescent="0.5">
      <c r="A325" s="60">
        <v>2010</v>
      </c>
      <c r="B325" s="60" t="s">
        <v>86</v>
      </c>
      <c r="C325" s="60" t="s">
        <v>576</v>
      </c>
      <c r="D325" s="60">
        <v>5409</v>
      </c>
      <c r="E325" s="60">
        <v>930</v>
      </c>
      <c r="F325" s="60">
        <v>227</v>
      </c>
      <c r="G325" s="60">
        <v>16</v>
      </c>
      <c r="H325" s="60">
        <v>101</v>
      </c>
      <c r="I325" s="60">
        <v>459</v>
      </c>
      <c r="J325" s="60">
        <v>39</v>
      </c>
      <c r="K325" s="60">
        <v>3637</v>
      </c>
      <c r="L325" s="58">
        <v>6091</v>
      </c>
      <c r="M325" s="58">
        <v>930</v>
      </c>
      <c r="N325" s="58">
        <v>293</v>
      </c>
      <c r="O325" s="58">
        <v>22</v>
      </c>
      <c r="P325" s="58">
        <v>157</v>
      </c>
      <c r="Q325" s="58">
        <v>452</v>
      </c>
      <c r="R325" s="58">
        <v>40</v>
      </c>
      <c r="S325" s="58">
        <v>4197</v>
      </c>
    </row>
    <row r="326" spans="1:19" x14ac:dyDescent="0.5">
      <c r="A326" s="60">
        <v>2010</v>
      </c>
      <c r="B326" s="60" t="s">
        <v>88</v>
      </c>
      <c r="C326" s="60" t="s">
        <v>577</v>
      </c>
      <c r="D326" s="60">
        <v>5488</v>
      </c>
      <c r="E326" s="60">
        <v>935</v>
      </c>
      <c r="F326" s="60">
        <v>284</v>
      </c>
      <c r="G326" s="60">
        <v>30</v>
      </c>
      <c r="H326" s="60">
        <v>162</v>
      </c>
      <c r="I326" s="60">
        <v>487</v>
      </c>
      <c r="J326" s="60">
        <v>50</v>
      </c>
      <c r="K326" s="60">
        <v>3540</v>
      </c>
      <c r="L326" s="58">
        <v>6159</v>
      </c>
      <c r="M326" s="58">
        <v>859</v>
      </c>
      <c r="N326" s="58">
        <v>246</v>
      </c>
      <c r="O326" s="58">
        <v>40</v>
      </c>
      <c r="P326" s="58">
        <v>134</v>
      </c>
      <c r="Q326" s="58">
        <v>578</v>
      </c>
      <c r="R326" s="58">
        <v>51</v>
      </c>
      <c r="S326" s="58">
        <v>4251</v>
      </c>
    </row>
    <row r="327" spans="1:19" x14ac:dyDescent="0.5">
      <c r="A327" s="60">
        <v>2010</v>
      </c>
      <c r="B327" s="60" t="s">
        <v>90</v>
      </c>
      <c r="C327" s="60" t="s">
        <v>578</v>
      </c>
      <c r="D327" s="60">
        <v>5542</v>
      </c>
      <c r="E327" s="60">
        <v>1003</v>
      </c>
      <c r="F327" s="60">
        <v>285</v>
      </c>
      <c r="G327" s="60">
        <v>18</v>
      </c>
      <c r="H327" s="60">
        <v>150</v>
      </c>
      <c r="I327" s="60">
        <v>541</v>
      </c>
      <c r="J327" s="60">
        <v>50</v>
      </c>
      <c r="K327" s="60">
        <v>3495</v>
      </c>
      <c r="L327" s="58">
        <v>6137</v>
      </c>
      <c r="M327" s="58">
        <v>985</v>
      </c>
      <c r="N327" s="58">
        <v>266</v>
      </c>
      <c r="O327" s="58">
        <v>28</v>
      </c>
      <c r="P327" s="58">
        <v>133</v>
      </c>
      <c r="Q327" s="58">
        <v>477</v>
      </c>
      <c r="R327" s="58">
        <v>48</v>
      </c>
      <c r="S327" s="58">
        <v>4200</v>
      </c>
    </row>
    <row r="328" spans="1:19" x14ac:dyDescent="0.5">
      <c r="A328" s="60">
        <v>2010</v>
      </c>
      <c r="B328" s="60" t="s">
        <v>92</v>
      </c>
      <c r="C328" s="60" t="s">
        <v>579</v>
      </c>
      <c r="D328" s="60">
        <v>5439</v>
      </c>
      <c r="E328" s="60">
        <v>851</v>
      </c>
      <c r="F328" s="60">
        <v>295</v>
      </c>
      <c r="G328" s="60">
        <v>37</v>
      </c>
      <c r="H328" s="60">
        <v>160</v>
      </c>
      <c r="I328" s="60">
        <v>672</v>
      </c>
      <c r="J328" s="60">
        <v>57</v>
      </c>
      <c r="K328" s="60">
        <v>3367</v>
      </c>
      <c r="L328" s="58">
        <v>6103</v>
      </c>
      <c r="M328" s="58">
        <v>852</v>
      </c>
      <c r="N328" s="58">
        <v>286</v>
      </c>
      <c r="O328" s="58">
        <v>34</v>
      </c>
      <c r="P328" s="58">
        <v>175</v>
      </c>
      <c r="Q328" s="58">
        <v>478</v>
      </c>
      <c r="R328" s="58">
        <v>46</v>
      </c>
      <c r="S328" s="58">
        <v>4232</v>
      </c>
    </row>
    <row r="329" spans="1:19" x14ac:dyDescent="0.5">
      <c r="A329" s="60">
        <v>2010</v>
      </c>
      <c r="B329" s="60" t="s">
        <v>94</v>
      </c>
      <c r="C329" s="60" t="s">
        <v>580</v>
      </c>
      <c r="D329" s="60">
        <v>5635</v>
      </c>
      <c r="E329" s="60">
        <v>1101</v>
      </c>
      <c r="F329" s="60">
        <v>268</v>
      </c>
      <c r="G329" s="60">
        <v>25</v>
      </c>
      <c r="H329" s="60">
        <v>162</v>
      </c>
      <c r="I329" s="60">
        <v>511</v>
      </c>
      <c r="J329" s="60">
        <v>45</v>
      </c>
      <c r="K329" s="60">
        <v>3523</v>
      </c>
      <c r="L329" s="58">
        <v>6213</v>
      </c>
      <c r="M329" s="58">
        <v>903</v>
      </c>
      <c r="N329" s="58">
        <v>269</v>
      </c>
      <c r="O329" s="58">
        <v>21</v>
      </c>
      <c r="P329" s="58">
        <v>162</v>
      </c>
      <c r="Q329" s="58">
        <v>551</v>
      </c>
      <c r="R329" s="58">
        <v>63</v>
      </c>
      <c r="S329" s="58">
        <v>4244</v>
      </c>
    </row>
    <row r="330" spans="1:19" x14ac:dyDescent="0.5">
      <c r="A330" s="60">
        <v>2010</v>
      </c>
      <c r="B330" s="60" t="s">
        <v>96</v>
      </c>
      <c r="C330" s="60" t="s">
        <v>581</v>
      </c>
      <c r="D330" s="60">
        <v>5495</v>
      </c>
      <c r="E330" s="60">
        <v>767</v>
      </c>
      <c r="F330" s="60">
        <v>319</v>
      </c>
      <c r="G330" s="60">
        <v>21</v>
      </c>
      <c r="H330" s="60">
        <v>257</v>
      </c>
      <c r="I330" s="60">
        <v>471</v>
      </c>
      <c r="J330" s="60">
        <v>55</v>
      </c>
      <c r="K330" s="60">
        <v>3605</v>
      </c>
      <c r="L330" s="58">
        <v>6165</v>
      </c>
      <c r="M330" s="58">
        <v>916</v>
      </c>
      <c r="N330" s="58">
        <v>310</v>
      </c>
      <c r="O330" s="58">
        <v>31</v>
      </c>
      <c r="P330" s="58">
        <v>150</v>
      </c>
      <c r="Q330" s="58">
        <v>539</v>
      </c>
      <c r="R330" s="58">
        <v>60</v>
      </c>
      <c r="S330" s="58">
        <v>4159</v>
      </c>
    </row>
    <row r="331" spans="1:19" x14ac:dyDescent="0.5">
      <c r="A331" s="60">
        <v>2010</v>
      </c>
      <c r="B331" s="60" t="s">
        <v>100</v>
      </c>
      <c r="C331" s="60" t="s">
        <v>582</v>
      </c>
      <c r="D331" s="60">
        <v>5418</v>
      </c>
      <c r="E331" s="60">
        <v>925</v>
      </c>
      <c r="F331" s="60">
        <v>250</v>
      </c>
      <c r="G331" s="60">
        <v>31</v>
      </c>
      <c r="H331" s="60">
        <v>149</v>
      </c>
      <c r="I331" s="60">
        <v>503</v>
      </c>
      <c r="J331" s="60">
        <v>60</v>
      </c>
      <c r="K331" s="60">
        <v>3500</v>
      </c>
      <c r="L331" s="58">
        <v>6214</v>
      </c>
      <c r="M331" s="58">
        <v>1008</v>
      </c>
      <c r="N331" s="58">
        <v>275</v>
      </c>
      <c r="O331" s="58">
        <v>35</v>
      </c>
      <c r="P331" s="58">
        <v>151</v>
      </c>
      <c r="Q331" s="58">
        <v>512</v>
      </c>
      <c r="R331" s="58">
        <v>46</v>
      </c>
      <c r="S331" s="58">
        <v>4187</v>
      </c>
    </row>
    <row r="332" spans="1:19" x14ac:dyDescent="0.5">
      <c r="A332" s="60">
        <v>2011</v>
      </c>
      <c r="B332" s="60" t="s">
        <v>36</v>
      </c>
      <c r="C332" s="60" t="s">
        <v>583</v>
      </c>
      <c r="D332" s="60">
        <v>5513</v>
      </c>
      <c r="E332" s="60">
        <v>916</v>
      </c>
      <c r="F332" s="60">
        <v>289</v>
      </c>
      <c r="G332" s="60">
        <v>34</v>
      </c>
      <c r="H332" s="60">
        <v>155</v>
      </c>
      <c r="I332" s="60">
        <v>442</v>
      </c>
      <c r="J332" s="60">
        <v>51</v>
      </c>
      <c r="K332" s="60">
        <v>3626</v>
      </c>
      <c r="L332" s="58">
        <v>6124</v>
      </c>
      <c r="M332" s="58">
        <v>939</v>
      </c>
      <c r="N332" s="58">
        <v>287</v>
      </c>
      <c r="O332" s="58">
        <v>20</v>
      </c>
      <c r="P332" s="58">
        <v>142</v>
      </c>
      <c r="Q332" s="58">
        <v>476</v>
      </c>
      <c r="R332" s="58">
        <v>36</v>
      </c>
      <c r="S332" s="58">
        <v>4224</v>
      </c>
    </row>
    <row r="333" spans="1:19" x14ac:dyDescent="0.5">
      <c r="A333" s="60">
        <v>2011</v>
      </c>
      <c r="B333" s="60" t="s">
        <v>39</v>
      </c>
      <c r="C333" s="60" t="s">
        <v>584</v>
      </c>
      <c r="D333" s="60">
        <v>5421</v>
      </c>
      <c r="E333" s="60">
        <v>855</v>
      </c>
      <c r="F333" s="60">
        <v>293</v>
      </c>
      <c r="G333" s="60">
        <v>37</v>
      </c>
      <c r="H333" s="60">
        <v>172</v>
      </c>
      <c r="I333" s="60">
        <v>531</v>
      </c>
      <c r="J333" s="60">
        <v>61</v>
      </c>
      <c r="K333" s="60">
        <v>3472</v>
      </c>
      <c r="L333" s="58">
        <v>6102</v>
      </c>
      <c r="M333" s="58">
        <v>931</v>
      </c>
      <c r="N333" s="58">
        <v>292</v>
      </c>
      <c r="O333" s="58">
        <v>32</v>
      </c>
      <c r="P333" s="58">
        <v>159</v>
      </c>
      <c r="Q333" s="58">
        <v>442</v>
      </c>
      <c r="R333" s="58">
        <v>53</v>
      </c>
      <c r="S333" s="58">
        <v>4193</v>
      </c>
    </row>
    <row r="334" spans="1:19" x14ac:dyDescent="0.5">
      <c r="A334" s="60">
        <v>2011</v>
      </c>
      <c r="B334" s="60" t="s">
        <v>41</v>
      </c>
      <c r="C334" s="60" t="s">
        <v>585</v>
      </c>
      <c r="D334" s="60">
        <v>5528</v>
      </c>
      <c r="E334" s="60">
        <v>912</v>
      </c>
      <c r="F334" s="60">
        <v>244</v>
      </c>
      <c r="G334" s="60">
        <v>16</v>
      </c>
      <c r="H334" s="60">
        <v>173</v>
      </c>
      <c r="I334" s="60">
        <v>504</v>
      </c>
      <c r="J334" s="60">
        <v>28</v>
      </c>
      <c r="K334" s="60">
        <v>3651</v>
      </c>
      <c r="L334" s="58">
        <v>6220</v>
      </c>
      <c r="M334" s="58">
        <v>946</v>
      </c>
      <c r="N334" s="58">
        <v>228</v>
      </c>
      <c r="O334" s="58">
        <v>33</v>
      </c>
      <c r="P334" s="58">
        <v>125</v>
      </c>
      <c r="Q334" s="58">
        <v>521</v>
      </c>
      <c r="R334" s="58">
        <v>53</v>
      </c>
      <c r="S334" s="58">
        <v>4314</v>
      </c>
    </row>
    <row r="335" spans="1:19" x14ac:dyDescent="0.5">
      <c r="A335" s="60">
        <v>2011</v>
      </c>
      <c r="B335" s="60" t="s">
        <v>44</v>
      </c>
      <c r="C335" s="60" t="s">
        <v>586</v>
      </c>
      <c r="D335" s="60">
        <v>5585</v>
      </c>
      <c r="E335" s="60">
        <v>957</v>
      </c>
      <c r="F335" s="60">
        <v>273</v>
      </c>
      <c r="G335" s="60">
        <v>13</v>
      </c>
      <c r="H335" s="60">
        <v>191</v>
      </c>
      <c r="I335" s="60">
        <v>452</v>
      </c>
      <c r="J335" s="60">
        <v>52</v>
      </c>
      <c r="K335" s="60">
        <v>3647</v>
      </c>
      <c r="L335" s="58">
        <v>6332</v>
      </c>
      <c r="M335" s="58">
        <v>977</v>
      </c>
      <c r="N335" s="58">
        <v>354</v>
      </c>
      <c r="O335" s="58">
        <v>27</v>
      </c>
      <c r="P335" s="58">
        <v>210</v>
      </c>
      <c r="Q335" s="58">
        <v>535</v>
      </c>
      <c r="R335" s="58">
        <v>45</v>
      </c>
      <c r="S335" s="58">
        <v>4184</v>
      </c>
    </row>
    <row r="336" spans="1:19" x14ac:dyDescent="0.5">
      <c r="A336" s="60">
        <v>2011</v>
      </c>
      <c r="B336" s="60" t="s">
        <v>46</v>
      </c>
      <c r="C336" s="60" t="s">
        <v>587</v>
      </c>
      <c r="D336" s="60">
        <v>5710</v>
      </c>
      <c r="E336" s="60">
        <v>1010</v>
      </c>
      <c r="F336" s="60">
        <v>352</v>
      </c>
      <c r="G336" s="60">
        <v>35</v>
      </c>
      <c r="H336" s="60">
        <v>203</v>
      </c>
      <c r="I336" s="60">
        <v>578</v>
      </c>
      <c r="J336" s="60">
        <v>50</v>
      </c>
      <c r="K336" s="60">
        <v>3482</v>
      </c>
      <c r="L336" s="58">
        <v>6242</v>
      </c>
      <c r="M336" s="58">
        <v>901</v>
      </c>
      <c r="N336" s="58">
        <v>286</v>
      </c>
      <c r="O336" s="58">
        <v>23</v>
      </c>
      <c r="P336" s="58">
        <v>156</v>
      </c>
      <c r="Q336" s="58">
        <v>540</v>
      </c>
      <c r="R336" s="58">
        <v>90</v>
      </c>
      <c r="S336" s="58">
        <v>4246</v>
      </c>
    </row>
    <row r="337" spans="1:19" x14ac:dyDescent="0.5">
      <c r="A337" s="60">
        <v>2011</v>
      </c>
      <c r="B337" s="60" t="s">
        <v>50</v>
      </c>
      <c r="C337" s="60" t="s">
        <v>588</v>
      </c>
      <c r="D337" s="60">
        <v>5549</v>
      </c>
      <c r="E337" s="60">
        <v>954</v>
      </c>
      <c r="F337" s="60">
        <v>285</v>
      </c>
      <c r="G337" s="60">
        <v>36</v>
      </c>
      <c r="H337" s="60">
        <v>148</v>
      </c>
      <c r="I337" s="60">
        <v>425</v>
      </c>
      <c r="J337" s="60">
        <v>59</v>
      </c>
      <c r="K337" s="60">
        <v>3642</v>
      </c>
      <c r="L337" s="58">
        <v>6262</v>
      </c>
      <c r="M337" s="58">
        <v>959</v>
      </c>
      <c r="N337" s="58">
        <v>289</v>
      </c>
      <c r="O337" s="58">
        <v>29</v>
      </c>
      <c r="P337" s="58">
        <v>162</v>
      </c>
      <c r="Q337" s="58">
        <v>580</v>
      </c>
      <c r="R337" s="58">
        <v>53</v>
      </c>
      <c r="S337" s="58">
        <v>4190</v>
      </c>
    </row>
    <row r="338" spans="1:19" x14ac:dyDescent="0.5">
      <c r="A338" s="60">
        <v>2011</v>
      </c>
      <c r="B338" s="60" t="s">
        <v>48</v>
      </c>
      <c r="C338" s="60" t="s">
        <v>589</v>
      </c>
      <c r="D338" s="60">
        <v>5502</v>
      </c>
      <c r="E338" s="60">
        <v>965</v>
      </c>
      <c r="F338" s="60">
        <v>252</v>
      </c>
      <c r="G338" s="60">
        <v>16</v>
      </c>
      <c r="H338" s="60">
        <v>154</v>
      </c>
      <c r="I338" s="60">
        <v>475</v>
      </c>
      <c r="J338" s="60">
        <v>84</v>
      </c>
      <c r="K338" s="60">
        <v>3556</v>
      </c>
      <c r="L338" s="58">
        <v>6188</v>
      </c>
      <c r="M338" s="58">
        <v>1020</v>
      </c>
      <c r="N338" s="58">
        <v>265</v>
      </c>
      <c r="O338" s="58">
        <v>31</v>
      </c>
      <c r="P338" s="58">
        <v>147</v>
      </c>
      <c r="Q338" s="58">
        <v>439</v>
      </c>
      <c r="R338" s="58">
        <v>44</v>
      </c>
      <c r="S338" s="58">
        <v>4242</v>
      </c>
    </row>
    <row r="339" spans="1:19" x14ac:dyDescent="0.5">
      <c r="A339" s="60">
        <v>2011</v>
      </c>
      <c r="B339" s="60" t="s">
        <v>52</v>
      </c>
      <c r="C339" s="60" t="s">
        <v>590</v>
      </c>
      <c r="D339" s="60">
        <v>5612</v>
      </c>
      <c r="E339" s="60">
        <v>972</v>
      </c>
      <c r="F339" s="60">
        <v>264</v>
      </c>
      <c r="G339" s="60">
        <v>19</v>
      </c>
      <c r="H339" s="60">
        <v>183</v>
      </c>
      <c r="I339" s="60">
        <v>535</v>
      </c>
      <c r="J339" s="60">
        <v>63</v>
      </c>
      <c r="K339" s="60">
        <v>3576</v>
      </c>
      <c r="L339" s="58">
        <v>6259</v>
      </c>
      <c r="M339" s="58">
        <v>923</v>
      </c>
      <c r="N339" s="58">
        <v>279</v>
      </c>
      <c r="O339" s="58">
        <v>27</v>
      </c>
      <c r="P339" s="58">
        <v>185</v>
      </c>
      <c r="Q339" s="58">
        <v>539</v>
      </c>
      <c r="R339" s="58">
        <v>59</v>
      </c>
      <c r="S339" s="58">
        <v>4247</v>
      </c>
    </row>
    <row r="340" spans="1:19" x14ac:dyDescent="0.5">
      <c r="A340" s="60">
        <v>2011</v>
      </c>
      <c r="B340" s="60" t="s">
        <v>54</v>
      </c>
      <c r="C340" s="60" t="s">
        <v>591</v>
      </c>
      <c r="D340" s="60">
        <v>5509</v>
      </c>
      <c r="E340" s="60">
        <v>910</v>
      </c>
      <c r="F340" s="60">
        <v>290</v>
      </c>
      <c r="G340" s="60">
        <v>26</v>
      </c>
      <c r="H340" s="60">
        <v>154</v>
      </c>
      <c r="I340" s="60">
        <v>494</v>
      </c>
      <c r="J340" s="60">
        <v>65</v>
      </c>
      <c r="K340" s="60">
        <v>3570</v>
      </c>
      <c r="L340" s="58">
        <v>6235</v>
      </c>
      <c r="M340" s="58">
        <v>975</v>
      </c>
      <c r="N340" s="58">
        <v>323</v>
      </c>
      <c r="O340" s="58">
        <v>31</v>
      </c>
      <c r="P340" s="58">
        <v>153</v>
      </c>
      <c r="Q340" s="58">
        <v>463</v>
      </c>
      <c r="R340" s="58">
        <v>60</v>
      </c>
      <c r="S340" s="58">
        <v>4230</v>
      </c>
    </row>
    <row r="341" spans="1:19" x14ac:dyDescent="0.5">
      <c r="A341" s="60">
        <v>2011</v>
      </c>
      <c r="B341" s="60" t="s">
        <v>56</v>
      </c>
      <c r="C341" s="60" t="s">
        <v>592</v>
      </c>
      <c r="D341" s="60">
        <v>5544</v>
      </c>
      <c r="E341" s="60">
        <v>952</v>
      </c>
      <c r="F341" s="60">
        <v>274</v>
      </c>
      <c r="G341" s="60">
        <v>40</v>
      </c>
      <c r="H341" s="60">
        <v>163</v>
      </c>
      <c r="I341" s="60">
        <v>555</v>
      </c>
      <c r="J341" s="60">
        <v>57</v>
      </c>
      <c r="K341" s="60">
        <v>3503</v>
      </c>
      <c r="L341" s="58">
        <v>6215</v>
      </c>
      <c r="M341" s="58">
        <v>951</v>
      </c>
      <c r="N341" s="58">
        <v>292</v>
      </c>
      <c r="O341" s="58">
        <v>52</v>
      </c>
      <c r="P341" s="58">
        <v>176</v>
      </c>
      <c r="Q341" s="58">
        <v>522</v>
      </c>
      <c r="R341" s="58">
        <v>48</v>
      </c>
      <c r="S341" s="58">
        <v>4174</v>
      </c>
    </row>
    <row r="342" spans="1:19" x14ac:dyDescent="0.5">
      <c r="A342" s="60">
        <v>2011</v>
      </c>
      <c r="B342" s="60" t="s">
        <v>58</v>
      </c>
      <c r="C342" s="60" t="s">
        <v>593</v>
      </c>
      <c r="D342" s="60">
        <v>5563</v>
      </c>
      <c r="E342" s="60">
        <v>1040</v>
      </c>
      <c r="F342" s="60">
        <v>297</v>
      </c>
      <c r="G342" s="60">
        <v>34</v>
      </c>
      <c r="H342" s="60">
        <v>169</v>
      </c>
      <c r="I342" s="60">
        <v>521</v>
      </c>
      <c r="J342" s="60">
        <v>39</v>
      </c>
      <c r="K342" s="60">
        <v>3463</v>
      </c>
      <c r="L342" s="58">
        <v>6108</v>
      </c>
      <c r="M342" s="58">
        <v>969</v>
      </c>
      <c r="N342" s="58">
        <v>259</v>
      </c>
      <c r="O342" s="58">
        <v>29</v>
      </c>
      <c r="P342" s="58">
        <v>149</v>
      </c>
      <c r="Q342" s="58">
        <v>492</v>
      </c>
      <c r="R342" s="58">
        <v>52</v>
      </c>
      <c r="S342" s="58">
        <v>4158</v>
      </c>
    </row>
    <row r="343" spans="1:19" x14ac:dyDescent="0.5">
      <c r="A343" s="60">
        <v>2011</v>
      </c>
      <c r="B343" s="60" t="s">
        <v>60</v>
      </c>
      <c r="C343" s="60" t="s">
        <v>594</v>
      </c>
      <c r="D343" s="60">
        <v>5508</v>
      </c>
      <c r="E343" s="60">
        <v>905</v>
      </c>
      <c r="F343" s="60">
        <v>274</v>
      </c>
      <c r="G343" s="60">
        <v>30</v>
      </c>
      <c r="H343" s="60">
        <v>149</v>
      </c>
      <c r="I343" s="60">
        <v>542</v>
      </c>
      <c r="J343" s="60">
        <v>51</v>
      </c>
      <c r="K343" s="60">
        <v>3557</v>
      </c>
      <c r="L343" s="58">
        <v>6200</v>
      </c>
      <c r="M343" s="58">
        <v>917</v>
      </c>
      <c r="N343" s="58">
        <v>296</v>
      </c>
      <c r="O343" s="58">
        <v>41</v>
      </c>
      <c r="P343" s="58">
        <v>149</v>
      </c>
      <c r="Q343" s="58">
        <v>500</v>
      </c>
      <c r="R343" s="58">
        <v>37</v>
      </c>
      <c r="S343" s="58">
        <v>4260</v>
      </c>
    </row>
    <row r="344" spans="1:19" x14ac:dyDescent="0.5">
      <c r="A344" s="60">
        <v>2011</v>
      </c>
      <c r="B344" s="60" t="s">
        <v>62</v>
      </c>
      <c r="C344" s="60" t="s">
        <v>595</v>
      </c>
      <c r="D344" s="60">
        <v>5598</v>
      </c>
      <c r="E344" s="60">
        <v>1010</v>
      </c>
      <c r="F344" s="60">
        <v>309</v>
      </c>
      <c r="G344" s="60">
        <v>28</v>
      </c>
      <c r="H344" s="60">
        <v>95</v>
      </c>
      <c r="I344" s="60">
        <v>401</v>
      </c>
      <c r="J344" s="60">
        <v>46</v>
      </c>
      <c r="K344" s="60">
        <v>3709</v>
      </c>
      <c r="L344" s="58">
        <v>6268</v>
      </c>
      <c r="M344" s="58">
        <v>964</v>
      </c>
      <c r="N344" s="58">
        <v>294</v>
      </c>
      <c r="O344" s="58">
        <v>31</v>
      </c>
      <c r="P344" s="58">
        <v>188</v>
      </c>
      <c r="Q344" s="58">
        <v>560</v>
      </c>
      <c r="R344" s="58">
        <v>53</v>
      </c>
      <c r="S344" s="58">
        <v>4178</v>
      </c>
    </row>
    <row r="345" spans="1:19" x14ac:dyDescent="0.5">
      <c r="A345" s="60">
        <v>2011</v>
      </c>
      <c r="B345" s="60" t="s">
        <v>64</v>
      </c>
      <c r="C345" s="60" t="s">
        <v>596</v>
      </c>
      <c r="D345" s="60">
        <v>5672</v>
      </c>
      <c r="E345" s="60">
        <v>1065</v>
      </c>
      <c r="F345" s="60">
        <v>325</v>
      </c>
      <c r="G345" s="60">
        <v>41</v>
      </c>
      <c r="H345" s="60">
        <v>129</v>
      </c>
      <c r="I345" s="60">
        <v>442</v>
      </c>
      <c r="J345" s="60">
        <v>39</v>
      </c>
      <c r="K345" s="60">
        <v>3631</v>
      </c>
      <c r="L345" s="58">
        <v>6280</v>
      </c>
      <c r="M345" s="58">
        <v>980</v>
      </c>
      <c r="N345" s="58">
        <v>301</v>
      </c>
      <c r="O345" s="58">
        <v>43</v>
      </c>
      <c r="P345" s="58">
        <v>163</v>
      </c>
      <c r="Q345" s="58">
        <v>557</v>
      </c>
      <c r="R345" s="58">
        <v>58</v>
      </c>
      <c r="S345" s="58">
        <v>4178</v>
      </c>
    </row>
    <row r="346" spans="1:19" x14ac:dyDescent="0.5">
      <c r="A346" s="60">
        <v>2011</v>
      </c>
      <c r="B346" s="60" t="s">
        <v>66</v>
      </c>
      <c r="C346" s="60" t="s">
        <v>597</v>
      </c>
      <c r="D346" s="60">
        <v>5436</v>
      </c>
      <c r="E346" s="60">
        <v>1013</v>
      </c>
      <c r="F346" s="60">
        <v>237</v>
      </c>
      <c r="G346" s="60">
        <v>28</v>
      </c>
      <c r="H346" s="60">
        <v>117</v>
      </c>
      <c r="I346" s="60">
        <v>498</v>
      </c>
      <c r="J346" s="60">
        <v>45</v>
      </c>
      <c r="K346" s="60">
        <v>3498</v>
      </c>
      <c r="L346" s="58">
        <v>5997</v>
      </c>
      <c r="M346" s="58">
        <v>873</v>
      </c>
      <c r="N346" s="58">
        <v>263</v>
      </c>
      <c r="O346" s="58">
        <v>19</v>
      </c>
      <c r="P346" s="58">
        <v>132</v>
      </c>
      <c r="Q346" s="58">
        <v>507</v>
      </c>
      <c r="R346" s="58">
        <v>43</v>
      </c>
      <c r="S346" s="58">
        <v>4160</v>
      </c>
    </row>
    <row r="347" spans="1:19" x14ac:dyDescent="0.5">
      <c r="A347" s="60">
        <v>2011</v>
      </c>
      <c r="B347" s="60" t="s">
        <v>68</v>
      </c>
      <c r="C347" s="60" t="s">
        <v>598</v>
      </c>
      <c r="D347" s="60">
        <v>5447</v>
      </c>
      <c r="E347" s="60">
        <v>930</v>
      </c>
      <c r="F347" s="60">
        <v>276</v>
      </c>
      <c r="G347" s="60">
        <v>31</v>
      </c>
      <c r="H347" s="60">
        <v>185</v>
      </c>
      <c r="I347" s="60">
        <v>481</v>
      </c>
      <c r="J347" s="60">
        <v>56</v>
      </c>
      <c r="K347" s="60">
        <v>3488</v>
      </c>
      <c r="L347" s="58">
        <v>6048</v>
      </c>
      <c r="M347" s="58">
        <v>910</v>
      </c>
      <c r="N347" s="58">
        <v>263</v>
      </c>
      <c r="O347" s="58">
        <v>28</v>
      </c>
      <c r="P347" s="58">
        <v>147</v>
      </c>
      <c r="Q347" s="58">
        <v>440</v>
      </c>
      <c r="R347" s="58">
        <v>33</v>
      </c>
      <c r="S347" s="58">
        <v>4227</v>
      </c>
    </row>
    <row r="348" spans="1:19" x14ac:dyDescent="0.5">
      <c r="A348" s="60">
        <v>2011</v>
      </c>
      <c r="B348" s="60" t="s">
        <v>70</v>
      </c>
      <c r="C348" s="60" t="s">
        <v>599</v>
      </c>
      <c r="D348" s="60">
        <v>5487</v>
      </c>
      <c r="E348" s="60">
        <v>970</v>
      </c>
      <c r="F348" s="60">
        <v>259</v>
      </c>
      <c r="G348" s="60">
        <v>25</v>
      </c>
      <c r="H348" s="60">
        <v>103</v>
      </c>
      <c r="I348" s="60">
        <v>440</v>
      </c>
      <c r="J348" s="60">
        <v>37</v>
      </c>
      <c r="K348" s="60">
        <v>3653</v>
      </c>
      <c r="L348" s="58">
        <v>6210</v>
      </c>
      <c r="M348" s="58">
        <v>1069</v>
      </c>
      <c r="N348" s="58">
        <v>291</v>
      </c>
      <c r="O348" s="58">
        <v>43</v>
      </c>
      <c r="P348" s="58">
        <v>161</v>
      </c>
      <c r="Q348" s="58">
        <v>480</v>
      </c>
      <c r="R348" s="58">
        <v>54</v>
      </c>
      <c r="S348" s="58">
        <v>4112</v>
      </c>
    </row>
    <row r="349" spans="1:19" x14ac:dyDescent="0.5">
      <c r="A349" s="60">
        <v>2011</v>
      </c>
      <c r="B349" s="60" t="s">
        <v>76</v>
      </c>
      <c r="C349" s="60" t="s">
        <v>600</v>
      </c>
      <c r="D349" s="60">
        <v>5600</v>
      </c>
      <c r="E349" s="60">
        <v>1021</v>
      </c>
      <c r="F349" s="60">
        <v>309</v>
      </c>
      <c r="G349" s="60">
        <v>39</v>
      </c>
      <c r="H349" s="60">
        <v>108</v>
      </c>
      <c r="I349" s="60">
        <v>571</v>
      </c>
      <c r="J349" s="60">
        <v>51</v>
      </c>
      <c r="K349" s="60">
        <v>3501</v>
      </c>
      <c r="L349" s="58">
        <v>6316</v>
      </c>
      <c r="M349" s="58">
        <v>997</v>
      </c>
      <c r="N349" s="58">
        <v>302</v>
      </c>
      <c r="O349" s="58">
        <v>36</v>
      </c>
      <c r="P349" s="58">
        <v>147</v>
      </c>
      <c r="Q349" s="58">
        <v>514</v>
      </c>
      <c r="R349" s="58">
        <v>70</v>
      </c>
      <c r="S349" s="58">
        <v>4250</v>
      </c>
    </row>
    <row r="350" spans="1:19" x14ac:dyDescent="0.5">
      <c r="A350" s="60">
        <v>2011</v>
      </c>
      <c r="B350" s="60" t="s">
        <v>74</v>
      </c>
      <c r="C350" s="60" t="s">
        <v>601</v>
      </c>
      <c r="D350" s="60">
        <v>5518</v>
      </c>
      <c r="E350" s="60">
        <v>930</v>
      </c>
      <c r="F350" s="60">
        <v>267</v>
      </c>
      <c r="G350" s="60">
        <v>33</v>
      </c>
      <c r="H350" s="60">
        <v>222</v>
      </c>
      <c r="I350" s="60">
        <v>627</v>
      </c>
      <c r="J350" s="60">
        <v>74</v>
      </c>
      <c r="K350" s="60">
        <v>3365</v>
      </c>
      <c r="L350" s="58">
        <v>6216</v>
      </c>
      <c r="M350" s="58">
        <v>955</v>
      </c>
      <c r="N350" s="58">
        <v>292</v>
      </c>
      <c r="O350" s="58">
        <v>24</v>
      </c>
      <c r="P350" s="58">
        <v>152</v>
      </c>
      <c r="Q350" s="58">
        <v>507</v>
      </c>
      <c r="R350" s="58">
        <v>58</v>
      </c>
      <c r="S350" s="58">
        <v>4228</v>
      </c>
    </row>
    <row r="351" spans="1:19" x14ac:dyDescent="0.5">
      <c r="A351" s="60">
        <v>2011</v>
      </c>
      <c r="B351" s="60" t="s">
        <v>78</v>
      </c>
      <c r="C351" s="60" t="s">
        <v>602</v>
      </c>
      <c r="D351" s="60">
        <v>5452</v>
      </c>
      <c r="E351" s="60">
        <v>907</v>
      </c>
      <c r="F351" s="60">
        <v>280</v>
      </c>
      <c r="G351" s="60">
        <v>29</v>
      </c>
      <c r="H351" s="60">
        <v>114</v>
      </c>
      <c r="I351" s="60">
        <v>509</v>
      </c>
      <c r="J351" s="60">
        <v>50</v>
      </c>
      <c r="K351" s="60">
        <v>3563</v>
      </c>
      <c r="L351" s="58">
        <v>6159</v>
      </c>
      <c r="M351" s="58">
        <v>973</v>
      </c>
      <c r="N351" s="58">
        <v>245</v>
      </c>
      <c r="O351" s="58">
        <v>26</v>
      </c>
      <c r="P351" s="58">
        <v>136</v>
      </c>
      <c r="Q351" s="58">
        <v>519</v>
      </c>
      <c r="R351" s="58">
        <v>41</v>
      </c>
      <c r="S351" s="58">
        <v>4219</v>
      </c>
    </row>
    <row r="352" spans="1:19" x14ac:dyDescent="0.5">
      <c r="A352" s="60">
        <v>2011</v>
      </c>
      <c r="B352" s="60" t="s">
        <v>80</v>
      </c>
      <c r="C352" s="60" t="s">
        <v>603</v>
      </c>
      <c r="D352" s="60">
        <v>5579</v>
      </c>
      <c r="E352" s="60">
        <v>960</v>
      </c>
      <c r="F352" s="60">
        <v>258</v>
      </c>
      <c r="G352" s="60">
        <v>38</v>
      </c>
      <c r="H352" s="60">
        <v>153</v>
      </c>
      <c r="I352" s="60">
        <v>539</v>
      </c>
      <c r="J352" s="60">
        <v>56</v>
      </c>
      <c r="K352" s="60">
        <v>3575</v>
      </c>
      <c r="L352" s="58">
        <v>6069</v>
      </c>
      <c r="M352" s="58">
        <v>921</v>
      </c>
      <c r="N352" s="58">
        <v>252</v>
      </c>
      <c r="O352" s="58">
        <v>27</v>
      </c>
      <c r="P352" s="58">
        <v>120</v>
      </c>
      <c r="Q352" s="58">
        <v>404</v>
      </c>
      <c r="R352" s="58">
        <v>47</v>
      </c>
      <c r="S352" s="58">
        <v>4298</v>
      </c>
    </row>
    <row r="353" spans="1:19" x14ac:dyDescent="0.5">
      <c r="A353" s="60">
        <v>2011</v>
      </c>
      <c r="B353" s="60" t="s">
        <v>82</v>
      </c>
      <c r="C353" s="60" t="s">
        <v>604</v>
      </c>
      <c r="D353" s="60">
        <v>5421</v>
      </c>
      <c r="E353" s="60">
        <v>906</v>
      </c>
      <c r="F353" s="60">
        <v>277</v>
      </c>
      <c r="G353" s="60">
        <v>35</v>
      </c>
      <c r="H353" s="60">
        <v>107</v>
      </c>
      <c r="I353" s="60">
        <v>489</v>
      </c>
      <c r="J353" s="60">
        <v>34</v>
      </c>
      <c r="K353" s="60">
        <v>3573</v>
      </c>
      <c r="L353" s="58">
        <v>6317</v>
      </c>
      <c r="M353" s="58">
        <v>1064</v>
      </c>
      <c r="N353" s="58">
        <v>275</v>
      </c>
      <c r="O353" s="58">
        <v>22</v>
      </c>
      <c r="P353" s="58">
        <v>152</v>
      </c>
      <c r="Q353" s="58">
        <v>535</v>
      </c>
      <c r="R353" s="58">
        <v>62</v>
      </c>
      <c r="S353" s="58">
        <v>4207</v>
      </c>
    </row>
    <row r="354" spans="1:19" x14ac:dyDescent="0.5">
      <c r="A354" s="60">
        <v>2011</v>
      </c>
      <c r="B354" s="60" t="s">
        <v>84</v>
      </c>
      <c r="C354" s="60" t="s">
        <v>605</v>
      </c>
      <c r="D354" s="60">
        <v>5417</v>
      </c>
      <c r="E354" s="60">
        <v>904</v>
      </c>
      <c r="F354" s="60">
        <v>247</v>
      </c>
      <c r="G354" s="60">
        <v>42</v>
      </c>
      <c r="H354" s="60">
        <v>91</v>
      </c>
      <c r="I354" s="60">
        <v>501</v>
      </c>
      <c r="J354" s="60">
        <v>48</v>
      </c>
      <c r="K354" s="60">
        <v>3584</v>
      </c>
      <c r="L354" s="58">
        <v>6065</v>
      </c>
      <c r="M354" s="58">
        <v>900</v>
      </c>
      <c r="N354" s="58">
        <v>267</v>
      </c>
      <c r="O354" s="58">
        <v>32</v>
      </c>
      <c r="P354" s="58">
        <v>125</v>
      </c>
      <c r="Q354" s="58">
        <v>521</v>
      </c>
      <c r="R354" s="58">
        <v>37</v>
      </c>
      <c r="S354" s="58">
        <v>4183</v>
      </c>
    </row>
    <row r="355" spans="1:19" x14ac:dyDescent="0.5">
      <c r="A355" s="60">
        <v>2011</v>
      </c>
      <c r="B355" s="60" t="s">
        <v>86</v>
      </c>
      <c r="C355" s="60" t="s">
        <v>606</v>
      </c>
      <c r="D355" s="60">
        <v>5421</v>
      </c>
      <c r="E355" s="60">
        <v>879</v>
      </c>
      <c r="F355" s="60">
        <v>253</v>
      </c>
      <c r="G355" s="60">
        <v>22</v>
      </c>
      <c r="H355" s="60">
        <v>109</v>
      </c>
      <c r="I355" s="60">
        <v>435</v>
      </c>
      <c r="J355" s="60">
        <v>37</v>
      </c>
      <c r="K355" s="60">
        <v>3686</v>
      </c>
      <c r="L355" s="58">
        <v>6014</v>
      </c>
      <c r="M355" s="58">
        <v>947</v>
      </c>
      <c r="N355" s="58">
        <v>253</v>
      </c>
      <c r="O355" s="58">
        <v>24</v>
      </c>
      <c r="P355" s="58">
        <v>145</v>
      </c>
      <c r="Q355" s="58">
        <v>436</v>
      </c>
      <c r="R355" s="58">
        <v>51</v>
      </c>
      <c r="S355" s="58">
        <v>4158</v>
      </c>
    </row>
    <row r="356" spans="1:19" x14ac:dyDescent="0.5">
      <c r="A356" s="60">
        <v>2011</v>
      </c>
      <c r="B356" s="60" t="s">
        <v>88</v>
      </c>
      <c r="C356" s="60" t="s">
        <v>607</v>
      </c>
      <c r="D356" s="60">
        <v>5486</v>
      </c>
      <c r="E356" s="60">
        <v>900</v>
      </c>
      <c r="F356" s="60">
        <v>282</v>
      </c>
      <c r="G356" s="60">
        <v>24</v>
      </c>
      <c r="H356" s="60">
        <v>121</v>
      </c>
      <c r="I356" s="60">
        <v>448</v>
      </c>
      <c r="J356" s="60">
        <v>52</v>
      </c>
      <c r="K356" s="60">
        <v>3659</v>
      </c>
      <c r="L356" s="58">
        <v>6130</v>
      </c>
      <c r="M356" s="58">
        <v>863</v>
      </c>
      <c r="N356" s="58">
        <v>272</v>
      </c>
      <c r="O356" s="58">
        <v>29</v>
      </c>
      <c r="P356" s="58">
        <v>96</v>
      </c>
      <c r="Q356" s="58">
        <v>559</v>
      </c>
      <c r="R356" s="58">
        <v>50</v>
      </c>
      <c r="S356" s="58">
        <v>4261</v>
      </c>
    </row>
    <row r="357" spans="1:19" x14ac:dyDescent="0.5">
      <c r="A357" s="60">
        <v>2011</v>
      </c>
      <c r="B357" s="60" t="s">
        <v>90</v>
      </c>
      <c r="C357" s="60" t="s">
        <v>608</v>
      </c>
      <c r="D357" s="60">
        <v>5532</v>
      </c>
      <c r="E357" s="60">
        <v>1021</v>
      </c>
      <c r="F357" s="60">
        <v>308</v>
      </c>
      <c r="G357" s="60">
        <v>22</v>
      </c>
      <c r="H357" s="60">
        <v>162</v>
      </c>
      <c r="I357" s="60">
        <v>542</v>
      </c>
      <c r="J357" s="60">
        <v>44</v>
      </c>
      <c r="K357" s="60">
        <v>3433</v>
      </c>
      <c r="L357" s="58">
        <v>6211</v>
      </c>
      <c r="M357" s="58">
        <v>995</v>
      </c>
      <c r="N357" s="58">
        <v>295</v>
      </c>
      <c r="O357" s="58">
        <v>35</v>
      </c>
      <c r="P357" s="58">
        <v>136</v>
      </c>
      <c r="Q357" s="58">
        <v>448</v>
      </c>
      <c r="R357" s="58">
        <v>46</v>
      </c>
      <c r="S357" s="58">
        <v>4256</v>
      </c>
    </row>
    <row r="358" spans="1:19" x14ac:dyDescent="0.5">
      <c r="A358" s="60">
        <v>2011</v>
      </c>
      <c r="B358" s="60" t="s">
        <v>92</v>
      </c>
      <c r="C358" s="60" t="s">
        <v>609</v>
      </c>
      <c r="D358" s="60">
        <v>5436</v>
      </c>
      <c r="E358" s="60">
        <v>842</v>
      </c>
      <c r="F358" s="60">
        <v>273</v>
      </c>
      <c r="G358" s="60">
        <v>37</v>
      </c>
      <c r="H358" s="60">
        <v>172</v>
      </c>
      <c r="I358" s="60">
        <v>571</v>
      </c>
      <c r="J358" s="60">
        <v>73</v>
      </c>
      <c r="K358" s="60">
        <v>3468</v>
      </c>
      <c r="L358" s="58">
        <v>6010</v>
      </c>
      <c r="M358" s="58">
        <v>812</v>
      </c>
      <c r="N358" s="58">
        <v>260</v>
      </c>
      <c r="O358" s="58">
        <v>30</v>
      </c>
      <c r="P358" s="58">
        <v>161</v>
      </c>
      <c r="Q358" s="58">
        <v>504</v>
      </c>
      <c r="R358" s="58">
        <v>46</v>
      </c>
      <c r="S358" s="58">
        <v>4197</v>
      </c>
    </row>
    <row r="359" spans="1:19" x14ac:dyDescent="0.5">
      <c r="A359" s="60">
        <v>2011</v>
      </c>
      <c r="B359" s="60" t="s">
        <v>94</v>
      </c>
      <c r="C359" s="60" t="s">
        <v>610</v>
      </c>
      <c r="D359" s="60">
        <v>5659</v>
      </c>
      <c r="E359" s="60">
        <v>1047</v>
      </c>
      <c r="F359" s="60">
        <v>310</v>
      </c>
      <c r="G359" s="60">
        <v>32</v>
      </c>
      <c r="H359" s="60">
        <v>210</v>
      </c>
      <c r="I359" s="60">
        <v>475</v>
      </c>
      <c r="J359" s="60">
        <v>39</v>
      </c>
      <c r="K359" s="60">
        <v>3546</v>
      </c>
      <c r="L359" s="58">
        <v>6021</v>
      </c>
      <c r="M359" s="58">
        <v>880</v>
      </c>
      <c r="N359" s="58">
        <v>259</v>
      </c>
      <c r="O359" s="58">
        <v>18</v>
      </c>
      <c r="P359" s="58">
        <v>170</v>
      </c>
      <c r="Q359" s="58">
        <v>461</v>
      </c>
      <c r="R359" s="58">
        <v>46</v>
      </c>
      <c r="S359" s="58">
        <v>4187</v>
      </c>
    </row>
    <row r="360" spans="1:19" x14ac:dyDescent="0.5">
      <c r="A360" s="60">
        <v>2011</v>
      </c>
      <c r="B360" s="60" t="s">
        <v>96</v>
      </c>
      <c r="C360" s="60" t="s">
        <v>611</v>
      </c>
      <c r="D360" s="60">
        <v>5559</v>
      </c>
      <c r="E360" s="60">
        <v>879</v>
      </c>
      <c r="F360" s="60">
        <v>285</v>
      </c>
      <c r="G360" s="60">
        <v>34</v>
      </c>
      <c r="H360" s="60">
        <v>186</v>
      </c>
      <c r="I360" s="60">
        <v>525</v>
      </c>
      <c r="J360" s="60">
        <v>48</v>
      </c>
      <c r="K360" s="60">
        <v>3602</v>
      </c>
      <c r="L360" s="58">
        <v>6286</v>
      </c>
      <c r="M360" s="58">
        <v>914</v>
      </c>
      <c r="N360" s="58">
        <v>307</v>
      </c>
      <c r="O360" s="58">
        <v>33</v>
      </c>
      <c r="P360" s="58">
        <v>179</v>
      </c>
      <c r="Q360" s="58">
        <v>540</v>
      </c>
      <c r="R360" s="58">
        <v>77</v>
      </c>
      <c r="S360" s="58">
        <v>4236</v>
      </c>
    </row>
    <row r="361" spans="1:19" x14ac:dyDescent="0.5">
      <c r="A361" s="60">
        <v>2011</v>
      </c>
      <c r="B361" s="60" t="s">
        <v>100</v>
      </c>
      <c r="C361" s="60" t="s">
        <v>612</v>
      </c>
      <c r="D361" s="60">
        <v>5441</v>
      </c>
      <c r="E361" s="60">
        <v>886</v>
      </c>
      <c r="F361" s="60">
        <v>257</v>
      </c>
      <c r="G361" s="60">
        <v>22</v>
      </c>
      <c r="H361" s="60">
        <v>154</v>
      </c>
      <c r="I361" s="60">
        <v>470</v>
      </c>
      <c r="J361" s="60">
        <v>65</v>
      </c>
      <c r="K361" s="60">
        <v>3587</v>
      </c>
      <c r="L361" s="58">
        <v>6141</v>
      </c>
      <c r="M361" s="58">
        <v>993</v>
      </c>
      <c r="N361" s="58">
        <v>258</v>
      </c>
      <c r="O361" s="58">
        <v>23</v>
      </c>
      <c r="P361" s="58">
        <v>129</v>
      </c>
      <c r="Q361" s="58">
        <v>477</v>
      </c>
      <c r="R361" s="58">
        <v>52</v>
      </c>
      <c r="S361" s="58">
        <v>4209</v>
      </c>
    </row>
    <row r="362" spans="1:19" x14ac:dyDescent="0.5">
      <c r="A362" s="60">
        <v>2012</v>
      </c>
      <c r="B362" s="60" t="s">
        <v>36</v>
      </c>
      <c r="C362" s="60" t="s">
        <v>613</v>
      </c>
      <c r="D362" s="60">
        <v>5536</v>
      </c>
      <c r="E362" s="60">
        <v>1036</v>
      </c>
      <c r="F362" s="60">
        <v>273</v>
      </c>
      <c r="G362" s="60">
        <v>22</v>
      </c>
      <c r="H362" s="60">
        <v>187</v>
      </c>
      <c r="I362" s="60">
        <v>449</v>
      </c>
      <c r="J362" s="60">
        <v>47</v>
      </c>
      <c r="K362" s="60">
        <v>3522</v>
      </c>
      <c r="L362" s="58">
        <v>6034</v>
      </c>
      <c r="M362" s="58">
        <v>881</v>
      </c>
      <c r="N362" s="58">
        <v>250</v>
      </c>
      <c r="O362" s="58">
        <v>22</v>
      </c>
      <c r="P362" s="58">
        <v>186</v>
      </c>
      <c r="Q362" s="58">
        <v>483</v>
      </c>
      <c r="R362" s="58">
        <v>40</v>
      </c>
      <c r="S362" s="58">
        <v>4172</v>
      </c>
    </row>
    <row r="363" spans="1:19" x14ac:dyDescent="0.5">
      <c r="A363" s="60">
        <v>2012</v>
      </c>
      <c r="B363" s="60" t="s">
        <v>39</v>
      </c>
      <c r="C363" s="60" t="s">
        <v>614</v>
      </c>
      <c r="D363" s="60">
        <v>5462</v>
      </c>
      <c r="E363" s="60">
        <v>911</v>
      </c>
      <c r="F363" s="60">
        <v>307</v>
      </c>
      <c r="G363" s="60">
        <v>33</v>
      </c>
      <c r="H363" s="60">
        <v>165</v>
      </c>
      <c r="I363" s="60">
        <v>539</v>
      </c>
      <c r="J363" s="60">
        <v>41</v>
      </c>
      <c r="K363" s="60">
        <v>3466</v>
      </c>
      <c r="L363" s="58">
        <v>6063</v>
      </c>
      <c r="M363" s="58">
        <v>936</v>
      </c>
      <c r="N363" s="58">
        <v>300</v>
      </c>
      <c r="O363" s="58">
        <v>41</v>
      </c>
      <c r="P363" s="58">
        <v>155</v>
      </c>
      <c r="Q363" s="58">
        <v>417</v>
      </c>
      <c r="R363" s="58">
        <v>51</v>
      </c>
      <c r="S363" s="58">
        <v>4163</v>
      </c>
    </row>
    <row r="364" spans="1:19" x14ac:dyDescent="0.5">
      <c r="A364" s="60">
        <v>2012</v>
      </c>
      <c r="B364" s="60" t="s">
        <v>41</v>
      </c>
      <c r="C364" s="60" t="s">
        <v>615</v>
      </c>
      <c r="D364" s="60">
        <v>5425</v>
      </c>
      <c r="E364" s="60">
        <v>899</v>
      </c>
      <c r="F364" s="60">
        <v>263</v>
      </c>
      <c r="G364" s="60">
        <v>30</v>
      </c>
      <c r="H364" s="60">
        <v>149</v>
      </c>
      <c r="I364" s="60">
        <v>567</v>
      </c>
      <c r="J364" s="60">
        <v>34</v>
      </c>
      <c r="K364" s="60">
        <v>3483</v>
      </c>
      <c r="L364" s="58">
        <v>5991</v>
      </c>
      <c r="M364" s="58">
        <v>893</v>
      </c>
      <c r="N364" s="58">
        <v>251</v>
      </c>
      <c r="O364" s="58">
        <v>21</v>
      </c>
      <c r="P364" s="58">
        <v>145</v>
      </c>
      <c r="Q364" s="58">
        <v>464</v>
      </c>
      <c r="R364" s="58">
        <v>41</v>
      </c>
      <c r="S364" s="58">
        <v>4176</v>
      </c>
    </row>
    <row r="365" spans="1:19" x14ac:dyDescent="0.5">
      <c r="A365" s="60">
        <v>2012</v>
      </c>
      <c r="B365" s="60" t="s">
        <v>44</v>
      </c>
      <c r="C365" s="60" t="s">
        <v>616</v>
      </c>
      <c r="D365" s="60">
        <v>5560</v>
      </c>
      <c r="E365" s="60">
        <v>875</v>
      </c>
      <c r="F365" s="60">
        <v>270</v>
      </c>
      <c r="G365" s="60">
        <v>16</v>
      </c>
      <c r="H365" s="60">
        <v>214</v>
      </c>
      <c r="I365" s="60">
        <v>480</v>
      </c>
      <c r="J365" s="60">
        <v>50</v>
      </c>
      <c r="K365" s="60">
        <v>3655</v>
      </c>
      <c r="L365" s="58">
        <v>6278</v>
      </c>
      <c r="M365" s="58">
        <v>962</v>
      </c>
      <c r="N365" s="58">
        <v>271</v>
      </c>
      <c r="O365" s="58">
        <v>16</v>
      </c>
      <c r="P365" s="58">
        <v>184</v>
      </c>
      <c r="Q365" s="58">
        <v>481</v>
      </c>
      <c r="R365" s="58">
        <v>53</v>
      </c>
      <c r="S365" s="58">
        <v>4311</v>
      </c>
    </row>
    <row r="366" spans="1:19" x14ac:dyDescent="0.5">
      <c r="A366" s="60">
        <v>2012</v>
      </c>
      <c r="B366" s="60" t="s">
        <v>46</v>
      </c>
      <c r="C366" s="60" t="s">
        <v>617</v>
      </c>
      <c r="D366" s="60">
        <v>5604</v>
      </c>
      <c r="E366" s="60">
        <v>939</v>
      </c>
      <c r="F366" s="60">
        <v>339</v>
      </c>
      <c r="G366" s="60">
        <v>16</v>
      </c>
      <c r="H366" s="60">
        <v>165</v>
      </c>
      <c r="I366" s="60">
        <v>428</v>
      </c>
      <c r="J366" s="60">
        <v>45</v>
      </c>
      <c r="K366" s="60">
        <v>3672</v>
      </c>
      <c r="L366" s="58">
        <v>6209</v>
      </c>
      <c r="M366" s="58">
        <v>940</v>
      </c>
      <c r="N366" s="58">
        <v>292</v>
      </c>
      <c r="O366" s="58">
        <v>27</v>
      </c>
      <c r="P366" s="58">
        <v>190</v>
      </c>
      <c r="Q366" s="58">
        <v>529</v>
      </c>
      <c r="R366" s="58">
        <v>66</v>
      </c>
      <c r="S366" s="58">
        <v>4165</v>
      </c>
    </row>
    <row r="367" spans="1:19" x14ac:dyDescent="0.5">
      <c r="A367" s="60">
        <v>2012</v>
      </c>
      <c r="B367" s="60" t="s">
        <v>50</v>
      </c>
      <c r="C367" s="60" t="s">
        <v>618</v>
      </c>
      <c r="D367" s="60">
        <v>5411</v>
      </c>
      <c r="E367" s="60">
        <v>859</v>
      </c>
      <c r="F367" s="60">
        <v>265</v>
      </c>
      <c r="G367" s="60">
        <v>36</v>
      </c>
      <c r="H367" s="60">
        <v>137</v>
      </c>
      <c r="I367" s="60">
        <v>447</v>
      </c>
      <c r="J367" s="60">
        <v>43</v>
      </c>
      <c r="K367" s="60">
        <v>3624</v>
      </c>
      <c r="L367" s="58">
        <v>6140</v>
      </c>
      <c r="M367" s="58">
        <v>904</v>
      </c>
      <c r="N367" s="58">
        <v>273</v>
      </c>
      <c r="O367" s="58">
        <v>47</v>
      </c>
      <c r="P367" s="58">
        <v>175</v>
      </c>
      <c r="Q367" s="58">
        <v>573</v>
      </c>
      <c r="R367" s="58">
        <v>65</v>
      </c>
      <c r="S367" s="58">
        <v>4103</v>
      </c>
    </row>
    <row r="368" spans="1:19" x14ac:dyDescent="0.5">
      <c r="A368" s="60">
        <v>2012</v>
      </c>
      <c r="B368" s="60" t="s">
        <v>48</v>
      </c>
      <c r="C368" s="60" t="s">
        <v>619</v>
      </c>
      <c r="D368" s="60">
        <v>5518</v>
      </c>
      <c r="E368" s="60">
        <v>941</v>
      </c>
      <c r="F368" s="60">
        <v>228</v>
      </c>
      <c r="G368" s="60">
        <v>29</v>
      </c>
      <c r="H368" s="60">
        <v>211</v>
      </c>
      <c r="I368" s="60">
        <v>461</v>
      </c>
      <c r="J368" s="60">
        <v>65</v>
      </c>
      <c r="K368" s="60">
        <v>3583</v>
      </c>
      <c r="L368" s="58">
        <v>6098</v>
      </c>
      <c r="M368" s="58">
        <v>907</v>
      </c>
      <c r="N368" s="58">
        <v>252</v>
      </c>
      <c r="O368" s="58">
        <v>20</v>
      </c>
      <c r="P368" s="58">
        <v>186</v>
      </c>
      <c r="Q368" s="58">
        <v>503</v>
      </c>
      <c r="R368" s="58">
        <v>68</v>
      </c>
      <c r="S368" s="58">
        <v>4162</v>
      </c>
    </row>
    <row r="369" spans="1:19" x14ac:dyDescent="0.5">
      <c r="A369" s="60">
        <v>2012</v>
      </c>
      <c r="B369" s="60" t="s">
        <v>52</v>
      </c>
      <c r="C369" s="60" t="s">
        <v>620</v>
      </c>
      <c r="D369" s="60">
        <v>5477</v>
      </c>
      <c r="E369" s="60">
        <v>879</v>
      </c>
      <c r="F369" s="60">
        <v>296</v>
      </c>
      <c r="G369" s="60">
        <v>30</v>
      </c>
      <c r="H369" s="60">
        <v>172</v>
      </c>
      <c r="I369" s="60">
        <v>481</v>
      </c>
      <c r="J369" s="60">
        <v>47</v>
      </c>
      <c r="K369" s="60">
        <v>3572</v>
      </c>
      <c r="L369" s="58">
        <v>6056</v>
      </c>
      <c r="M369" s="58">
        <v>907</v>
      </c>
      <c r="N369" s="58">
        <v>262</v>
      </c>
      <c r="O369" s="58">
        <v>35</v>
      </c>
      <c r="P369" s="58">
        <v>152</v>
      </c>
      <c r="Q369" s="58">
        <v>427</v>
      </c>
      <c r="R369" s="58">
        <v>51</v>
      </c>
      <c r="S369" s="58">
        <v>4222</v>
      </c>
    </row>
    <row r="370" spans="1:19" x14ac:dyDescent="0.5">
      <c r="A370" s="60">
        <v>2012</v>
      </c>
      <c r="B370" s="60" t="s">
        <v>54</v>
      </c>
      <c r="C370" s="60" t="s">
        <v>621</v>
      </c>
      <c r="D370" s="60">
        <v>5525</v>
      </c>
      <c r="E370" s="60">
        <v>959</v>
      </c>
      <c r="F370" s="60">
        <v>266</v>
      </c>
      <c r="G370" s="60">
        <v>24</v>
      </c>
      <c r="H370" s="60">
        <v>136</v>
      </c>
      <c r="I370" s="60">
        <v>555</v>
      </c>
      <c r="J370" s="60">
        <v>59</v>
      </c>
      <c r="K370" s="60">
        <v>3526</v>
      </c>
      <c r="L370" s="58">
        <v>6283</v>
      </c>
      <c r="M370" s="58">
        <v>979</v>
      </c>
      <c r="N370" s="58">
        <v>317</v>
      </c>
      <c r="O370" s="58">
        <v>33</v>
      </c>
      <c r="P370" s="58">
        <v>174</v>
      </c>
      <c r="Q370" s="58">
        <v>543</v>
      </c>
      <c r="R370" s="58">
        <v>55</v>
      </c>
      <c r="S370" s="58">
        <v>4182</v>
      </c>
    </row>
    <row r="371" spans="1:19" x14ac:dyDescent="0.5">
      <c r="A371" s="60">
        <v>2012</v>
      </c>
      <c r="B371" s="60" t="s">
        <v>56</v>
      </c>
      <c r="C371" s="60" t="s">
        <v>622</v>
      </c>
      <c r="D371" s="60">
        <v>5577</v>
      </c>
      <c r="E371" s="60">
        <v>1002</v>
      </c>
      <c r="F371" s="60">
        <v>306</v>
      </c>
      <c r="G371" s="60">
        <v>52</v>
      </c>
      <c r="H371" s="60">
        <v>166</v>
      </c>
      <c r="I371" s="60">
        <v>450</v>
      </c>
      <c r="J371" s="60">
        <v>36</v>
      </c>
      <c r="K371" s="60">
        <v>3565</v>
      </c>
      <c r="L371" s="58">
        <v>6384</v>
      </c>
      <c r="M371" s="58">
        <v>1069</v>
      </c>
      <c r="N371" s="58">
        <v>321</v>
      </c>
      <c r="O371" s="58">
        <v>49</v>
      </c>
      <c r="P371" s="58">
        <v>198</v>
      </c>
      <c r="Q371" s="58">
        <v>566</v>
      </c>
      <c r="R371" s="58">
        <v>47</v>
      </c>
      <c r="S371" s="58">
        <v>4134</v>
      </c>
    </row>
    <row r="372" spans="1:19" x14ac:dyDescent="0.5">
      <c r="A372" s="60">
        <v>2012</v>
      </c>
      <c r="B372" s="60" t="s">
        <v>58</v>
      </c>
      <c r="C372" s="60" t="s">
        <v>623</v>
      </c>
      <c r="D372" s="60">
        <v>5476</v>
      </c>
      <c r="E372" s="60">
        <v>986</v>
      </c>
      <c r="F372" s="60">
        <v>279</v>
      </c>
      <c r="G372" s="60">
        <v>39</v>
      </c>
      <c r="H372" s="60">
        <v>163</v>
      </c>
      <c r="I372" s="60">
        <v>511</v>
      </c>
      <c r="J372" s="60">
        <v>57</v>
      </c>
      <c r="K372" s="60">
        <v>3441</v>
      </c>
      <c r="L372" s="58">
        <v>6045</v>
      </c>
      <c r="M372" s="58">
        <v>950</v>
      </c>
      <c r="N372" s="58">
        <v>271</v>
      </c>
      <c r="O372" s="58">
        <v>37</v>
      </c>
      <c r="P372" s="58">
        <v>151</v>
      </c>
      <c r="Q372" s="58">
        <v>438</v>
      </c>
      <c r="R372" s="58">
        <v>42</v>
      </c>
      <c r="S372" s="58">
        <v>4156</v>
      </c>
    </row>
    <row r="373" spans="1:19" x14ac:dyDescent="0.5">
      <c r="A373" s="60">
        <v>2012</v>
      </c>
      <c r="B373" s="60" t="s">
        <v>60</v>
      </c>
      <c r="C373" s="60" t="s">
        <v>624</v>
      </c>
      <c r="D373" s="60">
        <v>5407</v>
      </c>
      <c r="E373" s="60">
        <v>864</v>
      </c>
      <c r="F373" s="60">
        <v>238</v>
      </c>
      <c r="G373" s="60">
        <v>28</v>
      </c>
      <c r="H373" s="60">
        <v>146</v>
      </c>
      <c r="I373" s="60">
        <v>463</v>
      </c>
      <c r="J373" s="60">
        <v>58</v>
      </c>
      <c r="K373" s="60">
        <v>3610</v>
      </c>
      <c r="L373" s="58">
        <v>6238</v>
      </c>
      <c r="M373" s="58">
        <v>1005</v>
      </c>
      <c r="N373" s="58">
        <v>276</v>
      </c>
      <c r="O373" s="58">
        <v>39</v>
      </c>
      <c r="P373" s="58">
        <v>173</v>
      </c>
      <c r="Q373" s="58">
        <v>540</v>
      </c>
      <c r="R373" s="58">
        <v>48</v>
      </c>
      <c r="S373" s="58">
        <v>4157</v>
      </c>
    </row>
    <row r="374" spans="1:19" x14ac:dyDescent="0.5">
      <c r="A374" s="60">
        <v>2012</v>
      </c>
      <c r="B374" s="60" t="s">
        <v>62</v>
      </c>
      <c r="C374" s="60" t="s">
        <v>625</v>
      </c>
      <c r="D374" s="60">
        <v>5636</v>
      </c>
      <c r="E374" s="60">
        <v>1029</v>
      </c>
      <c r="F374" s="60">
        <v>295</v>
      </c>
      <c r="G374" s="60">
        <v>37</v>
      </c>
      <c r="H374" s="60">
        <v>131</v>
      </c>
      <c r="I374" s="60">
        <v>404</v>
      </c>
      <c r="J374" s="60">
        <v>42</v>
      </c>
      <c r="K374" s="60">
        <v>3698</v>
      </c>
      <c r="L374" s="58">
        <v>6251</v>
      </c>
      <c r="M374" s="58">
        <v>1019</v>
      </c>
      <c r="N374" s="58">
        <v>280</v>
      </c>
      <c r="O374" s="58">
        <v>42</v>
      </c>
      <c r="P374" s="58">
        <v>163</v>
      </c>
      <c r="Q374" s="58">
        <v>542</v>
      </c>
      <c r="R374" s="58">
        <v>60</v>
      </c>
      <c r="S374" s="58">
        <v>4145</v>
      </c>
    </row>
    <row r="375" spans="1:19" x14ac:dyDescent="0.5">
      <c r="A375" s="60">
        <v>2012</v>
      </c>
      <c r="B375" s="60" t="s">
        <v>64</v>
      </c>
      <c r="C375" s="60" t="s">
        <v>626</v>
      </c>
      <c r="D375" s="60">
        <v>5438</v>
      </c>
      <c r="E375" s="60">
        <v>961</v>
      </c>
      <c r="F375" s="60">
        <v>269</v>
      </c>
      <c r="G375" s="60">
        <v>23</v>
      </c>
      <c r="H375" s="60">
        <v>116</v>
      </c>
      <c r="I375" s="60">
        <v>481</v>
      </c>
      <c r="J375" s="60">
        <v>52</v>
      </c>
      <c r="K375" s="60">
        <v>3536</v>
      </c>
      <c r="L375" s="58">
        <v>6068</v>
      </c>
      <c r="M375" s="58">
        <v>874</v>
      </c>
      <c r="N375" s="58">
        <v>249</v>
      </c>
      <c r="O375" s="58">
        <v>32</v>
      </c>
      <c r="P375" s="58">
        <v>122</v>
      </c>
      <c r="Q375" s="58">
        <v>539</v>
      </c>
      <c r="R375" s="58">
        <v>45</v>
      </c>
      <c r="S375" s="58">
        <v>4207</v>
      </c>
    </row>
    <row r="376" spans="1:19" x14ac:dyDescent="0.5">
      <c r="A376" s="60">
        <v>2012</v>
      </c>
      <c r="B376" s="60" t="s">
        <v>66</v>
      </c>
      <c r="C376" s="60" t="s">
        <v>627</v>
      </c>
      <c r="D376" s="60">
        <v>5437</v>
      </c>
      <c r="E376" s="60">
        <v>890</v>
      </c>
      <c r="F376" s="60">
        <v>261</v>
      </c>
      <c r="G376" s="60">
        <v>39</v>
      </c>
      <c r="H376" s="60">
        <v>137</v>
      </c>
      <c r="I376" s="60">
        <v>484</v>
      </c>
      <c r="J376" s="60">
        <v>35</v>
      </c>
      <c r="K376" s="60">
        <v>3591</v>
      </c>
      <c r="L376" s="58">
        <v>6186</v>
      </c>
      <c r="M376" s="58">
        <v>1005</v>
      </c>
      <c r="N376" s="58">
        <v>270</v>
      </c>
      <c r="O376" s="58">
        <v>40</v>
      </c>
      <c r="P376" s="58">
        <v>133</v>
      </c>
      <c r="Q376" s="58">
        <v>495</v>
      </c>
      <c r="R376" s="58">
        <v>55</v>
      </c>
      <c r="S376" s="58">
        <v>4188</v>
      </c>
    </row>
    <row r="377" spans="1:19" x14ac:dyDescent="0.5">
      <c r="A377" s="60">
        <v>2012</v>
      </c>
      <c r="B377" s="60" t="s">
        <v>68</v>
      </c>
      <c r="C377" s="60" t="s">
        <v>628</v>
      </c>
      <c r="D377" s="60">
        <v>5557</v>
      </c>
      <c r="E377" s="60">
        <v>901</v>
      </c>
      <c r="F377" s="60">
        <v>300</v>
      </c>
      <c r="G377" s="60">
        <v>39</v>
      </c>
      <c r="H377" s="60">
        <v>202</v>
      </c>
      <c r="I377" s="60">
        <v>466</v>
      </c>
      <c r="J377" s="60">
        <v>90</v>
      </c>
      <c r="K377" s="60">
        <v>3559</v>
      </c>
      <c r="L377" s="58">
        <v>6245</v>
      </c>
      <c r="M377" s="58">
        <v>968</v>
      </c>
      <c r="N377" s="58">
        <v>290</v>
      </c>
      <c r="O377" s="58">
        <v>31</v>
      </c>
      <c r="P377" s="58">
        <v>169</v>
      </c>
      <c r="Q377" s="58">
        <v>525</v>
      </c>
      <c r="R377" s="58">
        <v>31</v>
      </c>
      <c r="S377" s="58">
        <v>4231</v>
      </c>
    </row>
    <row r="378" spans="1:19" x14ac:dyDescent="0.5">
      <c r="A378" s="60">
        <v>2012</v>
      </c>
      <c r="B378" s="60" t="s">
        <v>70</v>
      </c>
      <c r="C378" s="60" t="s">
        <v>629</v>
      </c>
      <c r="D378" s="60">
        <v>5562</v>
      </c>
      <c r="E378" s="60">
        <v>1017</v>
      </c>
      <c r="F378" s="60">
        <v>270</v>
      </c>
      <c r="G378" s="60">
        <v>30</v>
      </c>
      <c r="H378" s="60">
        <v>131</v>
      </c>
      <c r="I378" s="60">
        <v>505</v>
      </c>
      <c r="J378" s="60">
        <v>53</v>
      </c>
      <c r="K378" s="60">
        <v>3556</v>
      </c>
      <c r="L378" s="58">
        <v>6214</v>
      </c>
      <c r="M378" s="58">
        <v>1022</v>
      </c>
      <c r="N378" s="58">
        <v>285</v>
      </c>
      <c r="O378" s="58">
        <v>31</v>
      </c>
      <c r="P378" s="58">
        <v>198</v>
      </c>
      <c r="Q378" s="58">
        <v>465</v>
      </c>
      <c r="R378" s="58">
        <v>57</v>
      </c>
      <c r="S378" s="58">
        <v>4156</v>
      </c>
    </row>
    <row r="379" spans="1:19" x14ac:dyDescent="0.5">
      <c r="A379" s="60">
        <v>2012</v>
      </c>
      <c r="B379" s="60" t="s">
        <v>76</v>
      </c>
      <c r="C379" s="60" t="s">
        <v>630</v>
      </c>
      <c r="D379" s="60">
        <v>5450</v>
      </c>
      <c r="E379" s="60">
        <v>911</v>
      </c>
      <c r="F379" s="60">
        <v>286</v>
      </c>
      <c r="G379" s="60">
        <v>21</v>
      </c>
      <c r="H379" s="60">
        <v>139</v>
      </c>
      <c r="I379" s="60">
        <v>503</v>
      </c>
      <c r="J379" s="60">
        <v>42</v>
      </c>
      <c r="K379" s="60">
        <v>3548</v>
      </c>
      <c r="L379" s="58">
        <v>6086</v>
      </c>
      <c r="M379" s="58">
        <v>909</v>
      </c>
      <c r="N379" s="58">
        <v>262</v>
      </c>
      <c r="O379" s="58">
        <v>36</v>
      </c>
      <c r="P379" s="58">
        <v>161</v>
      </c>
      <c r="Q379" s="58">
        <v>488</v>
      </c>
      <c r="R379" s="58">
        <v>40</v>
      </c>
      <c r="S379" s="58">
        <v>4190</v>
      </c>
    </row>
    <row r="380" spans="1:19" x14ac:dyDescent="0.5">
      <c r="A380" s="60">
        <v>2012</v>
      </c>
      <c r="B380" s="60" t="s">
        <v>74</v>
      </c>
      <c r="C380" s="60" t="s">
        <v>631</v>
      </c>
      <c r="D380" s="60">
        <v>5524</v>
      </c>
      <c r="E380" s="60">
        <v>924</v>
      </c>
      <c r="F380" s="60">
        <v>280</v>
      </c>
      <c r="G380" s="60">
        <v>13</v>
      </c>
      <c r="H380" s="60">
        <v>245</v>
      </c>
      <c r="I380" s="60">
        <v>565</v>
      </c>
      <c r="J380" s="60">
        <v>62</v>
      </c>
      <c r="K380" s="60">
        <v>3435</v>
      </c>
      <c r="L380" s="58">
        <v>6085</v>
      </c>
      <c r="M380" s="58">
        <v>884</v>
      </c>
      <c r="N380" s="58">
        <v>303</v>
      </c>
      <c r="O380" s="58">
        <v>24</v>
      </c>
      <c r="P380" s="58">
        <v>190</v>
      </c>
      <c r="Q380" s="58">
        <v>431</v>
      </c>
      <c r="R380" s="58">
        <v>49</v>
      </c>
      <c r="S380" s="58">
        <v>4204</v>
      </c>
    </row>
    <row r="381" spans="1:19" x14ac:dyDescent="0.5">
      <c r="A381" s="60">
        <v>2012</v>
      </c>
      <c r="B381" s="60" t="s">
        <v>78</v>
      </c>
      <c r="C381" s="60" t="s">
        <v>632</v>
      </c>
      <c r="D381" s="60">
        <v>5527</v>
      </c>
      <c r="E381" s="60">
        <v>821</v>
      </c>
      <c r="F381" s="60">
        <v>267</v>
      </c>
      <c r="G381" s="60">
        <v>32</v>
      </c>
      <c r="H381" s="60">
        <v>195</v>
      </c>
      <c r="I381" s="60">
        <v>550</v>
      </c>
      <c r="J381" s="60">
        <v>45</v>
      </c>
      <c r="K381" s="60">
        <v>3617</v>
      </c>
      <c r="L381" s="58">
        <v>6131</v>
      </c>
      <c r="M381" s="58">
        <v>935</v>
      </c>
      <c r="N381" s="58">
        <v>264</v>
      </c>
      <c r="O381" s="58">
        <v>14</v>
      </c>
      <c r="P381" s="58">
        <v>147</v>
      </c>
      <c r="Q381" s="58">
        <v>462</v>
      </c>
      <c r="R381" s="58">
        <v>46</v>
      </c>
      <c r="S381" s="58">
        <v>4263</v>
      </c>
    </row>
    <row r="382" spans="1:19" x14ac:dyDescent="0.5">
      <c r="A382" s="60">
        <v>2012</v>
      </c>
      <c r="B382" s="60" t="s">
        <v>80</v>
      </c>
      <c r="C382" s="60" t="s">
        <v>633</v>
      </c>
      <c r="D382" s="60">
        <v>5544</v>
      </c>
      <c r="E382" s="60">
        <v>957</v>
      </c>
      <c r="F382" s="60">
        <v>271</v>
      </c>
      <c r="G382" s="60">
        <v>28</v>
      </c>
      <c r="H382" s="60">
        <v>158</v>
      </c>
      <c r="I382" s="60">
        <v>454</v>
      </c>
      <c r="J382" s="60">
        <v>63</v>
      </c>
      <c r="K382" s="60">
        <v>3613</v>
      </c>
      <c r="L382" s="58">
        <v>6072</v>
      </c>
      <c r="M382" s="58">
        <v>908</v>
      </c>
      <c r="N382" s="58">
        <v>276</v>
      </c>
      <c r="O382" s="58">
        <v>25</v>
      </c>
      <c r="P382" s="58">
        <v>178</v>
      </c>
      <c r="Q382" s="58">
        <v>409</v>
      </c>
      <c r="R382" s="58">
        <v>44</v>
      </c>
      <c r="S382" s="58">
        <v>4232</v>
      </c>
    </row>
    <row r="383" spans="1:19" x14ac:dyDescent="0.5">
      <c r="A383" s="60">
        <v>2012</v>
      </c>
      <c r="B383" s="60" t="s">
        <v>82</v>
      </c>
      <c r="C383" s="60" t="s">
        <v>634</v>
      </c>
      <c r="D383" s="60">
        <v>5412</v>
      </c>
      <c r="E383" s="60">
        <v>865</v>
      </c>
      <c r="F383" s="60">
        <v>241</v>
      </c>
      <c r="G383" s="60">
        <v>37</v>
      </c>
      <c r="H383" s="60">
        <v>170</v>
      </c>
      <c r="I383" s="60">
        <v>444</v>
      </c>
      <c r="J383" s="60">
        <v>51</v>
      </c>
      <c r="K383" s="60">
        <v>3604</v>
      </c>
      <c r="L383" s="58">
        <v>6097</v>
      </c>
      <c r="M383" s="58">
        <v>924</v>
      </c>
      <c r="N383" s="58">
        <v>250</v>
      </c>
      <c r="O383" s="58">
        <v>30</v>
      </c>
      <c r="P383" s="58">
        <v>153</v>
      </c>
      <c r="Q383" s="58">
        <v>490</v>
      </c>
      <c r="R383" s="58">
        <v>45</v>
      </c>
      <c r="S383" s="58">
        <v>4205</v>
      </c>
    </row>
    <row r="384" spans="1:19" x14ac:dyDescent="0.5">
      <c r="A384" s="60">
        <v>2012</v>
      </c>
      <c r="B384" s="60" t="s">
        <v>84</v>
      </c>
      <c r="C384" s="60" t="s">
        <v>635</v>
      </c>
      <c r="D384" s="60">
        <v>5422</v>
      </c>
      <c r="E384" s="60">
        <v>903</v>
      </c>
      <c r="F384" s="60">
        <v>272</v>
      </c>
      <c r="G384" s="60">
        <v>43</v>
      </c>
      <c r="H384" s="60">
        <v>121</v>
      </c>
      <c r="I384" s="60">
        <v>539</v>
      </c>
      <c r="J384" s="60">
        <v>54</v>
      </c>
      <c r="K384" s="60">
        <v>3490</v>
      </c>
      <c r="L384" s="58">
        <v>6151</v>
      </c>
      <c r="M384" s="58">
        <v>895</v>
      </c>
      <c r="N384" s="58">
        <v>263</v>
      </c>
      <c r="O384" s="58">
        <v>36</v>
      </c>
      <c r="P384" s="58">
        <v>162</v>
      </c>
      <c r="Q384" s="58">
        <v>539</v>
      </c>
      <c r="R384" s="58">
        <v>48</v>
      </c>
      <c r="S384" s="58">
        <v>4208</v>
      </c>
    </row>
    <row r="385" spans="1:19" x14ac:dyDescent="0.5">
      <c r="A385" s="60">
        <v>2012</v>
      </c>
      <c r="B385" s="60" t="s">
        <v>86</v>
      </c>
      <c r="C385" s="60" t="s">
        <v>636</v>
      </c>
      <c r="D385" s="60">
        <v>5494</v>
      </c>
      <c r="E385" s="60">
        <v>868</v>
      </c>
      <c r="F385" s="60">
        <v>241</v>
      </c>
      <c r="G385" s="60">
        <v>27</v>
      </c>
      <c r="H385" s="60">
        <v>149</v>
      </c>
      <c r="I385" s="60">
        <v>466</v>
      </c>
      <c r="J385" s="60">
        <v>30</v>
      </c>
      <c r="K385" s="60">
        <v>3713</v>
      </c>
      <c r="L385" s="58">
        <v>6062</v>
      </c>
      <c r="M385" s="58">
        <v>919</v>
      </c>
      <c r="N385" s="58">
        <v>246</v>
      </c>
      <c r="O385" s="58">
        <v>28</v>
      </c>
      <c r="P385" s="58">
        <v>166</v>
      </c>
      <c r="Q385" s="58">
        <v>449</v>
      </c>
      <c r="R385" s="58">
        <v>49</v>
      </c>
      <c r="S385" s="58">
        <v>4205</v>
      </c>
    </row>
    <row r="386" spans="1:19" x14ac:dyDescent="0.5">
      <c r="A386" s="60">
        <v>2012</v>
      </c>
      <c r="B386" s="60" t="s">
        <v>88</v>
      </c>
      <c r="C386" s="60" t="s">
        <v>637</v>
      </c>
      <c r="D386" s="60">
        <v>5558</v>
      </c>
      <c r="E386" s="60">
        <v>1048</v>
      </c>
      <c r="F386" s="60">
        <v>287</v>
      </c>
      <c r="G386" s="60">
        <v>57</v>
      </c>
      <c r="H386" s="60">
        <v>103</v>
      </c>
      <c r="I386" s="60">
        <v>483</v>
      </c>
      <c r="J386" s="60">
        <v>29</v>
      </c>
      <c r="K386" s="60">
        <v>3551</v>
      </c>
      <c r="L386" s="58">
        <v>6138</v>
      </c>
      <c r="M386" s="58">
        <v>886</v>
      </c>
      <c r="N386" s="58">
        <v>296</v>
      </c>
      <c r="O386" s="58">
        <v>37</v>
      </c>
      <c r="P386" s="58">
        <v>142</v>
      </c>
      <c r="Q386" s="58">
        <v>489</v>
      </c>
      <c r="R386" s="58">
        <v>51</v>
      </c>
      <c r="S386" s="58">
        <v>4237</v>
      </c>
    </row>
    <row r="387" spans="1:19" x14ac:dyDescent="0.5">
      <c r="A387" s="60">
        <v>2012</v>
      </c>
      <c r="B387" s="60" t="s">
        <v>90</v>
      </c>
      <c r="C387" s="60" t="s">
        <v>638</v>
      </c>
      <c r="D387" s="60">
        <v>5622</v>
      </c>
      <c r="E387" s="60">
        <v>1040</v>
      </c>
      <c r="F387" s="60">
        <v>290</v>
      </c>
      <c r="G387" s="60">
        <v>37</v>
      </c>
      <c r="H387" s="60">
        <v>159</v>
      </c>
      <c r="I387" s="60">
        <v>533</v>
      </c>
      <c r="J387" s="60">
        <v>53</v>
      </c>
      <c r="K387" s="60">
        <v>3510</v>
      </c>
      <c r="L387" s="58">
        <v>6158</v>
      </c>
      <c r="M387" s="58">
        <v>982</v>
      </c>
      <c r="N387" s="58">
        <v>272</v>
      </c>
      <c r="O387" s="58">
        <v>32</v>
      </c>
      <c r="P387" s="58">
        <v>134</v>
      </c>
      <c r="Q387" s="58">
        <v>436</v>
      </c>
      <c r="R387" s="58">
        <v>50</v>
      </c>
      <c r="S387" s="58">
        <v>4252</v>
      </c>
    </row>
    <row r="388" spans="1:19" x14ac:dyDescent="0.5">
      <c r="A388" s="60">
        <v>2012</v>
      </c>
      <c r="B388" s="60" t="s">
        <v>92</v>
      </c>
      <c r="C388" s="60" t="s">
        <v>639</v>
      </c>
      <c r="D388" s="60">
        <v>5398</v>
      </c>
      <c r="E388" s="60">
        <v>838</v>
      </c>
      <c r="F388" s="60">
        <v>250</v>
      </c>
      <c r="G388" s="60">
        <v>30</v>
      </c>
      <c r="H388" s="60">
        <v>175</v>
      </c>
      <c r="I388" s="60">
        <v>571</v>
      </c>
      <c r="J388" s="60">
        <v>58</v>
      </c>
      <c r="K388" s="60">
        <v>3476</v>
      </c>
      <c r="L388" s="58">
        <v>6000</v>
      </c>
      <c r="M388" s="58">
        <v>857</v>
      </c>
      <c r="N388" s="58">
        <v>219</v>
      </c>
      <c r="O388" s="58">
        <v>18</v>
      </c>
      <c r="P388" s="58">
        <v>139</v>
      </c>
      <c r="Q388" s="58">
        <v>469</v>
      </c>
      <c r="R388" s="58">
        <v>54</v>
      </c>
      <c r="S388" s="58">
        <v>4244</v>
      </c>
    </row>
    <row r="389" spans="1:19" x14ac:dyDescent="0.5">
      <c r="A389" s="60">
        <v>2012</v>
      </c>
      <c r="B389" s="60" t="s">
        <v>94</v>
      </c>
      <c r="C389" s="60" t="s">
        <v>640</v>
      </c>
      <c r="D389" s="60">
        <v>5590</v>
      </c>
      <c r="E389" s="60">
        <v>991</v>
      </c>
      <c r="F389" s="60">
        <v>303</v>
      </c>
      <c r="G389" s="60">
        <v>32</v>
      </c>
      <c r="H389" s="60">
        <v>200</v>
      </c>
      <c r="I389" s="60">
        <v>478</v>
      </c>
      <c r="J389" s="60">
        <v>57</v>
      </c>
      <c r="K389" s="60">
        <v>3529</v>
      </c>
      <c r="L389" s="58">
        <v>6067</v>
      </c>
      <c r="M389" s="58">
        <v>893</v>
      </c>
      <c r="N389" s="58">
        <v>273</v>
      </c>
      <c r="O389" s="58">
        <v>37</v>
      </c>
      <c r="P389" s="58">
        <v>175</v>
      </c>
      <c r="Q389" s="58">
        <v>446</v>
      </c>
      <c r="R389" s="58">
        <v>41</v>
      </c>
      <c r="S389" s="58">
        <v>4202</v>
      </c>
    </row>
    <row r="390" spans="1:19" x14ac:dyDescent="0.5">
      <c r="A390" s="60">
        <v>2012</v>
      </c>
      <c r="B390" s="60" t="s">
        <v>96</v>
      </c>
      <c r="C390" s="60" t="s">
        <v>641</v>
      </c>
      <c r="D390" s="60">
        <v>5487</v>
      </c>
      <c r="E390" s="60">
        <v>879</v>
      </c>
      <c r="F390" s="60">
        <v>247</v>
      </c>
      <c r="G390" s="60">
        <v>22</v>
      </c>
      <c r="H390" s="60">
        <v>198</v>
      </c>
      <c r="I390" s="60">
        <v>473</v>
      </c>
      <c r="J390" s="60">
        <v>55</v>
      </c>
      <c r="K390" s="60">
        <v>3613</v>
      </c>
      <c r="L390" s="58">
        <v>6216</v>
      </c>
      <c r="M390" s="58">
        <v>886</v>
      </c>
      <c r="N390" s="58">
        <v>334</v>
      </c>
      <c r="O390" s="58">
        <v>15</v>
      </c>
      <c r="P390" s="58">
        <v>204</v>
      </c>
      <c r="Q390" s="58">
        <v>574</v>
      </c>
      <c r="R390" s="58">
        <v>55</v>
      </c>
      <c r="S390" s="58">
        <v>4148</v>
      </c>
    </row>
    <row r="391" spans="1:19" x14ac:dyDescent="0.5">
      <c r="A391" s="60">
        <v>2012</v>
      </c>
      <c r="B391" s="60" t="s">
        <v>100</v>
      </c>
      <c r="C391" s="60" t="s">
        <v>642</v>
      </c>
      <c r="D391" s="60">
        <v>5615</v>
      </c>
      <c r="E391" s="60">
        <v>948</v>
      </c>
      <c r="F391" s="60">
        <v>301</v>
      </c>
      <c r="G391" s="60">
        <v>25</v>
      </c>
      <c r="H391" s="60">
        <v>194</v>
      </c>
      <c r="I391" s="60">
        <v>479</v>
      </c>
      <c r="J391" s="60">
        <v>41</v>
      </c>
      <c r="K391" s="60">
        <v>3627</v>
      </c>
      <c r="L391" s="58">
        <v>6133</v>
      </c>
      <c r="M391" s="58">
        <v>842</v>
      </c>
      <c r="N391" s="58">
        <v>293</v>
      </c>
      <c r="O391" s="58">
        <v>32</v>
      </c>
      <c r="P391" s="58">
        <v>129</v>
      </c>
      <c r="Q391" s="58">
        <v>497</v>
      </c>
      <c r="R391" s="58">
        <v>47</v>
      </c>
      <c r="S391" s="58">
        <v>4293</v>
      </c>
    </row>
    <row r="392" spans="1:19" x14ac:dyDescent="0.5">
      <c r="A392" s="60">
        <v>2013</v>
      </c>
      <c r="B392" s="60" t="s">
        <v>36</v>
      </c>
      <c r="C392" s="60" t="s">
        <v>643</v>
      </c>
      <c r="D392" s="60">
        <v>5588</v>
      </c>
      <c r="E392" s="60">
        <v>1003</v>
      </c>
      <c r="F392" s="60">
        <v>270</v>
      </c>
      <c r="G392" s="60">
        <v>39</v>
      </c>
      <c r="H392" s="60">
        <v>164</v>
      </c>
      <c r="I392" s="60">
        <v>523</v>
      </c>
      <c r="J392" s="60">
        <v>48</v>
      </c>
      <c r="K392" s="60">
        <v>3541</v>
      </c>
      <c r="L392" s="58">
        <v>6298</v>
      </c>
      <c r="M392" s="58">
        <v>1001</v>
      </c>
      <c r="N392" s="58">
        <v>286</v>
      </c>
      <c r="O392" s="58">
        <v>21</v>
      </c>
      <c r="P392" s="58">
        <v>167</v>
      </c>
      <c r="Q392" s="58">
        <v>533</v>
      </c>
      <c r="R392" s="58">
        <v>45</v>
      </c>
      <c r="S392" s="58">
        <v>4245</v>
      </c>
    </row>
    <row r="393" spans="1:19" x14ac:dyDescent="0.5">
      <c r="A393" s="60">
        <v>2013</v>
      </c>
      <c r="B393" s="60" t="s">
        <v>39</v>
      </c>
      <c r="C393" s="60" t="s">
        <v>644</v>
      </c>
      <c r="D393" s="60">
        <v>5676</v>
      </c>
      <c r="E393" s="60">
        <v>1005</v>
      </c>
      <c r="F393" s="60">
        <v>302</v>
      </c>
      <c r="G393" s="60">
        <v>31</v>
      </c>
      <c r="H393" s="60">
        <v>130</v>
      </c>
      <c r="I393" s="60">
        <v>519</v>
      </c>
      <c r="J393" s="60">
        <v>43</v>
      </c>
      <c r="K393" s="60">
        <v>3646</v>
      </c>
      <c r="L393" s="58">
        <v>6338</v>
      </c>
      <c r="M393" s="58">
        <v>959</v>
      </c>
      <c r="N393" s="58">
        <v>299</v>
      </c>
      <c r="O393" s="58">
        <v>26</v>
      </c>
      <c r="P393" s="58">
        <v>176</v>
      </c>
      <c r="Q393" s="58">
        <v>485</v>
      </c>
      <c r="R393" s="58">
        <v>60</v>
      </c>
      <c r="S393" s="58">
        <v>4333</v>
      </c>
    </row>
    <row r="394" spans="1:19" x14ac:dyDescent="0.5">
      <c r="A394" s="60">
        <v>2013</v>
      </c>
      <c r="B394" s="60" t="s">
        <v>41</v>
      </c>
      <c r="C394" s="60" t="s">
        <v>645</v>
      </c>
      <c r="D394" s="60">
        <v>5441</v>
      </c>
      <c r="E394" s="60">
        <v>905</v>
      </c>
      <c r="F394" s="60">
        <v>247</v>
      </c>
      <c r="G394" s="60">
        <v>21</v>
      </c>
      <c r="H394" s="60">
        <v>181</v>
      </c>
      <c r="I394" s="60">
        <v>542</v>
      </c>
      <c r="J394" s="60">
        <v>55</v>
      </c>
      <c r="K394" s="60">
        <v>3490</v>
      </c>
      <c r="L394" s="58">
        <v>5989</v>
      </c>
      <c r="M394" s="58">
        <v>916</v>
      </c>
      <c r="N394" s="58">
        <v>259</v>
      </c>
      <c r="O394" s="58">
        <v>24</v>
      </c>
      <c r="P394" s="58">
        <v>127</v>
      </c>
      <c r="Q394" s="58">
        <v>409</v>
      </c>
      <c r="R394" s="58">
        <v>51</v>
      </c>
      <c r="S394" s="58">
        <v>4203</v>
      </c>
    </row>
    <row r="395" spans="1:19" x14ac:dyDescent="0.5">
      <c r="A395" s="60">
        <v>2013</v>
      </c>
      <c r="B395" s="60" t="s">
        <v>44</v>
      </c>
      <c r="C395" s="60" t="s">
        <v>646</v>
      </c>
      <c r="D395" s="60">
        <v>5620</v>
      </c>
      <c r="E395" s="60">
        <v>936</v>
      </c>
      <c r="F395" s="60">
        <v>298</v>
      </c>
      <c r="G395" s="60">
        <v>14</v>
      </c>
      <c r="H395" s="60">
        <v>212</v>
      </c>
      <c r="I395" s="60">
        <v>416</v>
      </c>
      <c r="J395" s="60">
        <v>36</v>
      </c>
      <c r="K395" s="60">
        <v>3708</v>
      </c>
      <c r="L395" s="58">
        <v>6144</v>
      </c>
      <c r="M395" s="58">
        <v>931</v>
      </c>
      <c r="N395" s="58">
        <v>283</v>
      </c>
      <c r="O395" s="58">
        <v>22</v>
      </c>
      <c r="P395" s="58">
        <v>202</v>
      </c>
      <c r="Q395" s="58">
        <v>473</v>
      </c>
      <c r="R395" s="58">
        <v>50</v>
      </c>
      <c r="S395" s="58">
        <v>4183</v>
      </c>
    </row>
    <row r="396" spans="1:19" x14ac:dyDescent="0.5">
      <c r="A396" s="60">
        <v>2013</v>
      </c>
      <c r="B396" s="60" t="s">
        <v>46</v>
      </c>
      <c r="C396" s="60" t="s">
        <v>647</v>
      </c>
      <c r="D396" s="60">
        <v>5651</v>
      </c>
      <c r="E396" s="60">
        <v>996</v>
      </c>
      <c r="F396" s="60">
        <v>363</v>
      </c>
      <c r="G396" s="60">
        <v>29</v>
      </c>
      <c r="H396" s="60">
        <v>178</v>
      </c>
      <c r="I396" s="60">
        <v>581</v>
      </c>
      <c r="J396" s="60">
        <v>72</v>
      </c>
      <c r="K396" s="60">
        <v>3432</v>
      </c>
      <c r="L396" s="58">
        <v>6143</v>
      </c>
      <c r="M396" s="58">
        <v>903</v>
      </c>
      <c r="N396" s="58">
        <v>281</v>
      </c>
      <c r="O396" s="58">
        <v>26</v>
      </c>
      <c r="P396" s="58">
        <v>156</v>
      </c>
      <c r="Q396" s="58">
        <v>524</v>
      </c>
      <c r="R396" s="58">
        <v>47</v>
      </c>
      <c r="S396" s="58">
        <v>4206</v>
      </c>
    </row>
    <row r="397" spans="1:19" x14ac:dyDescent="0.5">
      <c r="A397" s="60">
        <v>2013</v>
      </c>
      <c r="B397" s="60" t="s">
        <v>50</v>
      </c>
      <c r="C397" s="60" t="s">
        <v>648</v>
      </c>
      <c r="D397" s="60">
        <v>5498</v>
      </c>
      <c r="E397" s="60">
        <v>820</v>
      </c>
      <c r="F397" s="60">
        <v>297</v>
      </c>
      <c r="G397" s="60">
        <v>18</v>
      </c>
      <c r="H397" s="60">
        <v>172</v>
      </c>
      <c r="I397" s="60">
        <v>439</v>
      </c>
      <c r="J397" s="60">
        <v>67</v>
      </c>
      <c r="K397" s="60">
        <v>3685</v>
      </c>
      <c r="L397" s="58">
        <v>6149</v>
      </c>
      <c r="M397" s="58">
        <v>838</v>
      </c>
      <c r="N397" s="58">
        <v>301</v>
      </c>
      <c r="O397" s="58">
        <v>33</v>
      </c>
      <c r="P397" s="58">
        <v>160</v>
      </c>
      <c r="Q397" s="58">
        <v>540</v>
      </c>
      <c r="R397" s="58">
        <v>62</v>
      </c>
      <c r="S397" s="58">
        <v>4215</v>
      </c>
    </row>
    <row r="398" spans="1:19" x14ac:dyDescent="0.5">
      <c r="A398" s="60">
        <v>2013</v>
      </c>
      <c r="B398" s="60" t="s">
        <v>48</v>
      </c>
      <c r="C398" s="60" t="s">
        <v>649</v>
      </c>
      <c r="D398" s="60">
        <v>5563</v>
      </c>
      <c r="E398" s="60">
        <v>981</v>
      </c>
      <c r="F398" s="60">
        <v>237</v>
      </c>
      <c r="G398" s="60">
        <v>19</v>
      </c>
      <c r="H398" s="60">
        <v>148</v>
      </c>
      <c r="I398" s="60">
        <v>411</v>
      </c>
      <c r="J398" s="60">
        <v>34</v>
      </c>
      <c r="K398" s="60">
        <v>3733</v>
      </c>
      <c r="L398" s="58">
        <v>6214</v>
      </c>
      <c r="M398" s="58">
        <v>964</v>
      </c>
      <c r="N398" s="58">
        <v>256</v>
      </c>
      <c r="O398" s="58">
        <v>22</v>
      </c>
      <c r="P398" s="58">
        <v>182</v>
      </c>
      <c r="Q398" s="58">
        <v>509</v>
      </c>
      <c r="R398" s="58">
        <v>60</v>
      </c>
      <c r="S398" s="58">
        <v>4221</v>
      </c>
    </row>
    <row r="399" spans="1:19" x14ac:dyDescent="0.5">
      <c r="A399" s="60">
        <v>2013</v>
      </c>
      <c r="B399" s="60" t="s">
        <v>52</v>
      </c>
      <c r="C399" s="60" t="s">
        <v>650</v>
      </c>
      <c r="D399" s="60">
        <v>5499</v>
      </c>
      <c r="E399" s="60">
        <v>921</v>
      </c>
      <c r="F399" s="60">
        <v>274</v>
      </c>
      <c r="G399" s="60">
        <v>20</v>
      </c>
      <c r="H399" s="60">
        <v>155</v>
      </c>
      <c r="I399" s="60">
        <v>585</v>
      </c>
      <c r="J399" s="60">
        <v>76</v>
      </c>
      <c r="K399" s="60">
        <v>3468</v>
      </c>
      <c r="L399" s="58">
        <v>6077</v>
      </c>
      <c r="M399" s="58">
        <v>847</v>
      </c>
      <c r="N399" s="58">
        <v>252</v>
      </c>
      <c r="O399" s="58">
        <v>25</v>
      </c>
      <c r="P399" s="58">
        <v>170</v>
      </c>
      <c r="Q399" s="58">
        <v>435</v>
      </c>
      <c r="R399" s="58">
        <v>66</v>
      </c>
      <c r="S399" s="58">
        <v>4282</v>
      </c>
    </row>
    <row r="400" spans="1:19" x14ac:dyDescent="0.5">
      <c r="A400" s="60">
        <v>2013</v>
      </c>
      <c r="B400" s="60" t="s">
        <v>54</v>
      </c>
      <c r="C400" s="60" t="s">
        <v>651</v>
      </c>
      <c r="D400" s="60">
        <v>5465</v>
      </c>
      <c r="E400" s="60">
        <v>907</v>
      </c>
      <c r="F400" s="60">
        <v>290</v>
      </c>
      <c r="G400" s="60">
        <v>23</v>
      </c>
      <c r="H400" s="60">
        <v>171</v>
      </c>
      <c r="I400" s="60">
        <v>562</v>
      </c>
      <c r="J400" s="60">
        <v>51</v>
      </c>
      <c r="K400" s="60">
        <v>3461</v>
      </c>
      <c r="L400" s="58">
        <v>6154</v>
      </c>
      <c r="M400" s="58">
        <v>924</v>
      </c>
      <c r="N400" s="58">
        <v>267</v>
      </c>
      <c r="O400" s="58">
        <v>21</v>
      </c>
      <c r="P400" s="58">
        <v>147</v>
      </c>
      <c r="Q400" s="58">
        <v>554</v>
      </c>
      <c r="R400" s="58">
        <v>58</v>
      </c>
      <c r="S400" s="58">
        <v>4183</v>
      </c>
    </row>
    <row r="401" spans="1:19" x14ac:dyDescent="0.5">
      <c r="A401" s="60">
        <v>2013</v>
      </c>
      <c r="B401" s="60" t="s">
        <v>56</v>
      </c>
      <c r="C401" s="60" t="s">
        <v>652</v>
      </c>
      <c r="D401" s="60">
        <v>5599</v>
      </c>
      <c r="E401" s="60">
        <v>1033</v>
      </c>
      <c r="F401" s="60">
        <v>283</v>
      </c>
      <c r="G401" s="60">
        <v>36</v>
      </c>
      <c r="H401" s="60">
        <v>159</v>
      </c>
      <c r="I401" s="60">
        <v>427</v>
      </c>
      <c r="J401" s="60">
        <v>26</v>
      </c>
      <c r="K401" s="60">
        <v>3635</v>
      </c>
      <c r="L401" s="58">
        <v>6248</v>
      </c>
      <c r="M401" s="58">
        <v>1029</v>
      </c>
      <c r="N401" s="58">
        <v>348</v>
      </c>
      <c r="O401" s="58">
        <v>32</v>
      </c>
      <c r="P401" s="58">
        <v>136</v>
      </c>
      <c r="Q401" s="58">
        <v>517</v>
      </c>
      <c r="R401" s="58">
        <v>40</v>
      </c>
      <c r="S401" s="58">
        <v>4146</v>
      </c>
    </row>
    <row r="402" spans="1:19" x14ac:dyDescent="0.5">
      <c r="A402" s="60">
        <v>2013</v>
      </c>
      <c r="B402" s="60" t="s">
        <v>58</v>
      </c>
      <c r="C402" s="60" t="s">
        <v>653</v>
      </c>
      <c r="D402" s="60">
        <v>5735</v>
      </c>
      <c r="E402" s="60">
        <v>1134</v>
      </c>
      <c r="F402" s="60">
        <v>292</v>
      </c>
      <c r="G402" s="60">
        <v>23</v>
      </c>
      <c r="H402" s="60">
        <v>176</v>
      </c>
      <c r="I402" s="60">
        <v>531</v>
      </c>
      <c r="J402" s="60">
        <v>43</v>
      </c>
      <c r="K402" s="60">
        <v>3536</v>
      </c>
      <c r="L402" s="58">
        <v>6119</v>
      </c>
      <c r="M402" s="58">
        <v>954</v>
      </c>
      <c r="N402" s="58">
        <v>259</v>
      </c>
      <c r="O402" s="58">
        <v>28</v>
      </c>
      <c r="P402" s="58">
        <v>128</v>
      </c>
      <c r="Q402" s="58">
        <v>462</v>
      </c>
      <c r="R402" s="58">
        <v>42</v>
      </c>
      <c r="S402" s="58">
        <v>4246</v>
      </c>
    </row>
    <row r="403" spans="1:19" x14ac:dyDescent="0.5">
      <c r="A403" s="60">
        <v>2013</v>
      </c>
      <c r="B403" s="60" t="s">
        <v>60</v>
      </c>
      <c r="C403" s="60" t="s">
        <v>654</v>
      </c>
      <c r="D403" s="60">
        <v>5457</v>
      </c>
      <c r="E403" s="60">
        <v>877</v>
      </c>
      <c r="F403" s="60">
        <v>266</v>
      </c>
      <c r="G403" s="60">
        <v>16</v>
      </c>
      <c r="H403" s="60">
        <v>148</v>
      </c>
      <c r="I403" s="60">
        <v>426</v>
      </c>
      <c r="J403" s="60">
        <v>52</v>
      </c>
      <c r="K403" s="60">
        <v>3672</v>
      </c>
      <c r="L403" s="58">
        <v>6370</v>
      </c>
      <c r="M403" s="58">
        <v>984</v>
      </c>
      <c r="N403" s="58">
        <v>314</v>
      </c>
      <c r="O403" s="58">
        <v>41</v>
      </c>
      <c r="P403" s="58">
        <v>191</v>
      </c>
      <c r="Q403" s="58">
        <v>616</v>
      </c>
      <c r="R403" s="58">
        <v>56</v>
      </c>
      <c r="S403" s="58">
        <v>4168</v>
      </c>
    </row>
    <row r="404" spans="1:19" x14ac:dyDescent="0.5">
      <c r="A404" s="60">
        <v>2013</v>
      </c>
      <c r="B404" s="60" t="s">
        <v>62</v>
      </c>
      <c r="C404" s="60" t="s">
        <v>655</v>
      </c>
      <c r="D404" s="60">
        <v>5549</v>
      </c>
      <c r="E404" s="60">
        <v>1043</v>
      </c>
      <c r="F404" s="60">
        <v>254</v>
      </c>
      <c r="G404" s="60">
        <v>34</v>
      </c>
      <c r="H404" s="60">
        <v>112</v>
      </c>
      <c r="I404" s="60">
        <v>422</v>
      </c>
      <c r="J404" s="60">
        <v>42</v>
      </c>
      <c r="K404" s="60">
        <v>3642</v>
      </c>
      <c r="L404" s="58">
        <v>6049</v>
      </c>
      <c r="M404" s="58">
        <v>949</v>
      </c>
      <c r="N404" s="58">
        <v>238</v>
      </c>
      <c r="O404" s="58">
        <v>24</v>
      </c>
      <c r="P404" s="58">
        <v>155</v>
      </c>
      <c r="Q404" s="58">
        <v>469</v>
      </c>
      <c r="R404" s="58">
        <v>41</v>
      </c>
      <c r="S404" s="58">
        <v>4173</v>
      </c>
    </row>
    <row r="405" spans="1:19" x14ac:dyDescent="0.5">
      <c r="A405" s="60">
        <v>2013</v>
      </c>
      <c r="B405" s="60" t="s">
        <v>64</v>
      </c>
      <c r="C405" s="60" t="s">
        <v>656</v>
      </c>
      <c r="D405" s="60">
        <v>5491</v>
      </c>
      <c r="E405" s="60">
        <v>1011</v>
      </c>
      <c r="F405" s="60">
        <v>281</v>
      </c>
      <c r="G405" s="60">
        <v>17</v>
      </c>
      <c r="H405" s="60">
        <v>138</v>
      </c>
      <c r="I405" s="60">
        <v>476</v>
      </c>
      <c r="J405" s="60">
        <v>57</v>
      </c>
      <c r="K405" s="60">
        <v>3511</v>
      </c>
      <c r="L405" s="58">
        <v>6032</v>
      </c>
      <c r="M405" s="58">
        <v>933</v>
      </c>
      <c r="N405" s="58">
        <v>243</v>
      </c>
      <c r="O405" s="58">
        <v>18</v>
      </c>
      <c r="P405" s="58">
        <v>127</v>
      </c>
      <c r="Q405" s="58">
        <v>460</v>
      </c>
      <c r="R405" s="58">
        <v>43</v>
      </c>
      <c r="S405" s="58">
        <v>4208</v>
      </c>
    </row>
    <row r="406" spans="1:19" x14ac:dyDescent="0.5">
      <c r="A406" s="60">
        <v>2013</v>
      </c>
      <c r="B406" s="60" t="s">
        <v>66</v>
      </c>
      <c r="C406" s="60" t="s">
        <v>657</v>
      </c>
      <c r="D406" s="60">
        <v>5449</v>
      </c>
      <c r="E406" s="60">
        <v>912</v>
      </c>
      <c r="F406" s="60">
        <v>219</v>
      </c>
      <c r="G406" s="60">
        <v>31</v>
      </c>
      <c r="H406" s="60">
        <v>95</v>
      </c>
      <c r="I406" s="60">
        <v>432</v>
      </c>
      <c r="J406" s="60">
        <v>56</v>
      </c>
      <c r="K406" s="60">
        <v>3704</v>
      </c>
      <c r="L406" s="58">
        <v>6166</v>
      </c>
      <c r="M406" s="58">
        <v>937</v>
      </c>
      <c r="N406" s="58">
        <v>270</v>
      </c>
      <c r="O406" s="58">
        <v>48</v>
      </c>
      <c r="P406" s="58">
        <v>121</v>
      </c>
      <c r="Q406" s="58">
        <v>526</v>
      </c>
      <c r="R406" s="58">
        <v>47</v>
      </c>
      <c r="S406" s="58">
        <v>4217</v>
      </c>
    </row>
    <row r="407" spans="1:19" x14ac:dyDescent="0.5">
      <c r="A407" s="60">
        <v>2013</v>
      </c>
      <c r="B407" s="60" t="s">
        <v>68</v>
      </c>
      <c r="C407" s="60" t="s">
        <v>658</v>
      </c>
      <c r="D407" s="60">
        <v>5474</v>
      </c>
      <c r="E407" s="60">
        <v>943</v>
      </c>
      <c r="F407" s="60">
        <v>238</v>
      </c>
      <c r="G407" s="60">
        <v>43</v>
      </c>
      <c r="H407" s="60">
        <v>157</v>
      </c>
      <c r="I407" s="60">
        <v>407</v>
      </c>
      <c r="J407" s="60">
        <v>71</v>
      </c>
      <c r="K407" s="60">
        <v>3615</v>
      </c>
      <c r="L407" s="58">
        <v>6100</v>
      </c>
      <c r="M407" s="58">
        <v>994</v>
      </c>
      <c r="N407" s="58">
        <v>215</v>
      </c>
      <c r="O407" s="58">
        <v>17</v>
      </c>
      <c r="P407" s="58">
        <v>175</v>
      </c>
      <c r="Q407" s="58">
        <v>466</v>
      </c>
      <c r="R407" s="58">
        <v>43</v>
      </c>
      <c r="S407" s="58">
        <v>4190</v>
      </c>
    </row>
    <row r="408" spans="1:19" x14ac:dyDescent="0.5">
      <c r="A408" s="60">
        <v>2013</v>
      </c>
      <c r="B408" s="60" t="s">
        <v>70</v>
      </c>
      <c r="C408" s="60" t="s">
        <v>659</v>
      </c>
      <c r="D408" s="60">
        <v>5564</v>
      </c>
      <c r="E408" s="60">
        <v>895</v>
      </c>
      <c r="F408" s="60">
        <v>285</v>
      </c>
      <c r="G408" s="60">
        <v>15</v>
      </c>
      <c r="H408" s="60">
        <v>151</v>
      </c>
      <c r="I408" s="60">
        <v>533</v>
      </c>
      <c r="J408" s="60">
        <v>52</v>
      </c>
      <c r="K408" s="60">
        <v>3633</v>
      </c>
      <c r="L408" s="58">
        <v>6257</v>
      </c>
      <c r="M408" s="58">
        <v>1083</v>
      </c>
      <c r="N408" s="58">
        <v>310</v>
      </c>
      <c r="O408" s="58">
        <v>30</v>
      </c>
      <c r="P408" s="58">
        <v>168</v>
      </c>
      <c r="Q408" s="58">
        <v>458</v>
      </c>
      <c r="R408" s="58">
        <v>44</v>
      </c>
      <c r="S408" s="58">
        <v>4164</v>
      </c>
    </row>
    <row r="409" spans="1:19" x14ac:dyDescent="0.5">
      <c r="A409" s="60">
        <v>2013</v>
      </c>
      <c r="B409" s="60" t="s">
        <v>76</v>
      </c>
      <c r="C409" s="60" t="s">
        <v>660</v>
      </c>
      <c r="D409" s="60">
        <v>5559</v>
      </c>
      <c r="E409" s="60">
        <v>893</v>
      </c>
      <c r="F409" s="60">
        <v>263</v>
      </c>
      <c r="G409" s="60">
        <v>32</v>
      </c>
      <c r="H409" s="60">
        <v>130</v>
      </c>
      <c r="I409" s="60">
        <v>512</v>
      </c>
      <c r="J409" s="60">
        <v>51</v>
      </c>
      <c r="K409" s="60">
        <v>3678</v>
      </c>
      <c r="L409" s="58">
        <v>6249</v>
      </c>
      <c r="M409" s="58">
        <v>999</v>
      </c>
      <c r="N409" s="58">
        <v>272</v>
      </c>
      <c r="O409" s="58">
        <v>19</v>
      </c>
      <c r="P409" s="58">
        <v>152</v>
      </c>
      <c r="Q409" s="58">
        <v>458</v>
      </c>
      <c r="R409" s="58">
        <v>54</v>
      </c>
      <c r="S409" s="58">
        <v>4295</v>
      </c>
    </row>
    <row r="410" spans="1:19" x14ac:dyDescent="0.5">
      <c r="A410" s="60">
        <v>2013</v>
      </c>
      <c r="B410" s="60" t="s">
        <v>74</v>
      </c>
      <c r="C410" s="60" t="s">
        <v>661</v>
      </c>
      <c r="D410" s="60">
        <v>5449</v>
      </c>
      <c r="E410" s="60">
        <v>906</v>
      </c>
      <c r="F410" s="60">
        <v>247</v>
      </c>
      <c r="G410" s="60">
        <v>24</v>
      </c>
      <c r="H410" s="60">
        <v>144</v>
      </c>
      <c r="I410" s="60">
        <v>466</v>
      </c>
      <c r="J410" s="60">
        <v>57</v>
      </c>
      <c r="K410" s="60">
        <v>3605</v>
      </c>
      <c r="L410" s="58">
        <v>6128</v>
      </c>
      <c r="M410" s="58">
        <v>964</v>
      </c>
      <c r="N410" s="58">
        <v>303</v>
      </c>
      <c r="O410" s="58">
        <v>14</v>
      </c>
      <c r="P410" s="58">
        <v>171</v>
      </c>
      <c r="Q410" s="58">
        <v>437</v>
      </c>
      <c r="R410" s="58">
        <v>51</v>
      </c>
      <c r="S410" s="58">
        <v>4188</v>
      </c>
    </row>
    <row r="411" spans="1:19" x14ac:dyDescent="0.5">
      <c r="A411" s="60">
        <v>2013</v>
      </c>
      <c r="B411" s="60" t="s">
        <v>78</v>
      </c>
      <c r="C411" s="60" t="s">
        <v>662</v>
      </c>
      <c r="D411" s="60">
        <v>5521</v>
      </c>
      <c r="E411" s="60">
        <v>891</v>
      </c>
      <c r="F411" s="60">
        <v>301</v>
      </c>
      <c r="G411" s="60">
        <v>25</v>
      </c>
      <c r="H411" s="60">
        <v>186</v>
      </c>
      <c r="I411" s="60">
        <v>573</v>
      </c>
      <c r="J411" s="60">
        <v>45</v>
      </c>
      <c r="K411" s="60">
        <v>3500</v>
      </c>
      <c r="L411" s="58">
        <v>6069</v>
      </c>
      <c r="M411" s="58">
        <v>928</v>
      </c>
      <c r="N411" s="58">
        <v>229</v>
      </c>
      <c r="O411" s="58">
        <v>19</v>
      </c>
      <c r="P411" s="58">
        <v>163</v>
      </c>
      <c r="Q411" s="58">
        <v>428</v>
      </c>
      <c r="R411" s="58">
        <v>35</v>
      </c>
      <c r="S411" s="58">
        <v>4267</v>
      </c>
    </row>
    <row r="412" spans="1:19" x14ac:dyDescent="0.5">
      <c r="A412" s="60">
        <v>2013</v>
      </c>
      <c r="B412" s="60" t="s">
        <v>80</v>
      </c>
      <c r="C412" s="60" t="s">
        <v>663</v>
      </c>
      <c r="D412" s="60">
        <v>5456</v>
      </c>
      <c r="E412" s="60">
        <v>928</v>
      </c>
      <c r="F412" s="60">
        <v>255</v>
      </c>
      <c r="G412" s="60">
        <v>32</v>
      </c>
      <c r="H412" s="60">
        <v>140</v>
      </c>
      <c r="I412" s="60">
        <v>417</v>
      </c>
      <c r="J412" s="60">
        <v>53</v>
      </c>
      <c r="K412" s="60">
        <v>3631</v>
      </c>
      <c r="L412" s="58">
        <v>6213</v>
      </c>
      <c r="M412" s="58">
        <v>969</v>
      </c>
      <c r="N412" s="58">
        <v>308</v>
      </c>
      <c r="O412" s="58">
        <v>36</v>
      </c>
      <c r="P412" s="58">
        <v>152</v>
      </c>
      <c r="Q412" s="58">
        <v>506</v>
      </c>
      <c r="R412" s="58">
        <v>62</v>
      </c>
      <c r="S412" s="58">
        <v>4180</v>
      </c>
    </row>
    <row r="413" spans="1:19" x14ac:dyDescent="0.5">
      <c r="A413" s="60">
        <v>2013</v>
      </c>
      <c r="B413" s="60" t="s">
        <v>82</v>
      </c>
      <c r="C413" s="60" t="s">
        <v>664</v>
      </c>
      <c r="D413" s="60">
        <v>5486</v>
      </c>
      <c r="E413" s="60">
        <v>877</v>
      </c>
      <c r="F413" s="60">
        <v>273</v>
      </c>
      <c r="G413" s="60">
        <v>35</v>
      </c>
      <c r="H413" s="60">
        <v>161</v>
      </c>
      <c r="I413" s="60">
        <v>469</v>
      </c>
      <c r="J413" s="60">
        <v>88</v>
      </c>
      <c r="K413" s="60">
        <v>3583</v>
      </c>
      <c r="L413" s="58">
        <v>6147</v>
      </c>
      <c r="M413" s="58">
        <v>956</v>
      </c>
      <c r="N413" s="58">
        <v>223</v>
      </c>
      <c r="O413" s="58">
        <v>19</v>
      </c>
      <c r="P413" s="58">
        <v>101</v>
      </c>
      <c r="Q413" s="58">
        <v>515</v>
      </c>
      <c r="R413" s="58">
        <v>70</v>
      </c>
      <c r="S413" s="58">
        <v>4263</v>
      </c>
    </row>
    <row r="414" spans="1:19" x14ac:dyDescent="0.5">
      <c r="A414" s="60">
        <v>2013</v>
      </c>
      <c r="B414" s="60" t="s">
        <v>84</v>
      </c>
      <c r="C414" s="60" t="s">
        <v>665</v>
      </c>
      <c r="D414" s="60">
        <v>5517</v>
      </c>
      <c r="E414" s="60">
        <v>931</v>
      </c>
      <c r="F414" s="60">
        <v>246</v>
      </c>
      <c r="G414" s="60">
        <v>26</v>
      </c>
      <c r="H414" s="60">
        <v>146</v>
      </c>
      <c r="I414" s="60">
        <v>467</v>
      </c>
      <c r="J414" s="60">
        <v>52</v>
      </c>
      <c r="K414" s="60">
        <v>3649</v>
      </c>
      <c r="L414" s="58">
        <v>6179</v>
      </c>
      <c r="M414" s="58">
        <v>943</v>
      </c>
      <c r="N414" s="58">
        <v>270</v>
      </c>
      <c r="O414" s="58">
        <v>38</v>
      </c>
      <c r="P414" s="58">
        <v>156</v>
      </c>
      <c r="Q414" s="58">
        <v>525</v>
      </c>
      <c r="R414" s="58">
        <v>40</v>
      </c>
      <c r="S414" s="58">
        <v>4207</v>
      </c>
    </row>
    <row r="415" spans="1:19" x14ac:dyDescent="0.5">
      <c r="A415" s="60">
        <v>2013</v>
      </c>
      <c r="B415" s="60" t="s">
        <v>86</v>
      </c>
      <c r="C415" s="60" t="s">
        <v>666</v>
      </c>
      <c r="D415" s="60">
        <v>5558</v>
      </c>
      <c r="E415" s="60">
        <v>864</v>
      </c>
      <c r="F415" s="60">
        <v>249</v>
      </c>
      <c r="G415" s="60">
        <v>17</v>
      </c>
      <c r="H415" s="60">
        <v>188</v>
      </c>
      <c r="I415" s="60">
        <v>529</v>
      </c>
      <c r="J415" s="60">
        <v>31</v>
      </c>
      <c r="K415" s="60">
        <v>3680</v>
      </c>
      <c r="L415" s="58">
        <v>6257</v>
      </c>
      <c r="M415" s="58">
        <v>951</v>
      </c>
      <c r="N415" s="58">
        <v>315</v>
      </c>
      <c r="O415" s="58">
        <v>27</v>
      </c>
      <c r="P415" s="58">
        <v>174</v>
      </c>
      <c r="Q415" s="58">
        <v>478</v>
      </c>
      <c r="R415" s="58">
        <v>42</v>
      </c>
      <c r="S415" s="58">
        <v>4270</v>
      </c>
    </row>
    <row r="416" spans="1:19" x14ac:dyDescent="0.5">
      <c r="A416" s="60">
        <v>2013</v>
      </c>
      <c r="B416" s="60" t="s">
        <v>88</v>
      </c>
      <c r="C416" s="60" t="s">
        <v>667</v>
      </c>
      <c r="D416" s="60">
        <v>5552</v>
      </c>
      <c r="E416" s="60">
        <v>1024</v>
      </c>
      <c r="F416" s="60">
        <v>280</v>
      </c>
      <c r="G416" s="60">
        <v>35</v>
      </c>
      <c r="H416" s="60">
        <v>107</v>
      </c>
      <c r="I416" s="60">
        <v>469</v>
      </c>
      <c r="J416" s="60">
        <v>39</v>
      </c>
      <c r="K416" s="60">
        <v>3598</v>
      </c>
      <c r="L416" s="58">
        <v>6163</v>
      </c>
      <c r="M416" s="58">
        <v>933</v>
      </c>
      <c r="N416" s="58">
        <v>277</v>
      </c>
      <c r="O416" s="58">
        <v>25</v>
      </c>
      <c r="P416" s="58">
        <v>145</v>
      </c>
      <c r="Q416" s="58">
        <v>521</v>
      </c>
      <c r="R416" s="58">
        <v>50</v>
      </c>
      <c r="S416" s="58">
        <v>4212</v>
      </c>
    </row>
    <row r="417" spans="1:19" x14ac:dyDescent="0.5">
      <c r="A417" s="60">
        <v>2013</v>
      </c>
      <c r="B417" s="60" t="s">
        <v>90</v>
      </c>
      <c r="C417" s="60" t="s">
        <v>668</v>
      </c>
      <c r="D417" s="60">
        <v>5557</v>
      </c>
      <c r="E417" s="60">
        <v>1027</v>
      </c>
      <c r="F417" s="60">
        <v>322</v>
      </c>
      <c r="G417" s="60">
        <v>20</v>
      </c>
      <c r="H417" s="60">
        <v>125</v>
      </c>
      <c r="I417" s="60">
        <v>481</v>
      </c>
      <c r="J417" s="60">
        <v>64</v>
      </c>
      <c r="K417" s="60">
        <v>3518</v>
      </c>
      <c r="L417" s="58">
        <v>6104</v>
      </c>
      <c r="M417" s="58">
        <v>962</v>
      </c>
      <c r="N417" s="58">
        <v>263</v>
      </c>
      <c r="O417" s="58">
        <v>29</v>
      </c>
      <c r="P417" s="58">
        <v>112</v>
      </c>
      <c r="Q417" s="58">
        <v>451</v>
      </c>
      <c r="R417" s="58">
        <v>64</v>
      </c>
      <c r="S417" s="58">
        <v>4223</v>
      </c>
    </row>
    <row r="418" spans="1:19" x14ac:dyDescent="0.5">
      <c r="A418" s="60">
        <v>2013</v>
      </c>
      <c r="B418" s="60" t="s">
        <v>92</v>
      </c>
      <c r="C418" s="60" t="s">
        <v>669</v>
      </c>
      <c r="D418" s="60">
        <v>5538</v>
      </c>
      <c r="E418" s="60">
        <v>937</v>
      </c>
      <c r="F418" s="60">
        <v>296</v>
      </c>
      <c r="G418" s="60">
        <v>23</v>
      </c>
      <c r="H418" s="60">
        <v>165</v>
      </c>
      <c r="I418" s="60">
        <v>589</v>
      </c>
      <c r="J418" s="60">
        <v>36</v>
      </c>
      <c r="K418" s="60">
        <v>3492</v>
      </c>
      <c r="L418" s="58">
        <v>6083</v>
      </c>
      <c r="M418" s="58">
        <v>878</v>
      </c>
      <c r="N418" s="58">
        <v>254</v>
      </c>
      <c r="O418" s="58">
        <v>30</v>
      </c>
      <c r="P418" s="58">
        <v>153</v>
      </c>
      <c r="Q418" s="58">
        <v>482</v>
      </c>
      <c r="R418" s="58">
        <v>52</v>
      </c>
      <c r="S418" s="58">
        <v>4234</v>
      </c>
    </row>
    <row r="419" spans="1:19" x14ac:dyDescent="0.5">
      <c r="A419" s="60">
        <v>2013</v>
      </c>
      <c r="B419" s="60" t="s">
        <v>94</v>
      </c>
      <c r="C419" s="60" t="s">
        <v>670</v>
      </c>
      <c r="D419" s="60">
        <v>5585</v>
      </c>
      <c r="E419" s="60">
        <v>1004</v>
      </c>
      <c r="F419" s="60">
        <v>262</v>
      </c>
      <c r="G419" s="60">
        <v>23</v>
      </c>
      <c r="H419" s="60">
        <v>176</v>
      </c>
      <c r="I419" s="60">
        <v>462</v>
      </c>
      <c r="J419" s="60">
        <v>61</v>
      </c>
      <c r="K419" s="60">
        <v>3597</v>
      </c>
      <c r="L419" s="58">
        <v>6146</v>
      </c>
      <c r="M419" s="58">
        <v>933</v>
      </c>
      <c r="N419" s="58">
        <v>261</v>
      </c>
      <c r="O419" s="58">
        <v>19</v>
      </c>
      <c r="P419" s="58">
        <v>157</v>
      </c>
      <c r="Q419" s="58">
        <v>498</v>
      </c>
      <c r="R419" s="58">
        <v>48</v>
      </c>
      <c r="S419" s="58">
        <v>4230</v>
      </c>
    </row>
    <row r="420" spans="1:19" x14ac:dyDescent="0.5">
      <c r="A420" s="60">
        <v>2013</v>
      </c>
      <c r="B420" s="60" t="s">
        <v>96</v>
      </c>
      <c r="C420" s="60" t="s">
        <v>671</v>
      </c>
      <c r="D420" s="60">
        <v>5537</v>
      </c>
      <c r="E420" s="60">
        <v>916</v>
      </c>
      <c r="F420" s="60">
        <v>273</v>
      </c>
      <c r="G420" s="60">
        <v>24</v>
      </c>
      <c r="H420" s="60">
        <v>185</v>
      </c>
      <c r="I420" s="60">
        <v>510</v>
      </c>
      <c r="J420" s="60">
        <v>38</v>
      </c>
      <c r="K420" s="60">
        <v>3591</v>
      </c>
      <c r="L420" s="58">
        <v>6250</v>
      </c>
      <c r="M420" s="58">
        <v>927</v>
      </c>
      <c r="N420" s="58">
        <v>304</v>
      </c>
      <c r="O420" s="58">
        <v>25</v>
      </c>
      <c r="P420" s="58">
        <v>195</v>
      </c>
      <c r="Q420" s="58">
        <v>500</v>
      </c>
      <c r="R420" s="58">
        <v>65</v>
      </c>
      <c r="S420" s="58">
        <v>4234</v>
      </c>
    </row>
    <row r="421" spans="1:19" x14ac:dyDescent="0.5">
      <c r="A421" s="60">
        <v>2013</v>
      </c>
      <c r="B421" s="60" t="s">
        <v>100</v>
      </c>
      <c r="C421" s="60" t="s">
        <v>672</v>
      </c>
      <c r="D421" s="60">
        <v>5436</v>
      </c>
      <c r="E421" s="60">
        <v>918</v>
      </c>
      <c r="F421" s="60">
        <v>259</v>
      </c>
      <c r="G421" s="60">
        <v>27</v>
      </c>
      <c r="H421" s="60">
        <v>161</v>
      </c>
      <c r="I421" s="60">
        <v>464</v>
      </c>
      <c r="J421" s="60">
        <v>40</v>
      </c>
      <c r="K421" s="60">
        <v>3567</v>
      </c>
      <c r="L421" s="58">
        <v>6038</v>
      </c>
      <c r="M421" s="58">
        <v>949</v>
      </c>
      <c r="N421" s="58">
        <v>262</v>
      </c>
      <c r="O421" s="58">
        <v>14</v>
      </c>
      <c r="P421" s="58">
        <v>142</v>
      </c>
      <c r="Q421" s="58">
        <v>405</v>
      </c>
      <c r="R421" s="58">
        <v>48</v>
      </c>
      <c r="S421" s="58">
        <v>4218</v>
      </c>
    </row>
    <row r="422" spans="1:19" x14ac:dyDescent="0.5">
      <c r="A422" s="60">
        <v>2014</v>
      </c>
      <c r="B422" s="60" t="s">
        <v>36</v>
      </c>
      <c r="C422" s="60" t="s">
        <v>673</v>
      </c>
      <c r="D422" s="60">
        <v>5652</v>
      </c>
      <c r="E422" s="60">
        <v>974</v>
      </c>
      <c r="F422" s="60">
        <v>304</v>
      </c>
      <c r="G422" s="60">
        <v>31</v>
      </c>
      <c r="H422" s="60">
        <v>155</v>
      </c>
      <c r="I422" s="60">
        <v>492</v>
      </c>
      <c r="J422" s="60">
        <v>60</v>
      </c>
      <c r="K422" s="60">
        <v>3636</v>
      </c>
      <c r="L422" s="58">
        <v>6179</v>
      </c>
      <c r="M422" s="58">
        <v>939</v>
      </c>
      <c r="N422" s="58">
        <v>228</v>
      </c>
      <c r="O422" s="58">
        <v>14</v>
      </c>
      <c r="P422" s="58">
        <v>126</v>
      </c>
      <c r="Q422" s="58">
        <v>504</v>
      </c>
      <c r="R422" s="58">
        <v>63</v>
      </c>
      <c r="S422" s="58">
        <v>4305</v>
      </c>
    </row>
    <row r="423" spans="1:19" x14ac:dyDescent="0.5">
      <c r="A423" s="60">
        <v>2014</v>
      </c>
      <c r="B423" s="60" t="s">
        <v>39</v>
      </c>
      <c r="C423" s="60" t="s">
        <v>674</v>
      </c>
      <c r="D423" s="60">
        <v>5552</v>
      </c>
      <c r="E423" s="60">
        <v>955</v>
      </c>
      <c r="F423" s="60">
        <v>259</v>
      </c>
      <c r="G423" s="60">
        <v>47</v>
      </c>
      <c r="H423" s="60">
        <v>118</v>
      </c>
      <c r="I423" s="60">
        <v>398</v>
      </c>
      <c r="J423" s="60">
        <v>43</v>
      </c>
      <c r="K423" s="60">
        <v>3732</v>
      </c>
      <c r="L423" s="58">
        <v>6162</v>
      </c>
      <c r="M423" s="58">
        <v>983</v>
      </c>
      <c r="N423" s="58">
        <v>296</v>
      </c>
      <c r="O423" s="58">
        <v>34</v>
      </c>
      <c r="P423" s="58">
        <v>154</v>
      </c>
      <c r="Q423" s="58">
        <v>469</v>
      </c>
      <c r="R423" s="58">
        <v>51</v>
      </c>
      <c r="S423" s="58">
        <v>4175</v>
      </c>
    </row>
    <row r="424" spans="1:19" x14ac:dyDescent="0.5">
      <c r="A424" s="60">
        <v>2014</v>
      </c>
      <c r="B424" s="60" t="s">
        <v>41</v>
      </c>
      <c r="C424" s="60" t="s">
        <v>675</v>
      </c>
      <c r="D424" s="60">
        <v>5468</v>
      </c>
      <c r="E424" s="60">
        <v>931</v>
      </c>
      <c r="F424" s="60">
        <v>240</v>
      </c>
      <c r="G424" s="60">
        <v>22</v>
      </c>
      <c r="H424" s="60">
        <v>123</v>
      </c>
      <c r="I424" s="60">
        <v>472</v>
      </c>
      <c r="J424" s="60">
        <v>43</v>
      </c>
      <c r="K424" s="60">
        <v>3637</v>
      </c>
      <c r="L424" s="58">
        <v>6087</v>
      </c>
      <c r="M424" s="58">
        <v>982</v>
      </c>
      <c r="N424" s="58">
        <v>244</v>
      </c>
      <c r="O424" s="58">
        <v>22</v>
      </c>
      <c r="P424" s="58">
        <v>121</v>
      </c>
      <c r="Q424" s="58">
        <v>472</v>
      </c>
      <c r="R424" s="58">
        <v>37</v>
      </c>
      <c r="S424" s="58">
        <v>4209</v>
      </c>
    </row>
    <row r="425" spans="1:19" x14ac:dyDescent="0.5">
      <c r="A425" s="60">
        <v>2014</v>
      </c>
      <c r="B425" s="60" t="s">
        <v>44</v>
      </c>
      <c r="C425" s="60" t="s">
        <v>676</v>
      </c>
      <c r="D425" s="60">
        <v>5596</v>
      </c>
      <c r="E425" s="60">
        <v>943</v>
      </c>
      <c r="F425" s="60">
        <v>264</v>
      </c>
      <c r="G425" s="60">
        <v>16</v>
      </c>
      <c r="H425" s="60">
        <v>211</v>
      </c>
      <c r="I425" s="60">
        <v>401</v>
      </c>
      <c r="J425" s="60">
        <v>62</v>
      </c>
      <c r="K425" s="60">
        <v>3699</v>
      </c>
      <c r="L425" s="58">
        <v>6104</v>
      </c>
      <c r="M425" s="58">
        <v>903</v>
      </c>
      <c r="N425" s="58">
        <v>268</v>
      </c>
      <c r="O425" s="58">
        <v>20</v>
      </c>
      <c r="P425" s="58">
        <v>151</v>
      </c>
      <c r="Q425" s="58">
        <v>472</v>
      </c>
      <c r="R425" s="58">
        <v>59</v>
      </c>
      <c r="S425" s="58">
        <v>4231</v>
      </c>
    </row>
    <row r="426" spans="1:19" x14ac:dyDescent="0.5">
      <c r="A426" s="60">
        <v>2014</v>
      </c>
      <c r="B426" s="60" t="s">
        <v>46</v>
      </c>
      <c r="C426" s="60" t="s">
        <v>677</v>
      </c>
      <c r="D426" s="60">
        <v>5551</v>
      </c>
      <c r="E426" s="60">
        <v>930</v>
      </c>
      <c r="F426" s="60">
        <v>282</v>
      </c>
      <c r="G426" s="60">
        <v>20</v>
      </c>
      <c r="H426" s="60">
        <v>123</v>
      </c>
      <c r="I426" s="60">
        <v>535</v>
      </c>
      <c r="J426" s="60">
        <v>68</v>
      </c>
      <c r="K426" s="60">
        <v>3593</v>
      </c>
      <c r="L426" s="58">
        <v>6231</v>
      </c>
      <c r="M426" s="58">
        <v>956</v>
      </c>
      <c r="N426" s="58">
        <v>316</v>
      </c>
      <c r="O426" s="58">
        <v>32</v>
      </c>
      <c r="P426" s="58">
        <v>154</v>
      </c>
      <c r="Q426" s="58">
        <v>482</v>
      </c>
      <c r="R426" s="58">
        <v>47</v>
      </c>
      <c r="S426" s="58">
        <v>4244</v>
      </c>
    </row>
    <row r="427" spans="1:19" x14ac:dyDescent="0.5">
      <c r="A427" s="60">
        <v>2014</v>
      </c>
      <c r="B427" s="60" t="s">
        <v>50</v>
      </c>
      <c r="C427" s="60" t="s">
        <v>678</v>
      </c>
      <c r="D427" s="60">
        <v>5508</v>
      </c>
      <c r="E427" s="60">
        <v>857</v>
      </c>
      <c r="F427" s="60">
        <v>270</v>
      </c>
      <c r="G427" s="60">
        <v>31</v>
      </c>
      <c r="H427" s="60">
        <v>157</v>
      </c>
      <c r="I427" s="60">
        <v>442</v>
      </c>
      <c r="J427" s="60">
        <v>54</v>
      </c>
      <c r="K427" s="60">
        <v>3697</v>
      </c>
      <c r="L427" s="58">
        <v>6208</v>
      </c>
      <c r="M427" s="58">
        <v>963</v>
      </c>
      <c r="N427" s="58">
        <v>296</v>
      </c>
      <c r="O427" s="58">
        <v>24</v>
      </c>
      <c r="P427" s="58">
        <v>115</v>
      </c>
      <c r="Q427" s="58">
        <v>504</v>
      </c>
      <c r="R427" s="58">
        <v>55</v>
      </c>
      <c r="S427" s="58">
        <v>4251</v>
      </c>
    </row>
    <row r="428" spans="1:19" x14ac:dyDescent="0.5">
      <c r="A428" s="60">
        <v>2014</v>
      </c>
      <c r="B428" s="60" t="s">
        <v>48</v>
      </c>
      <c r="C428" s="60" t="s">
        <v>679</v>
      </c>
      <c r="D428" s="60">
        <v>5543</v>
      </c>
      <c r="E428" s="60">
        <v>934</v>
      </c>
      <c r="F428" s="60">
        <v>279</v>
      </c>
      <c r="G428" s="60">
        <v>32</v>
      </c>
      <c r="H428" s="60">
        <v>155</v>
      </c>
      <c r="I428" s="60">
        <v>417</v>
      </c>
      <c r="J428" s="60">
        <v>60</v>
      </c>
      <c r="K428" s="60">
        <v>3666</v>
      </c>
      <c r="L428" s="58">
        <v>6255</v>
      </c>
      <c r="M428" s="58">
        <v>1025</v>
      </c>
      <c r="N428" s="58">
        <v>272</v>
      </c>
      <c r="O428" s="58">
        <v>31</v>
      </c>
      <c r="P428" s="58">
        <v>140</v>
      </c>
      <c r="Q428" s="58">
        <v>557</v>
      </c>
      <c r="R428" s="58">
        <v>69</v>
      </c>
      <c r="S428" s="58">
        <v>4161</v>
      </c>
    </row>
    <row r="429" spans="1:19" x14ac:dyDescent="0.5">
      <c r="A429" s="60">
        <v>2014</v>
      </c>
      <c r="B429" s="60" t="s">
        <v>52</v>
      </c>
      <c r="C429" s="60" t="s">
        <v>680</v>
      </c>
      <c r="D429" s="60">
        <v>5395</v>
      </c>
      <c r="E429" s="60">
        <v>877</v>
      </c>
      <c r="F429" s="60">
        <v>254</v>
      </c>
      <c r="G429" s="60">
        <v>20</v>
      </c>
      <c r="H429" s="60">
        <v>131</v>
      </c>
      <c r="I429" s="60">
        <v>415</v>
      </c>
      <c r="J429" s="60">
        <v>52</v>
      </c>
      <c r="K429" s="60">
        <v>3646</v>
      </c>
      <c r="L429" s="58">
        <v>6067</v>
      </c>
      <c r="M429" s="58">
        <v>841</v>
      </c>
      <c r="N429" s="58">
        <v>260</v>
      </c>
      <c r="O429" s="58">
        <v>18</v>
      </c>
      <c r="P429" s="58">
        <v>163</v>
      </c>
      <c r="Q429" s="58">
        <v>507</v>
      </c>
      <c r="R429" s="58">
        <v>69</v>
      </c>
      <c r="S429" s="58">
        <v>4209</v>
      </c>
    </row>
    <row r="430" spans="1:19" x14ac:dyDescent="0.5">
      <c r="A430" s="60">
        <v>2014</v>
      </c>
      <c r="B430" s="60" t="s">
        <v>54</v>
      </c>
      <c r="C430" s="60" t="s">
        <v>681</v>
      </c>
      <c r="D430" s="60">
        <v>5575</v>
      </c>
      <c r="E430" s="60">
        <v>962</v>
      </c>
      <c r="F430" s="60">
        <v>284</v>
      </c>
      <c r="G430" s="60">
        <v>23</v>
      </c>
      <c r="H430" s="60">
        <v>142</v>
      </c>
      <c r="I430" s="60">
        <v>504</v>
      </c>
      <c r="J430" s="60">
        <v>42</v>
      </c>
      <c r="K430" s="60">
        <v>3618</v>
      </c>
      <c r="L430" s="58">
        <v>6193</v>
      </c>
      <c r="M430" s="58">
        <v>941</v>
      </c>
      <c r="N430" s="58">
        <v>290</v>
      </c>
      <c r="O430" s="58">
        <v>32</v>
      </c>
      <c r="P430" s="58">
        <v>135</v>
      </c>
      <c r="Q430" s="58">
        <v>464</v>
      </c>
      <c r="R430" s="58">
        <v>58</v>
      </c>
      <c r="S430" s="58">
        <v>4273</v>
      </c>
    </row>
    <row r="431" spans="1:19" x14ac:dyDescent="0.5">
      <c r="A431" s="60">
        <v>2014</v>
      </c>
      <c r="B431" s="60" t="s">
        <v>56</v>
      </c>
      <c r="C431" s="60" t="s">
        <v>682</v>
      </c>
      <c r="D431" s="60">
        <v>5612</v>
      </c>
      <c r="E431" s="60">
        <v>1017</v>
      </c>
      <c r="F431" s="60">
        <v>307</v>
      </c>
      <c r="G431" s="60">
        <v>41</v>
      </c>
      <c r="H431" s="60">
        <v>186</v>
      </c>
      <c r="I431" s="60">
        <v>397</v>
      </c>
      <c r="J431" s="60">
        <v>48</v>
      </c>
      <c r="K431" s="60">
        <v>3616</v>
      </c>
      <c r="L431" s="58">
        <v>6248</v>
      </c>
      <c r="M431" s="58">
        <v>992</v>
      </c>
      <c r="N431" s="58">
        <v>320</v>
      </c>
      <c r="O431" s="58">
        <v>43</v>
      </c>
      <c r="P431" s="58">
        <v>173</v>
      </c>
      <c r="Q431" s="58">
        <v>531</v>
      </c>
      <c r="R431" s="58">
        <v>54</v>
      </c>
      <c r="S431" s="58">
        <v>4135</v>
      </c>
    </row>
    <row r="432" spans="1:19" x14ac:dyDescent="0.5">
      <c r="A432" s="60">
        <v>2014</v>
      </c>
      <c r="B432" s="60" t="s">
        <v>58</v>
      </c>
      <c r="C432" s="60" t="s">
        <v>683</v>
      </c>
      <c r="D432" s="60">
        <v>5630</v>
      </c>
      <c r="E432" s="60">
        <v>1051</v>
      </c>
      <c r="F432" s="60">
        <v>325</v>
      </c>
      <c r="G432" s="60">
        <v>26</v>
      </c>
      <c r="H432" s="60">
        <v>155</v>
      </c>
      <c r="I432" s="60">
        <v>443</v>
      </c>
      <c r="J432" s="60">
        <v>44</v>
      </c>
      <c r="K432" s="60">
        <v>3586</v>
      </c>
      <c r="L432" s="58">
        <v>6191</v>
      </c>
      <c r="M432" s="58">
        <v>990</v>
      </c>
      <c r="N432" s="58">
        <v>316</v>
      </c>
      <c r="O432" s="58">
        <v>42</v>
      </c>
      <c r="P432" s="58">
        <v>127</v>
      </c>
      <c r="Q432" s="58">
        <v>462</v>
      </c>
      <c r="R432" s="58">
        <v>42</v>
      </c>
      <c r="S432" s="58">
        <v>4212</v>
      </c>
    </row>
    <row r="433" spans="1:19" x14ac:dyDescent="0.5">
      <c r="A433" s="60">
        <v>2014</v>
      </c>
      <c r="B433" s="60" t="s">
        <v>60</v>
      </c>
      <c r="C433" s="60" t="s">
        <v>684</v>
      </c>
      <c r="D433" s="60">
        <v>5447</v>
      </c>
      <c r="E433" s="60">
        <v>895</v>
      </c>
      <c r="F433" s="60">
        <v>240</v>
      </c>
      <c r="G433" s="60">
        <v>19</v>
      </c>
      <c r="H433" s="60">
        <v>163</v>
      </c>
      <c r="I433" s="60">
        <v>495</v>
      </c>
      <c r="J433" s="60">
        <v>55</v>
      </c>
      <c r="K433" s="60">
        <v>3580</v>
      </c>
      <c r="L433" s="58">
        <v>6154</v>
      </c>
      <c r="M433" s="58">
        <v>994</v>
      </c>
      <c r="N433" s="58">
        <v>274</v>
      </c>
      <c r="O433" s="58">
        <v>30</v>
      </c>
      <c r="P433" s="58">
        <v>139</v>
      </c>
      <c r="Q433" s="58">
        <v>484</v>
      </c>
      <c r="R433" s="58">
        <v>52</v>
      </c>
      <c r="S433" s="58">
        <v>4181</v>
      </c>
    </row>
    <row r="434" spans="1:19" x14ac:dyDescent="0.5">
      <c r="A434" s="60">
        <v>2014</v>
      </c>
      <c r="B434" s="60" t="s">
        <v>62</v>
      </c>
      <c r="C434" s="60" t="s">
        <v>685</v>
      </c>
      <c r="D434" s="60">
        <v>5545</v>
      </c>
      <c r="E434" s="60">
        <v>1046</v>
      </c>
      <c r="F434" s="60">
        <v>286</v>
      </c>
      <c r="G434" s="60">
        <v>29</v>
      </c>
      <c r="H434" s="60">
        <v>95</v>
      </c>
      <c r="I434" s="60">
        <v>380</v>
      </c>
      <c r="J434" s="60">
        <v>53</v>
      </c>
      <c r="K434" s="60">
        <v>3656</v>
      </c>
      <c r="L434" s="58">
        <v>6101</v>
      </c>
      <c r="M434" s="58">
        <v>973</v>
      </c>
      <c r="N434" s="58">
        <v>254</v>
      </c>
      <c r="O434" s="58">
        <v>31</v>
      </c>
      <c r="P434" s="58">
        <v>128</v>
      </c>
      <c r="Q434" s="58">
        <v>440</v>
      </c>
      <c r="R434" s="58">
        <v>56</v>
      </c>
      <c r="S434" s="58">
        <v>4219</v>
      </c>
    </row>
    <row r="435" spans="1:19" x14ac:dyDescent="0.5">
      <c r="A435" s="60">
        <v>2014</v>
      </c>
      <c r="B435" s="60" t="s">
        <v>64</v>
      </c>
      <c r="C435" s="60" t="s">
        <v>686</v>
      </c>
      <c r="D435" s="60">
        <v>5560</v>
      </c>
      <c r="E435" s="60">
        <v>1002</v>
      </c>
      <c r="F435" s="60">
        <v>302</v>
      </c>
      <c r="G435" s="60">
        <v>38</v>
      </c>
      <c r="H435" s="60">
        <v>134</v>
      </c>
      <c r="I435" s="60">
        <v>519</v>
      </c>
      <c r="J435" s="60">
        <v>61</v>
      </c>
      <c r="K435" s="60">
        <v>3504</v>
      </c>
      <c r="L435" s="58">
        <v>6075</v>
      </c>
      <c r="M435" s="58">
        <v>910</v>
      </c>
      <c r="N435" s="58">
        <v>262</v>
      </c>
      <c r="O435" s="58">
        <v>24</v>
      </c>
      <c r="P435" s="58">
        <v>142</v>
      </c>
      <c r="Q435" s="58">
        <v>429</v>
      </c>
      <c r="R435" s="58">
        <v>41</v>
      </c>
      <c r="S435" s="58">
        <v>4267</v>
      </c>
    </row>
    <row r="436" spans="1:19" x14ac:dyDescent="0.5">
      <c r="A436" s="60">
        <v>2014</v>
      </c>
      <c r="B436" s="60" t="s">
        <v>66</v>
      </c>
      <c r="C436" s="60" t="s">
        <v>687</v>
      </c>
      <c r="D436" s="60">
        <v>5538</v>
      </c>
      <c r="E436" s="60">
        <v>987</v>
      </c>
      <c r="F436" s="60">
        <v>254</v>
      </c>
      <c r="G436" s="60">
        <v>36</v>
      </c>
      <c r="H436" s="60">
        <v>122</v>
      </c>
      <c r="I436" s="60">
        <v>501</v>
      </c>
      <c r="J436" s="60">
        <v>35</v>
      </c>
      <c r="K436" s="60">
        <v>3603</v>
      </c>
      <c r="L436" s="58">
        <v>6217</v>
      </c>
      <c r="M436" s="58">
        <v>1044</v>
      </c>
      <c r="N436" s="58">
        <v>283</v>
      </c>
      <c r="O436" s="58">
        <v>40</v>
      </c>
      <c r="P436" s="58">
        <v>114</v>
      </c>
      <c r="Q436" s="58">
        <v>458</v>
      </c>
      <c r="R436" s="58">
        <v>49</v>
      </c>
      <c r="S436" s="58">
        <v>4229</v>
      </c>
    </row>
    <row r="437" spans="1:19" x14ac:dyDescent="0.5">
      <c r="A437" s="60">
        <v>2014</v>
      </c>
      <c r="B437" s="60" t="s">
        <v>68</v>
      </c>
      <c r="C437" s="60" t="s">
        <v>688</v>
      </c>
      <c r="D437" s="60">
        <v>5462</v>
      </c>
      <c r="E437" s="60">
        <v>891</v>
      </c>
      <c r="F437" s="60">
        <v>297</v>
      </c>
      <c r="G437" s="60">
        <v>28</v>
      </c>
      <c r="H437" s="60">
        <v>150</v>
      </c>
      <c r="I437" s="60">
        <v>423</v>
      </c>
      <c r="J437" s="60">
        <v>73</v>
      </c>
      <c r="K437" s="60">
        <v>3600</v>
      </c>
      <c r="L437" s="58">
        <v>6106</v>
      </c>
      <c r="M437" s="58">
        <v>948</v>
      </c>
      <c r="N437" s="58">
        <v>249</v>
      </c>
      <c r="O437" s="58">
        <v>22</v>
      </c>
      <c r="P437" s="58">
        <v>167</v>
      </c>
      <c r="Q437" s="58">
        <v>431</v>
      </c>
      <c r="R437" s="58">
        <v>42</v>
      </c>
      <c r="S437" s="58">
        <v>4247</v>
      </c>
    </row>
    <row r="438" spans="1:19" x14ac:dyDescent="0.5">
      <c r="A438" s="60">
        <v>2014</v>
      </c>
      <c r="B438" s="60" t="s">
        <v>70</v>
      </c>
      <c r="C438" s="60" t="s">
        <v>689</v>
      </c>
      <c r="D438" s="60">
        <v>5567</v>
      </c>
      <c r="E438" s="60">
        <v>941</v>
      </c>
      <c r="F438" s="60">
        <v>316</v>
      </c>
      <c r="G438" s="60">
        <v>27</v>
      </c>
      <c r="H438" s="60">
        <v>128</v>
      </c>
      <c r="I438" s="60">
        <v>544</v>
      </c>
      <c r="J438" s="60">
        <v>53</v>
      </c>
      <c r="K438" s="60">
        <v>3558</v>
      </c>
      <c r="L438" s="58">
        <v>6212</v>
      </c>
      <c r="M438" s="58">
        <v>1084</v>
      </c>
      <c r="N438" s="58">
        <v>319</v>
      </c>
      <c r="O438" s="58">
        <v>38</v>
      </c>
      <c r="P438" s="58">
        <v>147</v>
      </c>
      <c r="Q438" s="58">
        <v>408</v>
      </c>
      <c r="R438" s="58">
        <v>45</v>
      </c>
      <c r="S438" s="58">
        <v>4171</v>
      </c>
    </row>
    <row r="439" spans="1:19" x14ac:dyDescent="0.5">
      <c r="A439" s="60">
        <v>2014</v>
      </c>
      <c r="B439" s="60" t="s">
        <v>76</v>
      </c>
      <c r="C439" s="60" t="s">
        <v>690</v>
      </c>
      <c r="D439" s="60">
        <v>5472</v>
      </c>
      <c r="E439" s="60">
        <v>887</v>
      </c>
      <c r="F439" s="60">
        <v>275</v>
      </c>
      <c r="G439" s="60">
        <v>19</v>
      </c>
      <c r="H439" s="60">
        <v>125</v>
      </c>
      <c r="I439" s="60">
        <v>516</v>
      </c>
      <c r="J439" s="60">
        <v>54</v>
      </c>
      <c r="K439" s="60">
        <v>3596</v>
      </c>
      <c r="L439" s="58">
        <v>6170</v>
      </c>
      <c r="M439" s="58">
        <v>937</v>
      </c>
      <c r="N439" s="58">
        <v>261</v>
      </c>
      <c r="O439" s="58">
        <v>31</v>
      </c>
      <c r="P439" s="58">
        <v>141</v>
      </c>
      <c r="Q439" s="58">
        <v>509</v>
      </c>
      <c r="R439" s="58">
        <v>50</v>
      </c>
      <c r="S439" s="58">
        <v>4241</v>
      </c>
    </row>
    <row r="440" spans="1:19" x14ac:dyDescent="0.5">
      <c r="A440" s="60">
        <v>2014</v>
      </c>
      <c r="B440" s="60" t="s">
        <v>74</v>
      </c>
      <c r="C440" s="60" t="s">
        <v>691</v>
      </c>
      <c r="D440" s="60">
        <v>5497</v>
      </c>
      <c r="E440" s="60">
        <v>929</v>
      </c>
      <c r="F440" s="60">
        <v>247</v>
      </c>
      <c r="G440" s="60">
        <v>26</v>
      </c>
      <c r="H440" s="60">
        <v>147</v>
      </c>
      <c r="I440" s="60">
        <v>452</v>
      </c>
      <c r="J440" s="60">
        <v>56</v>
      </c>
      <c r="K440" s="60">
        <v>3640</v>
      </c>
      <c r="L440" s="58">
        <v>6114</v>
      </c>
      <c r="M440" s="58">
        <v>941</v>
      </c>
      <c r="N440" s="58">
        <v>258</v>
      </c>
      <c r="O440" s="58">
        <v>29</v>
      </c>
      <c r="P440" s="58">
        <v>164</v>
      </c>
      <c r="Q440" s="58">
        <v>398</v>
      </c>
      <c r="R440" s="58">
        <v>65</v>
      </c>
      <c r="S440" s="58">
        <v>4259</v>
      </c>
    </row>
    <row r="441" spans="1:19" x14ac:dyDescent="0.5">
      <c r="A441" s="60">
        <v>2014</v>
      </c>
      <c r="B441" s="60" t="s">
        <v>78</v>
      </c>
      <c r="C441" s="60" t="s">
        <v>692</v>
      </c>
      <c r="D441" s="60">
        <v>5545</v>
      </c>
      <c r="E441" s="60">
        <v>922</v>
      </c>
      <c r="F441" s="60">
        <v>253</v>
      </c>
      <c r="G441" s="60">
        <v>33</v>
      </c>
      <c r="H441" s="60">
        <v>146</v>
      </c>
      <c r="I441" s="60">
        <v>586</v>
      </c>
      <c r="J441" s="60">
        <v>49</v>
      </c>
      <c r="K441" s="60">
        <v>3556</v>
      </c>
      <c r="L441" s="58">
        <v>5972</v>
      </c>
      <c r="M441" s="58">
        <v>901</v>
      </c>
      <c r="N441" s="58">
        <v>210</v>
      </c>
      <c r="O441" s="58">
        <v>11</v>
      </c>
      <c r="P441" s="58">
        <v>147</v>
      </c>
      <c r="Q441" s="58">
        <v>406</v>
      </c>
      <c r="R441" s="58">
        <v>48</v>
      </c>
      <c r="S441" s="58">
        <v>4249</v>
      </c>
    </row>
    <row r="442" spans="1:19" x14ac:dyDescent="0.5">
      <c r="A442" s="60">
        <v>2014</v>
      </c>
      <c r="B442" s="60" t="s">
        <v>80</v>
      </c>
      <c r="C442" s="60" t="s">
        <v>693</v>
      </c>
      <c r="D442" s="60">
        <v>5603</v>
      </c>
      <c r="E442" s="60">
        <v>953</v>
      </c>
      <c r="F442" s="60">
        <v>251</v>
      </c>
      <c r="G442" s="60">
        <v>27</v>
      </c>
      <c r="H442" s="60">
        <v>125</v>
      </c>
      <c r="I442" s="60">
        <v>443</v>
      </c>
      <c r="J442" s="60">
        <v>55</v>
      </c>
      <c r="K442" s="60">
        <v>3749</v>
      </c>
      <c r="L442" s="58">
        <v>6261</v>
      </c>
      <c r="M442" s="58">
        <v>946</v>
      </c>
      <c r="N442" s="58">
        <v>284</v>
      </c>
      <c r="O442" s="58">
        <v>32</v>
      </c>
      <c r="P442" s="58">
        <v>134</v>
      </c>
      <c r="Q442" s="58">
        <v>521</v>
      </c>
      <c r="R442" s="58">
        <v>69</v>
      </c>
      <c r="S442" s="58">
        <v>4275</v>
      </c>
    </row>
    <row r="443" spans="1:19" x14ac:dyDescent="0.5">
      <c r="A443" s="60">
        <v>2014</v>
      </c>
      <c r="B443" s="60" t="s">
        <v>82</v>
      </c>
      <c r="C443" s="60" t="s">
        <v>694</v>
      </c>
      <c r="D443" s="60">
        <v>5536</v>
      </c>
      <c r="E443" s="60">
        <v>975</v>
      </c>
      <c r="F443" s="60">
        <v>275</v>
      </c>
      <c r="G443" s="60">
        <v>30</v>
      </c>
      <c r="H443" s="60">
        <v>156</v>
      </c>
      <c r="I443" s="60">
        <v>520</v>
      </c>
      <c r="J443" s="60">
        <v>78</v>
      </c>
      <c r="K443" s="60">
        <v>3502</v>
      </c>
      <c r="L443" s="58">
        <v>6130</v>
      </c>
      <c r="M443" s="58">
        <v>952</v>
      </c>
      <c r="N443" s="58">
        <v>235</v>
      </c>
      <c r="O443" s="58">
        <v>26</v>
      </c>
      <c r="P443" s="58">
        <v>128</v>
      </c>
      <c r="Q443" s="58">
        <v>499</v>
      </c>
      <c r="R443" s="58">
        <v>88</v>
      </c>
      <c r="S443" s="58">
        <v>4202</v>
      </c>
    </row>
    <row r="444" spans="1:19" x14ac:dyDescent="0.5">
      <c r="A444" s="60">
        <v>2014</v>
      </c>
      <c r="B444" s="60" t="s">
        <v>84</v>
      </c>
      <c r="C444" s="60" t="s">
        <v>695</v>
      </c>
      <c r="D444" s="60">
        <v>5294</v>
      </c>
      <c r="E444" s="60">
        <v>836</v>
      </c>
      <c r="F444" s="60">
        <v>224</v>
      </c>
      <c r="G444" s="60">
        <v>30</v>
      </c>
      <c r="H444" s="60">
        <v>109</v>
      </c>
      <c r="I444" s="60">
        <v>468</v>
      </c>
      <c r="J444" s="60">
        <v>41</v>
      </c>
      <c r="K444" s="60">
        <v>3586</v>
      </c>
      <c r="L444" s="58">
        <v>6006</v>
      </c>
      <c r="M444" s="58">
        <v>904</v>
      </c>
      <c r="N444" s="58">
        <v>258</v>
      </c>
      <c r="O444" s="58">
        <v>21</v>
      </c>
      <c r="P444" s="58">
        <v>117</v>
      </c>
      <c r="Q444" s="58">
        <v>462</v>
      </c>
      <c r="R444" s="58">
        <v>46</v>
      </c>
      <c r="S444" s="58">
        <v>4198</v>
      </c>
    </row>
    <row r="445" spans="1:19" x14ac:dyDescent="0.5">
      <c r="A445" s="60">
        <v>2014</v>
      </c>
      <c r="B445" s="60" t="s">
        <v>86</v>
      </c>
      <c r="C445" s="60" t="s">
        <v>696</v>
      </c>
      <c r="D445" s="60">
        <v>5450</v>
      </c>
      <c r="E445" s="60">
        <v>913</v>
      </c>
      <c r="F445" s="60">
        <v>247</v>
      </c>
      <c r="G445" s="60">
        <v>32</v>
      </c>
      <c r="H445" s="60">
        <v>136</v>
      </c>
      <c r="I445" s="60">
        <v>396</v>
      </c>
      <c r="J445" s="60">
        <v>60</v>
      </c>
      <c r="K445" s="60">
        <v>3666</v>
      </c>
      <c r="L445" s="58">
        <v>5974</v>
      </c>
      <c r="M445" s="58">
        <v>855</v>
      </c>
      <c r="N445" s="58">
        <v>227</v>
      </c>
      <c r="O445" s="58">
        <v>21</v>
      </c>
      <c r="P445" s="58">
        <v>137</v>
      </c>
      <c r="Q445" s="58">
        <v>463</v>
      </c>
      <c r="R445" s="58">
        <v>52</v>
      </c>
      <c r="S445" s="58">
        <v>4219</v>
      </c>
    </row>
    <row r="446" spans="1:19" x14ac:dyDescent="0.5">
      <c r="A446" s="60">
        <v>2014</v>
      </c>
      <c r="B446" s="60" t="s">
        <v>88</v>
      </c>
      <c r="C446" s="60" t="s">
        <v>697</v>
      </c>
      <c r="D446" s="60">
        <v>5523</v>
      </c>
      <c r="E446" s="60">
        <v>976</v>
      </c>
      <c r="F446" s="60">
        <v>257</v>
      </c>
      <c r="G446" s="60">
        <v>42</v>
      </c>
      <c r="H446" s="60">
        <v>132</v>
      </c>
      <c r="I446" s="60">
        <v>427</v>
      </c>
      <c r="J446" s="60">
        <v>43</v>
      </c>
      <c r="K446" s="60">
        <v>3646</v>
      </c>
      <c r="L446" s="58">
        <v>5947</v>
      </c>
      <c r="M446" s="58">
        <v>858</v>
      </c>
      <c r="N446" s="58">
        <v>266</v>
      </c>
      <c r="O446" s="58">
        <v>48</v>
      </c>
      <c r="P446" s="58">
        <v>133</v>
      </c>
      <c r="Q446" s="58">
        <v>389</v>
      </c>
      <c r="R446" s="58">
        <v>57</v>
      </c>
      <c r="S446" s="58">
        <v>4196</v>
      </c>
    </row>
    <row r="447" spans="1:19" x14ac:dyDescent="0.5">
      <c r="A447" s="60">
        <v>2014</v>
      </c>
      <c r="B447" s="60" t="s">
        <v>90</v>
      </c>
      <c r="C447" s="60" t="s">
        <v>698</v>
      </c>
      <c r="D447" s="60">
        <v>5426</v>
      </c>
      <c r="E447" s="60">
        <v>970</v>
      </c>
      <c r="F447" s="60">
        <v>275</v>
      </c>
      <c r="G447" s="60">
        <v>21</v>
      </c>
      <c r="H447" s="60">
        <v>105</v>
      </c>
      <c r="I447" s="60">
        <v>471</v>
      </c>
      <c r="J447" s="60">
        <v>86</v>
      </c>
      <c r="K447" s="60">
        <v>3498</v>
      </c>
      <c r="L447" s="58">
        <v>6069</v>
      </c>
      <c r="M447" s="58">
        <v>919</v>
      </c>
      <c r="N447" s="58">
        <v>253</v>
      </c>
      <c r="O447" s="58">
        <v>26</v>
      </c>
      <c r="P447" s="58">
        <v>123</v>
      </c>
      <c r="Q447" s="58">
        <v>470</v>
      </c>
      <c r="R447" s="58">
        <v>61</v>
      </c>
      <c r="S447" s="58">
        <v>4217</v>
      </c>
    </row>
    <row r="448" spans="1:19" x14ac:dyDescent="0.5">
      <c r="A448" s="60">
        <v>2014</v>
      </c>
      <c r="B448" s="60" t="s">
        <v>92</v>
      </c>
      <c r="C448" s="60" t="s">
        <v>699</v>
      </c>
      <c r="D448" s="60">
        <v>5516</v>
      </c>
      <c r="E448" s="60">
        <v>957</v>
      </c>
      <c r="F448" s="60">
        <v>263</v>
      </c>
      <c r="G448" s="60">
        <v>24</v>
      </c>
      <c r="H448" s="60">
        <v>117</v>
      </c>
      <c r="I448" s="60">
        <v>527</v>
      </c>
      <c r="J448" s="60">
        <v>66</v>
      </c>
      <c r="K448" s="60">
        <v>3562</v>
      </c>
      <c r="L448" s="58">
        <v>6131</v>
      </c>
      <c r="M448" s="58">
        <v>893</v>
      </c>
      <c r="N448" s="58">
        <v>236</v>
      </c>
      <c r="O448" s="58">
        <v>18</v>
      </c>
      <c r="P448" s="58">
        <v>145</v>
      </c>
      <c r="Q448" s="58">
        <v>482</v>
      </c>
      <c r="R448" s="58">
        <v>58</v>
      </c>
      <c r="S448" s="58">
        <v>4299</v>
      </c>
    </row>
    <row r="449" spans="1:19" x14ac:dyDescent="0.5">
      <c r="A449" s="60">
        <v>2014</v>
      </c>
      <c r="B449" s="60" t="s">
        <v>94</v>
      </c>
      <c r="C449" s="60" t="s">
        <v>700</v>
      </c>
      <c r="D449" s="60">
        <v>5460</v>
      </c>
      <c r="E449" s="60">
        <v>1001</v>
      </c>
      <c r="F449" s="60">
        <v>260</v>
      </c>
      <c r="G449" s="60">
        <v>28</v>
      </c>
      <c r="H449" s="60">
        <v>111</v>
      </c>
      <c r="I449" s="60">
        <v>417</v>
      </c>
      <c r="J449" s="60">
        <v>61</v>
      </c>
      <c r="K449" s="60">
        <v>3582</v>
      </c>
      <c r="L449" s="58">
        <v>6195</v>
      </c>
      <c r="M449" s="58">
        <v>992</v>
      </c>
      <c r="N449" s="58">
        <v>329</v>
      </c>
      <c r="O449" s="58">
        <v>29</v>
      </c>
      <c r="P449" s="58">
        <v>160</v>
      </c>
      <c r="Q449" s="58">
        <v>505</v>
      </c>
      <c r="R449" s="58">
        <v>61</v>
      </c>
      <c r="S449" s="58">
        <v>4119</v>
      </c>
    </row>
    <row r="450" spans="1:19" x14ac:dyDescent="0.5">
      <c r="A450" s="60">
        <v>2014</v>
      </c>
      <c r="B450" s="60" t="s">
        <v>96</v>
      </c>
      <c r="C450" s="60" t="s">
        <v>701</v>
      </c>
      <c r="D450" s="60">
        <v>5549</v>
      </c>
      <c r="E450" s="60">
        <v>952</v>
      </c>
      <c r="F450" s="60">
        <v>282</v>
      </c>
      <c r="G450" s="60">
        <v>24</v>
      </c>
      <c r="H450" s="60">
        <v>177</v>
      </c>
      <c r="I450" s="60">
        <v>502</v>
      </c>
      <c r="J450" s="60">
        <v>41</v>
      </c>
      <c r="K450" s="60">
        <v>3571</v>
      </c>
      <c r="L450" s="58">
        <v>6150</v>
      </c>
      <c r="M450" s="58">
        <v>886</v>
      </c>
      <c r="N450" s="58">
        <v>331</v>
      </c>
      <c r="O450" s="58">
        <v>32</v>
      </c>
      <c r="P450" s="58">
        <v>151</v>
      </c>
      <c r="Q450" s="58">
        <v>490</v>
      </c>
      <c r="R450" s="58">
        <v>57</v>
      </c>
      <c r="S450" s="58">
        <v>4203</v>
      </c>
    </row>
    <row r="451" spans="1:19" x14ac:dyDescent="0.5">
      <c r="A451" s="60">
        <v>2014</v>
      </c>
      <c r="B451" s="60" t="s">
        <v>100</v>
      </c>
      <c r="C451" s="60" t="s">
        <v>702</v>
      </c>
      <c r="D451" s="60">
        <v>5542</v>
      </c>
      <c r="E451" s="60">
        <v>959</v>
      </c>
      <c r="F451" s="60">
        <v>265</v>
      </c>
      <c r="G451" s="60">
        <v>27</v>
      </c>
      <c r="H451" s="60">
        <v>152</v>
      </c>
      <c r="I451" s="60">
        <v>517</v>
      </c>
      <c r="J451" s="60">
        <v>56</v>
      </c>
      <c r="K451" s="60">
        <v>3566</v>
      </c>
      <c r="L451" s="58">
        <v>6020</v>
      </c>
      <c r="M451" s="58">
        <v>971</v>
      </c>
      <c r="N451" s="58">
        <v>242</v>
      </c>
      <c r="O451" s="58">
        <v>28</v>
      </c>
      <c r="P451" s="58">
        <v>110</v>
      </c>
      <c r="Q451" s="58">
        <v>352</v>
      </c>
      <c r="R451" s="58">
        <v>51</v>
      </c>
      <c r="S451" s="58">
        <v>4266</v>
      </c>
    </row>
    <row r="452" spans="1:19" x14ac:dyDescent="0.5">
      <c r="A452" s="60">
        <v>2015</v>
      </c>
      <c r="B452" s="60" t="s">
        <v>36</v>
      </c>
      <c r="C452" s="60" t="s">
        <v>703</v>
      </c>
      <c r="D452" s="60">
        <v>5417</v>
      </c>
      <c r="E452" s="60">
        <v>891</v>
      </c>
      <c r="F452" s="60">
        <v>243</v>
      </c>
      <c r="G452" s="60">
        <v>21</v>
      </c>
      <c r="H452" s="60">
        <v>176</v>
      </c>
      <c r="I452" s="60">
        <v>435</v>
      </c>
      <c r="J452" s="60">
        <v>58</v>
      </c>
      <c r="K452" s="60">
        <v>3593</v>
      </c>
      <c r="L452" s="58">
        <v>6096</v>
      </c>
      <c r="M452" s="58">
        <v>897</v>
      </c>
      <c r="N452" s="58">
        <v>273</v>
      </c>
      <c r="O452" s="58">
        <v>19</v>
      </c>
      <c r="P452" s="58">
        <v>166</v>
      </c>
      <c r="Q452" s="58">
        <v>466</v>
      </c>
      <c r="R452" s="58">
        <v>71</v>
      </c>
      <c r="S452" s="58">
        <v>4204</v>
      </c>
    </row>
    <row r="453" spans="1:19" x14ac:dyDescent="0.5">
      <c r="A453" s="60">
        <v>2015</v>
      </c>
      <c r="B453" s="60" t="s">
        <v>39</v>
      </c>
      <c r="C453" s="60" t="s">
        <v>704</v>
      </c>
      <c r="D453" s="60">
        <v>5649</v>
      </c>
      <c r="E453" s="60">
        <v>1003</v>
      </c>
      <c r="F453" s="60">
        <v>289</v>
      </c>
      <c r="G453" s="60">
        <v>48</v>
      </c>
      <c r="H453" s="60">
        <v>154</v>
      </c>
      <c r="I453" s="60">
        <v>490</v>
      </c>
      <c r="J453" s="60">
        <v>33</v>
      </c>
      <c r="K453" s="60">
        <v>3632</v>
      </c>
      <c r="L453" s="58">
        <v>6257</v>
      </c>
      <c r="M453" s="58">
        <v>920</v>
      </c>
      <c r="N453" s="58">
        <v>318</v>
      </c>
      <c r="O453" s="58">
        <v>30</v>
      </c>
      <c r="P453" s="58">
        <v>182</v>
      </c>
      <c r="Q453" s="58">
        <v>500</v>
      </c>
      <c r="R453" s="58">
        <v>48</v>
      </c>
      <c r="S453" s="58">
        <v>4259</v>
      </c>
    </row>
    <row r="454" spans="1:19" x14ac:dyDescent="0.5">
      <c r="A454" s="60">
        <v>2015</v>
      </c>
      <c r="B454" s="60" t="s">
        <v>41</v>
      </c>
      <c r="C454" s="60" t="s">
        <v>705</v>
      </c>
      <c r="D454" s="60">
        <v>5420</v>
      </c>
      <c r="E454" s="60">
        <v>992</v>
      </c>
      <c r="F454" s="60">
        <v>251</v>
      </c>
      <c r="G454" s="60">
        <v>18</v>
      </c>
      <c r="H454" s="60">
        <v>100</v>
      </c>
      <c r="I454" s="60">
        <v>471</v>
      </c>
      <c r="J454" s="60">
        <v>44</v>
      </c>
      <c r="K454" s="60">
        <v>3544</v>
      </c>
      <c r="L454" s="58">
        <v>6156</v>
      </c>
      <c r="M454" s="58">
        <v>974</v>
      </c>
      <c r="N454" s="58">
        <v>285</v>
      </c>
      <c r="O454" s="58">
        <v>33</v>
      </c>
      <c r="P454" s="58">
        <v>170</v>
      </c>
      <c r="Q454" s="58">
        <v>550</v>
      </c>
      <c r="R454" s="58">
        <v>53</v>
      </c>
      <c r="S454" s="58">
        <v>4091</v>
      </c>
    </row>
    <row r="455" spans="1:19" x14ac:dyDescent="0.5">
      <c r="A455" s="60">
        <v>2015</v>
      </c>
      <c r="B455" s="60" t="s">
        <v>44</v>
      </c>
      <c r="C455" s="60" t="s">
        <v>706</v>
      </c>
      <c r="D455" s="60">
        <v>5485</v>
      </c>
      <c r="E455" s="60">
        <v>887</v>
      </c>
      <c r="F455" s="60">
        <v>246</v>
      </c>
      <c r="G455" s="60">
        <v>20</v>
      </c>
      <c r="H455" s="60">
        <v>217</v>
      </c>
      <c r="I455" s="60">
        <v>418</v>
      </c>
      <c r="J455" s="60">
        <v>51</v>
      </c>
      <c r="K455" s="60">
        <v>3646</v>
      </c>
      <c r="L455" s="58">
        <v>6085</v>
      </c>
      <c r="M455" s="58">
        <v>892</v>
      </c>
      <c r="N455" s="58">
        <v>317</v>
      </c>
      <c r="O455" s="58">
        <v>23</v>
      </c>
      <c r="P455" s="58">
        <v>174</v>
      </c>
      <c r="Q455" s="58">
        <v>483</v>
      </c>
      <c r="R455" s="58">
        <v>54</v>
      </c>
      <c r="S455" s="58">
        <v>4142</v>
      </c>
    </row>
    <row r="456" spans="1:19" x14ac:dyDescent="0.5">
      <c r="A456" s="60">
        <v>2015</v>
      </c>
      <c r="B456" s="60" t="s">
        <v>46</v>
      </c>
      <c r="C456" s="60" t="s">
        <v>707</v>
      </c>
      <c r="D456" s="60">
        <v>5640</v>
      </c>
      <c r="E456" s="60">
        <v>1007</v>
      </c>
      <c r="F456" s="60">
        <v>294</v>
      </c>
      <c r="G456" s="60">
        <v>33</v>
      </c>
      <c r="H456" s="60">
        <v>161</v>
      </c>
      <c r="I456" s="60">
        <v>478</v>
      </c>
      <c r="J456" s="60">
        <v>46</v>
      </c>
      <c r="K456" s="60">
        <v>3621</v>
      </c>
      <c r="L456" s="58">
        <v>6225</v>
      </c>
      <c r="M456" s="58">
        <v>977</v>
      </c>
      <c r="N456" s="58">
        <v>299</v>
      </c>
      <c r="O456" s="58">
        <v>32</v>
      </c>
      <c r="P456" s="58">
        <v>178</v>
      </c>
      <c r="Q456" s="58">
        <v>478</v>
      </c>
      <c r="R456" s="58">
        <v>62</v>
      </c>
      <c r="S456" s="58">
        <v>4199</v>
      </c>
    </row>
    <row r="457" spans="1:19" x14ac:dyDescent="0.5">
      <c r="A457" s="60">
        <v>2015</v>
      </c>
      <c r="B457" s="60" t="s">
        <v>50</v>
      </c>
      <c r="C457" s="60" t="s">
        <v>708</v>
      </c>
      <c r="D457" s="60">
        <v>5491</v>
      </c>
      <c r="E457" s="60">
        <v>868</v>
      </c>
      <c r="F457" s="60">
        <v>272</v>
      </c>
      <c r="G457" s="60">
        <v>30</v>
      </c>
      <c r="H457" s="60">
        <v>171</v>
      </c>
      <c r="I457" s="60">
        <v>567</v>
      </c>
      <c r="J457" s="60">
        <v>74</v>
      </c>
      <c r="K457" s="60">
        <v>3509</v>
      </c>
      <c r="L457" s="58">
        <v>5997</v>
      </c>
      <c r="M457" s="58">
        <v>819</v>
      </c>
      <c r="N457" s="58">
        <v>286</v>
      </c>
      <c r="O457" s="58">
        <v>37</v>
      </c>
      <c r="P457" s="58">
        <v>134</v>
      </c>
      <c r="Q457" s="58">
        <v>407</v>
      </c>
      <c r="R457" s="58">
        <v>46</v>
      </c>
      <c r="S457" s="58">
        <v>4268</v>
      </c>
    </row>
    <row r="458" spans="1:19" x14ac:dyDescent="0.5">
      <c r="A458" s="60">
        <v>2015</v>
      </c>
      <c r="B458" s="60" t="s">
        <v>48</v>
      </c>
      <c r="C458" s="60" t="s">
        <v>709</v>
      </c>
      <c r="D458" s="60">
        <v>5533</v>
      </c>
      <c r="E458" s="60">
        <v>958</v>
      </c>
      <c r="F458" s="60">
        <v>260</v>
      </c>
      <c r="G458" s="60">
        <v>27</v>
      </c>
      <c r="H458" s="60">
        <v>136</v>
      </c>
      <c r="I458" s="60">
        <v>404</v>
      </c>
      <c r="J458" s="60">
        <v>65</v>
      </c>
      <c r="K458" s="60">
        <v>3683</v>
      </c>
      <c r="L458" s="58">
        <v>6181</v>
      </c>
      <c r="M458" s="58">
        <v>970</v>
      </c>
      <c r="N458" s="58">
        <v>272</v>
      </c>
      <c r="O458" s="58">
        <v>39</v>
      </c>
      <c r="P458" s="58">
        <v>162</v>
      </c>
      <c r="Q458" s="58">
        <v>474</v>
      </c>
      <c r="R458" s="58">
        <v>62</v>
      </c>
      <c r="S458" s="58">
        <v>4202</v>
      </c>
    </row>
    <row r="459" spans="1:19" x14ac:dyDescent="0.5">
      <c r="A459" s="60">
        <v>2015</v>
      </c>
      <c r="B459" s="60" t="s">
        <v>52</v>
      </c>
      <c r="C459" s="60" t="s">
        <v>710</v>
      </c>
      <c r="D459" s="60">
        <v>5571</v>
      </c>
      <c r="E459" s="60">
        <v>931</v>
      </c>
      <c r="F459" s="60">
        <v>257</v>
      </c>
      <c r="G459" s="60">
        <v>27</v>
      </c>
      <c r="H459" s="60">
        <v>167</v>
      </c>
      <c r="I459" s="60">
        <v>496</v>
      </c>
      <c r="J459" s="60">
        <v>42</v>
      </c>
      <c r="K459" s="60">
        <v>3651</v>
      </c>
      <c r="L459" s="58">
        <v>6271</v>
      </c>
      <c r="M459" s="58">
        <v>917</v>
      </c>
      <c r="N459" s="58">
        <v>317</v>
      </c>
      <c r="O459" s="58">
        <v>25</v>
      </c>
      <c r="P459" s="58">
        <v>177</v>
      </c>
      <c r="Q459" s="58">
        <v>544</v>
      </c>
      <c r="R459" s="58">
        <v>58</v>
      </c>
      <c r="S459" s="58">
        <v>4233</v>
      </c>
    </row>
    <row r="460" spans="1:19" x14ac:dyDescent="0.5">
      <c r="A460" s="60">
        <v>2015</v>
      </c>
      <c r="B460" s="60" t="s">
        <v>54</v>
      </c>
      <c r="C460" s="60" t="s">
        <v>711</v>
      </c>
      <c r="D460" s="60">
        <v>5439</v>
      </c>
      <c r="E460" s="60">
        <v>922</v>
      </c>
      <c r="F460" s="60">
        <v>303</v>
      </c>
      <c r="G460" s="60">
        <v>29</v>
      </c>
      <c r="H460" s="60">
        <v>141</v>
      </c>
      <c r="I460" s="60">
        <v>533</v>
      </c>
      <c r="J460" s="60">
        <v>39</v>
      </c>
      <c r="K460" s="60">
        <v>3472</v>
      </c>
      <c r="L460" s="58">
        <v>5904</v>
      </c>
      <c r="M460" s="58">
        <v>828</v>
      </c>
      <c r="N460" s="58">
        <v>254</v>
      </c>
      <c r="O460" s="58">
        <v>31</v>
      </c>
      <c r="P460" s="58">
        <v>161</v>
      </c>
      <c r="Q460" s="58">
        <v>425</v>
      </c>
      <c r="R460" s="58">
        <v>48</v>
      </c>
      <c r="S460" s="58">
        <v>4157</v>
      </c>
    </row>
    <row r="461" spans="1:19" x14ac:dyDescent="0.5">
      <c r="A461" s="60">
        <v>2015</v>
      </c>
      <c r="B461" s="60" t="s">
        <v>56</v>
      </c>
      <c r="C461" s="60" t="s">
        <v>712</v>
      </c>
      <c r="D461" s="60">
        <v>5572</v>
      </c>
      <c r="E461" s="60">
        <v>970</v>
      </c>
      <c r="F461" s="60">
        <v>274</v>
      </c>
      <c r="G461" s="60">
        <v>49</v>
      </c>
      <c r="H461" s="60">
        <v>186</v>
      </c>
      <c r="I461" s="60">
        <v>388</v>
      </c>
      <c r="J461" s="60">
        <v>33</v>
      </c>
      <c r="K461" s="60">
        <v>3672</v>
      </c>
      <c r="L461" s="58">
        <v>6308</v>
      </c>
      <c r="M461" s="58">
        <v>992</v>
      </c>
      <c r="N461" s="58">
        <v>363</v>
      </c>
      <c r="O461" s="58">
        <v>41</v>
      </c>
      <c r="P461" s="58">
        <v>183</v>
      </c>
      <c r="Q461" s="58">
        <v>579</v>
      </c>
      <c r="R461" s="58">
        <v>48</v>
      </c>
      <c r="S461" s="58">
        <v>4102</v>
      </c>
    </row>
    <row r="462" spans="1:19" x14ac:dyDescent="0.5">
      <c r="A462" s="60">
        <v>2015</v>
      </c>
      <c r="B462" s="60" t="s">
        <v>58</v>
      </c>
      <c r="C462" s="60" t="s">
        <v>713</v>
      </c>
      <c r="D462" s="60">
        <v>5605</v>
      </c>
      <c r="E462" s="60">
        <v>1026</v>
      </c>
      <c r="F462" s="60">
        <v>289</v>
      </c>
      <c r="G462" s="60">
        <v>49</v>
      </c>
      <c r="H462" s="60">
        <v>151</v>
      </c>
      <c r="I462" s="60">
        <v>455</v>
      </c>
      <c r="J462" s="60">
        <v>41</v>
      </c>
      <c r="K462" s="60">
        <v>3594</v>
      </c>
      <c r="L462" s="58">
        <v>6188</v>
      </c>
      <c r="M462" s="58">
        <v>958</v>
      </c>
      <c r="N462" s="58">
        <v>280</v>
      </c>
      <c r="O462" s="58">
        <v>60</v>
      </c>
      <c r="P462" s="58">
        <v>193</v>
      </c>
      <c r="Q462" s="58">
        <v>489</v>
      </c>
      <c r="R462" s="58">
        <v>46</v>
      </c>
      <c r="S462" s="58">
        <v>4162</v>
      </c>
    </row>
    <row r="463" spans="1:19" x14ac:dyDescent="0.5">
      <c r="A463" s="60">
        <v>2015</v>
      </c>
      <c r="B463" s="60" t="s">
        <v>60</v>
      </c>
      <c r="C463" s="60" t="s">
        <v>714</v>
      </c>
      <c r="D463" s="60">
        <v>5459</v>
      </c>
      <c r="E463" s="60">
        <v>829</v>
      </c>
      <c r="F463" s="60">
        <v>278</v>
      </c>
      <c r="G463" s="60">
        <v>26</v>
      </c>
      <c r="H463" s="60">
        <v>230</v>
      </c>
      <c r="I463" s="60">
        <v>486</v>
      </c>
      <c r="J463" s="60">
        <v>56</v>
      </c>
      <c r="K463" s="60">
        <v>3554</v>
      </c>
      <c r="L463" s="58">
        <v>5965</v>
      </c>
      <c r="M463" s="58">
        <v>871</v>
      </c>
      <c r="N463" s="58">
        <v>252</v>
      </c>
      <c r="O463" s="58">
        <v>37</v>
      </c>
      <c r="P463" s="58">
        <v>148</v>
      </c>
      <c r="Q463" s="58">
        <v>423</v>
      </c>
      <c r="R463" s="58">
        <v>43</v>
      </c>
      <c r="S463" s="58">
        <v>4191</v>
      </c>
    </row>
    <row r="464" spans="1:19" x14ac:dyDescent="0.5">
      <c r="A464" s="60">
        <v>2015</v>
      </c>
      <c r="B464" s="60" t="s">
        <v>62</v>
      </c>
      <c r="C464" s="60" t="s">
        <v>715</v>
      </c>
      <c r="D464" s="60">
        <v>5575</v>
      </c>
      <c r="E464" s="60">
        <v>1016</v>
      </c>
      <c r="F464" s="60">
        <v>300</v>
      </c>
      <c r="G464" s="60">
        <v>42</v>
      </c>
      <c r="H464" s="60">
        <v>139</v>
      </c>
      <c r="I464" s="60">
        <v>383</v>
      </c>
      <c r="J464" s="60">
        <v>77</v>
      </c>
      <c r="K464" s="60">
        <v>3618</v>
      </c>
      <c r="L464" s="58">
        <v>6112</v>
      </c>
      <c r="M464" s="58">
        <v>916</v>
      </c>
      <c r="N464" s="58">
        <v>262</v>
      </c>
      <c r="O464" s="58">
        <v>39</v>
      </c>
      <c r="P464" s="58">
        <v>155</v>
      </c>
      <c r="Q464" s="58">
        <v>489</v>
      </c>
      <c r="R464" s="58">
        <v>52</v>
      </c>
      <c r="S464" s="58">
        <v>4199</v>
      </c>
    </row>
    <row r="465" spans="1:19" x14ac:dyDescent="0.5">
      <c r="A465" s="60">
        <v>2015</v>
      </c>
      <c r="B465" s="60" t="s">
        <v>64</v>
      </c>
      <c r="C465" s="60" t="s">
        <v>716</v>
      </c>
      <c r="D465" s="60">
        <v>5385</v>
      </c>
      <c r="E465" s="60">
        <v>870</v>
      </c>
      <c r="F465" s="60">
        <v>263</v>
      </c>
      <c r="G465" s="60">
        <v>26</v>
      </c>
      <c r="H465" s="60">
        <v>187</v>
      </c>
      <c r="I465" s="60">
        <v>563</v>
      </c>
      <c r="J465" s="60">
        <v>60</v>
      </c>
      <c r="K465" s="60">
        <v>3416</v>
      </c>
      <c r="L465" s="58">
        <v>5932</v>
      </c>
      <c r="M465" s="58">
        <v>923</v>
      </c>
      <c r="N465" s="58">
        <v>229</v>
      </c>
      <c r="O465" s="58">
        <v>20</v>
      </c>
      <c r="P465" s="58">
        <v>145</v>
      </c>
      <c r="Q465" s="58">
        <v>395</v>
      </c>
      <c r="R465" s="58">
        <v>38</v>
      </c>
      <c r="S465" s="58">
        <v>4182</v>
      </c>
    </row>
    <row r="466" spans="1:19" x14ac:dyDescent="0.5">
      <c r="A466" s="60">
        <v>2015</v>
      </c>
      <c r="B466" s="60" t="s">
        <v>66</v>
      </c>
      <c r="C466" s="60" t="s">
        <v>717</v>
      </c>
      <c r="D466" s="60">
        <v>5463</v>
      </c>
      <c r="E466" s="60">
        <v>1024</v>
      </c>
      <c r="F466" s="60">
        <v>236</v>
      </c>
      <c r="G466" s="60">
        <v>40</v>
      </c>
      <c r="H466" s="60">
        <v>120</v>
      </c>
      <c r="I466" s="60">
        <v>375</v>
      </c>
      <c r="J466" s="60">
        <v>39</v>
      </c>
      <c r="K466" s="60">
        <v>3629</v>
      </c>
      <c r="L466" s="58">
        <v>6050</v>
      </c>
      <c r="M466" s="58">
        <v>926</v>
      </c>
      <c r="N466" s="58">
        <v>278</v>
      </c>
      <c r="O466" s="58">
        <v>29</v>
      </c>
      <c r="P466" s="58">
        <v>141</v>
      </c>
      <c r="Q466" s="58">
        <v>508</v>
      </c>
      <c r="R466" s="58">
        <v>52</v>
      </c>
      <c r="S466" s="58">
        <v>4116</v>
      </c>
    </row>
    <row r="467" spans="1:19" x14ac:dyDescent="0.5">
      <c r="A467" s="60">
        <v>2015</v>
      </c>
      <c r="B467" s="60" t="s">
        <v>68</v>
      </c>
      <c r="C467" s="60" t="s">
        <v>718</v>
      </c>
      <c r="D467" s="60">
        <v>5480</v>
      </c>
      <c r="E467" s="60">
        <v>925</v>
      </c>
      <c r="F467" s="60">
        <v>274</v>
      </c>
      <c r="G467" s="60">
        <v>34</v>
      </c>
      <c r="H467" s="60">
        <v>145</v>
      </c>
      <c r="I467" s="60">
        <v>412</v>
      </c>
      <c r="J467" s="60">
        <v>41</v>
      </c>
      <c r="K467" s="60">
        <v>3649</v>
      </c>
      <c r="L467" s="58">
        <v>6148</v>
      </c>
      <c r="M467" s="58">
        <v>936</v>
      </c>
      <c r="N467" s="58">
        <v>287</v>
      </c>
      <c r="O467" s="58">
        <v>33</v>
      </c>
      <c r="P467" s="58">
        <v>176</v>
      </c>
      <c r="Q467" s="58">
        <v>517</v>
      </c>
      <c r="R467" s="58">
        <v>55</v>
      </c>
      <c r="S467" s="58">
        <v>4144</v>
      </c>
    </row>
    <row r="468" spans="1:19" x14ac:dyDescent="0.5">
      <c r="A468" s="60">
        <v>2015</v>
      </c>
      <c r="B468" s="60" t="s">
        <v>70</v>
      </c>
      <c r="C468" s="60" t="s">
        <v>719</v>
      </c>
      <c r="D468" s="60">
        <v>5467</v>
      </c>
      <c r="E468" s="60">
        <v>872</v>
      </c>
      <c r="F468" s="60">
        <v>277</v>
      </c>
      <c r="G468" s="60">
        <v>44</v>
      </c>
      <c r="H468" s="60">
        <v>156</v>
      </c>
      <c r="I468" s="60">
        <v>439</v>
      </c>
      <c r="J468" s="60">
        <v>40</v>
      </c>
      <c r="K468" s="60">
        <v>3639</v>
      </c>
      <c r="L468" s="58">
        <v>6139</v>
      </c>
      <c r="M468" s="58">
        <v>1023</v>
      </c>
      <c r="N468" s="58">
        <v>295</v>
      </c>
      <c r="O468" s="58">
        <v>25</v>
      </c>
      <c r="P468" s="58">
        <v>163</v>
      </c>
      <c r="Q468" s="58">
        <v>413</v>
      </c>
      <c r="R468" s="58">
        <v>41</v>
      </c>
      <c r="S468" s="58">
        <v>4179</v>
      </c>
    </row>
    <row r="469" spans="1:19" x14ac:dyDescent="0.5">
      <c r="A469" s="60">
        <v>2015</v>
      </c>
      <c r="B469" s="60" t="s">
        <v>76</v>
      </c>
      <c r="C469" s="60" t="s">
        <v>720</v>
      </c>
      <c r="D469" s="60">
        <v>5527</v>
      </c>
      <c r="E469" s="60">
        <v>862</v>
      </c>
      <c r="F469" s="60">
        <v>295</v>
      </c>
      <c r="G469" s="60">
        <v>17</v>
      </c>
      <c r="H469" s="60">
        <v>177</v>
      </c>
      <c r="I469" s="60">
        <v>488</v>
      </c>
      <c r="J469" s="60">
        <v>68</v>
      </c>
      <c r="K469" s="60">
        <v>3620</v>
      </c>
      <c r="L469" s="58">
        <v>6046</v>
      </c>
      <c r="M469" s="58">
        <v>931</v>
      </c>
      <c r="N469" s="58">
        <v>235</v>
      </c>
      <c r="O469" s="58">
        <v>23</v>
      </c>
      <c r="P469" s="58">
        <v>152</v>
      </c>
      <c r="Q469" s="58">
        <v>383</v>
      </c>
      <c r="R469" s="58">
        <v>44</v>
      </c>
      <c r="S469" s="58">
        <v>4278</v>
      </c>
    </row>
    <row r="470" spans="1:19" x14ac:dyDescent="0.5">
      <c r="A470" s="60">
        <v>2015</v>
      </c>
      <c r="B470" s="60" t="s">
        <v>74</v>
      </c>
      <c r="C470" s="60" t="s">
        <v>721</v>
      </c>
      <c r="D470" s="60">
        <v>5567</v>
      </c>
      <c r="E470" s="60">
        <v>894</v>
      </c>
      <c r="F470" s="60">
        <v>272</v>
      </c>
      <c r="G470" s="60">
        <v>19</v>
      </c>
      <c r="H470" s="60">
        <v>212</v>
      </c>
      <c r="I470" s="60">
        <v>554</v>
      </c>
      <c r="J470" s="60">
        <v>63</v>
      </c>
      <c r="K470" s="60">
        <v>3553</v>
      </c>
      <c r="L470" s="58">
        <v>6191</v>
      </c>
      <c r="M470" s="58">
        <v>949</v>
      </c>
      <c r="N470" s="58">
        <v>260</v>
      </c>
      <c r="O470" s="58">
        <v>25</v>
      </c>
      <c r="P470" s="58">
        <v>182</v>
      </c>
      <c r="Q470" s="58">
        <v>474</v>
      </c>
      <c r="R470" s="58">
        <v>56</v>
      </c>
      <c r="S470" s="58">
        <v>4245</v>
      </c>
    </row>
    <row r="471" spans="1:19" x14ac:dyDescent="0.5">
      <c r="A471" s="60">
        <v>2015</v>
      </c>
      <c r="B471" s="60" t="s">
        <v>78</v>
      </c>
      <c r="C471" s="60" t="s">
        <v>722</v>
      </c>
      <c r="D471" s="60">
        <v>5600</v>
      </c>
      <c r="E471" s="60">
        <v>936</v>
      </c>
      <c r="F471" s="60">
        <v>277</v>
      </c>
      <c r="G471" s="60">
        <v>46</v>
      </c>
      <c r="H471" s="60">
        <v>146</v>
      </c>
      <c r="I471" s="60">
        <v>475</v>
      </c>
      <c r="J471" s="60">
        <v>40</v>
      </c>
      <c r="K471" s="60">
        <v>3680</v>
      </c>
      <c r="L471" s="58">
        <v>6128</v>
      </c>
      <c r="M471" s="58">
        <v>951</v>
      </c>
      <c r="N471" s="58">
        <v>266</v>
      </c>
      <c r="O471" s="58">
        <v>13</v>
      </c>
      <c r="P471" s="58">
        <v>172</v>
      </c>
      <c r="Q471" s="58">
        <v>474</v>
      </c>
      <c r="R471" s="58">
        <v>47</v>
      </c>
      <c r="S471" s="58">
        <v>4205</v>
      </c>
    </row>
    <row r="472" spans="1:19" x14ac:dyDescent="0.5">
      <c r="A472" s="60">
        <v>2015</v>
      </c>
      <c r="B472" s="60" t="s">
        <v>80</v>
      </c>
      <c r="C472" s="60" t="s">
        <v>723</v>
      </c>
      <c r="D472" s="60">
        <v>5529</v>
      </c>
      <c r="E472" s="60">
        <v>935</v>
      </c>
      <c r="F472" s="60">
        <v>272</v>
      </c>
      <c r="G472" s="60">
        <v>37</v>
      </c>
      <c r="H472" s="60">
        <v>130</v>
      </c>
      <c r="I472" s="60">
        <v>387</v>
      </c>
      <c r="J472" s="60">
        <v>54</v>
      </c>
      <c r="K472" s="60">
        <v>3714</v>
      </c>
      <c r="L472" s="58">
        <v>6332</v>
      </c>
      <c r="M472" s="58">
        <v>1068</v>
      </c>
      <c r="N472" s="58">
        <v>300</v>
      </c>
      <c r="O472" s="58">
        <v>33</v>
      </c>
      <c r="P472" s="58">
        <v>191</v>
      </c>
      <c r="Q472" s="58">
        <v>488</v>
      </c>
      <c r="R472" s="58">
        <v>61</v>
      </c>
      <c r="S472" s="58">
        <v>4191</v>
      </c>
    </row>
    <row r="473" spans="1:19" x14ac:dyDescent="0.5">
      <c r="A473" s="60">
        <v>2015</v>
      </c>
      <c r="B473" s="60" t="s">
        <v>82</v>
      </c>
      <c r="C473" s="60" t="s">
        <v>724</v>
      </c>
      <c r="D473" s="60">
        <v>5631</v>
      </c>
      <c r="E473" s="60">
        <v>1003</v>
      </c>
      <c r="F473" s="60">
        <v>292</v>
      </c>
      <c r="G473" s="60">
        <v>27</v>
      </c>
      <c r="H473" s="60">
        <v>140</v>
      </c>
      <c r="I473" s="60">
        <v>461</v>
      </c>
      <c r="J473" s="60">
        <v>89</v>
      </c>
      <c r="K473" s="60">
        <v>3619</v>
      </c>
      <c r="L473" s="58">
        <v>6215</v>
      </c>
      <c r="M473" s="58">
        <v>1001</v>
      </c>
      <c r="N473" s="58">
        <v>257</v>
      </c>
      <c r="O473" s="58">
        <v>24</v>
      </c>
      <c r="P473" s="58">
        <v>110</v>
      </c>
      <c r="Q473" s="58">
        <v>453</v>
      </c>
      <c r="R473" s="58">
        <v>75</v>
      </c>
      <c r="S473" s="58">
        <v>4295</v>
      </c>
    </row>
    <row r="474" spans="1:19" x14ac:dyDescent="0.5">
      <c r="A474" s="60">
        <v>2015</v>
      </c>
      <c r="B474" s="60" t="s">
        <v>84</v>
      </c>
      <c r="C474" s="60" t="s">
        <v>725</v>
      </c>
      <c r="D474" s="60">
        <v>5457</v>
      </c>
      <c r="E474" s="60">
        <v>880</v>
      </c>
      <c r="F474" s="60">
        <v>260</v>
      </c>
      <c r="G474" s="60">
        <v>36</v>
      </c>
      <c r="H474" s="60">
        <v>148</v>
      </c>
      <c r="I474" s="60">
        <v>426</v>
      </c>
      <c r="J474" s="60">
        <v>40</v>
      </c>
      <c r="K474" s="60">
        <v>3667</v>
      </c>
      <c r="L474" s="58">
        <v>6093</v>
      </c>
      <c r="M474" s="58">
        <v>882</v>
      </c>
      <c r="N474" s="58">
        <v>268</v>
      </c>
      <c r="O474" s="58">
        <v>50</v>
      </c>
      <c r="P474" s="58">
        <v>171</v>
      </c>
      <c r="Q474" s="58">
        <v>516</v>
      </c>
      <c r="R474" s="58">
        <v>54</v>
      </c>
      <c r="S474" s="58">
        <v>4152</v>
      </c>
    </row>
    <row r="475" spans="1:19" x14ac:dyDescent="0.5">
      <c r="A475" s="60">
        <v>2015</v>
      </c>
      <c r="B475" s="60" t="s">
        <v>86</v>
      </c>
      <c r="C475" s="60" t="s">
        <v>726</v>
      </c>
      <c r="D475" s="60">
        <v>5544</v>
      </c>
      <c r="E475" s="60">
        <v>897</v>
      </c>
      <c r="F475" s="60">
        <v>262</v>
      </c>
      <c r="G475" s="60">
        <v>22</v>
      </c>
      <c r="H475" s="60">
        <v>198</v>
      </c>
      <c r="I475" s="60">
        <v>478</v>
      </c>
      <c r="J475" s="60">
        <v>36</v>
      </c>
      <c r="K475" s="60">
        <v>3651</v>
      </c>
      <c r="L475" s="58">
        <v>6223</v>
      </c>
      <c r="M475" s="58">
        <v>941</v>
      </c>
      <c r="N475" s="58">
        <v>285</v>
      </c>
      <c r="O475" s="58">
        <v>23</v>
      </c>
      <c r="P475" s="58">
        <v>181</v>
      </c>
      <c r="Q475" s="58">
        <v>491</v>
      </c>
      <c r="R475" s="58">
        <v>70</v>
      </c>
      <c r="S475" s="58">
        <v>4232</v>
      </c>
    </row>
    <row r="476" spans="1:19" x14ac:dyDescent="0.5">
      <c r="A476" s="60">
        <v>2015</v>
      </c>
      <c r="B476" s="60" t="s">
        <v>88</v>
      </c>
      <c r="C476" s="60" t="s">
        <v>727</v>
      </c>
      <c r="D476" s="60">
        <v>5565</v>
      </c>
      <c r="E476" s="60">
        <v>1023</v>
      </c>
      <c r="F476" s="60">
        <v>288</v>
      </c>
      <c r="G476" s="60">
        <v>39</v>
      </c>
      <c r="H476" s="60">
        <v>136</v>
      </c>
      <c r="I476" s="60">
        <v>457</v>
      </c>
      <c r="J476" s="60">
        <v>49</v>
      </c>
      <c r="K476" s="60">
        <v>3573</v>
      </c>
      <c r="L476" s="58">
        <v>6009</v>
      </c>
      <c r="M476" s="58">
        <v>892</v>
      </c>
      <c r="N476" s="58">
        <v>246</v>
      </c>
      <c r="O476" s="58">
        <v>51</v>
      </c>
      <c r="P476" s="58">
        <v>155</v>
      </c>
      <c r="Q476" s="58">
        <v>431</v>
      </c>
      <c r="R476" s="58">
        <v>50</v>
      </c>
      <c r="S476" s="58">
        <v>4184</v>
      </c>
    </row>
    <row r="477" spans="1:19" x14ac:dyDescent="0.5">
      <c r="A477" s="60">
        <v>2015</v>
      </c>
      <c r="B477" s="60" t="s">
        <v>90</v>
      </c>
      <c r="C477" s="60" t="s">
        <v>728</v>
      </c>
      <c r="D477" s="60">
        <v>5484</v>
      </c>
      <c r="E477" s="60">
        <v>922</v>
      </c>
      <c r="F477" s="60">
        <v>288</v>
      </c>
      <c r="G477" s="60">
        <v>39</v>
      </c>
      <c r="H477" s="60">
        <v>137</v>
      </c>
      <c r="I477" s="60">
        <v>506</v>
      </c>
      <c r="J477" s="60">
        <v>66</v>
      </c>
      <c r="K477" s="60">
        <v>3526</v>
      </c>
      <c r="L477" s="58">
        <v>6134</v>
      </c>
      <c r="M477" s="58">
        <v>970</v>
      </c>
      <c r="N477" s="58">
        <v>240</v>
      </c>
      <c r="O477" s="58">
        <v>26</v>
      </c>
      <c r="P477" s="58">
        <v>123</v>
      </c>
      <c r="Q477" s="58">
        <v>477</v>
      </c>
      <c r="R477" s="58">
        <v>45</v>
      </c>
      <c r="S477" s="58">
        <v>4253</v>
      </c>
    </row>
    <row r="478" spans="1:19" x14ac:dyDescent="0.5">
      <c r="A478" s="60">
        <v>2015</v>
      </c>
      <c r="B478" s="60" t="s">
        <v>92</v>
      </c>
      <c r="C478" s="60" t="s">
        <v>729</v>
      </c>
      <c r="D478" s="60">
        <v>5485</v>
      </c>
      <c r="E478" s="60">
        <v>906</v>
      </c>
      <c r="F478" s="60">
        <v>278</v>
      </c>
      <c r="G478" s="60">
        <v>32</v>
      </c>
      <c r="H478" s="60">
        <v>167</v>
      </c>
      <c r="I478" s="60">
        <v>436</v>
      </c>
      <c r="J478" s="60">
        <v>84</v>
      </c>
      <c r="K478" s="60">
        <v>3582</v>
      </c>
      <c r="L478" s="58">
        <v>6069</v>
      </c>
      <c r="M478" s="58">
        <v>888</v>
      </c>
      <c r="N478" s="58">
        <v>232</v>
      </c>
      <c r="O478" s="58">
        <v>19</v>
      </c>
      <c r="P478" s="58">
        <v>175</v>
      </c>
      <c r="Q478" s="58">
        <v>477</v>
      </c>
      <c r="R478" s="58">
        <v>46</v>
      </c>
      <c r="S478" s="58">
        <v>4232</v>
      </c>
    </row>
    <row r="479" spans="1:19" x14ac:dyDescent="0.5">
      <c r="A479" s="60">
        <v>2015</v>
      </c>
      <c r="B479" s="60" t="s">
        <v>94</v>
      </c>
      <c r="C479" s="60" t="s">
        <v>730</v>
      </c>
      <c r="D479" s="60">
        <v>5511</v>
      </c>
      <c r="E479" s="60">
        <v>936</v>
      </c>
      <c r="F479" s="60">
        <v>279</v>
      </c>
      <c r="G479" s="60">
        <v>32</v>
      </c>
      <c r="H479" s="60">
        <v>172</v>
      </c>
      <c r="I479" s="60">
        <v>503</v>
      </c>
      <c r="J479" s="60">
        <v>76</v>
      </c>
      <c r="K479" s="60">
        <v>3513</v>
      </c>
      <c r="L479" s="58">
        <v>6215</v>
      </c>
      <c r="M479" s="58">
        <v>968</v>
      </c>
      <c r="N479" s="58">
        <v>280</v>
      </c>
      <c r="O479" s="58">
        <v>40</v>
      </c>
      <c r="P479" s="58">
        <v>171</v>
      </c>
      <c r="Q479" s="58">
        <v>508</v>
      </c>
      <c r="R479" s="58">
        <v>63</v>
      </c>
      <c r="S479" s="58">
        <v>4185</v>
      </c>
    </row>
    <row r="480" spans="1:19" x14ac:dyDescent="0.5">
      <c r="A480" s="60">
        <v>2015</v>
      </c>
      <c r="B480" s="60" t="s">
        <v>96</v>
      </c>
      <c r="C480" s="60" t="s">
        <v>731</v>
      </c>
      <c r="D480" s="60">
        <v>5509</v>
      </c>
      <c r="E480" s="60">
        <v>923</v>
      </c>
      <c r="F480" s="60">
        <v>308</v>
      </c>
      <c r="G480" s="60">
        <v>17</v>
      </c>
      <c r="H480" s="60">
        <v>232</v>
      </c>
      <c r="I480" s="60">
        <v>570</v>
      </c>
      <c r="J480" s="60">
        <v>54</v>
      </c>
      <c r="K480" s="60">
        <v>3405</v>
      </c>
      <c r="L480" s="58">
        <v>5984</v>
      </c>
      <c r="M480" s="58">
        <v>883</v>
      </c>
      <c r="N480" s="58">
        <v>267</v>
      </c>
      <c r="O480" s="58">
        <v>30</v>
      </c>
      <c r="P480" s="58">
        <v>173</v>
      </c>
      <c r="Q480" s="58">
        <v>397</v>
      </c>
      <c r="R480" s="58">
        <v>59</v>
      </c>
      <c r="S480" s="58">
        <v>4175</v>
      </c>
    </row>
    <row r="481" spans="1:19" x14ac:dyDescent="0.5">
      <c r="A481" s="60">
        <v>2015</v>
      </c>
      <c r="B481" s="60" t="s">
        <v>100</v>
      </c>
      <c r="C481" s="60" t="s">
        <v>732</v>
      </c>
      <c r="D481" s="60">
        <v>5428</v>
      </c>
      <c r="E481" s="60">
        <v>908</v>
      </c>
      <c r="F481" s="60">
        <v>265</v>
      </c>
      <c r="G481" s="60">
        <v>13</v>
      </c>
      <c r="H481" s="60">
        <v>177</v>
      </c>
      <c r="I481" s="60">
        <v>539</v>
      </c>
      <c r="J481" s="60">
        <v>44</v>
      </c>
      <c r="K481" s="60">
        <v>3482</v>
      </c>
      <c r="L481" s="58">
        <v>5975</v>
      </c>
      <c r="M481" s="58">
        <v>953</v>
      </c>
      <c r="N481" s="58">
        <v>239</v>
      </c>
      <c r="O481" s="58">
        <v>29</v>
      </c>
      <c r="P481" s="58">
        <v>145</v>
      </c>
      <c r="Q481" s="58">
        <v>364</v>
      </c>
      <c r="R481" s="58">
        <v>55</v>
      </c>
      <c r="S481" s="58">
        <v>4190</v>
      </c>
    </row>
    <row r="482" spans="1:19" x14ac:dyDescent="0.5">
      <c r="A482" s="60">
        <v>2016</v>
      </c>
      <c r="B482" s="60" t="s">
        <v>36</v>
      </c>
      <c r="C482" s="60" t="s">
        <v>733</v>
      </c>
      <c r="D482" s="60">
        <v>5431</v>
      </c>
      <c r="E482" s="60">
        <v>955</v>
      </c>
      <c r="F482" s="60">
        <v>279</v>
      </c>
      <c r="G482" s="60">
        <v>20</v>
      </c>
      <c r="H482" s="60">
        <v>156</v>
      </c>
      <c r="I482" s="60">
        <v>471</v>
      </c>
      <c r="J482" s="60">
        <v>51</v>
      </c>
      <c r="K482" s="60">
        <v>3499</v>
      </c>
      <c r="L482" s="58">
        <v>6120</v>
      </c>
      <c r="M482" s="58">
        <v>977</v>
      </c>
      <c r="N482" s="58">
        <v>275</v>
      </c>
      <c r="O482" s="58">
        <v>20</v>
      </c>
      <c r="P482" s="58">
        <v>208</v>
      </c>
      <c r="Q482" s="58">
        <v>498</v>
      </c>
      <c r="R482" s="58">
        <v>56</v>
      </c>
      <c r="S482" s="58">
        <v>4086</v>
      </c>
    </row>
    <row r="483" spans="1:19" x14ac:dyDescent="0.5">
      <c r="A483" s="60">
        <v>2016</v>
      </c>
      <c r="B483" s="60" t="s">
        <v>39</v>
      </c>
      <c r="C483" s="60" t="s">
        <v>734</v>
      </c>
      <c r="D483" s="60">
        <v>5665</v>
      </c>
      <c r="E483" s="60">
        <v>948</v>
      </c>
      <c r="F483" s="60">
        <v>285</v>
      </c>
      <c r="G483" s="60">
        <v>56</v>
      </c>
      <c r="H483" s="60">
        <v>190</v>
      </c>
      <c r="I483" s="60">
        <v>463</v>
      </c>
      <c r="J483" s="60">
        <v>50</v>
      </c>
      <c r="K483" s="60">
        <v>3673</v>
      </c>
      <c r="L483" s="58">
        <v>6437</v>
      </c>
      <c r="M483" s="58">
        <v>986</v>
      </c>
      <c r="N483" s="58">
        <v>337</v>
      </c>
      <c r="O483" s="58">
        <v>38</v>
      </c>
      <c r="P483" s="58">
        <v>202</v>
      </c>
      <c r="Q483" s="58">
        <v>603</v>
      </c>
      <c r="R483" s="58">
        <v>57</v>
      </c>
      <c r="S483" s="58">
        <v>4214</v>
      </c>
    </row>
    <row r="484" spans="1:19" x14ac:dyDescent="0.5">
      <c r="A484" s="60">
        <v>2016</v>
      </c>
      <c r="B484" s="60" t="s">
        <v>41</v>
      </c>
      <c r="C484" s="60" t="s">
        <v>735</v>
      </c>
      <c r="D484" s="60">
        <v>5514</v>
      </c>
      <c r="E484" s="60">
        <v>960</v>
      </c>
      <c r="F484" s="60">
        <v>295</v>
      </c>
      <c r="G484" s="60">
        <v>27</v>
      </c>
      <c r="H484" s="60">
        <v>122</v>
      </c>
      <c r="I484" s="60">
        <v>502</v>
      </c>
      <c r="J484" s="60">
        <v>59</v>
      </c>
      <c r="K484" s="60">
        <v>3549</v>
      </c>
      <c r="L484" s="58">
        <v>6250</v>
      </c>
      <c r="M484" s="58">
        <v>927</v>
      </c>
      <c r="N484" s="58">
        <v>263</v>
      </c>
      <c r="O484" s="58">
        <v>47</v>
      </c>
      <c r="P484" s="58">
        <v>177</v>
      </c>
      <c r="Q484" s="58">
        <v>547</v>
      </c>
      <c r="R484" s="58">
        <v>70</v>
      </c>
      <c r="S484" s="58">
        <v>4219</v>
      </c>
    </row>
    <row r="485" spans="1:19" x14ac:dyDescent="0.5">
      <c r="A485" s="60">
        <v>2016</v>
      </c>
      <c r="B485" s="60" t="s">
        <v>44</v>
      </c>
      <c r="C485" s="60" t="s">
        <v>736</v>
      </c>
      <c r="D485" s="60">
        <v>5524</v>
      </c>
      <c r="E485" s="60">
        <v>889</v>
      </c>
      <c r="F485" s="60">
        <v>265</v>
      </c>
      <c r="G485" s="60">
        <v>6</v>
      </c>
      <c r="H485" s="60">
        <v>253</v>
      </c>
      <c r="I485" s="60">
        <v>468</v>
      </c>
      <c r="J485" s="60">
        <v>44</v>
      </c>
      <c r="K485" s="60">
        <v>3599</v>
      </c>
      <c r="L485" s="58">
        <v>6122</v>
      </c>
      <c r="M485" s="58">
        <v>898</v>
      </c>
      <c r="N485" s="58">
        <v>309</v>
      </c>
      <c r="O485" s="58">
        <v>18</v>
      </c>
      <c r="P485" s="58">
        <v>183</v>
      </c>
      <c r="Q485" s="58">
        <v>545</v>
      </c>
      <c r="R485" s="58">
        <v>51</v>
      </c>
      <c r="S485" s="58">
        <v>4118</v>
      </c>
    </row>
    <row r="486" spans="1:19" x14ac:dyDescent="0.5">
      <c r="A486" s="60">
        <v>2016</v>
      </c>
      <c r="B486" s="60" t="s">
        <v>46</v>
      </c>
      <c r="C486" s="60" t="s">
        <v>737</v>
      </c>
      <c r="D486" s="60">
        <v>5670</v>
      </c>
      <c r="E486" s="60">
        <v>1022</v>
      </c>
      <c r="F486" s="60">
        <v>343</v>
      </c>
      <c r="G486" s="60">
        <v>25</v>
      </c>
      <c r="H486" s="60">
        <v>208</v>
      </c>
      <c r="I486" s="60">
        <v>558</v>
      </c>
      <c r="J486" s="60">
        <v>43</v>
      </c>
      <c r="K486" s="60">
        <v>3471</v>
      </c>
      <c r="L486" s="58">
        <v>6073</v>
      </c>
      <c r="M486" s="58">
        <v>892</v>
      </c>
      <c r="N486" s="58">
        <v>251</v>
      </c>
      <c r="O486" s="58">
        <v>23</v>
      </c>
      <c r="P486" s="58">
        <v>176</v>
      </c>
      <c r="Q486" s="58">
        <v>490</v>
      </c>
      <c r="R486" s="58">
        <v>65</v>
      </c>
      <c r="S486" s="58">
        <v>4176</v>
      </c>
    </row>
    <row r="487" spans="1:19" x14ac:dyDescent="0.5">
      <c r="A487" s="60">
        <v>2016</v>
      </c>
      <c r="B487" s="60" t="s">
        <v>50</v>
      </c>
      <c r="C487" s="60" t="s">
        <v>738</v>
      </c>
      <c r="D487" s="60">
        <v>5503</v>
      </c>
      <c r="E487" s="60">
        <v>887</v>
      </c>
      <c r="F487" s="60">
        <v>293</v>
      </c>
      <c r="G487" s="60">
        <v>30</v>
      </c>
      <c r="H487" s="60">
        <v>199</v>
      </c>
      <c r="I487" s="60">
        <v>656</v>
      </c>
      <c r="J487" s="60">
        <v>96</v>
      </c>
      <c r="K487" s="60">
        <v>3342</v>
      </c>
      <c r="L487" s="58">
        <v>5933</v>
      </c>
      <c r="M487" s="58">
        <v>742</v>
      </c>
      <c r="N487" s="58">
        <v>205</v>
      </c>
      <c r="O487" s="58">
        <v>15</v>
      </c>
      <c r="P487" s="58">
        <v>163</v>
      </c>
      <c r="Q487" s="58">
        <v>495</v>
      </c>
      <c r="R487" s="58">
        <v>63</v>
      </c>
      <c r="S487" s="58">
        <v>4250</v>
      </c>
    </row>
    <row r="488" spans="1:19" x14ac:dyDescent="0.5">
      <c r="A488" s="60">
        <v>2016</v>
      </c>
      <c r="B488" s="60" t="s">
        <v>48</v>
      </c>
      <c r="C488" s="60" t="s">
        <v>739</v>
      </c>
      <c r="D488" s="60">
        <v>5550</v>
      </c>
      <c r="E488" s="60">
        <v>950</v>
      </c>
      <c r="F488" s="60">
        <v>277</v>
      </c>
      <c r="G488" s="60">
        <v>33</v>
      </c>
      <c r="H488" s="60">
        <v>168</v>
      </c>
      <c r="I488" s="60">
        <v>455</v>
      </c>
      <c r="J488" s="60">
        <v>53</v>
      </c>
      <c r="K488" s="60">
        <v>3614</v>
      </c>
      <c r="L488" s="58">
        <v>6196</v>
      </c>
      <c r="M488" s="58">
        <v>922</v>
      </c>
      <c r="N488" s="58">
        <v>290</v>
      </c>
      <c r="O488" s="58">
        <v>25</v>
      </c>
      <c r="P488" s="58">
        <v>185</v>
      </c>
      <c r="Q488" s="58">
        <v>521</v>
      </c>
      <c r="R488" s="58">
        <v>68</v>
      </c>
      <c r="S488" s="58">
        <v>4185</v>
      </c>
    </row>
    <row r="489" spans="1:19" x14ac:dyDescent="0.5">
      <c r="A489" s="60">
        <v>2016</v>
      </c>
      <c r="B489" s="60" t="s">
        <v>52</v>
      </c>
      <c r="C489" s="60" t="s">
        <v>740</v>
      </c>
      <c r="D489" s="60">
        <v>5487</v>
      </c>
      <c r="E489" s="60">
        <v>929</v>
      </c>
      <c r="F489" s="60">
        <v>277</v>
      </c>
      <c r="G489" s="60">
        <v>33</v>
      </c>
      <c r="H489" s="60">
        <v>164</v>
      </c>
      <c r="I489" s="60">
        <v>452</v>
      </c>
      <c r="J489" s="60">
        <v>52</v>
      </c>
      <c r="K489" s="60">
        <v>3580</v>
      </c>
      <c r="L489" s="58">
        <v>6348</v>
      </c>
      <c r="M489" s="58">
        <v>920</v>
      </c>
      <c r="N489" s="58">
        <v>261</v>
      </c>
      <c r="O489" s="58">
        <v>18</v>
      </c>
      <c r="P489" s="58">
        <v>258</v>
      </c>
      <c r="Q489" s="58">
        <v>636</v>
      </c>
      <c r="R489" s="58">
        <v>78</v>
      </c>
      <c r="S489" s="58">
        <v>4177</v>
      </c>
    </row>
    <row r="490" spans="1:19" x14ac:dyDescent="0.5">
      <c r="A490" s="60">
        <v>2016</v>
      </c>
      <c r="B490" s="60" t="s">
        <v>54</v>
      </c>
      <c r="C490" s="60" t="s">
        <v>741</v>
      </c>
      <c r="D490" s="60">
        <v>5484</v>
      </c>
      <c r="E490" s="60">
        <v>913</v>
      </c>
      <c r="F490" s="60">
        <v>308</v>
      </c>
      <c r="G490" s="60">
        <v>29</v>
      </c>
      <c r="H490" s="60">
        <v>185</v>
      </c>
      <c r="I490" s="60">
        <v>531</v>
      </c>
      <c r="J490" s="60">
        <v>49</v>
      </c>
      <c r="K490" s="60">
        <v>3469</v>
      </c>
      <c r="L490" s="58">
        <v>6033</v>
      </c>
      <c r="M490" s="58">
        <v>830</v>
      </c>
      <c r="N490" s="58">
        <v>287</v>
      </c>
      <c r="O490" s="58">
        <v>27</v>
      </c>
      <c r="P490" s="58">
        <v>186</v>
      </c>
      <c r="Q490" s="58">
        <v>461</v>
      </c>
      <c r="R490" s="58">
        <v>34</v>
      </c>
      <c r="S490" s="58">
        <v>4208</v>
      </c>
    </row>
    <row r="491" spans="1:19" x14ac:dyDescent="0.5">
      <c r="A491" s="60">
        <v>2016</v>
      </c>
      <c r="B491" s="60" t="s">
        <v>56</v>
      </c>
      <c r="C491" s="60" t="s">
        <v>742</v>
      </c>
      <c r="D491" s="60">
        <v>5614</v>
      </c>
      <c r="E491" s="60">
        <v>975</v>
      </c>
      <c r="F491" s="60">
        <v>318</v>
      </c>
      <c r="G491" s="60">
        <v>47</v>
      </c>
      <c r="H491" s="60">
        <v>204</v>
      </c>
      <c r="I491" s="60">
        <v>494</v>
      </c>
      <c r="J491" s="60">
        <v>40</v>
      </c>
      <c r="K491" s="60">
        <v>3536</v>
      </c>
      <c r="L491" s="58">
        <v>6289</v>
      </c>
      <c r="M491" s="58">
        <v>988</v>
      </c>
      <c r="N491" s="58">
        <v>312</v>
      </c>
      <c r="O491" s="58">
        <v>51</v>
      </c>
      <c r="P491" s="58">
        <v>181</v>
      </c>
      <c r="Q491" s="58">
        <v>547</v>
      </c>
      <c r="R491" s="58">
        <v>70</v>
      </c>
      <c r="S491" s="58">
        <v>4140</v>
      </c>
    </row>
    <row r="492" spans="1:19" x14ac:dyDescent="0.5">
      <c r="A492" s="60">
        <v>2016</v>
      </c>
      <c r="B492" s="60" t="s">
        <v>58</v>
      </c>
      <c r="C492" s="60" t="s">
        <v>743</v>
      </c>
      <c r="D492" s="60">
        <v>5526</v>
      </c>
      <c r="E492" s="60">
        <v>983</v>
      </c>
      <c r="F492" s="60">
        <v>252</v>
      </c>
      <c r="G492" s="60">
        <v>30</v>
      </c>
      <c r="H492" s="60">
        <v>211</v>
      </c>
      <c r="I492" s="60">
        <v>493</v>
      </c>
      <c r="J492" s="60">
        <v>53</v>
      </c>
      <c r="K492" s="60">
        <v>3504</v>
      </c>
      <c r="L492" s="58">
        <v>6048</v>
      </c>
      <c r="M492" s="58">
        <v>943</v>
      </c>
      <c r="N492" s="58">
        <v>250</v>
      </c>
      <c r="O492" s="58">
        <v>42</v>
      </c>
      <c r="P492" s="58">
        <v>182</v>
      </c>
      <c r="Q492" s="58">
        <v>462</v>
      </c>
      <c r="R492" s="58">
        <v>51</v>
      </c>
      <c r="S492" s="58">
        <v>4118</v>
      </c>
    </row>
    <row r="493" spans="1:19" x14ac:dyDescent="0.5">
      <c r="A493" s="60">
        <v>2016</v>
      </c>
      <c r="B493" s="60" t="s">
        <v>60</v>
      </c>
      <c r="C493" s="60" t="s">
        <v>744</v>
      </c>
      <c r="D493" s="60">
        <v>5545</v>
      </c>
      <c r="E493" s="60">
        <v>849</v>
      </c>
      <c r="F493" s="60">
        <v>291</v>
      </c>
      <c r="G493" s="60">
        <v>29</v>
      </c>
      <c r="H493" s="60">
        <v>198</v>
      </c>
      <c r="I493" s="60">
        <v>554</v>
      </c>
      <c r="J493" s="60">
        <v>47</v>
      </c>
      <c r="K493" s="60">
        <v>3577</v>
      </c>
      <c r="L493" s="58">
        <v>6180</v>
      </c>
      <c r="M493" s="58">
        <v>898</v>
      </c>
      <c r="N493" s="58">
        <v>320</v>
      </c>
      <c r="O493" s="58">
        <v>42</v>
      </c>
      <c r="P493" s="58">
        <v>181</v>
      </c>
      <c r="Q493" s="58">
        <v>453</v>
      </c>
      <c r="R493" s="58">
        <v>39</v>
      </c>
      <c r="S493" s="58">
        <v>4247</v>
      </c>
    </row>
    <row r="494" spans="1:19" x14ac:dyDescent="0.5">
      <c r="A494" s="60">
        <v>2016</v>
      </c>
      <c r="B494" s="60" t="s">
        <v>62</v>
      </c>
      <c r="C494" s="60" t="s">
        <v>745</v>
      </c>
      <c r="D494" s="60">
        <v>5552</v>
      </c>
      <c r="E494" s="60">
        <v>1006</v>
      </c>
      <c r="F494" s="60">
        <v>264</v>
      </c>
      <c r="G494" s="60">
        <v>33</v>
      </c>
      <c r="H494" s="60">
        <v>147</v>
      </c>
      <c r="I494" s="60">
        <v>382</v>
      </c>
      <c r="J494" s="60">
        <v>45</v>
      </c>
      <c r="K494" s="60">
        <v>3675</v>
      </c>
      <c r="L494" s="58">
        <v>6182</v>
      </c>
      <c r="M494" s="58">
        <v>958</v>
      </c>
      <c r="N494" s="58">
        <v>248</v>
      </c>
      <c r="O494" s="58">
        <v>21</v>
      </c>
      <c r="P494" s="58">
        <v>206</v>
      </c>
      <c r="Q494" s="58">
        <v>517</v>
      </c>
      <c r="R494" s="58">
        <v>60</v>
      </c>
      <c r="S494" s="58">
        <v>4172</v>
      </c>
    </row>
    <row r="495" spans="1:19" x14ac:dyDescent="0.5">
      <c r="A495" s="60">
        <v>2016</v>
      </c>
      <c r="B495" s="60" t="s">
        <v>64</v>
      </c>
      <c r="C495" s="60" t="s">
        <v>746</v>
      </c>
      <c r="D495" s="60">
        <v>5518</v>
      </c>
      <c r="E495" s="60">
        <v>894</v>
      </c>
      <c r="F495" s="60">
        <v>272</v>
      </c>
      <c r="G495" s="60">
        <v>21</v>
      </c>
      <c r="H495" s="60">
        <v>189</v>
      </c>
      <c r="I495" s="60">
        <v>525</v>
      </c>
      <c r="J495" s="60">
        <v>58</v>
      </c>
      <c r="K495" s="60">
        <v>3559</v>
      </c>
      <c r="L495" s="58">
        <v>6014</v>
      </c>
      <c r="M495" s="58">
        <v>850</v>
      </c>
      <c r="N495" s="58">
        <v>225</v>
      </c>
      <c r="O495" s="58">
        <v>26</v>
      </c>
      <c r="P495" s="58">
        <v>165</v>
      </c>
      <c r="Q495" s="58">
        <v>464</v>
      </c>
      <c r="R495" s="58">
        <v>53</v>
      </c>
      <c r="S495" s="58">
        <v>4231</v>
      </c>
    </row>
    <row r="496" spans="1:19" x14ac:dyDescent="0.5">
      <c r="A496" s="60">
        <v>2016</v>
      </c>
      <c r="B496" s="60" t="s">
        <v>66</v>
      </c>
      <c r="C496" s="60" t="s">
        <v>747</v>
      </c>
      <c r="D496" s="60">
        <v>5547</v>
      </c>
      <c r="E496" s="60">
        <v>1031</v>
      </c>
      <c r="F496" s="60">
        <v>259</v>
      </c>
      <c r="G496" s="60">
        <v>42</v>
      </c>
      <c r="H496" s="60">
        <v>128</v>
      </c>
      <c r="I496" s="60">
        <v>447</v>
      </c>
      <c r="J496" s="60">
        <v>54</v>
      </c>
      <c r="K496" s="60">
        <v>3586</v>
      </c>
      <c r="L496" s="58">
        <v>6164</v>
      </c>
      <c r="M496" s="58">
        <v>919</v>
      </c>
      <c r="N496" s="58">
        <v>256</v>
      </c>
      <c r="O496" s="58">
        <v>31</v>
      </c>
      <c r="P496" s="58">
        <v>152</v>
      </c>
      <c r="Q496" s="58">
        <v>595</v>
      </c>
      <c r="R496" s="58">
        <v>61</v>
      </c>
      <c r="S496" s="58">
        <v>4150</v>
      </c>
    </row>
    <row r="497" spans="1:19" x14ac:dyDescent="0.5">
      <c r="A497" s="60">
        <v>2016</v>
      </c>
      <c r="B497" s="60" t="s">
        <v>68</v>
      </c>
      <c r="C497" s="60" t="s">
        <v>748</v>
      </c>
      <c r="D497" s="60">
        <v>5330</v>
      </c>
      <c r="E497" s="60">
        <v>837</v>
      </c>
      <c r="F497" s="60">
        <v>249</v>
      </c>
      <c r="G497" s="60">
        <v>19</v>
      </c>
      <c r="H497" s="60">
        <v>194</v>
      </c>
      <c r="I497" s="60">
        <v>599</v>
      </c>
      <c r="J497" s="60">
        <v>37</v>
      </c>
      <c r="K497" s="60">
        <v>3395</v>
      </c>
      <c r="L497" s="58">
        <v>6188</v>
      </c>
      <c r="M497" s="58">
        <v>943</v>
      </c>
      <c r="N497" s="58">
        <v>293</v>
      </c>
      <c r="O497" s="58">
        <v>36</v>
      </c>
      <c r="P497" s="58">
        <v>178</v>
      </c>
      <c r="Q497" s="58">
        <v>532</v>
      </c>
      <c r="R497" s="58">
        <v>66</v>
      </c>
      <c r="S497" s="58">
        <v>4140</v>
      </c>
    </row>
    <row r="498" spans="1:19" x14ac:dyDescent="0.5">
      <c r="A498" s="60">
        <v>2016</v>
      </c>
      <c r="B498" s="60" t="s">
        <v>70</v>
      </c>
      <c r="C498" s="60" t="s">
        <v>749</v>
      </c>
      <c r="D498" s="60">
        <v>5618</v>
      </c>
      <c r="E498" s="60">
        <v>886</v>
      </c>
      <c r="F498" s="60">
        <v>288</v>
      </c>
      <c r="G498" s="60">
        <v>35</v>
      </c>
      <c r="H498" s="60">
        <v>200</v>
      </c>
      <c r="I498" s="60">
        <v>513</v>
      </c>
      <c r="J498" s="60">
        <v>44</v>
      </c>
      <c r="K498" s="60">
        <v>3652</v>
      </c>
      <c r="L498" s="58">
        <v>6314</v>
      </c>
      <c r="M498" s="58">
        <v>1040</v>
      </c>
      <c r="N498" s="58">
        <v>326</v>
      </c>
      <c r="O498" s="58">
        <v>30</v>
      </c>
      <c r="P498" s="58">
        <v>221</v>
      </c>
      <c r="Q498" s="58">
        <v>479</v>
      </c>
      <c r="R498" s="58">
        <v>41</v>
      </c>
      <c r="S498" s="58">
        <v>4177</v>
      </c>
    </row>
    <row r="499" spans="1:19" x14ac:dyDescent="0.5">
      <c r="A499" s="60">
        <v>2016</v>
      </c>
      <c r="B499" s="60" t="s">
        <v>76</v>
      </c>
      <c r="C499" s="60" t="s">
        <v>750</v>
      </c>
      <c r="D499" s="60">
        <v>5459</v>
      </c>
      <c r="E499" s="60">
        <v>865</v>
      </c>
      <c r="F499" s="60">
        <v>240</v>
      </c>
      <c r="G499" s="60">
        <v>19</v>
      </c>
      <c r="H499" s="60">
        <v>218</v>
      </c>
      <c r="I499" s="60">
        <v>517</v>
      </c>
      <c r="J499" s="60">
        <v>62</v>
      </c>
      <c r="K499" s="60">
        <v>3538</v>
      </c>
      <c r="L499" s="58">
        <v>6067</v>
      </c>
      <c r="M499" s="58">
        <v>958</v>
      </c>
      <c r="N499" s="58">
        <v>258</v>
      </c>
      <c r="O499" s="58">
        <v>29</v>
      </c>
      <c r="P499" s="58">
        <v>152</v>
      </c>
      <c r="Q499" s="58">
        <v>439</v>
      </c>
      <c r="R499" s="58">
        <v>35</v>
      </c>
      <c r="S499" s="58">
        <v>4196</v>
      </c>
    </row>
    <row r="500" spans="1:19" x14ac:dyDescent="0.5">
      <c r="A500" s="60">
        <v>2016</v>
      </c>
      <c r="B500" s="60" t="s">
        <v>74</v>
      </c>
      <c r="C500" s="60" t="s">
        <v>751</v>
      </c>
      <c r="D500" s="60">
        <v>5458</v>
      </c>
      <c r="E500" s="60">
        <v>930</v>
      </c>
      <c r="F500" s="60">
        <v>245</v>
      </c>
      <c r="G500" s="60">
        <v>20</v>
      </c>
      <c r="H500" s="60">
        <v>183</v>
      </c>
      <c r="I500" s="60">
        <v>475</v>
      </c>
      <c r="J500" s="60">
        <v>42</v>
      </c>
      <c r="K500" s="60">
        <v>3563</v>
      </c>
      <c r="L500" s="58">
        <v>6023</v>
      </c>
      <c r="M500" s="58">
        <v>843</v>
      </c>
      <c r="N500" s="58">
        <v>279</v>
      </c>
      <c r="O500" s="58">
        <v>22</v>
      </c>
      <c r="P500" s="58">
        <v>214</v>
      </c>
      <c r="Q500" s="58">
        <v>444</v>
      </c>
      <c r="R500" s="58">
        <v>57</v>
      </c>
      <c r="S500" s="58">
        <v>4164</v>
      </c>
    </row>
    <row r="501" spans="1:19" x14ac:dyDescent="0.5">
      <c r="A501" s="60">
        <v>2016</v>
      </c>
      <c r="B501" s="60" t="s">
        <v>78</v>
      </c>
      <c r="C501" s="60" t="s">
        <v>752</v>
      </c>
      <c r="D501" s="60">
        <v>5500</v>
      </c>
      <c r="E501" s="60">
        <v>892</v>
      </c>
      <c r="F501" s="60">
        <v>270</v>
      </c>
      <c r="G501" s="60">
        <v>21</v>
      </c>
      <c r="H501" s="60">
        <v>169</v>
      </c>
      <c r="I501" s="60">
        <v>442</v>
      </c>
      <c r="J501" s="60">
        <v>33</v>
      </c>
      <c r="K501" s="60">
        <v>3673</v>
      </c>
      <c r="L501" s="58">
        <v>6144</v>
      </c>
      <c r="M501" s="58">
        <v>971</v>
      </c>
      <c r="N501" s="58">
        <v>277</v>
      </c>
      <c r="O501" s="58">
        <v>26</v>
      </c>
      <c r="P501" s="58">
        <v>185</v>
      </c>
      <c r="Q501" s="58">
        <v>464</v>
      </c>
      <c r="R501" s="58">
        <v>50</v>
      </c>
      <c r="S501" s="58">
        <v>4171</v>
      </c>
    </row>
    <row r="502" spans="1:19" x14ac:dyDescent="0.5">
      <c r="A502" s="60">
        <v>2016</v>
      </c>
      <c r="B502" s="60" t="s">
        <v>80</v>
      </c>
      <c r="C502" s="60" t="s">
        <v>753</v>
      </c>
      <c r="D502" s="60">
        <v>5434</v>
      </c>
      <c r="E502" s="60">
        <v>878</v>
      </c>
      <c r="F502" s="60">
        <v>231</v>
      </c>
      <c r="G502" s="60">
        <v>35</v>
      </c>
      <c r="H502" s="60">
        <v>161</v>
      </c>
      <c r="I502" s="60">
        <v>424</v>
      </c>
      <c r="J502" s="60">
        <v>58</v>
      </c>
      <c r="K502" s="60">
        <v>3647</v>
      </c>
      <c r="L502" s="58">
        <v>6164</v>
      </c>
      <c r="M502" s="58">
        <v>914</v>
      </c>
      <c r="N502" s="58">
        <v>308</v>
      </c>
      <c r="O502" s="58">
        <v>33</v>
      </c>
      <c r="P502" s="58">
        <v>213</v>
      </c>
      <c r="Q502" s="58">
        <v>466</v>
      </c>
      <c r="R502" s="58">
        <v>51</v>
      </c>
      <c r="S502" s="58">
        <v>4179</v>
      </c>
    </row>
    <row r="503" spans="1:19" x14ac:dyDescent="0.5">
      <c r="A503" s="60">
        <v>2016</v>
      </c>
      <c r="B503" s="60" t="s">
        <v>82</v>
      </c>
      <c r="C503" s="60" t="s">
        <v>754</v>
      </c>
      <c r="D503" s="60">
        <v>5542</v>
      </c>
      <c r="E503" s="60">
        <v>964</v>
      </c>
      <c r="F503" s="60">
        <v>277</v>
      </c>
      <c r="G503" s="60">
        <v>32</v>
      </c>
      <c r="H503" s="60">
        <v>153</v>
      </c>
      <c r="I503" s="60">
        <v>561</v>
      </c>
      <c r="J503" s="60">
        <v>81</v>
      </c>
      <c r="K503" s="60">
        <v>3474</v>
      </c>
      <c r="L503" s="58">
        <v>6292</v>
      </c>
      <c r="M503" s="58">
        <v>948</v>
      </c>
      <c r="N503" s="58">
        <v>322</v>
      </c>
      <c r="O503" s="58">
        <v>40</v>
      </c>
      <c r="P503" s="58">
        <v>180</v>
      </c>
      <c r="Q503" s="58">
        <v>533</v>
      </c>
      <c r="R503" s="58">
        <v>68</v>
      </c>
      <c r="S503" s="58">
        <v>4201</v>
      </c>
    </row>
    <row r="504" spans="1:19" x14ac:dyDescent="0.5">
      <c r="A504" s="60">
        <v>2016</v>
      </c>
      <c r="B504" s="60" t="s">
        <v>84</v>
      </c>
      <c r="C504" s="60" t="s">
        <v>755</v>
      </c>
      <c r="D504" s="60">
        <v>5419</v>
      </c>
      <c r="E504" s="60">
        <v>815</v>
      </c>
      <c r="F504" s="60">
        <v>257</v>
      </c>
      <c r="G504" s="60">
        <v>26</v>
      </c>
      <c r="H504" s="60">
        <v>177</v>
      </c>
      <c r="I504" s="60">
        <v>449</v>
      </c>
      <c r="J504" s="60">
        <v>58</v>
      </c>
      <c r="K504" s="60">
        <v>3637</v>
      </c>
      <c r="L504" s="58">
        <v>6228</v>
      </c>
      <c r="M504" s="58">
        <v>923</v>
      </c>
      <c r="N504" s="58">
        <v>275</v>
      </c>
      <c r="O504" s="58">
        <v>44</v>
      </c>
      <c r="P504" s="58">
        <v>183</v>
      </c>
      <c r="Q504" s="58">
        <v>569</v>
      </c>
      <c r="R504" s="58">
        <v>53</v>
      </c>
      <c r="S504" s="58">
        <v>4181</v>
      </c>
    </row>
    <row r="505" spans="1:19" x14ac:dyDescent="0.5">
      <c r="A505" s="60">
        <v>2016</v>
      </c>
      <c r="B505" s="60" t="s">
        <v>86</v>
      </c>
      <c r="C505" s="60" t="s">
        <v>756</v>
      </c>
      <c r="D505" s="60">
        <v>5583</v>
      </c>
      <c r="E505" s="60">
        <v>955</v>
      </c>
      <c r="F505" s="60">
        <v>251</v>
      </c>
      <c r="G505" s="60">
        <v>17</v>
      </c>
      <c r="H505" s="60">
        <v>223</v>
      </c>
      <c r="I505" s="60">
        <v>506</v>
      </c>
      <c r="J505" s="60">
        <v>72</v>
      </c>
      <c r="K505" s="60">
        <v>3559</v>
      </c>
      <c r="L505" s="58">
        <v>6147</v>
      </c>
      <c r="M505" s="58">
        <v>901</v>
      </c>
      <c r="N505" s="58">
        <v>273</v>
      </c>
      <c r="O505" s="58">
        <v>23</v>
      </c>
      <c r="P505" s="58">
        <v>213</v>
      </c>
      <c r="Q505" s="58">
        <v>460</v>
      </c>
      <c r="R505" s="58">
        <v>55</v>
      </c>
      <c r="S505" s="58">
        <v>4222</v>
      </c>
    </row>
    <row r="506" spans="1:19" x14ac:dyDescent="0.5">
      <c r="A506" s="60">
        <v>2016</v>
      </c>
      <c r="B506" s="60" t="s">
        <v>88</v>
      </c>
      <c r="C506" s="60" t="s">
        <v>757</v>
      </c>
      <c r="D506" s="60">
        <v>5565</v>
      </c>
      <c r="E506" s="60">
        <v>973</v>
      </c>
      <c r="F506" s="60">
        <v>280</v>
      </c>
      <c r="G506" s="60">
        <v>54</v>
      </c>
      <c r="H506" s="60">
        <v>130</v>
      </c>
      <c r="I506" s="60">
        <v>572</v>
      </c>
      <c r="J506" s="60">
        <v>42</v>
      </c>
      <c r="K506" s="60">
        <v>3514</v>
      </c>
      <c r="L506" s="58">
        <v>6049</v>
      </c>
      <c r="M506" s="58">
        <v>872</v>
      </c>
      <c r="N506" s="58">
        <v>262</v>
      </c>
      <c r="O506" s="58">
        <v>42</v>
      </c>
      <c r="P506" s="58">
        <v>158</v>
      </c>
      <c r="Q506" s="58">
        <v>439</v>
      </c>
      <c r="R506" s="58">
        <v>46</v>
      </c>
      <c r="S506" s="58">
        <v>4230</v>
      </c>
    </row>
    <row r="507" spans="1:19" x14ac:dyDescent="0.5">
      <c r="A507" s="60">
        <v>2016</v>
      </c>
      <c r="B507" s="60" t="s">
        <v>90</v>
      </c>
      <c r="C507" s="60" t="s">
        <v>758</v>
      </c>
      <c r="D507" s="60">
        <v>5548</v>
      </c>
      <c r="E507" s="60">
        <v>859</v>
      </c>
      <c r="F507" s="60">
        <v>299</v>
      </c>
      <c r="G507" s="60">
        <v>32</v>
      </c>
      <c r="H507" s="60">
        <v>225</v>
      </c>
      <c r="I507" s="60">
        <v>526</v>
      </c>
      <c r="J507" s="60">
        <v>70</v>
      </c>
      <c r="K507" s="60">
        <v>3537</v>
      </c>
      <c r="L507" s="58">
        <v>6164</v>
      </c>
      <c r="M507" s="58">
        <v>973</v>
      </c>
      <c r="N507" s="58">
        <v>278</v>
      </c>
      <c r="O507" s="58">
        <v>22</v>
      </c>
      <c r="P507" s="58">
        <v>159</v>
      </c>
      <c r="Q507" s="58">
        <v>475</v>
      </c>
      <c r="R507" s="58">
        <v>52</v>
      </c>
      <c r="S507" s="58">
        <v>4205</v>
      </c>
    </row>
    <row r="508" spans="1:19" x14ac:dyDescent="0.5">
      <c r="A508" s="60">
        <v>2016</v>
      </c>
      <c r="B508" s="60" t="s">
        <v>92</v>
      </c>
      <c r="C508" s="60" t="s">
        <v>759</v>
      </c>
      <c r="D508" s="60">
        <v>5481</v>
      </c>
      <c r="E508" s="60">
        <v>797</v>
      </c>
      <c r="F508" s="60">
        <v>288</v>
      </c>
      <c r="G508" s="60">
        <v>32</v>
      </c>
      <c r="H508" s="60">
        <v>216</v>
      </c>
      <c r="I508" s="60">
        <v>449</v>
      </c>
      <c r="J508" s="60">
        <v>69</v>
      </c>
      <c r="K508" s="60">
        <v>3630</v>
      </c>
      <c r="L508" s="58">
        <v>6076</v>
      </c>
      <c r="M508" s="58">
        <v>943</v>
      </c>
      <c r="N508" s="58">
        <v>233</v>
      </c>
      <c r="O508" s="58">
        <v>9</v>
      </c>
      <c r="P508" s="58">
        <v>210</v>
      </c>
      <c r="Q508" s="58">
        <v>491</v>
      </c>
      <c r="R508" s="58">
        <v>32</v>
      </c>
      <c r="S508" s="58">
        <v>4158</v>
      </c>
    </row>
    <row r="509" spans="1:19" x14ac:dyDescent="0.5">
      <c r="A509" s="60">
        <v>2016</v>
      </c>
      <c r="B509" s="60" t="s">
        <v>94</v>
      </c>
      <c r="C509" s="60" t="s">
        <v>760</v>
      </c>
      <c r="D509" s="60">
        <v>5525</v>
      </c>
      <c r="E509" s="60">
        <v>951</v>
      </c>
      <c r="F509" s="60">
        <v>257</v>
      </c>
      <c r="G509" s="60">
        <v>23</v>
      </c>
      <c r="H509" s="60">
        <v>215</v>
      </c>
      <c r="I509" s="60">
        <v>436</v>
      </c>
      <c r="J509" s="60">
        <v>70</v>
      </c>
      <c r="K509" s="60">
        <v>3573</v>
      </c>
      <c r="L509" s="58">
        <v>6186</v>
      </c>
      <c r="M509" s="58">
        <v>958</v>
      </c>
      <c r="N509" s="58">
        <v>260</v>
      </c>
      <c r="O509" s="58">
        <v>22</v>
      </c>
      <c r="P509" s="58">
        <v>201</v>
      </c>
      <c r="Q509" s="58">
        <v>534</v>
      </c>
      <c r="R509" s="58">
        <v>53</v>
      </c>
      <c r="S509" s="58">
        <v>4158</v>
      </c>
    </row>
    <row r="510" spans="1:19" x14ac:dyDescent="0.5">
      <c r="A510" s="60">
        <v>2016</v>
      </c>
      <c r="B510" s="60" t="s">
        <v>96</v>
      </c>
      <c r="C510" s="60" t="s">
        <v>761</v>
      </c>
      <c r="D510" s="60">
        <v>5479</v>
      </c>
      <c r="E510" s="60">
        <v>843</v>
      </c>
      <c r="F510" s="60">
        <v>276</v>
      </c>
      <c r="G510" s="60">
        <v>18</v>
      </c>
      <c r="H510" s="60">
        <v>221</v>
      </c>
      <c r="I510" s="60">
        <v>632</v>
      </c>
      <c r="J510" s="60">
        <v>55</v>
      </c>
      <c r="K510" s="60">
        <v>3434</v>
      </c>
      <c r="L510" s="58">
        <v>6113</v>
      </c>
      <c r="M510" s="58">
        <v>864</v>
      </c>
      <c r="N510" s="58">
        <v>269</v>
      </c>
      <c r="O510" s="58">
        <v>24</v>
      </c>
      <c r="P510" s="58">
        <v>183</v>
      </c>
      <c r="Q510" s="58">
        <v>461</v>
      </c>
      <c r="R510" s="58">
        <v>59</v>
      </c>
      <c r="S510" s="58">
        <v>4253</v>
      </c>
    </row>
    <row r="511" spans="1:19" x14ac:dyDescent="0.5">
      <c r="A511" s="60">
        <v>2016</v>
      </c>
      <c r="B511" s="60" t="s">
        <v>100</v>
      </c>
      <c r="C511" s="60" t="s">
        <v>762</v>
      </c>
      <c r="D511" s="60">
        <v>5490</v>
      </c>
      <c r="E511" s="60">
        <v>903</v>
      </c>
      <c r="F511" s="60">
        <v>268</v>
      </c>
      <c r="G511" s="60">
        <v>29</v>
      </c>
      <c r="H511" s="60">
        <v>203</v>
      </c>
      <c r="I511" s="60">
        <v>536</v>
      </c>
      <c r="J511" s="60">
        <v>64</v>
      </c>
      <c r="K511" s="60">
        <v>3487</v>
      </c>
      <c r="L511" s="58">
        <v>6036</v>
      </c>
      <c r="M511" s="58">
        <v>838</v>
      </c>
      <c r="N511" s="58">
        <v>252</v>
      </c>
      <c r="O511" s="58">
        <v>27</v>
      </c>
      <c r="P511" s="58">
        <v>155</v>
      </c>
      <c r="Q511" s="58">
        <v>468</v>
      </c>
      <c r="R511" s="58">
        <v>57</v>
      </c>
      <c r="S511" s="58">
        <v>4239</v>
      </c>
    </row>
    <row r="512" spans="1:19" x14ac:dyDescent="0.5">
      <c r="A512" s="60">
        <v>2017</v>
      </c>
      <c r="B512" s="60" t="s">
        <v>36</v>
      </c>
      <c r="C512" s="60" t="s">
        <v>763</v>
      </c>
      <c r="D512" s="60">
        <v>5415</v>
      </c>
      <c r="E512" s="60">
        <v>863</v>
      </c>
      <c r="F512" s="60">
        <v>251</v>
      </c>
      <c r="G512" s="60">
        <v>14</v>
      </c>
      <c r="H512" s="60">
        <v>186</v>
      </c>
      <c r="I512" s="60">
        <v>523</v>
      </c>
      <c r="J512" s="60">
        <v>70</v>
      </c>
      <c r="K512" s="60">
        <v>3508</v>
      </c>
      <c r="L512" s="58">
        <v>6030</v>
      </c>
      <c r="M512" s="58">
        <v>867</v>
      </c>
      <c r="N512" s="58">
        <v>265</v>
      </c>
      <c r="O512" s="58">
        <v>17</v>
      </c>
      <c r="P512" s="58">
        <v>224</v>
      </c>
      <c r="Q512" s="58">
        <v>470</v>
      </c>
      <c r="R512" s="58">
        <v>44</v>
      </c>
      <c r="S512" s="58">
        <v>4143</v>
      </c>
    </row>
    <row r="513" spans="1:19" x14ac:dyDescent="0.5">
      <c r="A513" s="60">
        <v>2017</v>
      </c>
      <c r="B513" s="60" t="s">
        <v>39</v>
      </c>
      <c r="C513" s="60" t="s">
        <v>764</v>
      </c>
      <c r="D513" s="60">
        <v>5525</v>
      </c>
      <c r="E513" s="60">
        <v>832</v>
      </c>
      <c r="F513" s="60">
        <v>314</v>
      </c>
      <c r="G513" s="60">
        <v>39</v>
      </c>
      <c r="H513" s="60">
        <v>220</v>
      </c>
      <c r="I513" s="60">
        <v>578</v>
      </c>
      <c r="J513" s="60">
        <v>54</v>
      </c>
      <c r="K513" s="60">
        <v>3488</v>
      </c>
      <c r="L513" s="58">
        <v>6072</v>
      </c>
      <c r="M513" s="58">
        <v>828</v>
      </c>
      <c r="N513" s="58">
        <v>276</v>
      </c>
      <c r="O513" s="58">
        <v>34</v>
      </c>
      <c r="P513" s="58">
        <v>171</v>
      </c>
      <c r="Q513" s="58">
        <v>516</v>
      </c>
      <c r="R513" s="58">
        <v>38</v>
      </c>
      <c r="S513" s="58">
        <v>4209</v>
      </c>
    </row>
    <row r="514" spans="1:19" x14ac:dyDescent="0.5">
      <c r="A514" s="60">
        <v>2017</v>
      </c>
      <c r="B514" s="60" t="s">
        <v>41</v>
      </c>
      <c r="C514" s="60" t="s">
        <v>765</v>
      </c>
      <c r="D514" s="60">
        <v>5584</v>
      </c>
      <c r="E514" s="60">
        <v>987</v>
      </c>
      <c r="F514" s="60">
        <v>289</v>
      </c>
      <c r="G514" s="60">
        <v>26</v>
      </c>
      <c r="H514" s="60">
        <v>165</v>
      </c>
      <c r="I514" s="60">
        <v>474</v>
      </c>
      <c r="J514" s="60">
        <v>66</v>
      </c>
      <c r="K514" s="60">
        <v>3577</v>
      </c>
      <c r="L514" s="58">
        <v>6306</v>
      </c>
      <c r="M514" s="58">
        <v>909</v>
      </c>
      <c r="N514" s="58">
        <v>326</v>
      </c>
      <c r="O514" s="58">
        <v>36</v>
      </c>
      <c r="P514" s="58">
        <v>192</v>
      </c>
      <c r="Q514" s="58">
        <v>584</v>
      </c>
      <c r="R514" s="58">
        <v>70</v>
      </c>
      <c r="S514" s="58">
        <v>4189</v>
      </c>
    </row>
    <row r="515" spans="1:19" x14ac:dyDescent="0.5">
      <c r="A515" s="60">
        <v>2017</v>
      </c>
      <c r="B515" s="60" t="s">
        <v>44</v>
      </c>
      <c r="C515" s="60" t="s">
        <v>766</v>
      </c>
      <c r="D515" s="60">
        <v>5650</v>
      </c>
      <c r="E515" s="60">
        <v>956</v>
      </c>
      <c r="F515" s="60">
        <v>269</v>
      </c>
      <c r="G515" s="60">
        <v>12</v>
      </c>
      <c r="H515" s="60">
        <v>232</v>
      </c>
      <c r="I515" s="60">
        <v>392</v>
      </c>
      <c r="J515" s="60">
        <v>50</v>
      </c>
      <c r="K515" s="60">
        <v>3739</v>
      </c>
      <c r="L515" s="58">
        <v>6293</v>
      </c>
      <c r="M515" s="58">
        <v>953</v>
      </c>
      <c r="N515" s="58">
        <v>293</v>
      </c>
      <c r="O515" s="58">
        <v>17</v>
      </c>
      <c r="P515" s="58">
        <v>242</v>
      </c>
      <c r="Q515" s="58">
        <v>579</v>
      </c>
      <c r="R515" s="58">
        <v>60</v>
      </c>
      <c r="S515" s="58">
        <v>4149</v>
      </c>
    </row>
    <row r="516" spans="1:19" x14ac:dyDescent="0.5">
      <c r="A516" s="60">
        <v>2017</v>
      </c>
      <c r="B516" s="60" t="s">
        <v>46</v>
      </c>
      <c r="C516" s="60" t="s">
        <v>767</v>
      </c>
      <c r="D516" s="60">
        <v>5669</v>
      </c>
      <c r="E516" s="60">
        <v>972</v>
      </c>
      <c r="F516" s="60">
        <v>302</v>
      </c>
      <c r="G516" s="60">
        <v>19</v>
      </c>
      <c r="H516" s="60">
        <v>168</v>
      </c>
      <c r="I516" s="60">
        <v>571</v>
      </c>
      <c r="J516" s="60">
        <v>53</v>
      </c>
      <c r="K516" s="60">
        <v>3584</v>
      </c>
      <c r="L516" s="58">
        <v>6217</v>
      </c>
      <c r="M516" s="58">
        <v>888</v>
      </c>
      <c r="N516" s="58">
        <v>278</v>
      </c>
      <c r="O516" s="58">
        <v>23</v>
      </c>
      <c r="P516" s="58">
        <v>195</v>
      </c>
      <c r="Q516" s="58">
        <v>465</v>
      </c>
      <c r="R516" s="58">
        <v>49</v>
      </c>
      <c r="S516" s="58">
        <v>4319</v>
      </c>
    </row>
    <row r="517" spans="1:19" x14ac:dyDescent="0.5">
      <c r="A517" s="60">
        <v>2017</v>
      </c>
      <c r="B517" s="60" t="s">
        <v>50</v>
      </c>
      <c r="C517" s="60" t="s">
        <v>768</v>
      </c>
      <c r="D517" s="60">
        <v>5496</v>
      </c>
      <c r="E517" s="60">
        <v>876</v>
      </c>
      <c r="F517" s="60">
        <v>274</v>
      </c>
      <c r="G517" s="60">
        <v>29</v>
      </c>
      <c r="H517" s="60">
        <v>223</v>
      </c>
      <c r="I517" s="60">
        <v>622</v>
      </c>
      <c r="J517" s="60">
        <v>82</v>
      </c>
      <c r="K517" s="60">
        <v>3390</v>
      </c>
      <c r="L517" s="58">
        <v>6108</v>
      </c>
      <c r="M517" s="58">
        <v>833</v>
      </c>
      <c r="N517" s="58">
        <v>250</v>
      </c>
      <c r="O517" s="58">
        <v>17</v>
      </c>
      <c r="P517" s="58">
        <v>194</v>
      </c>
      <c r="Q517" s="58">
        <v>554</v>
      </c>
      <c r="R517" s="58">
        <v>66</v>
      </c>
      <c r="S517" s="58">
        <v>4194</v>
      </c>
    </row>
    <row r="518" spans="1:19" x14ac:dyDescent="0.5">
      <c r="A518" s="60">
        <v>2017</v>
      </c>
      <c r="B518" s="60" t="s">
        <v>48</v>
      </c>
      <c r="C518" s="60" t="s">
        <v>769</v>
      </c>
      <c r="D518" s="60">
        <v>5513</v>
      </c>
      <c r="E518" s="60">
        <v>933</v>
      </c>
      <c r="F518" s="60">
        <v>256</v>
      </c>
      <c r="G518" s="60">
        <v>37</v>
      </c>
      <c r="H518" s="60">
        <v>186</v>
      </c>
      <c r="I518" s="60">
        <v>401</v>
      </c>
      <c r="J518" s="60">
        <v>76</v>
      </c>
      <c r="K518" s="60">
        <v>3624</v>
      </c>
      <c r="L518" s="58">
        <v>6200</v>
      </c>
      <c r="M518" s="58">
        <v>835</v>
      </c>
      <c r="N518" s="58">
        <v>275</v>
      </c>
      <c r="O518" s="58">
        <v>32</v>
      </c>
      <c r="P518" s="58">
        <v>242</v>
      </c>
      <c r="Q518" s="58">
        <v>632</v>
      </c>
      <c r="R518" s="58">
        <v>68</v>
      </c>
      <c r="S518" s="58">
        <v>4116</v>
      </c>
    </row>
    <row r="519" spans="1:19" x14ac:dyDescent="0.5">
      <c r="A519" s="60">
        <v>2017</v>
      </c>
      <c r="B519" s="60" t="s">
        <v>52</v>
      </c>
      <c r="C519" s="60" t="s">
        <v>770</v>
      </c>
      <c r="D519" s="60">
        <v>5484</v>
      </c>
      <c r="E519" s="60">
        <v>884</v>
      </c>
      <c r="F519" s="60">
        <v>249</v>
      </c>
      <c r="G519" s="60">
        <v>38</v>
      </c>
      <c r="H519" s="60">
        <v>219</v>
      </c>
      <c r="I519" s="60">
        <v>565</v>
      </c>
      <c r="J519" s="60">
        <v>72</v>
      </c>
      <c r="K519" s="60">
        <v>3457</v>
      </c>
      <c r="L519" s="58">
        <v>6286</v>
      </c>
      <c r="M519" s="58">
        <v>857</v>
      </c>
      <c r="N519" s="58">
        <v>315</v>
      </c>
      <c r="O519" s="58">
        <v>22</v>
      </c>
      <c r="P519" s="58">
        <v>248</v>
      </c>
      <c r="Q519" s="58">
        <v>631</v>
      </c>
      <c r="R519" s="58">
        <v>77</v>
      </c>
      <c r="S519" s="58">
        <v>4136</v>
      </c>
    </row>
    <row r="520" spans="1:19" x14ac:dyDescent="0.5">
      <c r="A520" s="60">
        <v>2017</v>
      </c>
      <c r="B520" s="60" t="s">
        <v>54</v>
      </c>
      <c r="C520" s="60" t="s">
        <v>771</v>
      </c>
      <c r="D520" s="60">
        <v>5511</v>
      </c>
      <c r="E520" s="60">
        <v>875</v>
      </c>
      <c r="F520" s="60">
        <v>333</v>
      </c>
      <c r="G520" s="60">
        <v>29</v>
      </c>
      <c r="H520" s="60">
        <v>212</v>
      </c>
      <c r="I520" s="60">
        <v>604</v>
      </c>
      <c r="J520" s="60">
        <v>50</v>
      </c>
      <c r="K520" s="60">
        <v>3408</v>
      </c>
      <c r="L520" s="58">
        <v>5866</v>
      </c>
      <c r="M520" s="58">
        <v>830</v>
      </c>
      <c r="N520" s="58">
        <v>262</v>
      </c>
      <c r="O520" s="58">
        <v>12</v>
      </c>
      <c r="P520" s="58">
        <v>163</v>
      </c>
      <c r="Q520" s="58">
        <v>406</v>
      </c>
      <c r="R520" s="58">
        <v>45</v>
      </c>
      <c r="S520" s="58">
        <v>4148</v>
      </c>
    </row>
    <row r="521" spans="1:19" x14ac:dyDescent="0.5">
      <c r="A521" s="60">
        <v>2017</v>
      </c>
      <c r="B521" s="60" t="s">
        <v>56</v>
      </c>
      <c r="C521" s="60" t="s">
        <v>772</v>
      </c>
      <c r="D521" s="60">
        <v>5534</v>
      </c>
      <c r="E521" s="60">
        <v>987</v>
      </c>
      <c r="F521" s="60">
        <v>293</v>
      </c>
      <c r="G521" s="60">
        <v>38</v>
      </c>
      <c r="H521" s="60">
        <v>192</v>
      </c>
      <c r="I521" s="60">
        <v>519</v>
      </c>
      <c r="J521" s="60">
        <v>44</v>
      </c>
      <c r="K521" s="60">
        <v>3461</v>
      </c>
      <c r="L521" s="58">
        <v>6177</v>
      </c>
      <c r="M521" s="58">
        <v>923</v>
      </c>
      <c r="N521" s="58">
        <v>290</v>
      </c>
      <c r="O521" s="58">
        <v>50</v>
      </c>
      <c r="P521" s="58">
        <v>190</v>
      </c>
      <c r="Q521" s="58">
        <v>532</v>
      </c>
      <c r="R521" s="58">
        <v>50</v>
      </c>
      <c r="S521" s="58">
        <v>4142</v>
      </c>
    </row>
    <row r="522" spans="1:19" x14ac:dyDescent="0.5">
      <c r="A522" s="60">
        <v>2017</v>
      </c>
      <c r="B522" s="60" t="s">
        <v>58</v>
      </c>
      <c r="C522" s="60" t="s">
        <v>773</v>
      </c>
      <c r="D522" s="60">
        <v>5556</v>
      </c>
      <c r="E522" s="60">
        <v>924</v>
      </c>
      <c r="F522" s="60">
        <v>289</v>
      </c>
      <c r="G522" s="60">
        <v>35</v>
      </c>
      <c r="H522" s="60">
        <v>187</v>
      </c>
      <c r="I522" s="60">
        <v>503</v>
      </c>
      <c r="J522" s="60">
        <v>52</v>
      </c>
      <c r="K522" s="60">
        <v>3566</v>
      </c>
      <c r="L522" s="58">
        <v>6298</v>
      </c>
      <c r="M522" s="58">
        <v>1044</v>
      </c>
      <c r="N522" s="58">
        <v>290</v>
      </c>
      <c r="O522" s="58">
        <v>35</v>
      </c>
      <c r="P522" s="58">
        <v>218</v>
      </c>
      <c r="Q522" s="58">
        <v>538</v>
      </c>
      <c r="R522" s="58">
        <v>61</v>
      </c>
      <c r="S522" s="58">
        <v>4112</v>
      </c>
    </row>
    <row r="523" spans="1:19" x14ac:dyDescent="0.5">
      <c r="A523" s="60">
        <v>2017</v>
      </c>
      <c r="B523" s="60" t="s">
        <v>60</v>
      </c>
      <c r="C523" s="60" t="s">
        <v>774</v>
      </c>
      <c r="D523" s="60">
        <v>5611</v>
      </c>
      <c r="E523" s="60">
        <v>977</v>
      </c>
      <c r="F523" s="60">
        <v>346</v>
      </c>
      <c r="G523" s="60">
        <v>20</v>
      </c>
      <c r="H523" s="60">
        <v>238</v>
      </c>
      <c r="I523" s="60">
        <v>509</v>
      </c>
      <c r="J523" s="60">
        <v>70</v>
      </c>
      <c r="K523" s="60">
        <v>3451</v>
      </c>
      <c r="L523" s="58">
        <v>6111</v>
      </c>
      <c r="M523" s="58">
        <v>806</v>
      </c>
      <c r="N523" s="58">
        <v>293</v>
      </c>
      <c r="O523" s="58">
        <v>23</v>
      </c>
      <c r="P523" s="58">
        <v>192</v>
      </c>
      <c r="Q523" s="58">
        <v>522</v>
      </c>
      <c r="R523" s="58">
        <v>70</v>
      </c>
      <c r="S523" s="58">
        <v>4205</v>
      </c>
    </row>
    <row r="524" spans="1:19" x14ac:dyDescent="0.5">
      <c r="A524" s="60">
        <v>2017</v>
      </c>
      <c r="B524" s="60" t="s">
        <v>62</v>
      </c>
      <c r="C524" s="60" t="s">
        <v>775</v>
      </c>
      <c r="D524" s="60">
        <v>5536</v>
      </c>
      <c r="E524" s="60">
        <v>959</v>
      </c>
      <c r="F524" s="60">
        <v>260</v>
      </c>
      <c r="G524" s="60">
        <v>24</v>
      </c>
      <c r="H524" s="60">
        <v>193</v>
      </c>
      <c r="I524" s="60">
        <v>390</v>
      </c>
      <c r="J524" s="60">
        <v>45</v>
      </c>
      <c r="K524" s="60">
        <v>3665</v>
      </c>
      <c r="L524" s="58">
        <v>6218</v>
      </c>
      <c r="M524" s="58">
        <v>970</v>
      </c>
      <c r="N524" s="58">
        <v>274</v>
      </c>
      <c r="O524" s="58">
        <v>40</v>
      </c>
      <c r="P524" s="58">
        <v>196</v>
      </c>
      <c r="Q524" s="58">
        <v>519</v>
      </c>
      <c r="R524" s="58">
        <v>52</v>
      </c>
      <c r="S524" s="58">
        <v>4167</v>
      </c>
    </row>
    <row r="525" spans="1:19" x14ac:dyDescent="0.5">
      <c r="A525" s="60">
        <v>2017</v>
      </c>
      <c r="B525" s="60" t="s">
        <v>64</v>
      </c>
      <c r="C525" s="60" t="s">
        <v>776</v>
      </c>
      <c r="D525" s="60">
        <v>5408</v>
      </c>
      <c r="E525" s="60">
        <v>794</v>
      </c>
      <c r="F525" s="60">
        <v>312</v>
      </c>
      <c r="G525" s="60">
        <v>20</v>
      </c>
      <c r="H525" s="60">
        <v>221</v>
      </c>
      <c r="I525" s="60">
        <v>649</v>
      </c>
      <c r="J525" s="60">
        <v>64</v>
      </c>
      <c r="K525" s="60">
        <v>3348</v>
      </c>
      <c r="L525" s="58">
        <v>5925</v>
      </c>
      <c r="M525" s="58">
        <v>793</v>
      </c>
      <c r="N525" s="58">
        <v>229</v>
      </c>
      <c r="O525" s="58">
        <v>20</v>
      </c>
      <c r="P525" s="58">
        <v>184</v>
      </c>
      <c r="Q525" s="58">
        <v>442</v>
      </c>
      <c r="R525" s="58">
        <v>40</v>
      </c>
      <c r="S525" s="58">
        <v>4217</v>
      </c>
    </row>
    <row r="526" spans="1:19" x14ac:dyDescent="0.5">
      <c r="A526" s="60">
        <v>2017</v>
      </c>
      <c r="B526" s="60" t="s">
        <v>66</v>
      </c>
      <c r="C526" s="60" t="s">
        <v>777</v>
      </c>
      <c r="D526" s="60">
        <v>5602</v>
      </c>
      <c r="E526" s="60">
        <v>1001</v>
      </c>
      <c r="F526" s="60">
        <v>271</v>
      </c>
      <c r="G526" s="60">
        <v>31</v>
      </c>
      <c r="H526" s="60">
        <v>194</v>
      </c>
      <c r="I526" s="60">
        <v>486</v>
      </c>
      <c r="J526" s="60">
        <v>67</v>
      </c>
      <c r="K526" s="60">
        <v>3552</v>
      </c>
      <c r="L526" s="58">
        <v>6318</v>
      </c>
      <c r="M526" s="58">
        <v>940</v>
      </c>
      <c r="N526" s="58">
        <v>280</v>
      </c>
      <c r="O526" s="58">
        <v>37</v>
      </c>
      <c r="P526" s="58">
        <v>193</v>
      </c>
      <c r="Q526" s="58">
        <v>627</v>
      </c>
      <c r="R526" s="58">
        <v>75</v>
      </c>
      <c r="S526" s="58">
        <v>4166</v>
      </c>
    </row>
    <row r="527" spans="1:19" x14ac:dyDescent="0.5">
      <c r="A527" s="60">
        <v>2017</v>
      </c>
      <c r="B527" s="60" t="s">
        <v>68</v>
      </c>
      <c r="C527" s="60" t="s">
        <v>778</v>
      </c>
      <c r="D527" s="60">
        <v>5467</v>
      </c>
      <c r="E527" s="60">
        <v>850</v>
      </c>
      <c r="F527" s="60">
        <v>267</v>
      </c>
      <c r="G527" s="60">
        <v>22</v>
      </c>
      <c r="H527" s="60">
        <v>224</v>
      </c>
      <c r="I527" s="60">
        <v>547</v>
      </c>
      <c r="J527" s="60">
        <v>53</v>
      </c>
      <c r="K527" s="60">
        <v>3504</v>
      </c>
      <c r="L527" s="58">
        <v>6164</v>
      </c>
      <c r="M527" s="58">
        <v>891</v>
      </c>
      <c r="N527" s="58">
        <v>276</v>
      </c>
      <c r="O527" s="58">
        <v>29</v>
      </c>
      <c r="P527" s="58">
        <v>185</v>
      </c>
      <c r="Q527" s="58">
        <v>553</v>
      </c>
      <c r="R527" s="58">
        <v>64</v>
      </c>
      <c r="S527" s="58">
        <v>4166</v>
      </c>
    </row>
    <row r="528" spans="1:19" x14ac:dyDescent="0.5">
      <c r="A528" s="60">
        <v>2017</v>
      </c>
      <c r="B528" s="60" t="s">
        <v>70</v>
      </c>
      <c r="C528" s="60" t="s">
        <v>779</v>
      </c>
      <c r="D528" s="60">
        <v>5557</v>
      </c>
      <c r="E528" s="60">
        <v>921</v>
      </c>
      <c r="F528" s="60">
        <v>286</v>
      </c>
      <c r="G528" s="60">
        <v>31</v>
      </c>
      <c r="H528" s="60">
        <v>206</v>
      </c>
      <c r="I528" s="60">
        <v>593</v>
      </c>
      <c r="J528" s="60">
        <v>46</v>
      </c>
      <c r="K528" s="60">
        <v>3474</v>
      </c>
      <c r="L528" s="58">
        <v>6205</v>
      </c>
      <c r="M528" s="58">
        <v>955</v>
      </c>
      <c r="N528" s="58">
        <v>282</v>
      </c>
      <c r="O528" s="58">
        <v>26</v>
      </c>
      <c r="P528" s="58">
        <v>224</v>
      </c>
      <c r="Q528" s="58">
        <v>483</v>
      </c>
      <c r="R528" s="58">
        <v>69</v>
      </c>
      <c r="S528" s="58">
        <v>4166</v>
      </c>
    </row>
    <row r="529" spans="1:19" x14ac:dyDescent="0.5">
      <c r="A529" s="60">
        <v>2017</v>
      </c>
      <c r="B529" s="60" t="s">
        <v>76</v>
      </c>
      <c r="C529" s="60" t="s">
        <v>780</v>
      </c>
      <c r="D529" s="60">
        <v>5510</v>
      </c>
      <c r="E529" s="60">
        <v>841</v>
      </c>
      <c r="F529" s="60">
        <v>286</v>
      </c>
      <c r="G529" s="60">
        <v>28</v>
      </c>
      <c r="H529" s="60">
        <v>224</v>
      </c>
      <c r="I529" s="60">
        <v>529</v>
      </c>
      <c r="J529" s="60">
        <v>57</v>
      </c>
      <c r="K529" s="60">
        <v>3545</v>
      </c>
      <c r="L529" s="58">
        <v>6378</v>
      </c>
      <c r="M529" s="58">
        <v>1017</v>
      </c>
      <c r="N529" s="58">
        <v>278</v>
      </c>
      <c r="O529" s="58">
        <v>23</v>
      </c>
      <c r="P529" s="58">
        <v>220</v>
      </c>
      <c r="Q529" s="58">
        <v>593</v>
      </c>
      <c r="R529" s="58">
        <v>55</v>
      </c>
      <c r="S529" s="58">
        <v>4192</v>
      </c>
    </row>
    <row r="530" spans="1:19" x14ac:dyDescent="0.5">
      <c r="A530" s="60">
        <v>2017</v>
      </c>
      <c r="B530" s="60" t="s">
        <v>74</v>
      </c>
      <c r="C530" s="60" t="s">
        <v>781</v>
      </c>
      <c r="D530" s="60">
        <v>5594</v>
      </c>
      <c r="E530" s="60">
        <v>933</v>
      </c>
      <c r="F530" s="60">
        <v>266</v>
      </c>
      <c r="G530" s="60">
        <v>23</v>
      </c>
      <c r="H530" s="60">
        <v>241</v>
      </c>
      <c r="I530" s="60">
        <v>616</v>
      </c>
      <c r="J530" s="60">
        <v>64</v>
      </c>
      <c r="K530" s="60">
        <v>3451</v>
      </c>
      <c r="L530" s="58">
        <v>6078</v>
      </c>
      <c r="M530" s="58">
        <v>801</v>
      </c>
      <c r="N530" s="58">
        <v>243</v>
      </c>
      <c r="O530" s="58">
        <v>12</v>
      </c>
      <c r="P530" s="58">
        <v>192</v>
      </c>
      <c r="Q530" s="58">
        <v>504</v>
      </c>
      <c r="R530" s="58">
        <v>53</v>
      </c>
      <c r="S530" s="58">
        <v>4273</v>
      </c>
    </row>
    <row r="531" spans="1:19" x14ac:dyDescent="0.5">
      <c r="A531" s="60">
        <v>2017</v>
      </c>
      <c r="B531" s="60" t="s">
        <v>78</v>
      </c>
      <c r="C531" s="60" t="s">
        <v>782</v>
      </c>
      <c r="D531" s="60">
        <v>5464</v>
      </c>
      <c r="E531" s="60">
        <v>790</v>
      </c>
      <c r="F531" s="60">
        <v>305</v>
      </c>
      <c r="G531" s="60">
        <v>15</v>
      </c>
      <c r="H531" s="60">
        <v>234</v>
      </c>
      <c r="I531" s="60">
        <v>565</v>
      </c>
      <c r="J531" s="60">
        <v>43</v>
      </c>
      <c r="K531" s="60">
        <v>3512</v>
      </c>
      <c r="L531" s="58">
        <v>6167</v>
      </c>
      <c r="M531" s="58">
        <v>906</v>
      </c>
      <c r="N531" s="58">
        <v>300</v>
      </c>
      <c r="O531" s="58">
        <v>28</v>
      </c>
      <c r="P531" s="58">
        <v>210</v>
      </c>
      <c r="Q531" s="58">
        <v>502</v>
      </c>
      <c r="R531" s="58">
        <v>61</v>
      </c>
      <c r="S531" s="58">
        <v>4160</v>
      </c>
    </row>
    <row r="532" spans="1:19" x14ac:dyDescent="0.5">
      <c r="A532" s="60">
        <v>2017</v>
      </c>
      <c r="B532" s="60" t="s">
        <v>80</v>
      </c>
      <c r="C532" s="60" t="s">
        <v>783</v>
      </c>
      <c r="D532" s="60">
        <v>5535</v>
      </c>
      <c r="E532" s="60">
        <v>885</v>
      </c>
      <c r="F532" s="60">
        <v>287</v>
      </c>
      <c r="G532" s="60">
        <v>36</v>
      </c>
      <c r="H532" s="60">
        <v>174</v>
      </c>
      <c r="I532" s="60">
        <v>494</v>
      </c>
      <c r="J532" s="60">
        <v>47</v>
      </c>
      <c r="K532" s="60">
        <v>3612</v>
      </c>
      <c r="L532" s="58">
        <v>6235</v>
      </c>
      <c r="M532" s="58">
        <v>926</v>
      </c>
      <c r="N532" s="58">
        <v>296</v>
      </c>
      <c r="O532" s="58">
        <v>28</v>
      </c>
      <c r="P532" s="58">
        <v>221</v>
      </c>
      <c r="Q532" s="58">
        <v>527</v>
      </c>
      <c r="R532" s="58">
        <v>63</v>
      </c>
      <c r="S532" s="58">
        <v>4174</v>
      </c>
    </row>
    <row r="533" spans="1:19" x14ac:dyDescent="0.5">
      <c r="A533" s="60">
        <v>2017</v>
      </c>
      <c r="B533" s="60" t="s">
        <v>82</v>
      </c>
      <c r="C533" s="60" t="s">
        <v>784</v>
      </c>
      <c r="D533" s="60">
        <v>5458</v>
      </c>
      <c r="E533" s="60">
        <v>895</v>
      </c>
      <c r="F533" s="60">
        <v>249</v>
      </c>
      <c r="G533" s="60">
        <v>36</v>
      </c>
      <c r="H533" s="60">
        <v>151</v>
      </c>
      <c r="I533" s="60">
        <v>519</v>
      </c>
      <c r="J533" s="60">
        <v>88</v>
      </c>
      <c r="K533" s="60">
        <v>3520</v>
      </c>
      <c r="L533" s="58">
        <v>6208</v>
      </c>
      <c r="M533" s="58">
        <v>931</v>
      </c>
      <c r="N533" s="58">
        <v>320</v>
      </c>
      <c r="O533" s="58">
        <v>31</v>
      </c>
      <c r="P533" s="58">
        <v>182</v>
      </c>
      <c r="Q533" s="58">
        <v>511</v>
      </c>
      <c r="R533" s="58">
        <v>58</v>
      </c>
      <c r="S533" s="58">
        <v>4175</v>
      </c>
    </row>
    <row r="534" spans="1:19" x14ac:dyDescent="0.5">
      <c r="A534" s="60">
        <v>2017</v>
      </c>
      <c r="B534" s="60" t="s">
        <v>84</v>
      </c>
      <c r="C534" s="60" t="s">
        <v>785</v>
      </c>
      <c r="D534" s="60">
        <v>5356</v>
      </c>
      <c r="E534" s="60">
        <v>804</v>
      </c>
      <c r="F534" s="60">
        <v>227</v>
      </c>
      <c r="G534" s="60">
        <v>31</v>
      </c>
      <c r="H534" s="60">
        <v>189</v>
      </c>
      <c r="I534" s="60">
        <v>460</v>
      </c>
      <c r="J534" s="60">
        <v>53</v>
      </c>
      <c r="K534" s="60">
        <v>3592</v>
      </c>
      <c r="L534" s="58">
        <v>6169</v>
      </c>
      <c r="M534" s="58">
        <v>893</v>
      </c>
      <c r="N534" s="58">
        <v>275</v>
      </c>
      <c r="O534" s="58">
        <v>23</v>
      </c>
      <c r="P534" s="58">
        <v>226</v>
      </c>
      <c r="Q534" s="58">
        <v>554</v>
      </c>
      <c r="R534" s="58">
        <v>75</v>
      </c>
      <c r="S534" s="58">
        <v>4123</v>
      </c>
    </row>
    <row r="535" spans="1:19" x14ac:dyDescent="0.5">
      <c r="A535" s="60">
        <v>2017</v>
      </c>
      <c r="B535" s="60" t="s">
        <v>86</v>
      </c>
      <c r="C535" s="60" t="s">
        <v>786</v>
      </c>
      <c r="D535" s="60">
        <v>5551</v>
      </c>
      <c r="E535" s="60">
        <v>938</v>
      </c>
      <c r="F535" s="60">
        <v>281</v>
      </c>
      <c r="G535" s="60">
        <v>17</v>
      </c>
      <c r="H535" s="60">
        <v>200</v>
      </c>
      <c r="I535" s="60">
        <v>487</v>
      </c>
      <c r="J535" s="60">
        <v>78</v>
      </c>
      <c r="K535" s="60">
        <v>3550</v>
      </c>
      <c r="L535" s="58">
        <v>6132</v>
      </c>
      <c r="M535" s="58">
        <v>888</v>
      </c>
      <c r="N535" s="58">
        <v>262</v>
      </c>
      <c r="O535" s="58">
        <v>12</v>
      </c>
      <c r="P535" s="58">
        <v>237</v>
      </c>
      <c r="Q535" s="58">
        <v>490</v>
      </c>
      <c r="R535" s="58">
        <v>53</v>
      </c>
      <c r="S535" s="58">
        <v>4190</v>
      </c>
    </row>
    <row r="536" spans="1:19" x14ac:dyDescent="0.5">
      <c r="A536" s="60">
        <v>2017</v>
      </c>
      <c r="B536" s="60" t="s">
        <v>88</v>
      </c>
      <c r="C536" s="60" t="s">
        <v>787</v>
      </c>
      <c r="D536" s="60">
        <v>5551</v>
      </c>
      <c r="E536" s="60">
        <v>936</v>
      </c>
      <c r="F536" s="60">
        <v>290</v>
      </c>
      <c r="G536" s="60">
        <v>28</v>
      </c>
      <c r="H536" s="60">
        <v>128</v>
      </c>
      <c r="I536" s="60">
        <v>467</v>
      </c>
      <c r="J536" s="60">
        <v>36</v>
      </c>
      <c r="K536" s="60">
        <v>3666</v>
      </c>
      <c r="L536" s="58">
        <v>6287</v>
      </c>
      <c r="M536" s="58">
        <v>978</v>
      </c>
      <c r="N536" s="58">
        <v>297</v>
      </c>
      <c r="O536" s="58">
        <v>58</v>
      </c>
      <c r="P536" s="58">
        <v>182</v>
      </c>
      <c r="Q536" s="58">
        <v>496</v>
      </c>
      <c r="R536" s="58">
        <v>50</v>
      </c>
      <c r="S536" s="58">
        <v>4226</v>
      </c>
    </row>
    <row r="537" spans="1:19" x14ac:dyDescent="0.5">
      <c r="A537" s="60">
        <v>2017</v>
      </c>
      <c r="B537" s="60" t="s">
        <v>90</v>
      </c>
      <c r="C537" s="60" t="s">
        <v>788</v>
      </c>
      <c r="D537" s="60">
        <v>5470</v>
      </c>
      <c r="E537" s="60">
        <v>894</v>
      </c>
      <c r="F537" s="60">
        <v>284</v>
      </c>
      <c r="G537" s="60">
        <v>28</v>
      </c>
      <c r="H537" s="60">
        <v>196</v>
      </c>
      <c r="I537" s="60">
        <v>593</v>
      </c>
      <c r="J537" s="60">
        <v>65</v>
      </c>
      <c r="K537" s="60">
        <v>3410</v>
      </c>
      <c r="L537" s="58">
        <v>6153</v>
      </c>
      <c r="M537" s="58">
        <v>917</v>
      </c>
      <c r="N537" s="58">
        <v>262</v>
      </c>
      <c r="O537" s="58">
        <v>31</v>
      </c>
      <c r="P537" s="58">
        <v>183</v>
      </c>
      <c r="Q537" s="58">
        <v>493</v>
      </c>
      <c r="R537" s="58">
        <v>67</v>
      </c>
      <c r="S537" s="58">
        <v>4200</v>
      </c>
    </row>
    <row r="538" spans="1:19" x14ac:dyDescent="0.5">
      <c r="A538" s="60">
        <v>2017</v>
      </c>
      <c r="B538" s="60" t="s">
        <v>92</v>
      </c>
      <c r="C538" s="60" t="s">
        <v>789</v>
      </c>
      <c r="D538" s="60">
        <v>5478</v>
      </c>
      <c r="E538" s="60">
        <v>854</v>
      </c>
      <c r="F538" s="60">
        <v>226</v>
      </c>
      <c r="G538" s="60">
        <v>32</v>
      </c>
      <c r="H538" s="60">
        <v>228</v>
      </c>
      <c r="I538" s="60">
        <v>545</v>
      </c>
      <c r="J538" s="60">
        <v>55</v>
      </c>
      <c r="K538" s="60">
        <v>3538</v>
      </c>
      <c r="L538" s="58">
        <v>6099</v>
      </c>
      <c r="M538" s="58">
        <v>844</v>
      </c>
      <c r="N538" s="58">
        <v>270</v>
      </c>
      <c r="O538" s="58">
        <v>17</v>
      </c>
      <c r="P538" s="58">
        <v>193</v>
      </c>
      <c r="Q538" s="58">
        <v>503</v>
      </c>
      <c r="R538" s="58">
        <v>48</v>
      </c>
      <c r="S538" s="58">
        <v>4224</v>
      </c>
    </row>
    <row r="539" spans="1:19" x14ac:dyDescent="0.5">
      <c r="A539" s="60">
        <v>2017</v>
      </c>
      <c r="B539" s="60" t="s">
        <v>94</v>
      </c>
      <c r="C539" s="60" t="s">
        <v>790</v>
      </c>
      <c r="D539" s="60">
        <v>5430</v>
      </c>
      <c r="E539" s="60">
        <v>813</v>
      </c>
      <c r="F539" s="60">
        <v>255</v>
      </c>
      <c r="G539" s="60">
        <v>21</v>
      </c>
      <c r="H539" s="60">
        <v>237</v>
      </c>
      <c r="I539" s="60">
        <v>544</v>
      </c>
      <c r="J539" s="60">
        <v>81</v>
      </c>
      <c r="K539" s="60">
        <v>3479</v>
      </c>
      <c r="L539" s="58">
        <v>6211</v>
      </c>
      <c r="M539" s="58">
        <v>929</v>
      </c>
      <c r="N539" s="58">
        <v>287</v>
      </c>
      <c r="O539" s="58">
        <v>13</v>
      </c>
      <c r="P539" s="58">
        <v>214</v>
      </c>
      <c r="Q539" s="58">
        <v>559</v>
      </c>
      <c r="R539" s="58">
        <v>74</v>
      </c>
      <c r="S539" s="58">
        <v>4135</v>
      </c>
    </row>
    <row r="540" spans="1:19" x14ac:dyDescent="0.5">
      <c r="A540" s="60">
        <v>2017</v>
      </c>
      <c r="B540" s="60" t="s">
        <v>96</v>
      </c>
      <c r="C540" s="60" t="s">
        <v>791</v>
      </c>
      <c r="D540" s="60">
        <v>5499</v>
      </c>
      <c r="E540" s="60">
        <v>824</v>
      </c>
      <c r="F540" s="60">
        <v>269</v>
      </c>
      <c r="G540" s="60">
        <v>5</v>
      </c>
      <c r="H540" s="60">
        <v>222</v>
      </c>
      <c r="I540" s="60">
        <v>542</v>
      </c>
      <c r="J540" s="60">
        <v>51</v>
      </c>
      <c r="K540" s="60">
        <v>3586</v>
      </c>
      <c r="L540" s="58">
        <v>6316</v>
      </c>
      <c r="M540" s="58">
        <v>921</v>
      </c>
      <c r="N540" s="58">
        <v>310</v>
      </c>
      <c r="O540" s="58">
        <v>26</v>
      </c>
      <c r="P540" s="58">
        <v>203</v>
      </c>
      <c r="Q540" s="58">
        <v>549</v>
      </c>
      <c r="R540" s="58">
        <v>48</v>
      </c>
      <c r="S540" s="58">
        <v>4259</v>
      </c>
    </row>
    <row r="541" spans="1:19" x14ac:dyDescent="0.5">
      <c r="A541" s="60">
        <v>2017</v>
      </c>
      <c r="B541" s="60" t="s">
        <v>100</v>
      </c>
      <c r="C541" s="60" t="s">
        <v>792</v>
      </c>
      <c r="D541" s="60">
        <v>5553</v>
      </c>
      <c r="E541" s="60">
        <v>920</v>
      </c>
      <c r="F541" s="60">
        <v>311</v>
      </c>
      <c r="G541" s="60">
        <v>31</v>
      </c>
      <c r="H541" s="60">
        <v>215</v>
      </c>
      <c r="I541" s="60">
        <v>542</v>
      </c>
      <c r="J541" s="60">
        <v>31</v>
      </c>
      <c r="K541" s="60">
        <v>3503</v>
      </c>
      <c r="L541" s="58">
        <v>6068</v>
      </c>
      <c r="M541" s="58">
        <v>845</v>
      </c>
      <c r="N541" s="58">
        <v>243</v>
      </c>
      <c r="O541" s="58">
        <v>23</v>
      </c>
      <c r="P541" s="58">
        <v>189</v>
      </c>
      <c r="Q541" s="58">
        <v>495</v>
      </c>
      <c r="R541" s="58">
        <v>60</v>
      </c>
      <c r="S541" s="58">
        <v>4213</v>
      </c>
    </row>
    <row r="542" spans="1:19" x14ac:dyDescent="0.5">
      <c r="A542" s="60">
        <v>2018</v>
      </c>
      <c r="B542" s="60" t="s">
        <v>36</v>
      </c>
      <c r="C542" s="60" t="s">
        <v>793</v>
      </c>
      <c r="D542" s="60">
        <v>5472</v>
      </c>
      <c r="E542" s="60">
        <v>837</v>
      </c>
      <c r="F542" s="60">
        <v>249</v>
      </c>
      <c r="G542" s="60">
        <v>23</v>
      </c>
      <c r="H542" s="60">
        <v>214</v>
      </c>
      <c r="I542" s="60">
        <v>514</v>
      </c>
      <c r="J542" s="60">
        <v>73</v>
      </c>
      <c r="K542" s="60">
        <v>3562</v>
      </c>
      <c r="L542" s="58">
        <v>6108</v>
      </c>
      <c r="M542" s="58">
        <v>873</v>
      </c>
      <c r="N542" s="58">
        <v>256</v>
      </c>
      <c r="O542" s="58">
        <v>19</v>
      </c>
      <c r="P542" s="58">
        <v>205</v>
      </c>
      <c r="Q542" s="58">
        <v>546</v>
      </c>
      <c r="R542" s="58">
        <v>65</v>
      </c>
      <c r="S542" s="58">
        <v>4144</v>
      </c>
    </row>
    <row r="543" spans="1:19" x14ac:dyDescent="0.5">
      <c r="A543" s="60">
        <v>2018</v>
      </c>
      <c r="B543" s="60" t="s">
        <v>39</v>
      </c>
      <c r="C543" s="60" t="s">
        <v>794</v>
      </c>
      <c r="D543" s="60">
        <v>5460</v>
      </c>
      <c r="E543" s="60">
        <v>798</v>
      </c>
      <c r="F543" s="60">
        <v>259</v>
      </c>
      <c r="G543" s="60">
        <v>50</v>
      </c>
      <c r="H543" s="60">
        <v>176</v>
      </c>
      <c r="I543" s="60">
        <v>560</v>
      </c>
      <c r="J543" s="60">
        <v>52</v>
      </c>
      <c r="K543" s="60">
        <v>3565</v>
      </c>
      <c r="L543" s="58">
        <v>6139</v>
      </c>
      <c r="M543" s="58">
        <v>861</v>
      </c>
      <c r="N543" s="58">
        <v>259</v>
      </c>
      <c r="O543" s="58">
        <v>19</v>
      </c>
      <c r="P543" s="58">
        <v>174</v>
      </c>
      <c r="Q543" s="58">
        <v>522</v>
      </c>
      <c r="R543" s="58">
        <v>57</v>
      </c>
      <c r="S543" s="58">
        <v>4247</v>
      </c>
    </row>
    <row r="544" spans="1:19" x14ac:dyDescent="0.5">
      <c r="A544" s="60">
        <v>2018</v>
      </c>
      <c r="B544" s="60" t="s">
        <v>41</v>
      </c>
      <c r="C544" s="60" t="s">
        <v>795</v>
      </c>
      <c r="D544" s="60">
        <v>5582</v>
      </c>
      <c r="E544" s="60">
        <v>915</v>
      </c>
      <c r="F544" s="60">
        <v>314</v>
      </c>
      <c r="G544" s="60">
        <v>29</v>
      </c>
      <c r="H544" s="60">
        <v>175</v>
      </c>
      <c r="I544" s="60">
        <v>511</v>
      </c>
      <c r="J544" s="60">
        <v>66</v>
      </c>
      <c r="K544" s="60">
        <v>3572</v>
      </c>
      <c r="L544" s="58">
        <v>6155</v>
      </c>
      <c r="M544" s="58">
        <v>809</v>
      </c>
      <c r="N544" s="58">
        <v>248</v>
      </c>
      <c r="O544" s="58">
        <v>26</v>
      </c>
      <c r="P544" s="58">
        <v>153</v>
      </c>
      <c r="Q544" s="58">
        <v>635</v>
      </c>
      <c r="R544" s="58">
        <v>52</v>
      </c>
      <c r="S544" s="58">
        <v>4232</v>
      </c>
    </row>
    <row r="545" spans="1:19" x14ac:dyDescent="0.5">
      <c r="A545" s="60">
        <v>2018</v>
      </c>
      <c r="B545" s="60" t="s">
        <v>44</v>
      </c>
      <c r="C545" s="60" t="s">
        <v>796</v>
      </c>
      <c r="D545" s="60">
        <v>5507</v>
      </c>
      <c r="E545" s="60">
        <v>872</v>
      </c>
      <c r="F545" s="60">
        <v>242</v>
      </c>
      <c r="G545" s="60">
        <v>15</v>
      </c>
      <c r="H545" s="60">
        <v>188</v>
      </c>
      <c r="I545" s="60">
        <v>422</v>
      </c>
      <c r="J545" s="60">
        <v>57</v>
      </c>
      <c r="K545" s="60">
        <v>3711</v>
      </c>
      <c r="L545" s="58">
        <v>6340</v>
      </c>
      <c r="M545" s="58">
        <v>959</v>
      </c>
      <c r="N545" s="58">
        <v>325</v>
      </c>
      <c r="O545" s="58">
        <v>34</v>
      </c>
      <c r="P545" s="58">
        <v>234</v>
      </c>
      <c r="Q545" s="58">
        <v>589</v>
      </c>
      <c r="R545" s="58">
        <v>67</v>
      </c>
      <c r="S545" s="58">
        <v>4132</v>
      </c>
    </row>
    <row r="546" spans="1:19" x14ac:dyDescent="0.5">
      <c r="A546" s="60">
        <v>2018</v>
      </c>
      <c r="B546" s="60" t="s">
        <v>46</v>
      </c>
      <c r="C546" s="60" t="s">
        <v>797</v>
      </c>
      <c r="D546" s="60">
        <v>5623</v>
      </c>
      <c r="E546" s="60">
        <v>915</v>
      </c>
      <c r="F546" s="60">
        <v>355</v>
      </c>
      <c r="G546" s="60">
        <v>31</v>
      </c>
      <c r="H546" s="60">
        <v>208</v>
      </c>
      <c r="I546" s="60">
        <v>569</v>
      </c>
      <c r="J546" s="60">
        <v>55</v>
      </c>
      <c r="K546" s="60">
        <v>3490</v>
      </c>
      <c r="L546" s="58">
        <v>6166</v>
      </c>
      <c r="M546" s="58">
        <v>848</v>
      </c>
      <c r="N546" s="58">
        <v>246</v>
      </c>
      <c r="O546" s="58">
        <v>35</v>
      </c>
      <c r="P546" s="58">
        <v>176</v>
      </c>
      <c r="Q546" s="58">
        <v>512</v>
      </c>
      <c r="R546" s="58">
        <v>84</v>
      </c>
      <c r="S546" s="58">
        <v>4265</v>
      </c>
    </row>
    <row r="547" spans="1:19" x14ac:dyDescent="0.5">
      <c r="A547" s="60">
        <v>2018</v>
      </c>
      <c r="B547" s="60" t="s">
        <v>50</v>
      </c>
      <c r="C547" s="60" t="s">
        <v>798</v>
      </c>
      <c r="D547" s="60">
        <v>5624</v>
      </c>
      <c r="E547" s="60">
        <v>966</v>
      </c>
      <c r="F547" s="60">
        <v>286</v>
      </c>
      <c r="G547" s="60">
        <v>34</v>
      </c>
      <c r="H547" s="60">
        <v>167</v>
      </c>
      <c r="I547" s="60">
        <v>576</v>
      </c>
      <c r="J547" s="60">
        <v>78</v>
      </c>
      <c r="K547" s="60">
        <v>3517</v>
      </c>
      <c r="L547" s="58">
        <v>6264</v>
      </c>
      <c r="M547" s="58">
        <v>913</v>
      </c>
      <c r="N547" s="58">
        <v>221</v>
      </c>
      <c r="O547" s="58">
        <v>28</v>
      </c>
      <c r="P547" s="58">
        <v>157</v>
      </c>
      <c r="Q547" s="58">
        <v>622</v>
      </c>
      <c r="R547" s="58">
        <v>66</v>
      </c>
      <c r="S547" s="58">
        <v>4257</v>
      </c>
    </row>
    <row r="548" spans="1:19" x14ac:dyDescent="0.5">
      <c r="A548" s="60">
        <v>2018</v>
      </c>
      <c r="B548" s="60" t="s">
        <v>48</v>
      </c>
      <c r="C548" s="60" t="s">
        <v>799</v>
      </c>
      <c r="D548" s="60">
        <v>5523</v>
      </c>
      <c r="E548" s="60">
        <v>851</v>
      </c>
      <c r="F548" s="60">
        <v>259</v>
      </c>
      <c r="G548" s="60">
        <v>40</v>
      </c>
      <c r="H548" s="60">
        <v>182</v>
      </c>
      <c r="I548" s="60">
        <v>425</v>
      </c>
      <c r="J548" s="60">
        <v>66</v>
      </c>
      <c r="K548" s="60">
        <v>3700</v>
      </c>
      <c r="L548" s="58">
        <v>6339</v>
      </c>
      <c r="M548" s="58">
        <v>893</v>
      </c>
      <c r="N548" s="58">
        <v>292</v>
      </c>
      <c r="O548" s="58">
        <v>24</v>
      </c>
      <c r="P548" s="58">
        <v>196</v>
      </c>
      <c r="Q548" s="58">
        <v>653</v>
      </c>
      <c r="R548" s="58">
        <v>89</v>
      </c>
      <c r="S548" s="58">
        <v>4192</v>
      </c>
    </row>
    <row r="549" spans="1:19" x14ac:dyDescent="0.5">
      <c r="A549" s="60">
        <v>2018</v>
      </c>
      <c r="B549" s="60" t="s">
        <v>52</v>
      </c>
      <c r="C549" s="60" t="s">
        <v>800</v>
      </c>
      <c r="D549" s="60">
        <v>5532</v>
      </c>
      <c r="E549" s="60">
        <v>956</v>
      </c>
      <c r="F549" s="60">
        <v>251</v>
      </c>
      <c r="G549" s="60">
        <v>25</v>
      </c>
      <c r="H549" s="60">
        <v>172</v>
      </c>
      <c r="I549" s="60">
        <v>559</v>
      </c>
      <c r="J549" s="60">
        <v>65</v>
      </c>
      <c r="K549" s="60">
        <v>3504</v>
      </c>
      <c r="L549" s="58">
        <v>6279</v>
      </c>
      <c r="M549" s="58">
        <v>945</v>
      </c>
      <c r="N549" s="58">
        <v>291</v>
      </c>
      <c r="O549" s="58">
        <v>27</v>
      </c>
      <c r="P549" s="58">
        <v>228</v>
      </c>
      <c r="Q549" s="58">
        <v>532</v>
      </c>
      <c r="R549" s="58">
        <v>50</v>
      </c>
      <c r="S549" s="58">
        <v>4206</v>
      </c>
    </row>
    <row r="550" spans="1:19" x14ac:dyDescent="0.5">
      <c r="A550" s="60">
        <v>2018</v>
      </c>
      <c r="B550" s="60" t="s">
        <v>54</v>
      </c>
      <c r="C550" s="60" t="s">
        <v>801</v>
      </c>
      <c r="D550" s="60">
        <v>5595</v>
      </c>
      <c r="E550" s="60">
        <v>915</v>
      </c>
      <c r="F550" s="60">
        <v>297</v>
      </c>
      <c r="G550" s="60">
        <v>19</v>
      </c>
      <c r="H550" s="60">
        <v>216</v>
      </c>
      <c r="I550" s="60">
        <v>554</v>
      </c>
      <c r="J550" s="60">
        <v>80</v>
      </c>
      <c r="K550" s="60">
        <v>3514</v>
      </c>
      <c r="L550" s="58">
        <v>6071</v>
      </c>
      <c r="M550" s="58">
        <v>815</v>
      </c>
      <c r="N550" s="58">
        <v>311</v>
      </c>
      <c r="O550" s="58">
        <v>23</v>
      </c>
      <c r="P550" s="58">
        <v>200</v>
      </c>
      <c r="Q550" s="58">
        <v>407</v>
      </c>
      <c r="R550" s="58">
        <v>59</v>
      </c>
      <c r="S550" s="58">
        <v>4256</v>
      </c>
    </row>
    <row r="551" spans="1:19" x14ac:dyDescent="0.5">
      <c r="A551" s="60">
        <v>2018</v>
      </c>
      <c r="B551" s="60" t="s">
        <v>56</v>
      </c>
      <c r="C551" s="60" t="s">
        <v>802</v>
      </c>
      <c r="D551" s="60">
        <v>5541</v>
      </c>
      <c r="E551" s="60">
        <v>886</v>
      </c>
      <c r="F551" s="60">
        <v>280</v>
      </c>
      <c r="G551" s="60">
        <v>42</v>
      </c>
      <c r="H551" s="60">
        <v>210</v>
      </c>
      <c r="I551" s="60">
        <v>507</v>
      </c>
      <c r="J551" s="60">
        <v>51</v>
      </c>
      <c r="K551" s="60">
        <v>3565</v>
      </c>
      <c r="L551" s="58">
        <v>6154</v>
      </c>
      <c r="M551" s="58">
        <v>878</v>
      </c>
      <c r="N551" s="58">
        <v>268</v>
      </c>
      <c r="O551" s="58">
        <v>48</v>
      </c>
      <c r="P551" s="58">
        <v>184</v>
      </c>
      <c r="Q551" s="58">
        <v>525</v>
      </c>
      <c r="R551" s="58">
        <v>52</v>
      </c>
      <c r="S551" s="58">
        <v>4199</v>
      </c>
    </row>
    <row r="552" spans="1:19" x14ac:dyDescent="0.5">
      <c r="A552" s="60">
        <v>2018</v>
      </c>
      <c r="B552" s="60" t="s">
        <v>58</v>
      </c>
      <c r="C552" s="60" t="s">
        <v>803</v>
      </c>
      <c r="D552" s="60">
        <v>5494</v>
      </c>
      <c r="E552" s="60">
        <v>872</v>
      </c>
      <c r="F552" s="60">
        <v>284</v>
      </c>
      <c r="G552" s="60">
        <v>35</v>
      </c>
      <c r="H552" s="60">
        <v>135</v>
      </c>
      <c r="I552" s="60">
        <v>428</v>
      </c>
      <c r="J552" s="60">
        <v>52</v>
      </c>
      <c r="K552" s="60">
        <v>3688</v>
      </c>
      <c r="L552" s="58">
        <v>6130</v>
      </c>
      <c r="M552" s="58">
        <v>895</v>
      </c>
      <c r="N552" s="58">
        <v>278</v>
      </c>
      <c r="O552" s="58">
        <v>34</v>
      </c>
      <c r="P552" s="58">
        <v>216</v>
      </c>
      <c r="Q552" s="58">
        <v>491</v>
      </c>
      <c r="R552" s="58">
        <v>60</v>
      </c>
      <c r="S552" s="58">
        <v>4156</v>
      </c>
    </row>
    <row r="553" spans="1:19" x14ac:dyDescent="0.5">
      <c r="A553" s="60">
        <v>2018</v>
      </c>
      <c r="B553" s="60" t="s">
        <v>60</v>
      </c>
      <c r="C553" s="60" t="s">
        <v>804</v>
      </c>
      <c r="D553" s="60">
        <v>5453</v>
      </c>
      <c r="E553" s="60">
        <v>889</v>
      </c>
      <c r="F553" s="60">
        <v>278</v>
      </c>
      <c r="G553" s="60">
        <v>18</v>
      </c>
      <c r="H553" s="60">
        <v>205</v>
      </c>
      <c r="I553" s="60">
        <v>565</v>
      </c>
      <c r="J553" s="60">
        <v>61</v>
      </c>
      <c r="K553" s="60">
        <v>3437</v>
      </c>
      <c r="L553" s="58">
        <v>5913</v>
      </c>
      <c r="M553" s="58">
        <v>734</v>
      </c>
      <c r="N553" s="58">
        <v>257</v>
      </c>
      <c r="O553" s="58">
        <v>21</v>
      </c>
      <c r="P553" s="58">
        <v>152</v>
      </c>
      <c r="Q553" s="58">
        <v>435</v>
      </c>
      <c r="R553" s="58">
        <v>66</v>
      </c>
      <c r="S553" s="58">
        <v>4248</v>
      </c>
    </row>
    <row r="554" spans="1:19" x14ac:dyDescent="0.5">
      <c r="A554" s="60">
        <v>2018</v>
      </c>
      <c r="B554" s="60" t="s">
        <v>62</v>
      </c>
      <c r="C554" s="60" t="s">
        <v>805</v>
      </c>
      <c r="D554" s="60">
        <v>5505</v>
      </c>
      <c r="E554" s="60">
        <v>883</v>
      </c>
      <c r="F554" s="60">
        <v>283</v>
      </c>
      <c r="G554" s="60">
        <v>29</v>
      </c>
      <c r="H554" s="60">
        <v>155</v>
      </c>
      <c r="I554" s="60">
        <v>427</v>
      </c>
      <c r="J554" s="60">
        <v>67</v>
      </c>
      <c r="K554" s="60">
        <v>3661</v>
      </c>
      <c r="L554" s="58">
        <v>6284</v>
      </c>
      <c r="M554" s="58">
        <v>1030</v>
      </c>
      <c r="N554" s="58">
        <v>271</v>
      </c>
      <c r="O554" s="58">
        <v>36</v>
      </c>
      <c r="P554" s="58">
        <v>205</v>
      </c>
      <c r="Q554" s="58">
        <v>549</v>
      </c>
      <c r="R554" s="58">
        <v>51</v>
      </c>
      <c r="S554" s="58">
        <v>4142</v>
      </c>
    </row>
    <row r="555" spans="1:19" x14ac:dyDescent="0.5">
      <c r="A555" s="60">
        <v>2018</v>
      </c>
      <c r="B555" s="60" t="s">
        <v>64</v>
      </c>
      <c r="C555" s="60" t="s">
        <v>806</v>
      </c>
      <c r="D555" s="60">
        <v>5572</v>
      </c>
      <c r="E555" s="60">
        <v>830</v>
      </c>
      <c r="F555" s="60">
        <v>296</v>
      </c>
      <c r="G555" s="60">
        <v>33</v>
      </c>
      <c r="H555" s="60">
        <v>235</v>
      </c>
      <c r="I555" s="60">
        <v>647</v>
      </c>
      <c r="J555" s="60">
        <v>61</v>
      </c>
      <c r="K555" s="60">
        <v>3470</v>
      </c>
      <c r="L555" s="58">
        <v>6096</v>
      </c>
      <c r="M555" s="58">
        <v>833</v>
      </c>
      <c r="N555" s="58">
        <v>242</v>
      </c>
      <c r="O555" s="58">
        <v>25</v>
      </c>
      <c r="P555" s="58">
        <v>179</v>
      </c>
      <c r="Q555" s="58">
        <v>422</v>
      </c>
      <c r="R555" s="58">
        <v>61</v>
      </c>
      <c r="S555" s="58">
        <v>4334</v>
      </c>
    </row>
    <row r="556" spans="1:19" x14ac:dyDescent="0.5">
      <c r="A556" s="60">
        <v>2018</v>
      </c>
      <c r="B556" s="60" t="s">
        <v>66</v>
      </c>
      <c r="C556" s="60" t="s">
        <v>807</v>
      </c>
      <c r="D556" s="60">
        <v>5488</v>
      </c>
      <c r="E556" s="60">
        <v>929</v>
      </c>
      <c r="F556" s="60">
        <v>222</v>
      </c>
      <c r="G556" s="60">
        <v>24</v>
      </c>
      <c r="H556" s="60">
        <v>128</v>
      </c>
      <c r="I556" s="60">
        <v>455</v>
      </c>
      <c r="J556" s="60">
        <v>73</v>
      </c>
      <c r="K556" s="60">
        <v>3657</v>
      </c>
      <c r="L556" s="58">
        <v>6236</v>
      </c>
      <c r="M556" s="58">
        <v>864</v>
      </c>
      <c r="N556" s="58">
        <v>309</v>
      </c>
      <c r="O556" s="58">
        <v>23</v>
      </c>
      <c r="P556" s="58">
        <v>192</v>
      </c>
      <c r="Q556" s="58">
        <v>605</v>
      </c>
      <c r="R556" s="58">
        <v>71</v>
      </c>
      <c r="S556" s="58">
        <v>4172</v>
      </c>
    </row>
    <row r="557" spans="1:19" x14ac:dyDescent="0.5">
      <c r="A557" s="60">
        <v>2018</v>
      </c>
      <c r="B557" s="60" t="s">
        <v>68</v>
      </c>
      <c r="C557" s="60" t="s">
        <v>808</v>
      </c>
      <c r="D557" s="60">
        <v>5542</v>
      </c>
      <c r="E557" s="60">
        <v>904</v>
      </c>
      <c r="F557" s="60">
        <v>252</v>
      </c>
      <c r="G557" s="60">
        <v>24</v>
      </c>
      <c r="H557" s="60">
        <v>218</v>
      </c>
      <c r="I557" s="60">
        <v>537</v>
      </c>
      <c r="J557" s="60">
        <v>58</v>
      </c>
      <c r="K557" s="60">
        <v>3549</v>
      </c>
      <c r="L557" s="58">
        <v>6114</v>
      </c>
      <c r="M557" s="58">
        <v>807</v>
      </c>
      <c r="N557" s="58">
        <v>239</v>
      </c>
      <c r="O557" s="58">
        <v>40</v>
      </c>
      <c r="P557" s="58">
        <v>173</v>
      </c>
      <c r="Q557" s="58">
        <v>553</v>
      </c>
      <c r="R557" s="58">
        <v>61</v>
      </c>
      <c r="S557" s="58">
        <v>4241</v>
      </c>
    </row>
    <row r="558" spans="1:19" x14ac:dyDescent="0.5">
      <c r="A558" s="60">
        <v>2018</v>
      </c>
      <c r="B558" s="60" t="s">
        <v>70</v>
      </c>
      <c r="C558" s="60" t="s">
        <v>809</v>
      </c>
      <c r="D558" s="60">
        <v>5526</v>
      </c>
      <c r="E558" s="60">
        <v>874</v>
      </c>
      <c r="F558" s="60">
        <v>318</v>
      </c>
      <c r="G558" s="60">
        <v>22</v>
      </c>
      <c r="H558" s="60">
        <v>166</v>
      </c>
      <c r="I558" s="60">
        <v>534</v>
      </c>
      <c r="J558" s="60">
        <v>37</v>
      </c>
      <c r="K558" s="60">
        <v>3575</v>
      </c>
      <c r="L558" s="58">
        <v>6287</v>
      </c>
      <c r="M558" s="58">
        <v>921</v>
      </c>
      <c r="N558" s="58">
        <v>280</v>
      </c>
      <c r="O558" s="58">
        <v>26</v>
      </c>
      <c r="P558" s="58">
        <v>198</v>
      </c>
      <c r="Q558" s="58">
        <v>573</v>
      </c>
      <c r="R558" s="58">
        <v>80</v>
      </c>
      <c r="S558" s="58">
        <v>4209</v>
      </c>
    </row>
    <row r="559" spans="1:19" x14ac:dyDescent="0.5">
      <c r="A559" s="60">
        <v>2018</v>
      </c>
      <c r="B559" s="60" t="s">
        <v>76</v>
      </c>
      <c r="C559" s="60" t="s">
        <v>810</v>
      </c>
      <c r="D559" s="60">
        <v>5468</v>
      </c>
      <c r="E559" s="60">
        <v>813</v>
      </c>
      <c r="F559" s="60">
        <v>265</v>
      </c>
      <c r="G559" s="60">
        <v>34</v>
      </c>
      <c r="H559" s="60">
        <v>170</v>
      </c>
      <c r="I559" s="60">
        <v>566</v>
      </c>
      <c r="J559" s="60">
        <v>73</v>
      </c>
      <c r="K559" s="60">
        <v>3547</v>
      </c>
      <c r="L559" s="58">
        <v>6178</v>
      </c>
      <c r="M559" s="58">
        <v>914</v>
      </c>
      <c r="N559" s="58">
        <v>241</v>
      </c>
      <c r="O559" s="58">
        <v>24</v>
      </c>
      <c r="P559" s="58">
        <v>185</v>
      </c>
      <c r="Q559" s="58">
        <v>484</v>
      </c>
      <c r="R559" s="58">
        <v>71</v>
      </c>
      <c r="S559" s="58">
        <v>4259</v>
      </c>
    </row>
    <row r="560" spans="1:19" x14ac:dyDescent="0.5">
      <c r="A560" s="60">
        <v>2018</v>
      </c>
      <c r="B560" s="60" t="s">
        <v>74</v>
      </c>
      <c r="C560" s="60" t="s">
        <v>811</v>
      </c>
      <c r="D560" s="60">
        <v>5515</v>
      </c>
      <c r="E560" s="60">
        <v>815</v>
      </c>
      <c r="F560" s="60">
        <v>269</v>
      </c>
      <c r="G560" s="60">
        <v>23</v>
      </c>
      <c r="H560" s="60">
        <v>267</v>
      </c>
      <c r="I560" s="60">
        <v>625</v>
      </c>
      <c r="J560" s="60">
        <v>62</v>
      </c>
      <c r="K560" s="60">
        <v>3454</v>
      </c>
      <c r="L560" s="58">
        <v>6141</v>
      </c>
      <c r="M560" s="58">
        <v>828</v>
      </c>
      <c r="N560" s="58">
        <v>293</v>
      </c>
      <c r="O560" s="58">
        <v>13</v>
      </c>
      <c r="P560" s="58">
        <v>177</v>
      </c>
      <c r="Q560" s="58">
        <v>494</v>
      </c>
      <c r="R560" s="58">
        <v>58</v>
      </c>
      <c r="S560" s="58">
        <v>4278</v>
      </c>
    </row>
    <row r="561" spans="1:19" x14ac:dyDescent="0.5">
      <c r="A561" s="60">
        <v>2018</v>
      </c>
      <c r="B561" s="60" t="s">
        <v>78</v>
      </c>
      <c r="C561" s="60" t="s">
        <v>812</v>
      </c>
      <c r="D561" s="60">
        <v>5579</v>
      </c>
      <c r="E561" s="60">
        <v>838</v>
      </c>
      <c r="F561" s="60">
        <v>322</v>
      </c>
      <c r="G561" s="60">
        <v>20</v>
      </c>
      <c r="H561" s="60">
        <v>227</v>
      </c>
      <c r="I561" s="60">
        <v>550</v>
      </c>
      <c r="J561" s="60">
        <v>76</v>
      </c>
      <c r="K561" s="60">
        <v>3546</v>
      </c>
      <c r="L561" s="58">
        <v>6099</v>
      </c>
      <c r="M561" s="58">
        <v>832</v>
      </c>
      <c r="N561" s="58">
        <v>268</v>
      </c>
      <c r="O561" s="58">
        <v>19</v>
      </c>
      <c r="P561" s="58">
        <v>184</v>
      </c>
      <c r="Q561" s="58">
        <v>474</v>
      </c>
      <c r="R561" s="58">
        <v>53</v>
      </c>
      <c r="S561" s="58">
        <v>4269</v>
      </c>
    </row>
    <row r="562" spans="1:19" x14ac:dyDescent="0.5">
      <c r="A562" s="60">
        <v>2018</v>
      </c>
      <c r="B562" s="60" t="s">
        <v>80</v>
      </c>
      <c r="C562" s="60" t="s">
        <v>813</v>
      </c>
      <c r="D562" s="60">
        <v>5424</v>
      </c>
      <c r="E562" s="60">
        <v>814</v>
      </c>
      <c r="F562" s="60">
        <v>241</v>
      </c>
      <c r="G562" s="60">
        <v>30</v>
      </c>
      <c r="H562" s="60">
        <v>186</v>
      </c>
      <c r="I562" s="60">
        <v>582</v>
      </c>
      <c r="J562" s="60">
        <v>64</v>
      </c>
      <c r="K562" s="60">
        <v>3507</v>
      </c>
      <c r="L562" s="58">
        <v>6138</v>
      </c>
      <c r="M562" s="58">
        <v>871</v>
      </c>
      <c r="N562" s="58">
        <v>292</v>
      </c>
      <c r="O562" s="58">
        <v>32</v>
      </c>
      <c r="P562" s="58">
        <v>171</v>
      </c>
      <c r="Q562" s="58">
        <v>500</v>
      </c>
      <c r="R562" s="58">
        <v>60</v>
      </c>
      <c r="S562" s="58">
        <v>4212</v>
      </c>
    </row>
    <row r="563" spans="1:19" x14ac:dyDescent="0.5">
      <c r="A563" s="60">
        <v>2018</v>
      </c>
      <c r="B563" s="60" t="s">
        <v>82</v>
      </c>
      <c r="C563" s="60" t="s">
        <v>814</v>
      </c>
      <c r="D563" s="60">
        <v>5447</v>
      </c>
      <c r="E563" s="60">
        <v>896</v>
      </c>
      <c r="F563" s="60">
        <v>290</v>
      </c>
      <c r="G563" s="60">
        <v>38</v>
      </c>
      <c r="H563" s="60">
        <v>157</v>
      </c>
      <c r="I563" s="60">
        <v>474</v>
      </c>
      <c r="J563" s="60">
        <v>59</v>
      </c>
      <c r="K563" s="60">
        <v>3533</v>
      </c>
      <c r="L563" s="58">
        <v>6144</v>
      </c>
      <c r="M563" s="58">
        <v>893</v>
      </c>
      <c r="N563" s="58">
        <v>287</v>
      </c>
      <c r="O563" s="58">
        <v>26</v>
      </c>
      <c r="P563" s="58">
        <v>174</v>
      </c>
      <c r="Q563" s="58">
        <v>497</v>
      </c>
      <c r="R563" s="58">
        <v>69</v>
      </c>
      <c r="S563" s="58">
        <v>4198</v>
      </c>
    </row>
    <row r="564" spans="1:19" x14ac:dyDescent="0.5">
      <c r="A564" s="60">
        <v>2018</v>
      </c>
      <c r="B564" s="60" t="s">
        <v>84</v>
      </c>
      <c r="C564" s="60" t="s">
        <v>815</v>
      </c>
      <c r="D564" s="60">
        <v>5486</v>
      </c>
      <c r="E564" s="60">
        <v>847</v>
      </c>
      <c r="F564" s="60">
        <v>250</v>
      </c>
      <c r="G564" s="60">
        <v>30</v>
      </c>
      <c r="H564" s="60">
        <v>162</v>
      </c>
      <c r="I564" s="60">
        <v>471</v>
      </c>
      <c r="J564" s="60">
        <v>31</v>
      </c>
      <c r="K564" s="60">
        <v>3695</v>
      </c>
      <c r="L564" s="58">
        <v>6254</v>
      </c>
      <c r="M564" s="58">
        <v>930</v>
      </c>
      <c r="N564" s="58">
        <v>283</v>
      </c>
      <c r="O564" s="58">
        <v>32</v>
      </c>
      <c r="P564" s="58">
        <v>185</v>
      </c>
      <c r="Q564" s="58">
        <v>519</v>
      </c>
      <c r="R564" s="58">
        <v>68</v>
      </c>
      <c r="S564" s="58">
        <v>4237</v>
      </c>
    </row>
    <row r="565" spans="1:19" x14ac:dyDescent="0.5">
      <c r="A565" s="60">
        <v>2018</v>
      </c>
      <c r="B565" s="60" t="s">
        <v>86</v>
      </c>
      <c r="C565" s="60" t="s">
        <v>816</v>
      </c>
      <c r="D565" s="60">
        <v>5513</v>
      </c>
      <c r="E565" s="60">
        <v>938</v>
      </c>
      <c r="F565" s="60">
        <v>256</v>
      </c>
      <c r="G565" s="60">
        <v>32</v>
      </c>
      <c r="H565" s="60">
        <v>176</v>
      </c>
      <c r="I565" s="60">
        <v>430</v>
      </c>
      <c r="J565" s="60">
        <v>70</v>
      </c>
      <c r="K565" s="60">
        <v>3611</v>
      </c>
      <c r="L565" s="58">
        <v>6073</v>
      </c>
      <c r="M565" s="58">
        <v>889</v>
      </c>
      <c r="N565" s="58">
        <v>289</v>
      </c>
      <c r="O565" s="58">
        <v>23</v>
      </c>
      <c r="P565" s="58">
        <v>195</v>
      </c>
      <c r="Q565" s="58">
        <v>400</v>
      </c>
      <c r="R565" s="58">
        <v>72</v>
      </c>
      <c r="S565" s="58">
        <v>4205</v>
      </c>
    </row>
    <row r="566" spans="1:19" x14ac:dyDescent="0.5">
      <c r="A566" s="60">
        <v>2018</v>
      </c>
      <c r="B566" s="60" t="s">
        <v>88</v>
      </c>
      <c r="C566" s="60" t="s">
        <v>817</v>
      </c>
      <c r="D566" s="60">
        <v>5541</v>
      </c>
      <c r="E566" s="60">
        <v>906</v>
      </c>
      <c r="F566" s="60">
        <v>255</v>
      </c>
      <c r="G566" s="60">
        <v>30</v>
      </c>
      <c r="H566" s="60">
        <v>133</v>
      </c>
      <c r="I566" s="60">
        <v>448</v>
      </c>
      <c r="J566" s="60">
        <v>49</v>
      </c>
      <c r="K566" s="60">
        <v>3720</v>
      </c>
      <c r="L566" s="58">
        <v>6191</v>
      </c>
      <c r="M566" s="58">
        <v>898</v>
      </c>
      <c r="N566" s="58">
        <v>291</v>
      </c>
      <c r="O566" s="58">
        <v>42</v>
      </c>
      <c r="P566" s="58">
        <v>156</v>
      </c>
      <c r="Q566" s="58">
        <v>524</v>
      </c>
      <c r="R566" s="58">
        <v>45</v>
      </c>
      <c r="S566" s="58">
        <v>4235</v>
      </c>
    </row>
    <row r="567" spans="1:19" x14ac:dyDescent="0.5">
      <c r="A567" s="60">
        <v>2018</v>
      </c>
      <c r="B567" s="60" t="s">
        <v>90</v>
      </c>
      <c r="C567" s="60" t="s">
        <v>818</v>
      </c>
      <c r="D567" s="60">
        <v>5498</v>
      </c>
      <c r="E567" s="60">
        <v>907</v>
      </c>
      <c r="F567" s="60">
        <v>248</v>
      </c>
      <c r="G567" s="60">
        <v>9</v>
      </c>
      <c r="H567" s="60">
        <v>205</v>
      </c>
      <c r="I567" s="60">
        <v>525</v>
      </c>
      <c r="J567" s="60">
        <v>80</v>
      </c>
      <c r="K567" s="60">
        <v>3524</v>
      </c>
      <c r="L567" s="58">
        <v>6271</v>
      </c>
      <c r="M567" s="58">
        <v>942</v>
      </c>
      <c r="N567" s="58">
        <v>242</v>
      </c>
      <c r="O567" s="58">
        <v>26</v>
      </c>
      <c r="P567" s="58">
        <v>144</v>
      </c>
      <c r="Q567" s="58">
        <v>593</v>
      </c>
      <c r="R567" s="58">
        <v>67</v>
      </c>
      <c r="S567" s="58">
        <v>4257</v>
      </c>
    </row>
    <row r="568" spans="1:19" x14ac:dyDescent="0.5">
      <c r="A568" s="60">
        <v>2018</v>
      </c>
      <c r="B568" s="60" t="s">
        <v>92</v>
      </c>
      <c r="C568" s="60" t="s">
        <v>819</v>
      </c>
      <c r="D568" s="60">
        <v>5475</v>
      </c>
      <c r="E568" s="60">
        <v>948</v>
      </c>
      <c r="F568" s="60">
        <v>274</v>
      </c>
      <c r="G568" s="60">
        <v>43</v>
      </c>
      <c r="H568" s="60">
        <v>150</v>
      </c>
      <c r="I568" s="60">
        <v>540</v>
      </c>
      <c r="J568" s="60">
        <v>101</v>
      </c>
      <c r="K568" s="60">
        <v>3419</v>
      </c>
      <c r="L568" s="58">
        <v>5992</v>
      </c>
      <c r="M568" s="58">
        <v>790</v>
      </c>
      <c r="N568" s="58">
        <v>262</v>
      </c>
      <c r="O568" s="58">
        <v>20</v>
      </c>
      <c r="P568" s="58">
        <v>164</v>
      </c>
      <c r="Q568" s="58">
        <v>501</v>
      </c>
      <c r="R568" s="58">
        <v>53</v>
      </c>
      <c r="S568" s="58">
        <v>4202</v>
      </c>
    </row>
    <row r="569" spans="1:19" x14ac:dyDescent="0.5">
      <c r="A569" s="60">
        <v>2018</v>
      </c>
      <c r="B569" s="60" t="s">
        <v>94</v>
      </c>
      <c r="C569" s="60" t="s">
        <v>820</v>
      </c>
      <c r="D569" s="60">
        <v>5453</v>
      </c>
      <c r="E569" s="60">
        <v>824</v>
      </c>
      <c r="F569" s="60">
        <v>266</v>
      </c>
      <c r="G569" s="60">
        <v>24</v>
      </c>
      <c r="H569" s="60">
        <v>194</v>
      </c>
      <c r="I569" s="60">
        <v>555</v>
      </c>
      <c r="J569" s="60">
        <v>88</v>
      </c>
      <c r="K569" s="60">
        <v>3502</v>
      </c>
      <c r="L569" s="58">
        <v>6231</v>
      </c>
      <c r="M569" s="58">
        <v>925</v>
      </c>
      <c r="N569" s="58">
        <v>325</v>
      </c>
      <c r="O569" s="58">
        <v>44</v>
      </c>
      <c r="P569" s="58">
        <v>222</v>
      </c>
      <c r="Q569" s="58">
        <v>491</v>
      </c>
      <c r="R569" s="58">
        <v>72</v>
      </c>
      <c r="S569" s="58">
        <v>4152</v>
      </c>
    </row>
    <row r="570" spans="1:19" x14ac:dyDescent="0.5">
      <c r="A570" s="60">
        <v>2018</v>
      </c>
      <c r="B570" s="60" t="s">
        <v>96</v>
      </c>
      <c r="C570" s="60" t="s">
        <v>821</v>
      </c>
      <c r="D570" s="60">
        <v>5477</v>
      </c>
      <c r="E570" s="60">
        <v>783</v>
      </c>
      <c r="F570" s="60">
        <v>320</v>
      </c>
      <c r="G570" s="60">
        <v>16</v>
      </c>
      <c r="H570" s="60">
        <v>217</v>
      </c>
      <c r="I570" s="60">
        <v>499</v>
      </c>
      <c r="J570" s="60">
        <v>58</v>
      </c>
      <c r="K570" s="60">
        <v>3584</v>
      </c>
      <c r="L570" s="58">
        <v>6265</v>
      </c>
      <c r="M570" s="58">
        <v>911</v>
      </c>
      <c r="N570" s="58">
        <v>325</v>
      </c>
      <c r="O570" s="58">
        <v>32</v>
      </c>
      <c r="P570" s="58">
        <v>208</v>
      </c>
      <c r="Q570" s="58">
        <v>551</v>
      </c>
      <c r="R570" s="58">
        <v>67</v>
      </c>
      <c r="S570" s="58">
        <v>4171</v>
      </c>
    </row>
    <row r="571" spans="1:19" x14ac:dyDescent="0.5">
      <c r="A571" s="60">
        <v>2018</v>
      </c>
      <c r="B571" s="60" t="s">
        <v>100</v>
      </c>
      <c r="C571" s="60" t="s">
        <v>822</v>
      </c>
      <c r="D571" s="60">
        <v>5517</v>
      </c>
      <c r="E571" s="60">
        <v>902</v>
      </c>
      <c r="F571" s="60">
        <v>284</v>
      </c>
      <c r="G571" s="60">
        <v>25</v>
      </c>
      <c r="H571" s="60">
        <v>191</v>
      </c>
      <c r="I571" s="60">
        <v>631</v>
      </c>
      <c r="J571" s="60">
        <v>59</v>
      </c>
      <c r="K571" s="60">
        <v>3425</v>
      </c>
      <c r="L571" s="58">
        <v>6087</v>
      </c>
      <c r="M571" s="58">
        <v>823</v>
      </c>
      <c r="N571" s="58">
        <v>273</v>
      </c>
      <c r="O571" s="58">
        <v>26</v>
      </c>
      <c r="P571" s="58">
        <v>198</v>
      </c>
      <c r="Q571" s="58">
        <v>487</v>
      </c>
      <c r="R571" s="58">
        <v>76</v>
      </c>
      <c r="S571" s="58">
        <v>4204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FE1C-42AC-407E-A19C-2D75B0AA789A}">
  <sheetPr codeName="Sheet7"/>
  <dimension ref="A1:BF47"/>
  <sheetViews>
    <sheetView zoomScale="90" zoomScaleNormal="90" workbookViewId="0">
      <selection activeCell="F9" sqref="F9"/>
    </sheetView>
  </sheetViews>
  <sheetFormatPr defaultRowHeight="15.75" x14ac:dyDescent="0.5"/>
  <cols>
    <col min="12" max="12" width="0.625" style="2" customWidth="1"/>
  </cols>
  <sheetData>
    <row r="1" spans="1:58" s="38" customFormat="1" ht="18" x14ac:dyDescent="0.55000000000000004">
      <c r="A1" s="43" t="s">
        <v>106</v>
      </c>
      <c r="B1" s="43" t="s">
        <v>11</v>
      </c>
      <c r="C1" s="43" t="s">
        <v>10</v>
      </c>
      <c r="D1" s="43" t="s">
        <v>12</v>
      </c>
      <c r="E1" s="43" t="s">
        <v>122</v>
      </c>
      <c r="F1" s="43" t="s">
        <v>13</v>
      </c>
      <c r="G1" s="43" t="s">
        <v>14</v>
      </c>
      <c r="H1" s="43" t="s">
        <v>15</v>
      </c>
      <c r="I1" s="43" t="s">
        <v>16</v>
      </c>
      <c r="J1" s="43" t="s">
        <v>20</v>
      </c>
      <c r="K1" s="43" t="s">
        <v>131</v>
      </c>
      <c r="L1" s="82"/>
      <c r="M1" s="80" t="s">
        <v>106</v>
      </c>
      <c r="N1" s="80" t="s">
        <v>134</v>
      </c>
      <c r="O1" s="80" t="s">
        <v>135</v>
      </c>
      <c r="P1" s="80" t="s">
        <v>136</v>
      </c>
      <c r="Q1" s="80" t="s">
        <v>137</v>
      </c>
      <c r="R1" s="80" t="s">
        <v>138</v>
      </c>
      <c r="S1" s="80" t="s">
        <v>139</v>
      </c>
      <c r="T1" s="80" t="s">
        <v>140</v>
      </c>
      <c r="U1" s="37"/>
      <c r="V1" s="37"/>
      <c r="W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37"/>
    </row>
    <row r="2" spans="1:58" x14ac:dyDescent="0.5">
      <c r="A2" s="34">
        <v>2000</v>
      </c>
      <c r="B2" s="39">
        <f>SUM('Batting Data'!J$2:J$31)/30</f>
        <v>5576.333333333333</v>
      </c>
      <c r="C2" s="39">
        <f>SUM('Batting Data'!E$2:E$31)/30</f>
        <v>832.36666666666667</v>
      </c>
      <c r="D2" s="39">
        <f>SUM('Batting Data'!F$2:F$31)/30</f>
        <v>1508.2</v>
      </c>
      <c r="E2" s="39">
        <f>SUM('Batting Data'!K$2:K$31)/30</f>
        <v>990</v>
      </c>
      <c r="F2" s="39">
        <f>SUM('Batting Data'!L$2:L$31)/30</f>
        <v>296.7</v>
      </c>
      <c r="G2" s="39">
        <f>SUM('Batting Data'!M$2:M$31)/30</f>
        <v>31.733333333333334</v>
      </c>
      <c r="H2" s="39">
        <f>SUM('Batting Data'!N$2:N$31)/30</f>
        <v>189.76666666666668</v>
      </c>
      <c r="I2" s="39">
        <f>SUM('Batting Data'!O$2:O$31)/30</f>
        <v>607.9</v>
      </c>
      <c r="J2" s="39">
        <f>SUM('Batting Data'!P$2:P$31)/30</f>
        <v>52.43333333333333</v>
      </c>
      <c r="K2" s="39">
        <f>SUM('Batting Data'!Q$2:Q$31)/30</f>
        <v>3407.8</v>
      </c>
      <c r="L2" s="81"/>
      <c r="M2" s="102" t="s">
        <v>226</v>
      </c>
      <c r="N2">
        <f>E2/B2</f>
        <v>0.17753601530276766</v>
      </c>
      <c r="O2">
        <f>F2/B2</f>
        <v>5.3207005798314305E-2</v>
      </c>
      <c r="P2">
        <f>G2/B2</f>
        <v>5.6907167194691858E-3</v>
      </c>
      <c r="Q2">
        <f>H2/B2</f>
        <v>3.4030725088170247E-2</v>
      </c>
      <c r="R2">
        <f>I2/B2</f>
        <v>0.10901428656823481</v>
      </c>
      <c r="S2">
        <f>J2/B2</f>
        <v>9.4028334030725087E-3</v>
      </c>
      <c r="T2">
        <f>K2/B2</f>
        <v>0.61111841711997139</v>
      </c>
    </row>
    <row r="3" spans="1:58" x14ac:dyDescent="0.5">
      <c r="A3" s="34">
        <v>2001</v>
      </c>
      <c r="B3" s="39">
        <f>SUM('Batting Data'!J32:J61)/30</f>
        <v>5541.1333333333332</v>
      </c>
      <c r="C3" s="39">
        <f>SUM('Batting Data'!E32:E61)/30</f>
        <v>773.3</v>
      </c>
      <c r="D3" s="39">
        <f>SUM('Batting Data'!F32:F61)/30</f>
        <v>1462.6333333333334</v>
      </c>
      <c r="E3" s="39">
        <f>SUM('Batting Data'!K32:K61)/30</f>
        <v>956</v>
      </c>
      <c r="F3" s="39">
        <f>SUM('Batting Data'!L32:L61)/30</f>
        <v>293.76666666666665</v>
      </c>
      <c r="G3" s="39">
        <f>SUM('Batting Data'!M32:M61)/30</f>
        <v>30.933333333333334</v>
      </c>
      <c r="H3" s="39">
        <f>SUM('Batting Data'!N32:N61)/30</f>
        <v>181.93333333333334</v>
      </c>
      <c r="I3" s="39">
        <f>SUM('Batting Data'!O32:O61)/30</f>
        <v>526.86666666666667</v>
      </c>
      <c r="J3" s="39">
        <f>SUM('Batting Data'!P32:P61)/30</f>
        <v>63</v>
      </c>
      <c r="K3" s="39">
        <f>SUM('Batting Data'!Q32:Q61)/30</f>
        <v>3488.6333333333332</v>
      </c>
      <c r="L3" s="81"/>
      <c r="M3" s="102" t="s">
        <v>227</v>
      </c>
      <c r="N3">
        <f t="shared" ref="N3:N20" si="0">E3/B3</f>
        <v>0.17252788238266539</v>
      </c>
      <c r="O3">
        <f t="shared" ref="O3:O21" si="1">F3/B3</f>
        <v>5.3015628571772319E-2</v>
      </c>
      <c r="P3">
        <f t="shared" ref="P3:P21" si="2">G3/B3</f>
        <v>5.5824921496204147E-3</v>
      </c>
      <c r="Q3">
        <f t="shared" ref="Q3:Q21" si="3">H3/B3</f>
        <v>3.2833235078263176E-2</v>
      </c>
      <c r="R3">
        <f t="shared" ref="R3:R21" si="4">I3/B3</f>
        <v>9.5082835039763225E-2</v>
      </c>
      <c r="S3">
        <f t="shared" ref="S3:S21" si="5">J3/B3</f>
        <v>1.1369515261619164E-2</v>
      </c>
      <c r="T3">
        <f t="shared" ref="T3:T21" si="6">K3/B3</f>
        <v>0.6295884115162963</v>
      </c>
    </row>
    <row r="4" spans="1:58" x14ac:dyDescent="0.5">
      <c r="A4" s="34">
        <v>2002</v>
      </c>
      <c r="B4" s="39">
        <f>SUM('Batting Data'!J$62:J$91)/30</f>
        <v>5519.4</v>
      </c>
      <c r="C4" s="39">
        <f>SUM('Batting Data'!E$62:E$91)/30</f>
        <v>746.93333333333328</v>
      </c>
      <c r="D4" s="39">
        <f>SUM('Batting Data'!F$62:F$91)/30</f>
        <v>1442.4</v>
      </c>
      <c r="E4" s="39">
        <f>SUM('Batting Data'!K$62:K$91)/30</f>
        <v>953.06666666666672</v>
      </c>
      <c r="F4" s="39">
        <f>SUM('Batting Data'!L$62:L$91)/30</f>
        <v>290</v>
      </c>
      <c r="G4" s="39">
        <f>SUM('Batting Data'!M$62:M$91)/30</f>
        <v>30.7</v>
      </c>
      <c r="H4" s="39">
        <f>SUM('Batting Data'!N$62:N$91)/30</f>
        <v>168.63333333333333</v>
      </c>
      <c r="I4" s="39">
        <f>SUM('Batting Data'!O$62:O$91)/30</f>
        <v>541.5333333333333</v>
      </c>
      <c r="J4" s="39">
        <f>SUM('Batting Data'!P$62:P$91)/30</f>
        <v>58.2</v>
      </c>
      <c r="K4" s="39">
        <f>SUM('Batting Data'!Q$62:Q$91)/30</f>
        <v>3477.2666666666669</v>
      </c>
      <c r="L4" s="81"/>
      <c r="M4" s="102" t="s">
        <v>228</v>
      </c>
      <c r="N4">
        <f t="shared" si="0"/>
        <v>0.1726757739367806</v>
      </c>
      <c r="O4">
        <f t="shared" si="1"/>
        <v>5.2541942964815021E-2</v>
      </c>
      <c r="P4">
        <f t="shared" si="2"/>
        <v>5.5621987897235209E-3</v>
      </c>
      <c r="Q4">
        <f t="shared" si="3"/>
        <v>3.0552837868850481E-2</v>
      </c>
      <c r="R4">
        <f t="shared" si="4"/>
        <v>9.8114529357055724E-2</v>
      </c>
      <c r="S4">
        <f t="shared" si="5"/>
        <v>1.0544624415697359E-2</v>
      </c>
      <c r="T4">
        <f t="shared" si="6"/>
        <v>0.63000809266707747</v>
      </c>
    </row>
    <row r="5" spans="1:58" x14ac:dyDescent="0.5">
      <c r="A5" s="34">
        <v>2003</v>
      </c>
      <c r="B5" s="39">
        <f>SUM('Batting Data'!J$92:J$121)/30</f>
        <v>5557.9</v>
      </c>
      <c r="C5" s="39">
        <f>SUM('Batting Data'!E$92:E$121)/30</f>
        <v>765.93333333333328</v>
      </c>
      <c r="D5" s="39">
        <f>SUM('Batting Data'!F$92:F$121)/30</f>
        <v>1468.5666666666666</v>
      </c>
      <c r="E5" s="39">
        <f>SUM('Batting Data'!K$92:K$121)/30</f>
        <v>969.63333333333333</v>
      </c>
      <c r="F5" s="39">
        <f>SUM('Batting Data'!L$92:L$121)/30</f>
        <v>294.23333333333335</v>
      </c>
      <c r="G5" s="39">
        <f>SUM('Batting Data'!M$92:M$121)/30</f>
        <v>31.133333333333333</v>
      </c>
      <c r="H5" s="39">
        <f>SUM('Batting Data'!N$92:N$121)/30</f>
        <v>173.56666666666666</v>
      </c>
      <c r="I5" s="39">
        <f>SUM('Batting Data'!O$92:O$121)/30</f>
        <v>529.63333333333333</v>
      </c>
      <c r="J5" s="39">
        <f>SUM('Batting Data'!P$92:P$121)/30</f>
        <v>61.633333333333333</v>
      </c>
      <c r="K5" s="39">
        <f>SUM('Batting Data'!Q$92:Q$121)/30</f>
        <v>3498.0666666666666</v>
      </c>
      <c r="L5" s="81"/>
      <c r="M5" s="102" t="s">
        <v>229</v>
      </c>
      <c r="N5">
        <f t="shared" si="0"/>
        <v>0.17446037772060191</v>
      </c>
      <c r="O5">
        <f t="shared" si="1"/>
        <v>5.2939659463706323E-2</v>
      </c>
      <c r="P5">
        <f t="shared" si="2"/>
        <v>5.6016361095617652E-3</v>
      </c>
      <c r="Q5">
        <f t="shared" si="3"/>
        <v>3.1228821437353439E-2</v>
      </c>
      <c r="R5">
        <f t="shared" si="4"/>
        <v>9.5293786022298599E-2</v>
      </c>
      <c r="S5">
        <f t="shared" si="5"/>
        <v>1.1089320306830517E-2</v>
      </c>
      <c r="T5">
        <f t="shared" si="6"/>
        <v>0.62938639893964754</v>
      </c>
    </row>
    <row r="6" spans="1:58" x14ac:dyDescent="0.5">
      <c r="A6" s="34">
        <v>2004</v>
      </c>
      <c r="B6" s="39">
        <f>SUM('Batting Data'!J$122:J$151)/30</f>
        <v>5578.4333333333334</v>
      </c>
      <c r="C6" s="39">
        <f>SUM('Batting Data'!E$122:E$151)/30</f>
        <v>779.2</v>
      </c>
      <c r="D6" s="39">
        <f>SUM('Batting Data'!F$122:F$151)/30</f>
        <v>1484.0666666666666</v>
      </c>
      <c r="E6" s="39">
        <f>SUM('Batting Data'!K$122:K$151)/30</f>
        <v>975.13333333333333</v>
      </c>
      <c r="F6" s="39">
        <f>SUM('Batting Data'!L$122:L$151)/30</f>
        <v>297.3</v>
      </c>
      <c r="G6" s="39">
        <f>SUM('Batting Data'!M$122:M$151)/30</f>
        <v>29.933333333333334</v>
      </c>
      <c r="H6" s="39">
        <f>SUM('Batting Data'!N$122:N$151)/30</f>
        <v>181.7</v>
      </c>
      <c r="I6" s="39">
        <f>SUM('Batting Data'!O$122:O$151)/30</f>
        <v>540.73333333333335</v>
      </c>
      <c r="J6" s="39">
        <f>SUM('Batting Data'!P$122:P$151)/30</f>
        <v>61.666666666666664</v>
      </c>
      <c r="K6" s="39">
        <f>SUM('Batting Data'!Q$122:Q$151)/30</f>
        <v>3491.9666666666667</v>
      </c>
      <c r="L6" s="81"/>
      <c r="M6" s="102" t="s">
        <v>193</v>
      </c>
      <c r="N6">
        <f t="shared" si="0"/>
        <v>0.17480415648360054</v>
      </c>
      <c r="O6">
        <f t="shared" si="1"/>
        <v>5.3294533112642144E-2</v>
      </c>
      <c r="P6">
        <f t="shared" si="2"/>
        <v>5.3659032105788365E-3</v>
      </c>
      <c r="Q6">
        <f t="shared" si="3"/>
        <v>3.2571869043279772E-2</v>
      </c>
      <c r="R6">
        <f t="shared" si="4"/>
        <v>9.693283060357448E-2</v>
      </c>
      <c r="S6">
        <f t="shared" si="5"/>
        <v>1.1054477660992034E-2</v>
      </c>
      <c r="T6">
        <f t="shared" si="6"/>
        <v>0.62597622988533219</v>
      </c>
    </row>
    <row r="7" spans="1:58" x14ac:dyDescent="0.5">
      <c r="A7" s="34">
        <v>2005</v>
      </c>
      <c r="B7" s="39">
        <f>SUM('Batting Data'!J$152:J$181)/30</f>
        <v>5544.5</v>
      </c>
      <c r="C7" s="39">
        <f>SUM('Batting Data'!E$152:E$181)/30</f>
        <v>744.16666666666663</v>
      </c>
      <c r="D7" s="39">
        <f>SUM('Batting Data'!F$152:F$181)/30</f>
        <v>1466.3666666666666</v>
      </c>
      <c r="E7" s="39">
        <f>SUM('Batting Data'!K$152:K$181)/30</f>
        <v>974.1</v>
      </c>
      <c r="F7" s="39">
        <f>SUM('Batting Data'!L$152:L$181)/30</f>
        <v>295.43333333333334</v>
      </c>
      <c r="G7" s="39">
        <f>SUM('Batting Data'!M$152:M$181)/30</f>
        <v>29.6</v>
      </c>
      <c r="H7" s="39">
        <f>SUM('Batting Data'!N$152:N$181)/30</f>
        <v>167.23333333333332</v>
      </c>
      <c r="I7" s="39">
        <f>SUM('Batting Data'!O$152:O$181)/30</f>
        <v>506.9</v>
      </c>
      <c r="J7" s="39">
        <f>SUM('Batting Data'!P$152:P$181)/30</f>
        <v>59.9</v>
      </c>
      <c r="K7" s="39">
        <f>SUM('Batting Data'!Q$152:Q$181)/30</f>
        <v>3511.3333333333335</v>
      </c>
      <c r="L7" s="81"/>
      <c r="M7" s="102" t="s">
        <v>195</v>
      </c>
      <c r="N7">
        <f t="shared" si="0"/>
        <v>0.17568761836053748</v>
      </c>
      <c r="O7">
        <f t="shared" si="1"/>
        <v>5.3284035230107912E-2</v>
      </c>
      <c r="P7">
        <f t="shared" si="2"/>
        <v>5.3386238614843541E-3</v>
      </c>
      <c r="Q7">
        <f t="shared" si="3"/>
        <v>3.0162022424625002E-2</v>
      </c>
      <c r="R7">
        <f t="shared" si="4"/>
        <v>9.1423933627919562E-2</v>
      </c>
      <c r="S7">
        <f t="shared" si="5"/>
        <v>1.0803498962936243E-2</v>
      </c>
      <c r="T7">
        <f t="shared" si="6"/>
        <v>0.63330026753238944</v>
      </c>
    </row>
    <row r="8" spans="1:58" x14ac:dyDescent="0.5">
      <c r="A8" s="34">
        <v>2006</v>
      </c>
      <c r="B8" s="39">
        <f>SUM('Batting Data'!J$182:J$211)/30</f>
        <v>5578.0333333333338</v>
      </c>
      <c r="C8" s="39">
        <f>SUM('Batting Data'!E$182:E$211)/30</f>
        <v>786.63333333333333</v>
      </c>
      <c r="D8" s="39">
        <f>SUM('Batting Data'!F$182:F$211)/30</f>
        <v>1502.4333333333334</v>
      </c>
      <c r="E8" s="39">
        <f>SUM('Batting Data'!K$182:K$211)/30</f>
        <v>986.66666666666663</v>
      </c>
      <c r="F8" s="39">
        <f>SUM('Batting Data'!L$182:L$211)/30</f>
        <v>304.5</v>
      </c>
      <c r="G8" s="39">
        <f>SUM('Batting Data'!M$182:M$211)/30</f>
        <v>31.733333333333334</v>
      </c>
      <c r="H8" s="39">
        <f>SUM('Batting Data'!N$182:N$211)/30</f>
        <v>179.53333333333333</v>
      </c>
      <c r="I8" s="39">
        <f>SUM('Batting Data'!O$182:O$211)/30</f>
        <v>528.23333333333335</v>
      </c>
      <c r="J8" s="39">
        <f>SUM('Batting Data'!P$182:P$211)/30</f>
        <v>60.56666666666667</v>
      </c>
      <c r="K8" s="39">
        <f>SUM('Batting Data'!Q$182:Q$211)/30</f>
        <v>3486.8</v>
      </c>
      <c r="L8" s="81"/>
      <c r="M8" s="102" t="s">
        <v>230</v>
      </c>
      <c r="N8">
        <f t="shared" si="0"/>
        <v>0.17688432601693546</v>
      </c>
      <c r="O8">
        <f t="shared" si="1"/>
        <v>5.4589132370429241E-2</v>
      </c>
      <c r="P8">
        <f t="shared" si="2"/>
        <v>5.6889823773014379E-3</v>
      </c>
      <c r="Q8">
        <f t="shared" si="3"/>
        <v>3.218577634889238E-2</v>
      </c>
      <c r="R8">
        <f t="shared" si="4"/>
        <v>9.4698848459134344E-2</v>
      </c>
      <c r="S8">
        <f t="shared" si="5"/>
        <v>1.0858068255836883E-2</v>
      </c>
      <c r="T8">
        <f t="shared" si="6"/>
        <v>0.62509486617147025</v>
      </c>
    </row>
    <row r="9" spans="1:58" x14ac:dyDescent="0.5">
      <c r="A9" s="34">
        <v>2007</v>
      </c>
      <c r="B9" s="39">
        <f>SUM('Batting Data'!J$212:J$241)/30</f>
        <v>5592.7666666666664</v>
      </c>
      <c r="C9" s="39">
        <f>SUM('Batting Data'!E$212:E$241)/30</f>
        <v>777.4</v>
      </c>
      <c r="D9" s="39">
        <f>SUM('Batting Data'!F$212:F$241)/30</f>
        <v>1499.2333333333333</v>
      </c>
      <c r="E9" s="39">
        <f>SUM('Batting Data'!K$212:K$241)/30</f>
        <v>996.16666666666663</v>
      </c>
      <c r="F9" s="39">
        <f>SUM('Batting Data'!L$212:L$241)/30</f>
        <v>306.56666666666666</v>
      </c>
      <c r="G9" s="39">
        <f>SUM('Batting Data'!M$212:M$241)/30</f>
        <v>31.266666666666666</v>
      </c>
      <c r="H9" s="39">
        <f>SUM('Batting Data'!N$212:N$241)/30</f>
        <v>165.23333333333332</v>
      </c>
      <c r="I9" s="39">
        <f>SUM('Batting Data'!O$212:O$241)/30</f>
        <v>535.9666666666667</v>
      </c>
      <c r="J9" s="39">
        <f>SUM('Batting Data'!P$212:P$241)/30</f>
        <v>58.5</v>
      </c>
      <c r="K9" s="39">
        <f>SUM('Batting Data'!Q$212:Q$241)/30</f>
        <v>3499.0666666666666</v>
      </c>
      <c r="L9" s="81"/>
      <c r="M9" s="102" t="s">
        <v>194</v>
      </c>
      <c r="N9">
        <f t="shared" si="0"/>
        <v>0.17811697251807393</v>
      </c>
      <c r="O9">
        <f t="shared" si="1"/>
        <v>5.4814850133803786E-2</v>
      </c>
      <c r="P9">
        <f t="shared" si="2"/>
        <v>5.5905544661854897E-3</v>
      </c>
      <c r="Q9">
        <f t="shared" si="3"/>
        <v>2.9544113527592186E-2</v>
      </c>
      <c r="R9">
        <f t="shared" si="4"/>
        <v>9.5832116483791571E-2</v>
      </c>
      <c r="S9">
        <f t="shared" si="5"/>
        <v>1.0459939326391828E-2</v>
      </c>
      <c r="T9">
        <f t="shared" si="6"/>
        <v>0.62564145354416123</v>
      </c>
    </row>
    <row r="10" spans="1:58" x14ac:dyDescent="0.5">
      <c r="A10" s="34">
        <v>2008</v>
      </c>
      <c r="B10" s="39">
        <f>SUM('Batting Data'!J$242:J$271)/30</f>
        <v>5557.1333333333332</v>
      </c>
      <c r="C10" s="39">
        <f>SUM('Batting Data'!E$242:E$271)/30</f>
        <v>752.83333333333337</v>
      </c>
      <c r="D10" s="39">
        <f>SUM('Batting Data'!F$242:F$271)/30</f>
        <v>1465.7333333333333</v>
      </c>
      <c r="E10" s="39">
        <f>SUM('Batting Data'!K$242:K$271)/30</f>
        <v>973.13333333333333</v>
      </c>
      <c r="F10" s="39">
        <f>SUM('Batting Data'!L$242:L$271)/30</f>
        <v>300.46666666666664</v>
      </c>
      <c r="G10" s="39">
        <f>SUM('Batting Data'!M$242:M$271)/30</f>
        <v>29.533333333333335</v>
      </c>
      <c r="H10" s="39">
        <f>SUM('Batting Data'!N$242:N$271)/30</f>
        <v>162.6</v>
      </c>
      <c r="I10" s="39">
        <f>SUM('Batting Data'!O$242:O$271)/30</f>
        <v>544.56666666666672</v>
      </c>
      <c r="J10" s="39">
        <f>SUM('Batting Data'!P$242:P$271)/30</f>
        <v>55.733333333333334</v>
      </c>
      <c r="K10" s="39">
        <f>SUM('Batting Data'!Q$242:Q$271)/30</f>
        <v>3491.1</v>
      </c>
      <c r="L10" s="81"/>
      <c r="M10" s="102" t="s">
        <v>225</v>
      </c>
      <c r="N10">
        <f t="shared" si="0"/>
        <v>0.17511426754801637</v>
      </c>
      <c r="O10">
        <f t="shared" si="1"/>
        <v>5.4068644504960586E-2</v>
      </c>
      <c r="P10">
        <f t="shared" si="2"/>
        <v>5.3144906846455614E-3</v>
      </c>
      <c r="Q10">
        <f t="shared" si="3"/>
        <v>2.9259690247969577E-2</v>
      </c>
      <c r="R10">
        <f t="shared" si="4"/>
        <v>9.7994169655817753E-2</v>
      </c>
      <c r="S10">
        <f t="shared" si="5"/>
        <v>1.0029151720911261E-2</v>
      </c>
      <c r="T10">
        <f t="shared" si="6"/>
        <v>0.62821958563767888</v>
      </c>
    </row>
    <row r="11" spans="1:58" x14ac:dyDescent="0.5">
      <c r="A11" s="34">
        <v>2009</v>
      </c>
      <c r="B11" s="39">
        <f>SUM('Batting Data'!J$272:J$301)/30</f>
        <v>5528.3</v>
      </c>
      <c r="C11" s="39">
        <f>SUM('Batting Data'!E$272:E$301)/30</f>
        <v>747.3</v>
      </c>
      <c r="D11" s="39">
        <f>SUM('Batting Data'!F$272:F$301)/30</f>
        <v>1450.8</v>
      </c>
      <c r="E11" s="39">
        <f>SUM('Batting Data'!K$272:K$301)/30</f>
        <v>959.86666666666667</v>
      </c>
      <c r="F11" s="39">
        <f>SUM('Batting Data'!L$272:L$301)/30</f>
        <v>291.23333333333335</v>
      </c>
      <c r="G11" s="39">
        <f>SUM('Batting Data'!M$272:M$301)/30</f>
        <v>31.633333333333333</v>
      </c>
      <c r="H11" s="39">
        <f>SUM('Batting Data'!N$272:N$301)/30</f>
        <v>168.06666666666666</v>
      </c>
      <c r="I11" s="39">
        <f>SUM('Batting Data'!O$272:O$301)/30</f>
        <v>554</v>
      </c>
      <c r="J11" s="39">
        <f>SUM('Batting Data'!P$272:P$301)/30</f>
        <v>53</v>
      </c>
      <c r="K11" s="39">
        <f>SUM('Batting Data'!Q$272:Q$301)/30</f>
        <v>3470.5</v>
      </c>
      <c r="L11" s="81"/>
      <c r="M11" s="102" t="s">
        <v>231</v>
      </c>
      <c r="N11">
        <f t="shared" si="0"/>
        <v>0.17362781807547828</v>
      </c>
      <c r="O11">
        <f t="shared" si="1"/>
        <v>5.2680450289118413E-2</v>
      </c>
      <c r="P11">
        <f t="shared" si="2"/>
        <v>5.7220724876242846E-3</v>
      </c>
      <c r="Q11">
        <f t="shared" si="3"/>
        <v>3.0401148032246198E-2</v>
      </c>
      <c r="R11">
        <f t="shared" si="4"/>
        <v>0.10021163829748747</v>
      </c>
      <c r="S11">
        <f t="shared" si="5"/>
        <v>9.5870339887488016E-3</v>
      </c>
      <c r="T11">
        <f t="shared" si="6"/>
        <v>0.62776983882929649</v>
      </c>
    </row>
    <row r="12" spans="1:58" x14ac:dyDescent="0.5">
      <c r="A12" s="34">
        <v>2010</v>
      </c>
      <c r="B12" s="39">
        <f>SUM('Batting Data'!J$302:J$331)/30</f>
        <v>5511.7666666666664</v>
      </c>
      <c r="C12" s="39">
        <f>SUM('Batting Data'!E$302:E$331)/30</f>
        <v>710.26666666666665</v>
      </c>
      <c r="D12" s="39">
        <f>SUM('Batting Data'!F$302:F$331)/30</f>
        <v>1418.4666666666667</v>
      </c>
      <c r="E12" s="39">
        <f>SUM('Batting Data'!K$302:K$331)/30</f>
        <v>952.9666666666667</v>
      </c>
      <c r="F12" s="39">
        <f>SUM('Batting Data'!L$302:L$331)/30</f>
        <v>282.86666666666667</v>
      </c>
      <c r="G12" s="39">
        <f>SUM('Batting Data'!M$302:M$331)/30</f>
        <v>28.866666666666667</v>
      </c>
      <c r="H12" s="39">
        <f>SUM('Batting Data'!N$302:N$331)/30</f>
        <v>153.76666666666668</v>
      </c>
      <c r="I12" s="39">
        <f>SUM('Batting Data'!O$302:O$331)/30</f>
        <v>525.93333333333328</v>
      </c>
      <c r="J12" s="39">
        <f>SUM('Batting Data'!P$302:P$331)/30</f>
        <v>51.633333333333333</v>
      </c>
      <c r="K12" s="39">
        <f>SUM('Batting Data'!Q$302:Q$331)/30</f>
        <v>3515.7333333333331</v>
      </c>
      <c r="L12" s="81"/>
      <c r="M12" s="102" t="s">
        <v>232</v>
      </c>
      <c r="N12">
        <f t="shared" si="0"/>
        <v>0.17289677235973949</v>
      </c>
      <c r="O12">
        <f t="shared" si="1"/>
        <v>5.1320508245994934E-2</v>
      </c>
      <c r="P12">
        <f t="shared" si="2"/>
        <v>5.2372802428743356E-3</v>
      </c>
      <c r="Q12">
        <f t="shared" si="3"/>
        <v>2.7897891178267104E-2</v>
      </c>
      <c r="R12">
        <f t="shared" si="4"/>
        <v>9.5420101237957577E-2</v>
      </c>
      <c r="S12">
        <f t="shared" si="5"/>
        <v>9.3678372935477438E-3</v>
      </c>
      <c r="T12">
        <f t="shared" si="6"/>
        <v>0.63785960944161879</v>
      </c>
    </row>
    <row r="13" spans="1:58" x14ac:dyDescent="0.5">
      <c r="A13" s="34">
        <v>2011</v>
      </c>
      <c r="B13" s="39">
        <f>SUM('Batting Data'!J$332:J$361)/30</f>
        <v>5523.5</v>
      </c>
      <c r="C13" s="39">
        <f>SUM('Batting Data'!E$332:E$361)/30</f>
        <v>693.6</v>
      </c>
      <c r="D13" s="39">
        <f>SUM('Batting Data'!F$332:F$361)/30</f>
        <v>1408.9</v>
      </c>
      <c r="E13" s="39">
        <f>SUM('Batting Data'!K$332:K$361)/30</f>
        <v>947.26666666666665</v>
      </c>
      <c r="F13" s="39">
        <f>SUM('Batting Data'!L$332:L$361)/30</f>
        <v>279.96666666666664</v>
      </c>
      <c r="G13" s="39">
        <f>SUM('Batting Data'!M$332:M$361)/30</f>
        <v>29.933333333333334</v>
      </c>
      <c r="H13" s="39">
        <f>SUM('Batting Data'!N$332:N$361)/30</f>
        <v>151.73333333333332</v>
      </c>
      <c r="I13" s="39">
        <f>SUM('Batting Data'!O$332:O$361)/30</f>
        <v>500.6</v>
      </c>
      <c r="J13" s="39">
        <f>SUM('Batting Data'!P$332:P$361)/30</f>
        <v>51.8</v>
      </c>
      <c r="K13" s="39">
        <f>SUM('Batting Data'!Q$332:Q$361)/30</f>
        <v>3562.2</v>
      </c>
      <c r="L13" s="81"/>
      <c r="M13" s="102" t="s">
        <v>233</v>
      </c>
      <c r="N13">
        <f t="shared" si="0"/>
        <v>0.17149754081047644</v>
      </c>
      <c r="O13">
        <f t="shared" si="1"/>
        <v>5.06864608792734E-2</v>
      </c>
      <c r="P13">
        <f t="shared" si="2"/>
        <v>5.419269183186989E-3</v>
      </c>
      <c r="Q13">
        <f t="shared" si="3"/>
        <v>2.7470504812769678E-2</v>
      </c>
      <c r="R13">
        <f t="shared" si="4"/>
        <v>9.063094052683987E-2</v>
      </c>
      <c r="S13">
        <f t="shared" si="5"/>
        <v>9.3781117045351678E-3</v>
      </c>
      <c r="T13">
        <f t="shared" si="6"/>
        <v>0.64491717208291843</v>
      </c>
    </row>
    <row r="14" spans="1:58" x14ac:dyDescent="0.5">
      <c r="A14" s="34">
        <v>2012</v>
      </c>
      <c r="B14" s="39">
        <f>SUM('Batting Data'!J$362:J$391)/30</f>
        <v>5508.3666666666668</v>
      </c>
      <c r="C14" s="39">
        <f>SUM('Batting Data'!E$362:E$391)/30</f>
        <v>700.56666666666672</v>
      </c>
      <c r="D14" s="39">
        <f>SUM('Batting Data'!F$362:F$391)/30</f>
        <v>1402.1</v>
      </c>
      <c r="E14" s="39">
        <f>SUM('Batting Data'!K$362:K$391)/30</f>
        <v>931.36666666666667</v>
      </c>
      <c r="F14" s="39">
        <f>SUM('Batting Data'!L$362:L$391)/30</f>
        <v>275.36666666666667</v>
      </c>
      <c r="G14" s="39">
        <f>SUM('Batting Data'!M$362:M$391)/30</f>
        <v>30.9</v>
      </c>
      <c r="H14" s="39">
        <f>SUM('Batting Data'!N$362:N$391)/30</f>
        <v>164.46666666666667</v>
      </c>
      <c r="I14" s="39">
        <f>SUM('Batting Data'!O$362:O$391)/30</f>
        <v>490.3</v>
      </c>
      <c r="J14" s="39">
        <f>SUM('Batting Data'!P$362:P$391)/30</f>
        <v>49.8</v>
      </c>
      <c r="K14" s="39">
        <f>SUM('Batting Data'!Q$362:Q$391)/30</f>
        <v>3566.1666666666665</v>
      </c>
      <c r="L14" s="81"/>
      <c r="M14" s="102" t="s">
        <v>196</v>
      </c>
      <c r="N14">
        <f t="shared" si="0"/>
        <v>0.16908218407150336</v>
      </c>
      <c r="O14">
        <f t="shared" si="1"/>
        <v>4.9990620329075162E-2</v>
      </c>
      <c r="P14">
        <f t="shared" si="2"/>
        <v>5.6096483531113276E-3</v>
      </c>
      <c r="Q14">
        <f t="shared" si="3"/>
        <v>2.9857610543960401E-2</v>
      </c>
      <c r="R14">
        <f t="shared" si="4"/>
        <v>8.9010051376391064E-2</v>
      </c>
      <c r="S14">
        <f t="shared" si="5"/>
        <v>9.0407924914221397E-3</v>
      </c>
      <c r="T14">
        <f t="shared" si="6"/>
        <v>0.64740909283453651</v>
      </c>
    </row>
    <row r="15" spans="1:58" x14ac:dyDescent="0.5">
      <c r="A15" s="34">
        <v>2013</v>
      </c>
      <c r="B15" s="39">
        <f>SUM('Batting Data'!J$392:J$421)/30</f>
        <v>5535.666666666667</v>
      </c>
      <c r="C15" s="39">
        <f>SUM('Batting Data'!E$392:E$421)/30</f>
        <v>675.16666666666663</v>
      </c>
      <c r="D15" s="39">
        <f>SUM('Batting Data'!F$392:F$421)/30</f>
        <v>1403.1</v>
      </c>
      <c r="E15" s="39">
        <f>SUM('Batting Data'!K$392:K$421)/30</f>
        <v>947.93333333333328</v>
      </c>
      <c r="F15" s="39">
        <f>SUM('Batting Data'!L$392:L$421)/30</f>
        <v>274.06666666666666</v>
      </c>
      <c r="G15" s="39">
        <f>SUM('Batting Data'!M$392:M$421)/30</f>
        <v>25.733333333333334</v>
      </c>
      <c r="H15" s="39">
        <f>SUM('Batting Data'!N$392:N$421)/30</f>
        <v>155.36666666666667</v>
      </c>
      <c r="I15" s="39">
        <f>SUM('Batting Data'!O$392:O$421)/30</f>
        <v>488</v>
      </c>
      <c r="J15" s="39">
        <f>SUM('Batting Data'!P$392:P$421)/30</f>
        <v>51.2</v>
      </c>
      <c r="K15" s="39">
        <f>SUM('Batting Data'!Q$392:Q$421)/30</f>
        <v>3593.3666666666668</v>
      </c>
      <c r="L15" s="81"/>
      <c r="M15" s="102" t="s">
        <v>234</v>
      </c>
      <c r="N15">
        <f t="shared" si="0"/>
        <v>0.17124104293370263</v>
      </c>
      <c r="O15">
        <f t="shared" si="1"/>
        <v>4.9509243090263139E-2</v>
      </c>
      <c r="P15">
        <f t="shared" si="2"/>
        <v>4.6486421388571087E-3</v>
      </c>
      <c r="Q15">
        <f t="shared" si="3"/>
        <v>2.8066477991208528E-2</v>
      </c>
      <c r="R15">
        <f t="shared" si="4"/>
        <v>8.8155597037393868E-2</v>
      </c>
      <c r="S15">
        <f t="shared" si="5"/>
        <v>9.2491118203167338E-3</v>
      </c>
      <c r="T15">
        <f t="shared" si="6"/>
        <v>0.64912988498825797</v>
      </c>
    </row>
    <row r="16" spans="1:58" x14ac:dyDescent="0.5">
      <c r="A16" s="34">
        <v>2014</v>
      </c>
      <c r="B16" s="39">
        <f>SUM('Batting Data'!J$422:J$451)/30</f>
        <v>5520.4666666666662</v>
      </c>
      <c r="C16" s="39">
        <f>SUM('Batting Data'!E$422:E$451)/30</f>
        <v>658.7</v>
      </c>
      <c r="D16" s="39">
        <f>SUM('Batting Data'!F$422:F$451)/30</f>
        <v>1386.5</v>
      </c>
      <c r="E16" s="39">
        <f>SUM('Batting Data'!K$422:K$451)/30</f>
        <v>947.43333333333328</v>
      </c>
      <c r="F16" s="39">
        <f>SUM('Batting Data'!L$422:L$451)/30</f>
        <v>271.23333333333335</v>
      </c>
      <c r="G16" s="39">
        <f>SUM('Batting Data'!M$422:M$451)/30</f>
        <v>28.3</v>
      </c>
      <c r="H16" s="39">
        <f>SUM('Batting Data'!N$422:N$451)/30</f>
        <v>139.53333333333333</v>
      </c>
      <c r="I16" s="39">
        <f>SUM('Batting Data'!O$422:O$451)/30</f>
        <v>467.33333333333331</v>
      </c>
      <c r="J16" s="39">
        <f>SUM('Batting Data'!P$422:P$451)/30</f>
        <v>55.06666666666667</v>
      </c>
      <c r="K16" s="39">
        <f>SUM('Batting Data'!Q$422:Q$451)/30</f>
        <v>3611.5666666666666</v>
      </c>
      <c r="L16" s="81"/>
      <c r="M16" s="102" t="s">
        <v>235</v>
      </c>
      <c r="N16">
        <f t="shared" si="0"/>
        <v>0.17162196432668736</v>
      </c>
      <c r="O16">
        <f t="shared" si="1"/>
        <v>4.9132319731423679E-2</v>
      </c>
      <c r="P16">
        <f t="shared" si="2"/>
        <v>5.1263782047411459E-3</v>
      </c>
      <c r="Q16">
        <f t="shared" si="3"/>
        <v>2.5275640948229015E-2</v>
      </c>
      <c r="R16">
        <f t="shared" si="4"/>
        <v>8.4654678952262488E-2</v>
      </c>
      <c r="S16">
        <f t="shared" si="5"/>
        <v>9.9750021133479059E-3</v>
      </c>
      <c r="T16">
        <f t="shared" si="6"/>
        <v>0.65421401572330851</v>
      </c>
    </row>
    <row r="17" spans="1:20" x14ac:dyDescent="0.5">
      <c r="A17" s="34">
        <v>2015</v>
      </c>
      <c r="B17" s="39">
        <f>SUM('Batting Data'!J$452:J$481)/30</f>
        <v>5516.2666666666664</v>
      </c>
      <c r="C17" s="39">
        <f>SUM('Batting Data'!E$452:E$481)/30</f>
        <v>688.23333333333335</v>
      </c>
      <c r="D17" s="39">
        <f>SUM('Batting Data'!F$452:F$481)/30</f>
        <v>1403.5333333333333</v>
      </c>
      <c r="E17" s="39">
        <f>SUM('Batting Data'!K$452:K$481)/30</f>
        <v>933.86666666666667</v>
      </c>
      <c r="F17" s="39">
        <f>SUM('Batting Data'!L$452:L$481)/30</f>
        <v>274.73333333333335</v>
      </c>
      <c r="G17" s="39">
        <f>SUM('Batting Data'!M$452:M$481)/30</f>
        <v>31.3</v>
      </c>
      <c r="H17" s="39">
        <f>SUM('Batting Data'!N$452:N$481)/30</f>
        <v>163.63333333333333</v>
      </c>
      <c r="I17" s="39">
        <f>SUM('Batting Data'!O$452:O$481)/30</f>
        <v>469.1</v>
      </c>
      <c r="J17" s="39">
        <f>SUM('Batting Data'!P$452:P$481)/30</f>
        <v>53.4</v>
      </c>
      <c r="K17" s="39">
        <f>SUM('Batting Data'!Q$452:Q$481)/30</f>
        <v>3590.2333333333331</v>
      </c>
      <c r="L17" s="81"/>
      <c r="M17" s="102" t="s">
        <v>236</v>
      </c>
      <c r="N17">
        <f t="shared" si="0"/>
        <v>0.1692932418060524</v>
      </c>
      <c r="O17">
        <f t="shared" si="1"/>
        <v>4.9804215411389352E-2</v>
      </c>
      <c r="P17">
        <f t="shared" si="2"/>
        <v>5.6741274291791551E-3</v>
      </c>
      <c r="Q17">
        <f t="shared" si="3"/>
        <v>2.9663782268200715E-2</v>
      </c>
      <c r="R17">
        <f t="shared" si="4"/>
        <v>8.5039398627090798E-2</v>
      </c>
      <c r="S17">
        <f t="shared" si="5"/>
        <v>9.6804602146379204E-3</v>
      </c>
      <c r="T17">
        <f t="shared" si="6"/>
        <v>0.65084477424344966</v>
      </c>
    </row>
    <row r="18" spans="1:20" x14ac:dyDescent="0.5">
      <c r="A18" s="34">
        <v>2016</v>
      </c>
      <c r="B18" s="39">
        <f>SUM('Batting Data'!J$482:J$511)/30</f>
        <v>5518.7</v>
      </c>
      <c r="C18" s="39">
        <f>SUM('Batting Data'!E$482:E$511)/30</f>
        <v>724.8</v>
      </c>
      <c r="D18" s="39">
        <f>SUM('Batting Data'!F$482:F$511)/30</f>
        <v>1409.2</v>
      </c>
      <c r="E18" s="39">
        <f>SUM('Batting Data'!K$482:K$511)/30</f>
        <v>917.9666666666667</v>
      </c>
      <c r="F18" s="39">
        <f>SUM('Batting Data'!L$482:L$511)/30</f>
        <v>275.13333333333333</v>
      </c>
      <c r="G18" s="39">
        <f>SUM('Batting Data'!M$482:M$511)/30</f>
        <v>29.1</v>
      </c>
      <c r="H18" s="39">
        <f>SUM('Batting Data'!N$482:N$511)/30</f>
        <v>187</v>
      </c>
      <c r="I18" s="39">
        <f>SUM('Batting Data'!O$482:O$511)/30</f>
        <v>502.93333333333334</v>
      </c>
      <c r="J18" s="39">
        <f>SUM('Batting Data'!P$482:P$511)/30</f>
        <v>55.033333333333331</v>
      </c>
      <c r="K18" s="39">
        <f>SUM('Batting Data'!Q$482:Q$511)/30</f>
        <v>3551.5333333333333</v>
      </c>
      <c r="L18" s="81"/>
      <c r="M18" s="102" t="s">
        <v>237</v>
      </c>
      <c r="N18">
        <f t="shared" si="0"/>
        <v>0.1663374828613019</v>
      </c>
      <c r="O18">
        <f t="shared" si="1"/>
        <v>4.9854736320751866E-2</v>
      </c>
      <c r="P18">
        <f t="shared" si="2"/>
        <v>5.2729809556598482E-3</v>
      </c>
      <c r="Q18">
        <f t="shared" si="3"/>
        <v>3.3884791708192148E-2</v>
      </c>
      <c r="R18">
        <f t="shared" si="4"/>
        <v>9.1132573492549579E-2</v>
      </c>
      <c r="S18">
        <f t="shared" si="5"/>
        <v>9.9721552781150153E-3</v>
      </c>
      <c r="T18">
        <f t="shared" si="6"/>
        <v>0.64354527938342965</v>
      </c>
    </row>
    <row r="19" spans="1:20" x14ac:dyDescent="0.5">
      <c r="A19" s="34">
        <v>2017</v>
      </c>
      <c r="B19" s="39">
        <f>SUM('Batting Data'!J$512:J$541)/30</f>
        <v>5518.9</v>
      </c>
      <c r="C19" s="39">
        <f>SUM('Batting Data'!E$512:E$541)/30</f>
        <v>752.73333333333335</v>
      </c>
      <c r="D19" s="39">
        <f>SUM('Batting Data'!F$512:F$541)/30</f>
        <v>1407.1666666666667</v>
      </c>
      <c r="E19" s="39">
        <f>SUM('Batting Data'!K$512:K$541)/30</f>
        <v>897.26666666666665</v>
      </c>
      <c r="F19" s="39">
        <f>SUM('Batting Data'!L$512:L$541)/30</f>
        <v>279.89999999999998</v>
      </c>
      <c r="G19" s="39">
        <f>SUM('Batting Data'!M$512:M$541)/30</f>
        <v>26.5</v>
      </c>
      <c r="H19" s="39">
        <f>SUM('Batting Data'!N$512:N$541)/30</f>
        <v>203.5</v>
      </c>
      <c r="I19" s="39">
        <f>SUM('Batting Data'!O$512:O$541)/30</f>
        <v>527.63333333333333</v>
      </c>
      <c r="J19" s="39">
        <f>SUM('Batting Data'!P$512:P$541)/30</f>
        <v>58.766666666666666</v>
      </c>
      <c r="K19" s="39">
        <f>SUM('Batting Data'!Q$512:Q$541)/30</f>
        <v>3525.3333333333335</v>
      </c>
      <c r="L19" s="81"/>
      <c r="M19" s="102" t="s">
        <v>238</v>
      </c>
      <c r="N19">
        <f t="shared" si="0"/>
        <v>0.16258070750813872</v>
      </c>
      <c r="O19">
        <f t="shared" si="1"/>
        <v>5.0716628313613218E-2</v>
      </c>
      <c r="P19">
        <f t="shared" si="2"/>
        <v>4.8016814945007159E-3</v>
      </c>
      <c r="Q19">
        <f t="shared" si="3"/>
        <v>3.6873289967203612E-2</v>
      </c>
      <c r="R19">
        <f t="shared" si="4"/>
        <v>9.5604800473524321E-2</v>
      </c>
      <c r="S19">
        <f t="shared" si="5"/>
        <v>1.0648257201012279E-2</v>
      </c>
      <c r="T19">
        <f t="shared" si="6"/>
        <v>0.63877463504200727</v>
      </c>
    </row>
    <row r="20" spans="1:20" ht="16.149999999999999" thickBot="1" x14ac:dyDescent="0.55000000000000004">
      <c r="A20" s="41">
        <v>2018</v>
      </c>
      <c r="B20" s="42">
        <f>SUM('Batting Data'!J$542:J$571)/30</f>
        <v>5514.4</v>
      </c>
      <c r="C20" s="42">
        <f>SUM('Batting Data'!E$542:E$571)/30</f>
        <v>721</v>
      </c>
      <c r="D20" s="42">
        <f>SUM('Batting Data'!F$542:F$571)/30</f>
        <v>1367.3333333333333</v>
      </c>
      <c r="E20" s="42">
        <f>SUM('Batting Data'!K$542:K$571)/30</f>
        <v>877.43333333333328</v>
      </c>
      <c r="F20" s="42">
        <f>SUM('Batting Data'!L$542:L$571)/30</f>
        <v>275.5</v>
      </c>
      <c r="G20" s="42">
        <f>SUM('Batting Data'!M$542:M$571)/30</f>
        <v>28.233333333333334</v>
      </c>
      <c r="H20" s="42">
        <f>SUM('Batting Data'!N$542:N$571)/30</f>
        <v>186.16666666666666</v>
      </c>
      <c r="I20" s="42">
        <f>SUM('Batting Data'!O$542:O$571)/30</f>
        <v>522.86666666666667</v>
      </c>
      <c r="J20" s="42">
        <f>SUM('Batting Data'!P$542:P$571)/30</f>
        <v>64.066666666666663</v>
      </c>
      <c r="K20" s="42">
        <f>SUM('Batting Data'!Q$542:Q$571)/30</f>
        <v>3560.1333333333332</v>
      </c>
      <c r="L20" s="81"/>
      <c r="M20" s="103" t="s">
        <v>239</v>
      </c>
      <c r="N20" s="83">
        <f t="shared" si="0"/>
        <v>0.15911673678611152</v>
      </c>
      <c r="O20" s="83">
        <f t="shared" si="1"/>
        <v>4.9960104453793709E-2</v>
      </c>
      <c r="P20" s="83">
        <f t="shared" si="2"/>
        <v>5.1199284298080183E-3</v>
      </c>
      <c r="Q20" s="83">
        <f t="shared" si="3"/>
        <v>3.3760094782146137E-2</v>
      </c>
      <c r="R20" s="83">
        <f t="shared" si="4"/>
        <v>9.4818414816964083E-2</v>
      </c>
      <c r="S20" s="83">
        <f t="shared" si="5"/>
        <v>1.1618066637651725E-2</v>
      </c>
      <c r="T20" s="83">
        <f t="shared" si="6"/>
        <v>0.6456066540935248</v>
      </c>
    </row>
    <row r="21" spans="1:20" ht="18.399999999999999" thickTop="1" x14ac:dyDescent="0.55000000000000004">
      <c r="A21" s="44" t="s">
        <v>148</v>
      </c>
      <c r="B21">
        <f t="shared" ref="B21:K21" si="7">SUM(B2:B20)/19</f>
        <v>5539.0508771929817</v>
      </c>
      <c r="C21">
        <f t="shared" si="7"/>
        <v>738.48070175438602</v>
      </c>
      <c r="D21">
        <f t="shared" si="7"/>
        <v>1439.8280701754386</v>
      </c>
      <c r="E21">
        <f t="shared" si="7"/>
        <v>951.96140350877215</v>
      </c>
      <c r="F21">
        <f t="shared" si="7"/>
        <v>287.31403508771928</v>
      </c>
      <c r="G21">
        <f t="shared" si="7"/>
        <v>29.845614035087721</v>
      </c>
      <c r="H21">
        <f t="shared" si="7"/>
        <v>170.70701754385962</v>
      </c>
      <c r="I21">
        <f t="shared" si="7"/>
        <v>521.63333333333333</v>
      </c>
      <c r="J21">
        <f t="shared" si="7"/>
        <v>56.599999999999994</v>
      </c>
      <c r="K21">
        <f t="shared" si="7"/>
        <v>3520.9894736842098</v>
      </c>
      <c r="L21" s="81"/>
      <c r="M21" s="44" t="s">
        <v>148</v>
      </c>
      <c r="N21">
        <f>E21/B21</f>
        <v>0.1718636323469187</v>
      </c>
      <c r="O21">
        <f t="shared" si="1"/>
        <v>5.1870625754808206E-2</v>
      </c>
      <c r="P21">
        <f t="shared" si="2"/>
        <v>5.3882180714347489E-3</v>
      </c>
      <c r="Q21">
        <f t="shared" si="3"/>
        <v>3.081882100898279E-2</v>
      </c>
      <c r="R21">
        <f t="shared" si="4"/>
        <v>9.4173775417221092E-2</v>
      </c>
      <c r="S21">
        <f t="shared" si="5"/>
        <v>1.0218357125595335E-2</v>
      </c>
      <c r="T21">
        <f t="shared" si="6"/>
        <v>0.63566657027503914</v>
      </c>
    </row>
    <row r="25" spans="1:20" x14ac:dyDescent="0.5">
      <c r="M25">
        <v>2012</v>
      </c>
      <c r="N25" t="e">
        <f>VLOOKUP(M25,M2:T20,2)</f>
        <v>#N/A</v>
      </c>
    </row>
    <row r="27" spans="1:20" ht="18" x14ac:dyDescent="0.5">
      <c r="G27" s="98"/>
      <c r="H27" s="98"/>
      <c r="I27" s="98"/>
      <c r="J27" s="98"/>
      <c r="K27" s="98"/>
      <c r="L27" s="98"/>
      <c r="M27" s="98"/>
      <c r="N27" s="98"/>
    </row>
    <row r="28" spans="1:20" x14ac:dyDescent="0.5">
      <c r="G28" s="79"/>
      <c r="H28" s="2"/>
      <c r="I28" s="2"/>
      <c r="J28" s="2"/>
      <c r="K28" s="2"/>
      <c r="M28" s="2"/>
      <c r="N28" s="2"/>
    </row>
    <row r="29" spans="1:20" x14ac:dyDescent="0.5">
      <c r="G29" s="79"/>
      <c r="H29" s="2"/>
      <c r="I29" s="2"/>
      <c r="J29" s="2"/>
      <c r="K29" s="2"/>
      <c r="M29" s="2"/>
      <c r="N29" s="2"/>
    </row>
    <row r="30" spans="1:20" x14ac:dyDescent="0.5">
      <c r="G30" s="79"/>
      <c r="H30" s="2"/>
      <c r="I30" s="2"/>
      <c r="J30" s="2"/>
      <c r="K30" s="2"/>
      <c r="M30" s="2"/>
      <c r="N30" s="2"/>
    </row>
    <row r="31" spans="1:20" x14ac:dyDescent="0.5">
      <c r="G31" s="79"/>
      <c r="H31" s="2"/>
      <c r="I31" s="2"/>
      <c r="J31" s="2"/>
      <c r="K31" s="2"/>
      <c r="M31" s="2"/>
      <c r="N31" s="2"/>
    </row>
    <row r="32" spans="1:20" x14ac:dyDescent="0.5">
      <c r="G32" s="79"/>
      <c r="H32" s="2"/>
      <c r="I32" s="2"/>
      <c r="J32" s="2"/>
      <c r="K32" s="2"/>
      <c r="M32" s="2"/>
      <c r="N32" s="2"/>
    </row>
    <row r="33" spans="7:14" x14ac:dyDescent="0.5">
      <c r="G33" s="79"/>
      <c r="H33" s="2"/>
      <c r="I33" s="2"/>
      <c r="J33" s="2"/>
      <c r="K33" s="2"/>
      <c r="M33" s="2"/>
      <c r="N33" s="2"/>
    </row>
    <row r="34" spans="7:14" x14ac:dyDescent="0.5">
      <c r="G34" s="79"/>
      <c r="H34" s="2"/>
      <c r="I34" s="2"/>
      <c r="J34" s="2"/>
      <c r="K34" s="2"/>
      <c r="M34" s="2"/>
      <c r="N34" s="2"/>
    </row>
    <row r="35" spans="7:14" x14ac:dyDescent="0.5">
      <c r="G35" s="79"/>
      <c r="H35" s="2"/>
      <c r="I35" s="2"/>
      <c r="J35" s="2"/>
      <c r="K35" s="2"/>
      <c r="M35" s="2"/>
      <c r="N35" s="2"/>
    </row>
    <row r="36" spans="7:14" x14ac:dyDescent="0.5">
      <c r="G36" s="79"/>
      <c r="H36" s="2"/>
      <c r="I36" s="2"/>
      <c r="J36" s="2"/>
      <c r="K36" s="2"/>
      <c r="M36" s="2"/>
      <c r="N36" s="2"/>
    </row>
    <row r="37" spans="7:14" x14ac:dyDescent="0.5">
      <c r="G37" s="79"/>
      <c r="H37" s="2"/>
      <c r="I37" s="2"/>
      <c r="J37" s="2"/>
      <c r="K37" s="2"/>
      <c r="M37" s="2"/>
      <c r="N37" s="2"/>
    </row>
    <row r="38" spans="7:14" x14ac:dyDescent="0.5">
      <c r="G38" s="79"/>
      <c r="H38" s="2"/>
      <c r="I38" s="2"/>
      <c r="J38" s="2"/>
      <c r="K38" s="2"/>
      <c r="M38" s="2"/>
      <c r="N38" s="2"/>
    </row>
    <row r="39" spans="7:14" x14ac:dyDescent="0.5">
      <c r="G39" s="79"/>
      <c r="H39" s="2"/>
      <c r="I39" s="2"/>
      <c r="J39" s="2"/>
      <c r="K39" s="2"/>
      <c r="M39" s="2"/>
      <c r="N39" s="2"/>
    </row>
    <row r="40" spans="7:14" x14ac:dyDescent="0.5">
      <c r="G40" s="79"/>
      <c r="H40" s="2"/>
      <c r="I40" s="2"/>
      <c r="J40" s="2"/>
      <c r="K40" s="2"/>
      <c r="M40" s="2"/>
      <c r="N40" s="2"/>
    </row>
    <row r="41" spans="7:14" x14ac:dyDescent="0.5">
      <c r="G41" s="79"/>
      <c r="H41" s="2"/>
      <c r="I41" s="2"/>
      <c r="J41" s="2"/>
      <c r="K41" s="2"/>
      <c r="M41" s="2"/>
      <c r="N41" s="2"/>
    </row>
    <row r="42" spans="7:14" x14ac:dyDescent="0.5">
      <c r="G42" s="79"/>
      <c r="H42" s="2"/>
      <c r="I42" s="2"/>
      <c r="J42" s="2"/>
      <c r="K42" s="2"/>
      <c r="M42" s="2"/>
      <c r="N42" s="2"/>
    </row>
    <row r="43" spans="7:14" x14ac:dyDescent="0.5">
      <c r="G43" s="79"/>
      <c r="H43" s="2"/>
      <c r="I43" s="2"/>
      <c r="J43" s="2"/>
      <c r="K43" s="2"/>
      <c r="M43" s="2"/>
      <c r="N43" s="2"/>
    </row>
    <row r="44" spans="7:14" x14ac:dyDescent="0.5">
      <c r="G44" s="79"/>
      <c r="H44" s="2"/>
      <c r="I44" s="2"/>
      <c r="J44" s="2"/>
      <c r="K44" s="2"/>
      <c r="M44" s="2"/>
      <c r="N44" s="2"/>
    </row>
    <row r="45" spans="7:14" x14ac:dyDescent="0.5">
      <c r="G45" s="79"/>
      <c r="H45" s="2"/>
      <c r="I45" s="2"/>
      <c r="J45" s="2"/>
      <c r="K45" s="2"/>
      <c r="M45" s="2"/>
      <c r="N45" s="2"/>
    </row>
    <row r="46" spans="7:14" ht="16.149999999999999" thickBot="1" x14ac:dyDescent="0.55000000000000004">
      <c r="G46" s="99"/>
      <c r="H46" s="100"/>
      <c r="I46" s="100"/>
      <c r="J46" s="100"/>
      <c r="K46" s="100"/>
      <c r="L46" s="100"/>
      <c r="M46" s="100"/>
      <c r="N46" s="100"/>
    </row>
    <row r="47" spans="7:14" ht="18.399999999999999" thickTop="1" x14ac:dyDescent="0.55000000000000004">
      <c r="G47" s="101"/>
      <c r="H47" s="2"/>
      <c r="I47" s="2"/>
      <c r="J47" s="2"/>
      <c r="K47" s="2"/>
      <c r="M47" s="2"/>
      <c r="N47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1F9A8-F664-46FD-95F1-B1D762781F60}">
  <sheetPr codeName="Sheet8"/>
  <dimension ref="B1:S571"/>
  <sheetViews>
    <sheetView zoomScale="70" zoomScaleNormal="70" workbookViewId="0">
      <selection activeCell="L2" sqref="L2:S571"/>
    </sheetView>
  </sheetViews>
  <sheetFormatPr defaultRowHeight="15.75" x14ac:dyDescent="0.5"/>
  <cols>
    <col min="1" max="1" width="3.125" style="2" customWidth="1"/>
    <col min="2" max="2" width="9" style="2"/>
    <col min="3" max="3" width="20" style="2" bestFit="1" customWidth="1"/>
    <col min="4" max="4" width="24.25" style="2" hidden="1" customWidth="1"/>
    <col min="12" max="12" width="24.25" style="2" hidden="1" customWidth="1"/>
    <col min="13" max="13" width="10.25" customWidth="1"/>
    <col min="14" max="14" width="10.375" customWidth="1"/>
    <col min="15" max="15" width="11.75" customWidth="1"/>
    <col min="16" max="17" width="10.5" customWidth="1"/>
    <col min="18" max="18" width="10.375" customWidth="1"/>
    <col min="19" max="19" width="10.625" customWidth="1"/>
    <col min="20" max="16384" width="9" style="2"/>
  </cols>
  <sheetData>
    <row r="1" spans="2:19" ht="18.399999999999999" thickBot="1" x14ac:dyDescent="0.55000000000000004">
      <c r="B1" s="84" t="s">
        <v>176</v>
      </c>
      <c r="C1" s="84" t="s">
        <v>175</v>
      </c>
      <c r="D1" s="84" t="s">
        <v>200</v>
      </c>
      <c r="E1" s="85" t="s">
        <v>199</v>
      </c>
      <c r="F1" s="85" t="s">
        <v>204</v>
      </c>
      <c r="G1" s="85" t="s">
        <v>205</v>
      </c>
      <c r="H1" s="85" t="s">
        <v>206</v>
      </c>
      <c r="I1" s="85" t="s">
        <v>207</v>
      </c>
      <c r="J1" s="85" t="s">
        <v>208</v>
      </c>
      <c r="K1" s="85" t="s">
        <v>209</v>
      </c>
      <c r="L1" s="84" t="s">
        <v>200</v>
      </c>
      <c r="M1" s="86" t="s">
        <v>210</v>
      </c>
      <c r="N1" s="86" t="s">
        <v>211</v>
      </c>
      <c r="O1" s="86" t="s">
        <v>212</v>
      </c>
      <c r="P1" s="86" t="s">
        <v>213</v>
      </c>
      <c r="Q1" s="86" t="s">
        <v>214</v>
      </c>
      <c r="R1" s="86" t="s">
        <v>215</v>
      </c>
      <c r="S1" s="86" t="s">
        <v>216</v>
      </c>
    </row>
    <row r="2" spans="2:19" x14ac:dyDescent="0.5">
      <c r="B2" s="2">
        <v>2000</v>
      </c>
      <c r="C2" s="2" t="s">
        <v>36</v>
      </c>
      <c r="D2" s="2" t="str">
        <f>$B2&amp;" "&amp;$C2</f>
        <v>2000 Anaheim Angels</v>
      </c>
      <c r="E2" s="60">
        <f>'Batting Data'!K$2/'Batting Data'!$J$2</f>
        <v>0.17679459843638948</v>
      </c>
      <c r="F2" s="60">
        <f>'Batting Data'!L2/'Batting Data'!J2</f>
        <v>5.4904051172707892E-2</v>
      </c>
      <c r="G2" s="60">
        <f>'Batting Data'!M2/'Batting Data'!J2</f>
        <v>6.0412224591329068E-3</v>
      </c>
      <c r="H2" s="60">
        <f>'Batting Data'!N2/'Batting Data'!J2</f>
        <v>4.1933191186922528E-2</v>
      </c>
      <c r="I2" s="60">
        <f>'Batting Data'!O2/'Batting Data'!J2</f>
        <v>0.10803127221037669</v>
      </c>
      <c r="J2" s="60">
        <f>'Batting Data'!P2/'Batting Data'!J2</f>
        <v>8.3511016346837236E-3</v>
      </c>
      <c r="K2" s="60">
        <f>'Batting Data'!Q2/'Batting Data'!J2</f>
        <v>0.60394456289978682</v>
      </c>
      <c r="L2" s="2" t="str">
        <f>$B2&amp;" "&amp;$C2</f>
        <v>2000 Anaheim Angels</v>
      </c>
      <c r="M2" s="58">
        <f>'Pitching Data'!Q$2/'Pitching Data'!$P$2</f>
        <v>0.15731916887986253</v>
      </c>
      <c r="N2" s="58">
        <f>'Pitching Data'!R2/'Pitching Data'!P2</f>
        <v>4.3118262771441963E-2</v>
      </c>
      <c r="O2" s="58">
        <f>'Pitching Data'!S2/'Pitching Data'!P2</f>
        <v>3.5931885642868301E-3</v>
      </c>
      <c r="P2" s="58">
        <f>'Pitching Data'!T2/'Pitching Data'!P2</f>
        <v>3.5619434463365102E-2</v>
      </c>
      <c r="Q2" s="58">
        <f>'Pitching Data'!U2/'Pitching Data'!P2</f>
        <v>0.10342134041556007</v>
      </c>
      <c r="R2" s="58">
        <f>'Pitching Data'!V2/'Pitching Data'!P2</f>
        <v>5.6241212310576471E-3</v>
      </c>
      <c r="S2" s="58">
        <f>'Pitching Data'!W2/'Pitching Data'!P2</f>
        <v>0.65130448367442584</v>
      </c>
    </row>
    <row r="3" spans="2:19" x14ac:dyDescent="0.5">
      <c r="B3" s="2">
        <v>2000</v>
      </c>
      <c r="C3" s="2" t="s">
        <v>39</v>
      </c>
      <c r="D3" s="2" t="str">
        <f t="shared" ref="D3:D66" si="0">$B3&amp;" "&amp;$C3</f>
        <v>2000 Arizona Diamondbacks</v>
      </c>
      <c r="E3" s="60">
        <f>'Batting Data'!K3/'Batting Data'!J3</f>
        <v>0.17387371087389181</v>
      </c>
      <c r="F3" s="60">
        <f>'Batting Data'!L3/'Batting Data'!J3</f>
        <v>5.1022254387552014E-2</v>
      </c>
      <c r="G3" s="60">
        <f>'Batting Data'!M3/'Batting Data'!J3</f>
        <v>7.9609191242988962E-3</v>
      </c>
      <c r="H3" s="60">
        <f>'Batting Data'!N3/'Batting Data'!J3</f>
        <v>3.2386466437488694E-2</v>
      </c>
      <c r="I3" s="60">
        <f>'Batting Data'!O3/'Batting Data'!J3</f>
        <v>9.6797539352270673E-2</v>
      </c>
      <c r="J3" s="60">
        <f>'Batting Data'!P3/'Batting Data'!J3</f>
        <v>1.067486882576443E-2</v>
      </c>
      <c r="K3" s="60">
        <f>'Batting Data'!Q3/'Batting Data'!J3</f>
        <v>0.62728424099873348</v>
      </c>
      <c r="L3" s="2" t="str">
        <f t="shared" ref="L3:L66" si="1">$B3&amp;" "&amp;$C3</f>
        <v>2000 Arizona Diamondbacks</v>
      </c>
      <c r="M3" s="58">
        <f>'Pitching Data'!Q3/'Pitching Data'!P3</f>
        <v>0.15589477102955504</v>
      </c>
      <c r="N3" s="58">
        <f>'Pitching Data'!R3/'Pitching Data'!P3</f>
        <v>4.2383890873660277E-2</v>
      </c>
      <c r="O3" s="58">
        <f>'Pitching Data'!S3/'Pitching Data'!P3</f>
        <v>4.871711594673595E-3</v>
      </c>
      <c r="P3" s="58">
        <f>'Pitching Data'!T3/'Pitching Data'!P3</f>
        <v>3.0854173432932772E-2</v>
      </c>
      <c r="Q3" s="58">
        <f>'Pitching Data'!U3/'Pitching Data'!P3</f>
        <v>8.1195193244559927E-2</v>
      </c>
      <c r="R3" s="58">
        <f>'Pitching Data'!V3/'Pitching Data'!P3</f>
        <v>6.8203962325430337E-3</v>
      </c>
      <c r="S3" s="58">
        <f>'Pitching Data'!W3/'Pitching Data'!P3</f>
        <v>0.6779798635920754</v>
      </c>
    </row>
    <row r="4" spans="2:19" x14ac:dyDescent="0.5">
      <c r="B4" s="2">
        <v>2000</v>
      </c>
      <c r="C4" s="2" t="s">
        <v>41</v>
      </c>
      <c r="D4" s="2" t="str">
        <f t="shared" si="0"/>
        <v>2000 Atlanta Braves</v>
      </c>
      <c r="E4" s="60">
        <f>'Batting Data'!K4/'Batting Data'!J4</f>
        <v>0.1841865549280379</v>
      </c>
      <c r="F4" s="60">
        <f>'Batting Data'!L4/'Batting Data'!J4</f>
        <v>4.99180178538896E-2</v>
      </c>
      <c r="G4" s="60">
        <f>'Batting Data'!M4/'Batting Data'!J4</f>
        <v>4.7367462197121513E-3</v>
      </c>
      <c r="H4" s="60">
        <f>'Batting Data'!N4/'Batting Data'!J4</f>
        <v>3.2610675897249045E-2</v>
      </c>
      <c r="I4" s="60">
        <f>'Batting Data'!O4/'Batting Data'!J4</f>
        <v>0.10839861541264346</v>
      </c>
      <c r="J4" s="60">
        <f>'Batting Data'!P4/'Batting Data'!J4</f>
        <v>1.0748770267808344E-2</v>
      </c>
      <c r="K4" s="60">
        <f>'Batting Data'!Q4/'Batting Data'!J4</f>
        <v>0.60940061942065948</v>
      </c>
      <c r="L4" s="2" t="str">
        <f t="shared" si="1"/>
        <v>2000 Atlanta Braves</v>
      </c>
      <c r="M4" s="58">
        <f>'Pitching Data'!Q4/'Pitching Data'!P4</f>
        <v>0.15879967558799676</v>
      </c>
      <c r="N4" s="58">
        <f>'Pitching Data'!R4/'Pitching Data'!P4</f>
        <v>4.2660178426601782E-2</v>
      </c>
      <c r="O4" s="58">
        <f>'Pitching Data'!S4/'Pitching Data'!P4</f>
        <v>3.4063260340632603E-3</v>
      </c>
      <c r="P4" s="58">
        <f>'Pitching Data'!T4/'Pitching Data'!P4</f>
        <v>2.6763990267639901E-2</v>
      </c>
      <c r="Q4" s="58">
        <f>'Pitching Data'!U4/'Pitching Data'!P4</f>
        <v>7.8507704785077043E-2</v>
      </c>
      <c r="R4" s="58">
        <f>'Pitching Data'!V4/'Pitching Data'!P4</f>
        <v>6.001622060016221E-3</v>
      </c>
      <c r="S4" s="58">
        <f>'Pitching Data'!W4/'Pitching Data'!P4</f>
        <v>0.683860502838605</v>
      </c>
    </row>
    <row r="5" spans="2:19" x14ac:dyDescent="0.5">
      <c r="B5" s="2">
        <v>2000</v>
      </c>
      <c r="C5" s="2" t="s">
        <v>44</v>
      </c>
      <c r="D5" s="2" t="str">
        <f t="shared" si="0"/>
        <v>2000 Baltimore Orioles</v>
      </c>
      <c r="E5" s="60">
        <f>'Batting Data'!K5/'Batting Data'!J5</f>
        <v>0.1787709497206704</v>
      </c>
      <c r="F5" s="60">
        <f>'Batting Data'!L5/'Batting Data'!J5</f>
        <v>5.5865921787709494E-2</v>
      </c>
      <c r="G5" s="60">
        <f>'Batting Data'!M5/'Batting Data'!J5</f>
        <v>3.9646783204180932E-3</v>
      </c>
      <c r="H5" s="60">
        <f>'Batting Data'!N5/'Batting Data'!J5</f>
        <v>3.3159127770769507E-2</v>
      </c>
      <c r="I5" s="60">
        <f>'Batting Data'!O5/'Batting Data'!J5</f>
        <v>0.1005586592178771</v>
      </c>
      <c r="J5" s="60">
        <f>'Batting Data'!P5/'Batting Data'!J5</f>
        <v>8.8304198954766624E-3</v>
      </c>
      <c r="K5" s="60">
        <f>'Batting Data'!Q5/'Batting Data'!J5</f>
        <v>0.61885024328707872</v>
      </c>
      <c r="L5" s="2" t="str">
        <f t="shared" si="1"/>
        <v>2000 Baltimore Orioles</v>
      </c>
      <c r="M5" s="58">
        <f>'Pitching Data'!Q5/'Pitching Data'!P5</f>
        <v>0.15700295352090782</v>
      </c>
      <c r="N5" s="58">
        <f>'Pitching Data'!R5/'Pitching Data'!P5</f>
        <v>4.6012746774444273E-2</v>
      </c>
      <c r="O5" s="58">
        <f>'Pitching Data'!S5/'Pitching Data'!P5</f>
        <v>6.0624902844706981E-3</v>
      </c>
      <c r="P5" s="58">
        <f>'Pitching Data'!T5/'Pitching Data'!P5</f>
        <v>3.1400590704181566E-2</v>
      </c>
      <c r="Q5" s="58">
        <f>'Pitching Data'!U5/'Pitching Data'!P5</f>
        <v>0.10337323177366703</v>
      </c>
      <c r="R5" s="58">
        <f>'Pitching Data'!V5/'Pitching Data'!P5</f>
        <v>5.5961448779729521E-3</v>
      </c>
      <c r="S5" s="58">
        <f>'Pitching Data'!W5/'Pitching Data'!P5</f>
        <v>0.65055184206435568</v>
      </c>
    </row>
    <row r="6" spans="2:19" x14ac:dyDescent="0.5">
      <c r="B6" s="2">
        <v>2000</v>
      </c>
      <c r="C6" s="2" t="s">
        <v>46</v>
      </c>
      <c r="D6" s="2" t="str">
        <f t="shared" si="0"/>
        <v>2000 Boston Red Sox</v>
      </c>
      <c r="E6" s="60">
        <f>'Batting Data'!K6/'Batting Data'!J6</f>
        <v>0.17548845470692717</v>
      </c>
      <c r="F6" s="60">
        <f>'Batting Data'!L6/'Batting Data'!J6</f>
        <v>5.6127886323268206E-2</v>
      </c>
      <c r="G6" s="60">
        <f>'Batting Data'!M6/'Batting Data'!J6</f>
        <v>5.6838365896980459E-3</v>
      </c>
      <c r="H6" s="60">
        <f>'Batting Data'!N6/'Batting Data'!J6</f>
        <v>2.9662522202486677E-2</v>
      </c>
      <c r="I6" s="60">
        <f>'Batting Data'!O6/'Batting Data'!J6</f>
        <v>0.10852575488454706</v>
      </c>
      <c r="J6" s="60">
        <f>'Batting Data'!P6/'Batting Data'!J6</f>
        <v>7.4600355239786854E-3</v>
      </c>
      <c r="K6" s="60">
        <f>'Batting Data'!Q6/'Batting Data'!J6</f>
        <v>0.61705150976909418</v>
      </c>
      <c r="L6" s="2" t="str">
        <f t="shared" si="1"/>
        <v>2000 Boston Red Sox</v>
      </c>
      <c r="M6" s="58">
        <f>'Pitching Data'!Q6/'Pitching Data'!P6</f>
        <v>0.15293172690763052</v>
      </c>
      <c r="N6" s="58">
        <f>'Pitching Data'!R6/'Pitching Data'!P6</f>
        <v>4.4819277108433732E-2</v>
      </c>
      <c r="O6" s="58">
        <f>'Pitching Data'!S6/'Pitching Data'!P6</f>
        <v>4.6586345381526102E-3</v>
      </c>
      <c r="P6" s="58">
        <f>'Pitching Data'!T6/'Pitching Data'!P6</f>
        <v>2.7791164658634539E-2</v>
      </c>
      <c r="Q6" s="58">
        <f>'Pitching Data'!U6/'Pitching Data'!P6</f>
        <v>0.08</v>
      </c>
      <c r="R6" s="58">
        <f>'Pitching Data'!V6/'Pitching Data'!P6</f>
        <v>9.3172690763052204E-3</v>
      </c>
      <c r="S6" s="58">
        <f>'Pitching Data'!W6/'Pitching Data'!P6</f>
        <v>0.68048192771084337</v>
      </c>
    </row>
    <row r="7" spans="2:19" x14ac:dyDescent="0.5">
      <c r="B7" s="2">
        <v>2000</v>
      </c>
      <c r="C7" s="2" t="s">
        <v>50</v>
      </c>
      <c r="D7" s="2" t="str">
        <f t="shared" si="0"/>
        <v>2000 Chicago Cubs</v>
      </c>
      <c r="E7" s="60">
        <f>'Batting Data'!K7/'Batting Data'!J7</f>
        <v>0.1699838622915546</v>
      </c>
      <c r="F7" s="60">
        <f>'Batting Data'!L7/'Batting Data'!J7</f>
        <v>4.8771741079433384E-2</v>
      </c>
      <c r="G7" s="60">
        <f>'Batting Data'!M7/'Batting Data'!J7</f>
        <v>4.1240810471579702E-3</v>
      </c>
      <c r="H7" s="60">
        <f>'Batting Data'!N7/'Batting Data'!J7</f>
        <v>3.28133405056482E-2</v>
      </c>
      <c r="I7" s="60">
        <f>'Batting Data'!O7/'Batting Data'!J7</f>
        <v>0.1133225748610364</v>
      </c>
      <c r="J7" s="60">
        <f>'Batting Data'!P7/'Batting Data'!J7</f>
        <v>9.6826250672404513E-3</v>
      </c>
      <c r="K7" s="60">
        <f>'Batting Data'!Q7/'Batting Data'!J7</f>
        <v>0.62130177514792895</v>
      </c>
      <c r="L7" s="2" t="str">
        <f t="shared" si="1"/>
        <v>2000 Chicago Cubs</v>
      </c>
      <c r="M7" s="58">
        <f>'Pitching Data'!Q7/'Pitching Data'!P7</f>
        <v>0.14958921097504263</v>
      </c>
      <c r="N7" s="58">
        <f>'Pitching Data'!R7/'Pitching Data'!P7</f>
        <v>4.3404123391722213E-2</v>
      </c>
      <c r="O7" s="58">
        <f>'Pitching Data'!S7/'Pitching Data'!P7</f>
        <v>4.4954270655712296E-3</v>
      </c>
      <c r="P7" s="58">
        <f>'Pitching Data'!T7/'Pitching Data'!P7</f>
        <v>3.5808401798170825E-2</v>
      </c>
      <c r="Q7" s="58">
        <f>'Pitching Data'!U7/'Pitching Data'!P7</f>
        <v>0.1019996899705472</v>
      </c>
      <c r="R7" s="58">
        <f>'Pitching Data'!V7/'Pitching Data'!P7</f>
        <v>9.6109130367384894E-3</v>
      </c>
      <c r="S7" s="58">
        <f>'Pitching Data'!W7/'Pitching Data'!P7</f>
        <v>0.65509223376220738</v>
      </c>
    </row>
    <row r="8" spans="2:19" x14ac:dyDescent="0.5">
      <c r="B8" s="2">
        <v>2000</v>
      </c>
      <c r="C8" s="2" t="s">
        <v>48</v>
      </c>
      <c r="D8" s="2" t="str">
        <f t="shared" si="0"/>
        <v>2000 Chicago White Sox</v>
      </c>
      <c r="E8" s="60">
        <f>'Batting Data'!K8/'Batting Data'!J8</f>
        <v>0.18437832093517534</v>
      </c>
      <c r="F8" s="60">
        <f>'Batting Data'!L8/'Batting Data'!J8</f>
        <v>5.7562876372653206E-2</v>
      </c>
      <c r="G8" s="60">
        <f>'Batting Data'!M8/'Batting Data'!J8</f>
        <v>5.8448459086078638E-3</v>
      </c>
      <c r="H8" s="60">
        <f>'Batting Data'!N8/'Batting Data'!J8</f>
        <v>3.8257173219978749E-2</v>
      </c>
      <c r="I8" s="60">
        <f>'Batting Data'!O8/'Batting Data'!J8</f>
        <v>0.10467587672688629</v>
      </c>
      <c r="J8" s="60">
        <f>'Batting Data'!P8/'Batting Data'!J8</f>
        <v>9.3871767623095997E-3</v>
      </c>
      <c r="K8" s="60">
        <f>'Batting Data'!Q8/'Batting Data'!J8</f>
        <v>0.59989373007438895</v>
      </c>
      <c r="L8" s="2" t="str">
        <f t="shared" si="1"/>
        <v>2000 Chicago White Sox</v>
      </c>
      <c r="M8" s="58">
        <f>'Pitching Data'!Q8/'Pitching Data'!P8</f>
        <v>0.16064383777812846</v>
      </c>
      <c r="N8" s="58">
        <f>'Pitching Data'!R8/'Pitching Data'!P8</f>
        <v>4.1502288148966386E-2</v>
      </c>
      <c r="O8" s="58">
        <f>'Pitching Data'!S8/'Pitching Data'!P8</f>
        <v>5.2075114407448319E-3</v>
      </c>
      <c r="P8" s="58">
        <f>'Pitching Data'!T8/'Pitching Data'!P8</f>
        <v>3.077165851349219E-2</v>
      </c>
      <c r="Q8" s="58">
        <f>'Pitching Data'!U8/'Pitching Data'!P8</f>
        <v>9.6891273473252326E-2</v>
      </c>
      <c r="R8" s="58">
        <f>'Pitching Data'!V8/'Pitching Data'!P8</f>
        <v>8.5213823575824525E-3</v>
      </c>
      <c r="S8" s="58">
        <f>'Pitching Data'!W8/'Pitching Data'!P8</f>
        <v>0.65646204828783339</v>
      </c>
    </row>
    <row r="9" spans="2:19" x14ac:dyDescent="0.5">
      <c r="B9" s="2">
        <v>2000</v>
      </c>
      <c r="C9" s="2" t="s">
        <v>52</v>
      </c>
      <c r="D9" s="2" t="str">
        <f t="shared" si="0"/>
        <v>2000 Cincinnati Reds</v>
      </c>
      <c r="E9" s="60">
        <f>'Batting Data'!K9/'Batting Data'!J9</f>
        <v>0.17870452528837621</v>
      </c>
      <c r="F9" s="60">
        <f>'Batting Data'!L9/'Batting Data'!J9</f>
        <v>5.3593611357586515E-2</v>
      </c>
      <c r="G9" s="60">
        <f>'Batting Data'!M9/'Batting Data'!J9</f>
        <v>6.3886424134871342E-3</v>
      </c>
      <c r="H9" s="60">
        <f>'Batting Data'!N9/'Batting Data'!J9</f>
        <v>3.5492457852706299E-2</v>
      </c>
      <c r="I9" s="60">
        <f>'Batting Data'!O9/'Batting Data'!J9</f>
        <v>9.9201419698314114E-2</v>
      </c>
      <c r="J9" s="60">
        <f>'Batting Data'!P9/'Batting Data'!J9</f>
        <v>1.1357586512866016E-2</v>
      </c>
      <c r="K9" s="60">
        <f>'Batting Data'!Q9/'Batting Data'!J9</f>
        <v>0.61526175687666373</v>
      </c>
      <c r="L9" s="2" t="str">
        <f t="shared" si="1"/>
        <v>2000 Cincinnati Reds</v>
      </c>
      <c r="M9" s="58">
        <f>'Pitching Data'!Q9/'Pitching Data'!P9</f>
        <v>0.13895001571832757</v>
      </c>
      <c r="N9" s="58">
        <f>'Pitching Data'!R9/'Pitching Data'!P9</f>
        <v>5.2499214083621501E-2</v>
      </c>
      <c r="O9" s="58">
        <f>'Pitching Data'!S9/'Pitching Data'!P9</f>
        <v>5.9729644765796923E-3</v>
      </c>
      <c r="P9" s="58">
        <f>'Pitching Data'!T9/'Pitching Data'!P9</f>
        <v>2.9864822382898459E-2</v>
      </c>
      <c r="Q9" s="58">
        <f>'Pitching Data'!U9/'Pitching Data'!P9</f>
        <v>0.10358377868594781</v>
      </c>
      <c r="R9" s="58">
        <f>'Pitching Data'!V9/'Pitching Data'!P9</f>
        <v>6.7588808550770197E-3</v>
      </c>
      <c r="S9" s="58">
        <f>'Pitching Data'!W9/'Pitching Data'!P9</f>
        <v>0.6623703237975479</v>
      </c>
    </row>
    <row r="10" spans="2:19" x14ac:dyDescent="0.5">
      <c r="B10" s="2">
        <v>2000</v>
      </c>
      <c r="C10" s="2" t="s">
        <v>54</v>
      </c>
      <c r="D10" s="2" t="str">
        <f t="shared" si="0"/>
        <v>2000 Cleveland Indians</v>
      </c>
      <c r="E10" s="60">
        <f>'Batting Data'!K10/'Batting Data'!J10</f>
        <v>0.18968854478268521</v>
      </c>
      <c r="F10" s="60">
        <f>'Batting Data'!L10/'Batting Data'!J10</f>
        <v>5.4548653879992963E-2</v>
      </c>
      <c r="G10" s="60">
        <f>'Batting Data'!M10/'Batting Data'!J10</f>
        <v>5.278901988386416E-3</v>
      </c>
      <c r="H10" s="60">
        <f>'Batting Data'!N10/'Batting Data'!J10</f>
        <v>3.8887911314446598E-2</v>
      </c>
      <c r="I10" s="60">
        <f>'Batting Data'!O10/'Batting Data'!J10</f>
        <v>0.12053492873482316</v>
      </c>
      <c r="J10" s="60">
        <f>'Batting Data'!P10/'Batting Data'!J10</f>
        <v>8.9741333802569063E-3</v>
      </c>
      <c r="K10" s="60">
        <f>'Batting Data'!Q10/'Batting Data'!J10</f>
        <v>0.5820869259194088</v>
      </c>
      <c r="L10" s="2" t="str">
        <f t="shared" si="1"/>
        <v>2000 Cleveland Indians</v>
      </c>
      <c r="M10" s="58">
        <f>'Pitching Data'!Q10/'Pitching Data'!P10</f>
        <v>0.16003134796238244</v>
      </c>
      <c r="N10" s="58">
        <f>'Pitching Data'!R10/'Pitching Data'!P10</f>
        <v>4.5141065830721E-2</v>
      </c>
      <c r="O10" s="58">
        <f>'Pitching Data'!S10/'Pitching Data'!P10</f>
        <v>4.5454545454545452E-3</v>
      </c>
      <c r="P10" s="58">
        <f>'Pitching Data'!T10/'Pitching Data'!P10</f>
        <v>2.7115987460815047E-2</v>
      </c>
      <c r="Q10" s="58">
        <f>'Pitching Data'!U10/'Pitching Data'!P10</f>
        <v>0.10438871473354232</v>
      </c>
      <c r="R10" s="58">
        <f>'Pitching Data'!V10/'Pitching Data'!P10</f>
        <v>6.5830721003134795E-3</v>
      </c>
      <c r="S10" s="58">
        <f>'Pitching Data'!W10/'Pitching Data'!P10</f>
        <v>0.65219435736677112</v>
      </c>
    </row>
    <row r="11" spans="2:19" x14ac:dyDescent="0.5">
      <c r="B11" s="2">
        <v>2000</v>
      </c>
      <c r="C11" s="2" t="s">
        <v>56</v>
      </c>
      <c r="D11" s="2" t="str">
        <f t="shared" si="0"/>
        <v>2000 Colorado Rockies</v>
      </c>
      <c r="E11" s="60">
        <f>'Batting Data'!K11/'Batting Data'!J11</f>
        <v>0.19964664310954064</v>
      </c>
      <c r="F11" s="60">
        <f>'Batting Data'!L11/'Batting Data'!J11</f>
        <v>5.6537102473498232E-2</v>
      </c>
      <c r="G11" s="60">
        <f>'Batting Data'!M11/'Batting Data'!J11</f>
        <v>9.3639575971731451E-3</v>
      </c>
      <c r="H11" s="60">
        <f>'Batting Data'!N11/'Batting Data'!J11</f>
        <v>2.8445229681978799E-2</v>
      </c>
      <c r="I11" s="60">
        <f>'Batting Data'!O11/'Batting Data'!J11</f>
        <v>0.10618374558303886</v>
      </c>
      <c r="J11" s="60">
        <f>'Batting Data'!P11/'Batting Data'!J11</f>
        <v>7.4204946996466433E-3</v>
      </c>
      <c r="K11" s="60">
        <f>'Batting Data'!Q11/'Batting Data'!J11</f>
        <v>0.59240282685512369</v>
      </c>
      <c r="L11" s="2" t="str">
        <f t="shared" si="1"/>
        <v>2000 Colorado Rockies</v>
      </c>
      <c r="M11" s="58">
        <f>'Pitching Data'!Q11/'Pitching Data'!P11</f>
        <v>0.15615141955835962</v>
      </c>
      <c r="N11" s="58">
        <f>'Pitching Data'!R11/'Pitching Data'!P11</f>
        <v>5.0315457413249214E-2</v>
      </c>
      <c r="O11" s="58">
        <f>'Pitching Data'!S11/'Pitching Data'!P11</f>
        <v>5.9936908517350162E-3</v>
      </c>
      <c r="P11" s="58">
        <f>'Pitching Data'!T11/'Pitching Data'!P11</f>
        <v>3.4858044164037857E-2</v>
      </c>
      <c r="Q11" s="58">
        <f>'Pitching Data'!U11/'Pitching Data'!P11</f>
        <v>9.2744479495268137E-2</v>
      </c>
      <c r="R11" s="58">
        <f>'Pitching Data'!V11/'Pitching Data'!P11</f>
        <v>1.1356466876971609E-2</v>
      </c>
      <c r="S11" s="58">
        <f>'Pitching Data'!W11/'Pitching Data'!P11</f>
        <v>0.64858044164037854</v>
      </c>
    </row>
    <row r="12" spans="2:19" x14ac:dyDescent="0.5">
      <c r="B12" s="2">
        <v>2000</v>
      </c>
      <c r="C12" s="2" t="s">
        <v>58</v>
      </c>
      <c r="D12" s="2" t="str">
        <f t="shared" si="0"/>
        <v>2000 Detroit Tigers</v>
      </c>
      <c r="E12" s="60">
        <f>'Batting Data'!K12/'Batting Data'!J12</f>
        <v>0.18214032600992205</v>
      </c>
      <c r="F12" s="60">
        <f>'Batting Data'!L12/'Batting Data'!J12</f>
        <v>5.4394046775336644E-2</v>
      </c>
      <c r="G12" s="60">
        <f>'Batting Data'!M12/'Batting Data'!J12</f>
        <v>7.2643515237420268E-3</v>
      </c>
      <c r="H12" s="60">
        <f>'Batting Data'!N12/'Batting Data'!J12</f>
        <v>3.13607370659107E-2</v>
      </c>
      <c r="I12" s="60">
        <f>'Batting Data'!O12/'Batting Data'!J12</f>
        <v>9.9574769666902901E-2</v>
      </c>
      <c r="J12" s="60">
        <f>'Batting Data'!P12/'Batting Data'!J12</f>
        <v>7.6187101346562721E-3</v>
      </c>
      <c r="K12" s="60">
        <f>'Batting Data'!Q12/'Batting Data'!J12</f>
        <v>0.61764705882352944</v>
      </c>
      <c r="L12" s="2" t="str">
        <f t="shared" si="1"/>
        <v>2000 Detroit Tigers</v>
      </c>
      <c r="M12" s="58">
        <f>'Pitching Data'!Q12/'Pitching Data'!P12</f>
        <v>0.16822875297855441</v>
      </c>
      <c r="N12" s="58">
        <f>'Pitching Data'!R12/'Pitching Data'!P12</f>
        <v>4.8292295472597301E-2</v>
      </c>
      <c r="O12" s="58">
        <f>'Pitching Data'!S12/'Pitching Data'!P12</f>
        <v>6.830818109610802E-3</v>
      </c>
      <c r="P12" s="58">
        <f>'Pitching Data'!T12/'Pitching Data'!P12</f>
        <v>2.811755361397935E-2</v>
      </c>
      <c r="Q12" s="58">
        <f>'Pitching Data'!U12/'Pitching Data'!P12</f>
        <v>7.879269261318507E-2</v>
      </c>
      <c r="R12" s="58">
        <f>'Pitching Data'!V12/'Pitching Data'!P12</f>
        <v>7.4662430500397137E-3</v>
      </c>
      <c r="S12" s="58">
        <f>'Pitching Data'!W12/'Pitching Data'!P12</f>
        <v>0.66227164416203332</v>
      </c>
    </row>
    <row r="13" spans="2:19" x14ac:dyDescent="0.5">
      <c r="B13" s="2">
        <v>2000</v>
      </c>
      <c r="C13" s="2" t="s">
        <v>60</v>
      </c>
      <c r="D13" s="2" t="str">
        <f t="shared" si="0"/>
        <v>2000 Florida Marlins</v>
      </c>
      <c r="E13" s="60">
        <f>'Batting Data'!K13/'Batting Data'!J13</f>
        <v>0.17752768197495009</v>
      </c>
      <c r="F13" s="60">
        <f>'Batting Data'!L13/'Batting Data'!J13</f>
        <v>4.9736794336540206E-2</v>
      </c>
      <c r="G13" s="60">
        <f>'Batting Data'!M13/'Batting Data'!J13</f>
        <v>5.2641132691958617E-3</v>
      </c>
      <c r="H13" s="60">
        <f>'Batting Data'!N13/'Batting Data'!J13</f>
        <v>2.9043383554184062E-2</v>
      </c>
      <c r="I13" s="60">
        <f>'Batting Data'!O13/'Batting Data'!J13</f>
        <v>9.8021419495371215E-2</v>
      </c>
      <c r="J13" s="60">
        <f>'Batting Data'!P13/'Batting Data'!J13</f>
        <v>1.0891268832819023E-2</v>
      </c>
      <c r="K13" s="60">
        <f>'Batting Data'!Q13/'Batting Data'!J13</f>
        <v>0.62951533853693953</v>
      </c>
      <c r="L13" s="2" t="str">
        <f t="shared" si="1"/>
        <v>2000 Florida Marlins</v>
      </c>
      <c r="M13" s="58">
        <f>'Pitching Data'!Q13/'Pitching Data'!P13</f>
        <v>0.15538290788013318</v>
      </c>
      <c r="N13" s="58">
        <f>'Pitching Data'!R13/'Pitching Data'!P13</f>
        <v>4.5029332487712063E-2</v>
      </c>
      <c r="O13" s="58">
        <f>'Pitching Data'!S13/'Pitching Data'!P13</f>
        <v>6.9763754558427142E-3</v>
      </c>
      <c r="P13" s="58">
        <f>'Pitching Data'!T13/'Pitching Data'!P13</f>
        <v>2.6795623909941335E-2</v>
      </c>
      <c r="Q13" s="58">
        <f>'Pitching Data'!U13/'Pitching Data'!P13</f>
        <v>0.10306009196131283</v>
      </c>
      <c r="R13" s="58">
        <f>'Pitching Data'!V13/'Pitching Data'!P13</f>
        <v>6.8178214682099256E-3</v>
      </c>
      <c r="S13" s="58">
        <f>'Pitching Data'!W13/'Pitching Data'!P13</f>
        <v>0.65593784683684797</v>
      </c>
    </row>
    <row r="14" spans="2:19" x14ac:dyDescent="0.5">
      <c r="B14" s="2">
        <v>2000</v>
      </c>
      <c r="C14" s="2" t="s">
        <v>62</v>
      </c>
      <c r="D14" s="2" t="str">
        <f t="shared" si="0"/>
        <v>2000 Houston Astros</v>
      </c>
      <c r="E14" s="60">
        <f>'Batting Data'!K14/'Batting Data'!J14</f>
        <v>0.17468581687612209</v>
      </c>
      <c r="F14" s="60">
        <f>'Batting Data'!L14/'Batting Data'!J14</f>
        <v>5.1885098743267508E-2</v>
      </c>
      <c r="G14" s="60">
        <f>'Batting Data'!M14/'Batting Data'!J14</f>
        <v>6.4631956912028724E-3</v>
      </c>
      <c r="H14" s="60">
        <f>'Batting Data'!N14/'Batting Data'!J14</f>
        <v>4.4703770197486538E-2</v>
      </c>
      <c r="I14" s="60">
        <f>'Batting Data'!O14/'Batting Data'!J14</f>
        <v>0.12082585278276481</v>
      </c>
      <c r="J14" s="60">
        <f>'Batting Data'!P14/'Batting Data'!J14</f>
        <v>1.4901256732495512E-2</v>
      </c>
      <c r="K14" s="60">
        <f>'Batting Data'!Q14/'Batting Data'!J14</f>
        <v>0.58653500897666067</v>
      </c>
      <c r="L14" s="2" t="str">
        <f t="shared" si="1"/>
        <v>2000 Houston Astros</v>
      </c>
      <c r="M14" s="58">
        <f>'Pitching Data'!Q14/'Pitching Data'!P14</f>
        <v>0.15569326103795508</v>
      </c>
      <c r="N14" s="58">
        <f>'Pitching Data'!R14/'Pitching Data'!P14</f>
        <v>4.8334624322230832E-2</v>
      </c>
      <c r="O14" s="58">
        <f>'Pitching Data'!S14/'Pitching Data'!P14</f>
        <v>6.9713400464756006E-3</v>
      </c>
      <c r="P14" s="58">
        <f>'Pitching Data'!T14/'Pitching Data'!P14</f>
        <v>3.625096824167312E-2</v>
      </c>
      <c r="Q14" s="58">
        <f>'Pitching Data'!U14/'Pitching Data'!P14</f>
        <v>9.264136328427576E-2</v>
      </c>
      <c r="R14" s="58">
        <f>'Pitching Data'!V14/'Pitching Data'!P14</f>
        <v>9.2951200619674663E-3</v>
      </c>
      <c r="S14" s="58">
        <f>'Pitching Data'!W14/'Pitching Data'!P14</f>
        <v>0.65081332300542216</v>
      </c>
    </row>
    <row r="15" spans="2:19" x14ac:dyDescent="0.5">
      <c r="B15" s="2">
        <v>2000</v>
      </c>
      <c r="C15" s="2" t="s">
        <v>64</v>
      </c>
      <c r="D15" s="2" t="str">
        <f t="shared" si="0"/>
        <v>2000 Kansas City Royals</v>
      </c>
      <c r="E15" s="60">
        <f>'Batting Data'!K15/'Batting Data'!J15</f>
        <v>0.20774216149938693</v>
      </c>
      <c r="F15" s="60">
        <f>'Batting Data'!L15/'Batting Data'!J15</f>
        <v>4.9220528989315115E-2</v>
      </c>
      <c r="G15" s="60">
        <f>'Batting Data'!M15/'Batting Data'!J15</f>
        <v>4.7293746715712038E-3</v>
      </c>
      <c r="H15" s="60">
        <f>'Batting Data'!N15/'Batting Data'!J15</f>
        <v>2.6274303730951128E-2</v>
      </c>
      <c r="I15" s="60">
        <f>'Batting Data'!O15/'Batting Data'!J15</f>
        <v>8.950779471010685E-2</v>
      </c>
      <c r="J15" s="60">
        <f>'Batting Data'!P15/'Batting Data'!J15</f>
        <v>8.4077771939043613E-3</v>
      </c>
      <c r="K15" s="60">
        <f>'Batting Data'!Q15/'Batting Data'!J15</f>
        <v>0.61411805920476437</v>
      </c>
      <c r="L15" s="2" t="str">
        <f t="shared" si="1"/>
        <v>2000 Kansas City Royals</v>
      </c>
      <c r="M15" s="58">
        <f>'Pitching Data'!Q15/'Pitching Data'!P15</f>
        <v>0.15675927363029646</v>
      </c>
      <c r="N15" s="58">
        <f>'Pitching Data'!R15/'Pitching Data'!P15</f>
        <v>4.7959025298773862E-2</v>
      </c>
      <c r="O15" s="58">
        <f>'Pitching Data'!S15/'Pitching Data'!P15</f>
        <v>4.190594443582182E-3</v>
      </c>
      <c r="P15" s="58">
        <f>'Pitching Data'!T15/'Pitching Data'!P15</f>
        <v>3.7094521185783019E-2</v>
      </c>
      <c r="Q15" s="58">
        <f>'Pitching Data'!U15/'Pitching Data'!P15</f>
        <v>0.10755859071860935</v>
      </c>
      <c r="R15" s="58">
        <f>'Pitching Data'!V15/'Pitching Data'!P15</f>
        <v>6.5187024677945057E-3</v>
      </c>
      <c r="S15" s="58">
        <f>'Pitching Data'!W15/'Pitching Data'!P15</f>
        <v>0.63991929225516064</v>
      </c>
    </row>
    <row r="16" spans="2:19" x14ac:dyDescent="0.5">
      <c r="B16" s="2">
        <v>2000</v>
      </c>
      <c r="C16" s="2" t="s">
        <v>66</v>
      </c>
      <c r="D16" s="2" t="str">
        <f t="shared" si="0"/>
        <v>2000 Los Angeles Dodgers</v>
      </c>
      <c r="E16" s="60">
        <f>'Batting Data'!K16/'Batting Data'!J16</f>
        <v>0.16493340631271666</v>
      </c>
      <c r="F16" s="60">
        <f>'Batting Data'!L16/'Batting Data'!J16</f>
        <v>4.834884145228973E-2</v>
      </c>
      <c r="G16" s="60">
        <f>'Batting Data'!M16/'Batting Data'!J16</f>
        <v>5.108556832694764E-3</v>
      </c>
      <c r="H16" s="60">
        <f>'Batting Data'!N16/'Batting Data'!J16</f>
        <v>3.8496624703521255E-2</v>
      </c>
      <c r="I16" s="60">
        <f>'Batting Data'!O16/'Batting Data'!J16</f>
        <v>0.12187557015143222</v>
      </c>
      <c r="J16" s="60">
        <f>'Batting Data'!P16/'Batting Data'!J16</f>
        <v>9.3048713738368913E-3</v>
      </c>
      <c r="K16" s="60">
        <f>'Batting Data'!Q16/'Batting Data'!J16</f>
        <v>0.61193212917350848</v>
      </c>
      <c r="L16" s="2" t="str">
        <f t="shared" si="1"/>
        <v>2000 Los Angeles Dodgers</v>
      </c>
      <c r="M16" s="58">
        <f>'Pitching Data'!Q16/'Pitching Data'!P16</f>
        <v>0.14418306929108657</v>
      </c>
      <c r="N16" s="58">
        <f>'Pitching Data'!R16/'Pitching Data'!P16</f>
        <v>4.5287245959353496E-2</v>
      </c>
      <c r="O16" s="58">
        <f>'Pitching Data'!S16/'Pitching Data'!P16</f>
        <v>3.0404864778364538E-3</v>
      </c>
      <c r="P16" s="58">
        <f>'Pitching Data'!T16/'Pitching Data'!P16</f>
        <v>2.8164506321011362E-2</v>
      </c>
      <c r="Q16" s="58">
        <f>'Pitching Data'!U16/'Pitching Data'!P16</f>
        <v>9.6015362457993275E-2</v>
      </c>
      <c r="R16" s="58">
        <f>'Pitching Data'!V16/'Pitching Data'!P16</f>
        <v>1.2001920307249159E-2</v>
      </c>
      <c r="S16" s="58">
        <f>'Pitching Data'!W16/'Pitching Data'!P16</f>
        <v>0.67130740918546972</v>
      </c>
    </row>
    <row r="17" spans="2:19" x14ac:dyDescent="0.5">
      <c r="B17" s="2">
        <v>2000</v>
      </c>
      <c r="C17" s="2" t="s">
        <v>68</v>
      </c>
      <c r="D17" s="2" t="str">
        <f t="shared" si="0"/>
        <v>2000 Milwaukee Brewers</v>
      </c>
      <c r="E17" s="60">
        <f>'Batting Data'!K17/'Batting Data'!J17</f>
        <v>0.1558511594463419</v>
      </c>
      <c r="F17" s="60">
        <f>'Batting Data'!L17/'Batting Data'!J17</f>
        <v>5.3388459464317813E-2</v>
      </c>
      <c r="G17" s="60">
        <f>'Batting Data'!M17/'Batting Data'!J17</f>
        <v>4.4939780693870213E-3</v>
      </c>
      <c r="H17" s="60">
        <f>'Batting Data'!N17/'Batting Data'!J17</f>
        <v>3.1817364731260109E-2</v>
      </c>
      <c r="I17" s="60">
        <f>'Batting Data'!O17/'Batting Data'!J17</f>
        <v>0.11145065612079813</v>
      </c>
      <c r="J17" s="60">
        <f>'Batting Data'!P17/'Batting Data'!J17</f>
        <v>1.0965306489304332E-2</v>
      </c>
      <c r="K17" s="60">
        <f>'Batting Data'!Q17/'Batting Data'!J17</f>
        <v>0.63203307567859068</v>
      </c>
      <c r="L17" s="2" t="str">
        <f t="shared" si="1"/>
        <v>2000 Milwaukee Brewers</v>
      </c>
      <c r="M17" s="58">
        <f>'Pitching Data'!Q17/'Pitching Data'!P17</f>
        <v>0.16007388025242419</v>
      </c>
      <c r="N17" s="58">
        <f>'Pitching Data'!R17/'Pitching Data'!P17</f>
        <v>3.9094966907803605E-2</v>
      </c>
      <c r="O17" s="58">
        <f>'Pitching Data'!S17/'Pitching Data'!P17</f>
        <v>5.07926735416346E-3</v>
      </c>
      <c r="P17" s="58">
        <f>'Pitching Data'!T17/'Pitching Data'!P17</f>
        <v>2.678159150377097E-2</v>
      </c>
      <c r="Q17" s="58">
        <f>'Pitching Data'!U17/'Pitching Data'!P17</f>
        <v>0.11205171617669693</v>
      </c>
      <c r="R17" s="58">
        <f>'Pitching Data'!V17/'Pitching Data'!P17</f>
        <v>1.0004617515776512E-2</v>
      </c>
      <c r="S17" s="58">
        <f>'Pitching Data'!W17/'Pitching Data'!P17</f>
        <v>0.64691396028936432</v>
      </c>
    </row>
    <row r="18" spans="2:19" x14ac:dyDescent="0.5">
      <c r="B18" s="2">
        <v>2000</v>
      </c>
      <c r="C18" s="2" t="s">
        <v>70</v>
      </c>
      <c r="D18" s="2" t="str">
        <f t="shared" si="0"/>
        <v>2000 Minnesota Twins</v>
      </c>
      <c r="E18" s="60">
        <f>'Batting Data'!K18/'Batting Data'!J18</f>
        <v>0.18272484416740872</v>
      </c>
      <c r="F18" s="60">
        <f>'Batting Data'!L18/'Batting Data'!J18</f>
        <v>5.7880676758682102E-2</v>
      </c>
      <c r="G18" s="60">
        <f>'Batting Data'!M18/'Batting Data'!J18</f>
        <v>8.7266251113089933E-3</v>
      </c>
      <c r="H18" s="60">
        <f>'Batting Data'!N18/'Batting Data'!J18</f>
        <v>2.0658949243098843E-2</v>
      </c>
      <c r="I18" s="60">
        <f>'Batting Data'!O18/'Batting Data'!J18</f>
        <v>9.9020480854853071E-2</v>
      </c>
      <c r="J18" s="60">
        <f>'Batting Data'!P18/'Batting Data'!J18</f>
        <v>6.2333036509349959E-3</v>
      </c>
      <c r="K18" s="60">
        <f>'Batting Data'!Q18/'Batting Data'!J18</f>
        <v>0.62475512021371327</v>
      </c>
      <c r="L18" s="2" t="str">
        <f t="shared" si="1"/>
        <v>2000 Minnesota Twins</v>
      </c>
      <c r="M18" s="58">
        <f>'Pitching Data'!Q18/'Pitching Data'!P18</f>
        <v>0.16887626262626262</v>
      </c>
      <c r="N18" s="58">
        <f>'Pitching Data'!R18/'Pitching Data'!P18</f>
        <v>5.0347222222222224E-2</v>
      </c>
      <c r="O18" s="58">
        <f>'Pitching Data'!S18/'Pitching Data'!P18</f>
        <v>5.208333333333333E-3</v>
      </c>
      <c r="P18" s="58">
        <f>'Pitching Data'!T18/'Pitching Data'!P18</f>
        <v>3.345959595959596E-2</v>
      </c>
      <c r="Q18" s="58">
        <f>'Pitching Data'!U18/'Pitching Data'!P18</f>
        <v>8.1439393939393936E-2</v>
      </c>
      <c r="R18" s="58">
        <f>'Pitching Data'!V18/'Pitching Data'!P18</f>
        <v>5.523989898989899E-3</v>
      </c>
      <c r="S18" s="58">
        <f>'Pitching Data'!W18/'Pitching Data'!P18</f>
        <v>0.65514520202020199</v>
      </c>
    </row>
    <row r="19" spans="2:19" x14ac:dyDescent="0.5">
      <c r="B19" s="2">
        <v>2000</v>
      </c>
      <c r="C19" s="2" t="s">
        <v>72</v>
      </c>
      <c r="D19" s="2" t="str">
        <f t="shared" si="0"/>
        <v>2000 Montreal Expos</v>
      </c>
      <c r="E19" s="60">
        <f>'Batting Data'!K19/'Batting Data'!J19</f>
        <v>0.17199638663053296</v>
      </c>
      <c r="F19" s="60">
        <f>'Batting Data'!L19/'Batting Data'!J19</f>
        <v>5.6007226738934053E-2</v>
      </c>
      <c r="G19" s="60">
        <f>'Batting Data'!M19/'Batting Data'!J19</f>
        <v>6.3233965672990066E-3</v>
      </c>
      <c r="H19" s="60">
        <f>'Batting Data'!N19/'Batting Data'!J19</f>
        <v>3.2158988256549233E-2</v>
      </c>
      <c r="I19" s="60">
        <f>'Batting Data'!O19/'Batting Data'!J19</f>
        <v>8.599819331526648E-2</v>
      </c>
      <c r="J19" s="60">
        <f>'Batting Data'!P19/'Batting Data'!J19</f>
        <v>5.2393857271906055E-3</v>
      </c>
      <c r="K19" s="60">
        <f>'Batting Data'!Q19/'Batting Data'!J19</f>
        <v>0.64227642276422769</v>
      </c>
      <c r="L19" s="2" t="str">
        <f t="shared" si="1"/>
        <v>2000 Montreal Expos</v>
      </c>
      <c r="M19" s="58">
        <f>'Pitching Data'!Q19/'Pitching Data'!P19</f>
        <v>0.16514195583596214</v>
      </c>
      <c r="N19" s="58">
        <f>'Pitching Data'!R19/'Pitching Data'!P19</f>
        <v>4.8738170347003153E-2</v>
      </c>
      <c r="O19" s="58">
        <f>'Pitching Data'!S19/'Pitching Data'!P19</f>
        <v>5.9936908517350162E-3</v>
      </c>
      <c r="P19" s="58">
        <f>'Pitching Data'!T19/'Pitching Data'!P19</f>
        <v>2.8548895899053628E-2</v>
      </c>
      <c r="Q19" s="58">
        <f>'Pitching Data'!U19/'Pitching Data'!P19</f>
        <v>9.1324921135646692E-2</v>
      </c>
      <c r="R19" s="58">
        <f>'Pitching Data'!V19/'Pitching Data'!P19</f>
        <v>9.4637223974763408E-3</v>
      </c>
      <c r="S19" s="58">
        <f>'Pitching Data'!W19/'Pitching Data'!P19</f>
        <v>0.65078864353312305</v>
      </c>
    </row>
    <row r="20" spans="2:19" x14ac:dyDescent="0.5">
      <c r="B20" s="2">
        <v>2000</v>
      </c>
      <c r="C20" s="2" t="s">
        <v>76</v>
      </c>
      <c r="D20" s="2" t="str">
        <f t="shared" si="0"/>
        <v>2000 New York Mets</v>
      </c>
      <c r="E20" s="60">
        <f>'Batting Data'!K20/'Batting Data'!J20</f>
        <v>0.17243893547211084</v>
      </c>
      <c r="F20" s="60">
        <f>'Batting Data'!L20/'Batting Data'!J20</f>
        <v>5.1221290557783447E-2</v>
      </c>
      <c r="G20" s="60">
        <f>'Batting Data'!M20/'Batting Data'!J20</f>
        <v>3.6456434560699965E-3</v>
      </c>
      <c r="H20" s="60">
        <f>'Batting Data'!N20/'Batting Data'!J20</f>
        <v>3.6091870215092962E-2</v>
      </c>
      <c r="I20" s="60">
        <f>'Batting Data'!O20/'Batting Data'!J20</f>
        <v>0.12304046664236237</v>
      </c>
      <c r="J20" s="60">
        <f>'Batting Data'!P20/'Batting Data'!J20</f>
        <v>8.2026977761574926E-3</v>
      </c>
      <c r="K20" s="60">
        <f>'Batting Data'!Q20/'Batting Data'!J20</f>
        <v>0.60535909588042291</v>
      </c>
      <c r="L20" s="2" t="str">
        <f t="shared" si="1"/>
        <v>2000 New York Mets</v>
      </c>
      <c r="M20" s="58">
        <f>'Pitching Data'!Q20/'Pitching Data'!P20</f>
        <v>0.14643084767367751</v>
      </c>
      <c r="N20" s="58">
        <f>'Pitching Data'!R20/'Pitching Data'!P20</f>
        <v>4.5570427023581897E-2</v>
      </c>
      <c r="O20" s="58">
        <f>'Pitching Data'!S20/'Pitching Data'!P20</f>
        <v>4.6207775653282343E-3</v>
      </c>
      <c r="P20" s="58">
        <f>'Pitching Data'!T20/'Pitching Data'!P20</f>
        <v>2.6131293817718292E-2</v>
      </c>
      <c r="Q20" s="58">
        <f>'Pitching Data'!U20/'Pitching Data'!P20</f>
        <v>9.1459528362014028E-2</v>
      </c>
      <c r="R20" s="58">
        <f>'Pitching Data'!V20/'Pitching Data'!P20</f>
        <v>9.5602294455066923E-3</v>
      </c>
      <c r="S20" s="58">
        <f>'Pitching Data'!W20/'Pitching Data'!P20</f>
        <v>0.67622689611217335</v>
      </c>
    </row>
    <row r="21" spans="2:19" x14ac:dyDescent="0.5">
      <c r="B21" s="2">
        <v>2000</v>
      </c>
      <c r="C21" s="2" t="s">
        <v>74</v>
      </c>
      <c r="D21" s="2" t="str">
        <f t="shared" si="0"/>
        <v>2000 New York Yankees</v>
      </c>
      <c r="E21" s="60">
        <f>'Batting Data'!K21/'Batting Data'!J21</f>
        <v>0.18304535637149028</v>
      </c>
      <c r="F21" s="60">
        <f>'Batting Data'!L21/'Batting Data'!J21</f>
        <v>5.2915766738660906E-2</v>
      </c>
      <c r="G21" s="60">
        <f>'Batting Data'!M21/'Batting Data'!J21</f>
        <v>4.4996400287976961E-3</v>
      </c>
      <c r="H21" s="60">
        <f>'Batting Data'!N21/'Batting Data'!J21</f>
        <v>3.6897048236141108E-2</v>
      </c>
      <c r="I21" s="60">
        <f>'Batting Data'!O21/'Batting Data'!J21</f>
        <v>0.11357091432685386</v>
      </c>
      <c r="J21" s="60">
        <f>'Batting Data'!P21/'Batting Data'!J21</f>
        <v>1.0259179265658747E-2</v>
      </c>
      <c r="K21" s="60">
        <f>'Batting Data'!Q21/'Batting Data'!J21</f>
        <v>0.59881209503239741</v>
      </c>
      <c r="L21" s="2" t="str">
        <f t="shared" si="1"/>
        <v>2000 New York Yankees</v>
      </c>
      <c r="M21" s="58">
        <f>'Pitching Data'!Q21/'Pitching Data'!P21</f>
        <v>0.15345268542199489</v>
      </c>
      <c r="N21" s="58">
        <f>'Pitching Data'!R21/'Pitching Data'!P21</f>
        <v>4.7314578005115092E-2</v>
      </c>
      <c r="O21" s="58">
        <f>'Pitching Data'!S21/'Pitching Data'!P21</f>
        <v>3.9961636828644504E-3</v>
      </c>
      <c r="P21" s="58">
        <f>'Pitching Data'!T21/'Pitching Data'!P21</f>
        <v>2.8292838874680308E-2</v>
      </c>
      <c r="Q21" s="58">
        <f>'Pitching Data'!U21/'Pitching Data'!P21</f>
        <v>9.2231457800511507E-2</v>
      </c>
      <c r="R21" s="58">
        <f>'Pitching Data'!V21/'Pitching Data'!P21</f>
        <v>8.3120204603580571E-3</v>
      </c>
      <c r="S21" s="58">
        <f>'Pitching Data'!W21/'Pitching Data'!P21</f>
        <v>0.6664002557544757</v>
      </c>
    </row>
    <row r="22" spans="2:19" x14ac:dyDescent="0.5">
      <c r="B22" s="2">
        <v>2000</v>
      </c>
      <c r="C22" s="2" t="s">
        <v>78</v>
      </c>
      <c r="D22" s="2" t="str">
        <f t="shared" si="0"/>
        <v>2000 Oakland Athletics</v>
      </c>
      <c r="E22" s="60">
        <f>'Batting Data'!K22/'Batting Data'!J22</f>
        <v>0.1723021582733813</v>
      </c>
      <c r="F22" s="60">
        <f>'Batting Data'!L22/'Batting Data'!J22</f>
        <v>5.0539568345323742E-2</v>
      </c>
      <c r="G22" s="60">
        <f>'Batting Data'!M22/'Batting Data'!J22</f>
        <v>4.1366906474820143E-3</v>
      </c>
      <c r="H22" s="60">
        <f>'Batting Data'!N22/'Batting Data'!J22</f>
        <v>4.2985611510791367E-2</v>
      </c>
      <c r="I22" s="60">
        <f>'Batting Data'!O22/'Batting Data'!J22</f>
        <v>0.13489208633093525</v>
      </c>
      <c r="J22" s="60">
        <f>'Batting Data'!P22/'Batting Data'!J22</f>
        <v>9.3525179856115102E-3</v>
      </c>
      <c r="K22" s="60">
        <f>'Batting Data'!Q22/'Batting Data'!J22</f>
        <v>0.58579136690647482</v>
      </c>
      <c r="L22" s="2" t="str">
        <f t="shared" si="1"/>
        <v>2000 Oakland Athletics</v>
      </c>
      <c r="M22" s="58">
        <f>'Pitching Data'!Q22/'Pitching Data'!P22</f>
        <v>0.16412273800157356</v>
      </c>
      <c r="N22" s="58">
        <f>'Pitching Data'!R22/'Pitching Data'!P22</f>
        <v>4.8465774980330452E-2</v>
      </c>
      <c r="O22" s="58">
        <f>'Pitching Data'!S22/'Pitching Data'!P22</f>
        <v>4.0912667191188041E-3</v>
      </c>
      <c r="P22" s="58">
        <f>'Pitching Data'!T22/'Pitching Data'!P22</f>
        <v>2.4862313139260427E-2</v>
      </c>
      <c r="Q22" s="58">
        <f>'Pitching Data'!U22/'Pitching Data'!P22</f>
        <v>9.6774193548387094E-2</v>
      </c>
      <c r="R22" s="58">
        <f>'Pitching Data'!V22/'Pitching Data'!P22</f>
        <v>7.5531077891424075E-3</v>
      </c>
      <c r="S22" s="58">
        <f>'Pitching Data'!W22/'Pitching Data'!P22</f>
        <v>0.65413060582218729</v>
      </c>
    </row>
    <row r="23" spans="2:19" x14ac:dyDescent="0.5">
      <c r="B23" s="2">
        <v>2000</v>
      </c>
      <c r="C23" s="2" t="s">
        <v>80</v>
      </c>
      <c r="D23" s="2" t="str">
        <f t="shared" si="0"/>
        <v>2000 Philadelphia Phillies</v>
      </c>
      <c r="E23" s="60">
        <f>'Batting Data'!K23/'Batting Data'!J23</f>
        <v>0.16294683360551623</v>
      </c>
      <c r="F23" s="60">
        <f>'Batting Data'!L23/'Batting Data'!J23</f>
        <v>5.5162402467791687E-2</v>
      </c>
      <c r="G23" s="60">
        <f>'Batting Data'!M23/'Batting Data'!J23</f>
        <v>7.2582108510252227E-3</v>
      </c>
      <c r="H23" s="60">
        <f>'Batting Data'!N23/'Batting Data'!J23</f>
        <v>2.6129559063690799E-2</v>
      </c>
      <c r="I23" s="60">
        <f>'Batting Data'!O23/'Batting Data'!J23</f>
        <v>0.11086917074941027</v>
      </c>
      <c r="J23" s="60">
        <f>'Batting Data'!P23/'Batting Data'!J23</f>
        <v>7.9840319361277438E-3</v>
      </c>
      <c r="K23" s="60">
        <f>'Batting Data'!Q23/'Batting Data'!J23</f>
        <v>0.62964979132643806</v>
      </c>
      <c r="L23" s="2" t="str">
        <f t="shared" si="1"/>
        <v>2000 Philadelphia Phillies</v>
      </c>
      <c r="M23" s="58">
        <f>'Pitching Data'!Q23/'Pitching Data'!P23</f>
        <v>0.14048146974976244</v>
      </c>
      <c r="N23" s="58">
        <f>'Pitching Data'!R23/'Pitching Data'!P23</f>
        <v>5.3373455812480201E-2</v>
      </c>
      <c r="O23" s="58">
        <f>'Pitching Data'!S23/'Pitching Data'!P23</f>
        <v>5.2264808362369342E-3</v>
      </c>
      <c r="P23" s="58">
        <f>'Pitching Data'!T23/'Pitching Data'!P23</f>
        <v>3.183401963889769E-2</v>
      </c>
      <c r="Q23" s="58">
        <f>'Pitching Data'!U23/'Pitching Data'!P23</f>
        <v>0.10136205258156478</v>
      </c>
      <c r="R23" s="58">
        <f>'Pitching Data'!V23/'Pitching Data'!P23</f>
        <v>6.6518847006651885E-3</v>
      </c>
      <c r="S23" s="58">
        <f>'Pitching Data'!W23/'Pitching Data'!P23</f>
        <v>0.66107063668039279</v>
      </c>
    </row>
    <row r="24" spans="2:19" x14ac:dyDescent="0.5">
      <c r="B24" s="2">
        <v>2000</v>
      </c>
      <c r="C24" s="2" t="s">
        <v>82</v>
      </c>
      <c r="D24" s="2" t="str">
        <f t="shared" si="0"/>
        <v>2000 Pittsburgh Pirates</v>
      </c>
      <c r="E24" s="60">
        <f>'Batting Data'!K24/'Batting Data'!J24</f>
        <v>0.17490696438064859</v>
      </c>
      <c r="F24" s="60">
        <f>'Batting Data'!L24/'Batting Data'!J24</f>
        <v>5.6707425128477762E-2</v>
      </c>
      <c r="G24" s="60">
        <f>'Batting Data'!M24/'Batting Data'!J24</f>
        <v>5.493531809321283E-3</v>
      </c>
      <c r="H24" s="60">
        <f>'Batting Data'!N24/'Batting Data'!J24</f>
        <v>2.9771398192450824E-2</v>
      </c>
      <c r="I24" s="60">
        <f>'Batting Data'!O24/'Batting Data'!J24</f>
        <v>9.9946836788942048E-2</v>
      </c>
      <c r="J24" s="60">
        <f>'Batting Data'!P24/'Batting Data'!J24</f>
        <v>1.1695906432748537E-2</v>
      </c>
      <c r="K24" s="60">
        <f>'Batting Data'!Q24/'Batting Data'!J24</f>
        <v>0.62147793726741096</v>
      </c>
      <c r="L24" s="2" t="str">
        <f t="shared" si="1"/>
        <v>2000 Pittsburgh Pirates</v>
      </c>
      <c r="M24" s="58">
        <f>'Pitching Data'!Q24/'Pitching Data'!P24</f>
        <v>0.16011667178385017</v>
      </c>
      <c r="N24" s="58">
        <f>'Pitching Data'!R24/'Pitching Data'!P24</f>
        <v>4.8050353085661648E-2</v>
      </c>
      <c r="O24" s="58">
        <f>'Pitching Data'!S24/'Pitching Data'!P24</f>
        <v>5.373042677310408E-3</v>
      </c>
      <c r="P24" s="58">
        <f>'Pitching Data'!T24/'Pitching Data'!P24</f>
        <v>2.5023027325759901E-2</v>
      </c>
      <c r="Q24" s="58">
        <f>'Pitching Data'!U24/'Pitching Data'!P24</f>
        <v>0.10914952410193429</v>
      </c>
      <c r="R24" s="58">
        <f>'Pitching Data'!V24/'Pitching Data'!P24</f>
        <v>9.2109303039606995E-3</v>
      </c>
      <c r="S24" s="58">
        <f>'Pitching Data'!W24/'Pitching Data'!P24</f>
        <v>0.64307645072152286</v>
      </c>
    </row>
    <row r="25" spans="2:19" x14ac:dyDescent="0.5">
      <c r="B25" s="2">
        <v>2000</v>
      </c>
      <c r="C25" s="2" t="s">
        <v>84</v>
      </c>
      <c r="D25" s="2" t="str">
        <f t="shared" si="0"/>
        <v>2000 San Diego Padres</v>
      </c>
      <c r="E25" s="60">
        <f>'Batting Data'!K25/'Batting Data'!J25</f>
        <v>0.16906474820143885</v>
      </c>
      <c r="F25" s="60">
        <f>'Batting Data'!L25/'Batting Data'!J25</f>
        <v>5.0179856115107911E-2</v>
      </c>
      <c r="G25" s="60">
        <f>'Batting Data'!M25/'Batting Data'!J25</f>
        <v>6.6546762589928055E-3</v>
      </c>
      <c r="H25" s="60">
        <f>'Batting Data'!N25/'Batting Data'!J25</f>
        <v>2.8237410071942446E-2</v>
      </c>
      <c r="I25" s="60">
        <f>'Batting Data'!O25/'Batting Data'!J25</f>
        <v>0.10827338129496403</v>
      </c>
      <c r="J25" s="60">
        <f>'Batting Data'!P25/'Batting Data'!J25</f>
        <v>8.2733812949640287E-3</v>
      </c>
      <c r="K25" s="60">
        <f>'Batting Data'!Q25/'Batting Data'!J25</f>
        <v>0.62931654676258997</v>
      </c>
      <c r="L25" s="2" t="str">
        <f t="shared" si="1"/>
        <v>2000 San Diego Padres</v>
      </c>
      <c r="M25" s="58">
        <f>'Pitching Data'!Q25/'Pitching Data'!P25</f>
        <v>0.15045213595260368</v>
      </c>
      <c r="N25" s="58">
        <f>'Pitching Data'!R25/'Pitching Data'!P25</f>
        <v>4.0536326785157471E-2</v>
      </c>
      <c r="O25" s="58">
        <f>'Pitching Data'!S25/'Pitching Data'!P25</f>
        <v>4.2095416276894298E-3</v>
      </c>
      <c r="P25" s="58">
        <f>'Pitching Data'!T25/'Pitching Data'!P25</f>
        <v>2.977860929217337E-2</v>
      </c>
      <c r="Q25" s="58">
        <f>'Pitching Data'!U25/'Pitching Data'!P25</f>
        <v>0.10118490801371999</v>
      </c>
      <c r="R25" s="58">
        <f>'Pitching Data'!V25/'Pitching Data'!P25</f>
        <v>1.0601808543810414E-2</v>
      </c>
      <c r="S25" s="58">
        <f>'Pitching Data'!W25/'Pitching Data'!P25</f>
        <v>0.66323666978484563</v>
      </c>
    </row>
    <row r="26" spans="2:19" x14ac:dyDescent="0.5">
      <c r="B26" s="2">
        <v>2000</v>
      </c>
      <c r="C26" s="2" t="s">
        <v>86</v>
      </c>
      <c r="D26" s="2" t="str">
        <f t="shared" si="0"/>
        <v>2000 Seattle Mariners</v>
      </c>
      <c r="E26" s="60">
        <f>'Batting Data'!K26/'Batting Data'!J26</f>
        <v>0.17409496088775697</v>
      </c>
      <c r="F26" s="60">
        <f>'Batting Data'!L26/'Batting Data'!J26</f>
        <v>5.4575222848826634E-2</v>
      </c>
      <c r="G26" s="60">
        <f>'Batting Data'!M26/'Batting Data'!J26</f>
        <v>4.729852646898308E-3</v>
      </c>
      <c r="H26" s="60">
        <f>'Batting Data'!N26/'Batting Data'!J26</f>
        <v>3.6019647080225578E-2</v>
      </c>
      <c r="I26" s="60">
        <f>'Batting Data'!O26/'Batting Data'!J26</f>
        <v>0.14098599235946879</v>
      </c>
      <c r="J26" s="60">
        <f>'Batting Data'!P26/'Batting Data'!J26</f>
        <v>8.7320356558122612E-3</v>
      </c>
      <c r="K26" s="60">
        <f>'Batting Data'!Q26/'Batting Data'!J26</f>
        <v>0.58086228852101152</v>
      </c>
      <c r="L26" s="2" t="str">
        <f t="shared" si="1"/>
        <v>2000 Seattle Mariners</v>
      </c>
      <c r="M26" s="58">
        <f>'Pitching Data'!Q26/'Pitching Data'!P26</f>
        <v>0.15265592598500557</v>
      </c>
      <c r="N26" s="58">
        <f>'Pitching Data'!R26/'Pitching Data'!P26</f>
        <v>4.657840165895677E-2</v>
      </c>
      <c r="O26" s="58">
        <f>'Pitching Data'!S26/'Pitching Data'!P26</f>
        <v>4.1473919285372465E-3</v>
      </c>
      <c r="P26" s="58">
        <f>'Pitching Data'!T26/'Pitching Data'!P26</f>
        <v>2.6639017387143086E-2</v>
      </c>
      <c r="Q26" s="58">
        <f>'Pitching Data'!U26/'Pitching Data'!P26</f>
        <v>0.10113255702663902</v>
      </c>
      <c r="R26" s="58">
        <f>'Pitching Data'!V26/'Pitching Data'!P26</f>
        <v>6.0615728186313609E-3</v>
      </c>
      <c r="S26" s="58">
        <f>'Pitching Data'!W26/'Pitching Data'!P26</f>
        <v>0.66278513319508692</v>
      </c>
    </row>
    <row r="27" spans="2:19" x14ac:dyDescent="0.5">
      <c r="B27" s="2">
        <v>2000</v>
      </c>
      <c r="C27" s="2" t="s">
        <v>88</v>
      </c>
      <c r="D27" s="2" t="str">
        <f t="shared" si="0"/>
        <v>2000 San Francisco Giants</v>
      </c>
      <c r="E27" s="60">
        <f>'Batting Data'!K27/'Batting Data'!J27</f>
        <v>0.17412574741801051</v>
      </c>
      <c r="F27" s="60">
        <f>'Batting Data'!L27/'Batting Data'!J27</f>
        <v>5.5082442471462219E-2</v>
      </c>
      <c r="G27" s="60">
        <f>'Batting Data'!M27/'Batting Data'!J27</f>
        <v>7.9724587787642683E-3</v>
      </c>
      <c r="H27" s="60">
        <f>'Batting Data'!N27/'Batting Data'!J27</f>
        <v>4.0949447363652837E-2</v>
      </c>
      <c r="I27" s="60">
        <f>'Batting Data'!O27/'Batting Data'!J27</f>
        <v>0.12846530168508788</v>
      </c>
      <c r="J27" s="60">
        <f>'Batting Data'!P27/'Batting Data'!J27</f>
        <v>9.2408044935676746E-3</v>
      </c>
      <c r="K27" s="60">
        <f>'Batting Data'!Q27/'Batting Data'!J27</f>
        <v>0.5841637977894546</v>
      </c>
      <c r="L27" s="2" t="str">
        <f t="shared" si="1"/>
        <v>2000 San Francisco Giants</v>
      </c>
      <c r="M27" s="58">
        <f>'Pitching Data'!Q27/'Pitching Data'!P27</f>
        <v>0.15901116427432216</v>
      </c>
      <c r="N27" s="58">
        <f>'Pitching Data'!R27/'Pitching Data'!P27</f>
        <v>4.2264752791068581E-2</v>
      </c>
      <c r="O27" s="58">
        <f>'Pitching Data'!S27/'Pitching Data'!P27</f>
        <v>6.2200956937799043E-3</v>
      </c>
      <c r="P27" s="58">
        <f>'Pitching Data'!T27/'Pitching Data'!P27</f>
        <v>2.40829346092504E-2</v>
      </c>
      <c r="Q27" s="58">
        <f>'Pitching Data'!U27/'Pitching Data'!P27</f>
        <v>9.9362041467304624E-2</v>
      </c>
      <c r="R27" s="58">
        <f>'Pitching Data'!V27/'Pitching Data'!P27</f>
        <v>6.5390749601275918E-3</v>
      </c>
      <c r="S27" s="58">
        <f>'Pitching Data'!W27/'Pitching Data'!P27</f>
        <v>0.66251993620414673</v>
      </c>
    </row>
    <row r="28" spans="2:19" x14ac:dyDescent="0.5">
      <c r="B28" s="2">
        <v>2000</v>
      </c>
      <c r="C28" s="2" t="s">
        <v>90</v>
      </c>
      <c r="D28" s="2" t="str">
        <f t="shared" si="0"/>
        <v>2000 St. Louis Cardinals</v>
      </c>
      <c r="E28" s="60">
        <f>'Batting Data'!K28/'Batting Data'!J28</f>
        <v>0.17561153705732019</v>
      </c>
      <c r="F28" s="60">
        <f>'Batting Data'!L28/'Batting Data'!J28</f>
        <v>4.7280029207740049E-2</v>
      </c>
      <c r="G28" s="60">
        <f>'Batting Data'!M28/'Batting Data'!J28</f>
        <v>4.5637093829864915E-3</v>
      </c>
      <c r="H28" s="60">
        <f>'Batting Data'!N28/'Batting Data'!J28</f>
        <v>4.289886820007302E-2</v>
      </c>
      <c r="I28" s="60">
        <f>'Batting Data'!O28/'Batting Data'!J28</f>
        <v>0.12322015334063527</v>
      </c>
      <c r="J28" s="60">
        <f>'Batting Data'!P28/'Batting Data'!J28</f>
        <v>1.5334063526834611E-2</v>
      </c>
      <c r="K28" s="60">
        <f>'Batting Data'!Q28/'Batting Data'!J28</f>
        <v>0.59109163928441033</v>
      </c>
      <c r="L28" s="2" t="str">
        <f t="shared" si="1"/>
        <v>2000 St. Louis Cardinals</v>
      </c>
      <c r="M28" s="58">
        <f>'Pitching Data'!Q28/'Pitching Data'!P28</f>
        <v>0.14193548387096774</v>
      </c>
      <c r="N28" s="58">
        <f>'Pitching Data'!R28/'Pitching Data'!P28</f>
        <v>4.8225806451612903E-2</v>
      </c>
      <c r="O28" s="58">
        <f>'Pitching Data'!S28/'Pitching Data'!P28</f>
        <v>4.5161290322580649E-3</v>
      </c>
      <c r="P28" s="58">
        <f>'Pitching Data'!T28/'Pitching Data'!P28</f>
        <v>3.1612903225806455E-2</v>
      </c>
      <c r="Q28" s="58">
        <f>'Pitching Data'!U28/'Pitching Data'!P28</f>
        <v>9.7741935483870973E-2</v>
      </c>
      <c r="R28" s="58">
        <f>'Pitching Data'!V28/'Pitching Data'!P28</f>
        <v>0.01</v>
      </c>
      <c r="S28" s="58">
        <f>'Pitching Data'!W28/'Pitching Data'!P28</f>
        <v>0.66596774193548391</v>
      </c>
    </row>
    <row r="29" spans="2:19" x14ac:dyDescent="0.5">
      <c r="B29" s="2">
        <v>2000</v>
      </c>
      <c r="C29" s="2" t="s">
        <v>92</v>
      </c>
      <c r="D29" s="2" t="str">
        <f t="shared" si="0"/>
        <v>2000 Tampa Bay Devil Rays</v>
      </c>
      <c r="E29" s="60">
        <f>'Batting Data'!K29/'Batting Data'!J29</f>
        <v>0.17747502270663035</v>
      </c>
      <c r="F29" s="60">
        <f>'Batting Data'!L29/'Batting Data'!J29</f>
        <v>4.5958219800181652E-2</v>
      </c>
      <c r="G29" s="60">
        <f>'Batting Data'!M29/'Batting Data'!J29</f>
        <v>3.9963669391462307E-3</v>
      </c>
      <c r="H29" s="60">
        <f>'Batting Data'!N29/'Batting Data'!J29</f>
        <v>2.9427792915531336E-2</v>
      </c>
      <c r="I29" s="60">
        <f>'Batting Data'!O29/'Batting Data'!J29</f>
        <v>0.10136239782016349</v>
      </c>
      <c r="J29" s="60">
        <f>'Batting Data'!P29/'Batting Data'!J29</f>
        <v>9.2643051771117164E-3</v>
      </c>
      <c r="K29" s="60">
        <f>'Batting Data'!Q29/'Batting Data'!J29</f>
        <v>0.63251589464123525</v>
      </c>
      <c r="L29" s="2" t="str">
        <f t="shared" si="1"/>
        <v>2000 Tampa Bay Devil Rays</v>
      </c>
      <c r="M29" s="58">
        <f>'Pitching Data'!Q29/'Pitching Data'!P29</f>
        <v>0.16106955276141971</v>
      </c>
      <c r="N29" s="58">
        <f>'Pitching Data'!R29/'Pitching Data'!P29</f>
        <v>4.8862008594620407E-2</v>
      </c>
      <c r="O29" s="58">
        <f>'Pitching Data'!S29/'Pitching Data'!P29</f>
        <v>5.7297469361769857E-3</v>
      </c>
      <c r="P29" s="58">
        <f>'Pitching Data'!T29/'Pitching Data'!P29</f>
        <v>3.1513608148973422E-2</v>
      </c>
      <c r="Q29" s="58">
        <f>'Pitching Data'!U29/'Pitching Data'!P29</f>
        <v>8.4832086582842595E-2</v>
      </c>
      <c r="R29" s="58">
        <f>'Pitching Data'!V29/'Pitching Data'!P29</f>
        <v>1.0504536049657807E-2</v>
      </c>
      <c r="S29" s="58">
        <f>'Pitching Data'!W29/'Pitching Data'!P29</f>
        <v>0.65748846092630908</v>
      </c>
    </row>
    <row r="30" spans="2:19" x14ac:dyDescent="0.5">
      <c r="B30" s="2">
        <v>2000</v>
      </c>
      <c r="C30" s="2" t="s">
        <v>94</v>
      </c>
      <c r="D30" s="2" t="str">
        <f t="shared" si="0"/>
        <v>2000 Texas Rangers</v>
      </c>
      <c r="E30" s="60">
        <f>'Batting Data'!K30/'Batting Data'!J30</f>
        <v>0.18820821529745044</v>
      </c>
      <c r="F30" s="60">
        <f>'Batting Data'!L30/'Batting Data'!J30</f>
        <v>5.8427762039660054E-2</v>
      </c>
      <c r="G30" s="60">
        <f>'Batting Data'!M30/'Batting Data'!J30</f>
        <v>6.1968838526912182E-3</v>
      </c>
      <c r="H30" s="60">
        <f>'Batting Data'!N30/'Batting Data'!J30</f>
        <v>3.0630311614730878E-2</v>
      </c>
      <c r="I30" s="60">
        <f>'Batting Data'!O30/'Batting Data'!J30</f>
        <v>0.10269121813031161</v>
      </c>
      <c r="J30" s="60">
        <f>'Batting Data'!P30/'Batting Data'!J30</f>
        <v>6.9050991501416427E-3</v>
      </c>
      <c r="K30" s="60">
        <f>'Batting Data'!Q30/'Batting Data'!J30</f>
        <v>0.60694050991501414</v>
      </c>
      <c r="L30" s="2" t="str">
        <f t="shared" si="1"/>
        <v>2000 Texas Rangers</v>
      </c>
      <c r="M30" s="58">
        <f>'Pitching Data'!Q30/'Pitching Data'!P30</f>
        <v>0.16465924683640798</v>
      </c>
      <c r="N30" s="58">
        <f>'Pitching Data'!R30/'Pitching Data'!P30</f>
        <v>5.5953651471260864E-2</v>
      </c>
      <c r="O30" s="58">
        <f>'Pitching Data'!S30/'Pitching Data'!P30</f>
        <v>5.1837170300350665E-3</v>
      </c>
      <c r="P30" s="58">
        <f>'Pitching Data'!T30/'Pitching Data'!P30</f>
        <v>3.0797377649031864E-2</v>
      </c>
      <c r="Q30" s="58">
        <f>'Pitching Data'!U30/'Pitching Data'!P30</f>
        <v>0.10077755755450526</v>
      </c>
      <c r="R30" s="58">
        <f>'Pitching Data'!V30/'Pitching Data'!P30</f>
        <v>9.6051227321237997E-3</v>
      </c>
      <c r="S30" s="58">
        <f>'Pitching Data'!W30/'Pitching Data'!P30</f>
        <v>0.63302332672663519</v>
      </c>
    </row>
    <row r="31" spans="2:19" x14ac:dyDescent="0.5">
      <c r="B31" s="2">
        <v>2000</v>
      </c>
      <c r="C31" s="2" t="s">
        <v>96</v>
      </c>
      <c r="D31" s="2" t="str">
        <f t="shared" si="0"/>
        <v>2000 Toronto Blue Jays</v>
      </c>
      <c r="E31" s="60">
        <f>'Batting Data'!K31/'Batting Data'!J31</f>
        <v>0.1706887440549586</v>
      </c>
      <c r="F31" s="60">
        <f>'Batting Data'!L31/'Batting Data'!J31</f>
        <v>5.7776994891668133E-2</v>
      </c>
      <c r="G31" s="60">
        <f>'Batting Data'!M31/'Batting Data'!J31</f>
        <v>3.6991368680641184E-3</v>
      </c>
      <c r="H31" s="60">
        <f>'Batting Data'!N31/'Batting Data'!J31</f>
        <v>4.2980447419411663E-2</v>
      </c>
      <c r="I31" s="60">
        <f>'Batting Data'!O31/'Batting Data'!J31</f>
        <v>9.2654571076272674E-2</v>
      </c>
      <c r="J31" s="60">
        <f>'Batting Data'!P31/'Batting Data'!J31</f>
        <v>1.0568962480183195E-2</v>
      </c>
      <c r="K31" s="60">
        <f>'Batting Data'!Q31/'Batting Data'!J31</f>
        <v>0.62163114320944157</v>
      </c>
      <c r="L31" s="2" t="str">
        <f t="shared" si="1"/>
        <v>2000 Toronto Blue Jays</v>
      </c>
      <c r="M31" s="58">
        <f>'Pitching Data'!Q31/'Pitching Data'!P31</f>
        <v>0.16606554806335266</v>
      </c>
      <c r="N31" s="58">
        <f>'Pitching Data'!R31/'Pitching Data'!P31</f>
        <v>5.3002979457425124E-2</v>
      </c>
      <c r="O31" s="58">
        <f>'Pitching Data'!S31/'Pitching Data'!P31</f>
        <v>3.6067116198839578E-3</v>
      </c>
      <c r="P31" s="58">
        <f>'Pitching Data'!T31/'Pitching Data'!P31</f>
        <v>3.0578641994668341E-2</v>
      </c>
      <c r="Q31" s="58">
        <f>'Pitching Data'!U31/'Pitching Data'!P31</f>
        <v>8.7815587266739853E-2</v>
      </c>
      <c r="R31" s="58">
        <f>'Pitching Data'!V31/'Pitching Data'!P31</f>
        <v>1.003606711619884E-2</v>
      </c>
      <c r="S31" s="58">
        <f>'Pitching Data'!W31/'Pitching Data'!P31</f>
        <v>0.64889446448173127</v>
      </c>
    </row>
    <row r="32" spans="2:19" x14ac:dyDescent="0.5">
      <c r="B32" s="2">
        <v>2001</v>
      </c>
      <c r="C32" s="2" t="s">
        <v>36</v>
      </c>
      <c r="D32" s="2" t="str">
        <f t="shared" si="0"/>
        <v>2001 Anaheim Angels</v>
      </c>
      <c r="E32" s="60">
        <f>'Batting Data'!K32/'Batting Data'!J32</f>
        <v>0.17798594847775176</v>
      </c>
      <c r="F32" s="60">
        <f>'Batting Data'!L32/'Batting Data'!J32</f>
        <v>4.9540623311115112E-2</v>
      </c>
      <c r="G32" s="60">
        <f>'Batting Data'!M32/'Batting Data'!J32</f>
        <v>4.6838407494145199E-3</v>
      </c>
      <c r="H32" s="60">
        <f>'Batting Data'!N32/'Batting Data'!J32</f>
        <v>2.8463339938749777E-2</v>
      </c>
      <c r="I32" s="60">
        <f>'Batting Data'!O32/'Batting Data'!J32</f>
        <v>8.899297423887588E-2</v>
      </c>
      <c r="J32" s="60">
        <f>'Batting Data'!P32/'Batting Data'!J32</f>
        <v>1.3871374527112233E-2</v>
      </c>
      <c r="K32" s="60">
        <f>'Batting Data'!Q32/'Batting Data'!J32</f>
        <v>0.63646189875698067</v>
      </c>
      <c r="L32" s="2" t="str">
        <f t="shared" si="1"/>
        <v>2001 Anaheim Angels</v>
      </c>
      <c r="M32" s="58">
        <f>'Pitching Data'!Q32/'Pitching Data'!P32</f>
        <v>0.15819209039548024</v>
      </c>
      <c r="N32" s="58">
        <f>'Pitching Data'!R32/'Pitching Data'!P32</f>
        <v>4.6004842615012108E-2</v>
      </c>
      <c r="O32" s="58">
        <f>'Pitching Data'!S32/'Pitching Data'!P32</f>
        <v>3.0669895076674736E-3</v>
      </c>
      <c r="P32" s="58">
        <f>'Pitching Data'!T32/'Pitching Data'!P32</f>
        <v>2.7118644067796609E-2</v>
      </c>
      <c r="Q32" s="58">
        <f>'Pitching Data'!U32/'Pitching Data'!P32</f>
        <v>8.4745762711864403E-2</v>
      </c>
      <c r="R32" s="58">
        <f>'Pitching Data'!V32/'Pitching Data'!P32</f>
        <v>1.0330912025827281E-2</v>
      </c>
      <c r="S32" s="58">
        <f>'Pitching Data'!W32/'Pitching Data'!P32</f>
        <v>0.67054075867635188</v>
      </c>
    </row>
    <row r="33" spans="2:19" x14ac:dyDescent="0.5">
      <c r="B33" s="2">
        <v>2001</v>
      </c>
      <c r="C33" s="2" t="s">
        <v>39</v>
      </c>
      <c r="D33" s="2" t="str">
        <f t="shared" si="0"/>
        <v>2001 Arizona Diamondbacks</v>
      </c>
      <c r="E33" s="60">
        <f>'Batting Data'!K33/'Batting Data'!J33</f>
        <v>0.17283288650580875</v>
      </c>
      <c r="F33" s="60">
        <f>'Batting Data'!L33/'Batting Data'!J33</f>
        <v>5.0759606791778371E-2</v>
      </c>
      <c r="G33" s="60">
        <f>'Batting Data'!M33/'Batting Data'!J33</f>
        <v>6.2555853440571943E-3</v>
      </c>
      <c r="H33" s="60">
        <f>'Batting Data'!N33/'Batting Data'!J33</f>
        <v>3.7176050044682753E-2</v>
      </c>
      <c r="I33" s="60">
        <f>'Batting Data'!O33/'Batting Data'!J33</f>
        <v>0.10491510277033066</v>
      </c>
      <c r="J33" s="60">
        <f>'Batting Data'!P33/'Batting Data'!J33</f>
        <v>1.0187667560321715E-2</v>
      </c>
      <c r="K33" s="60">
        <f>'Batting Data'!Q33/'Batting Data'!J33</f>
        <v>0.61787310098302051</v>
      </c>
      <c r="L33" s="2" t="str">
        <f t="shared" si="1"/>
        <v>2001 Arizona Diamondbacks</v>
      </c>
      <c r="M33" s="58">
        <f>'Pitching Data'!Q33/'Pitching Data'!P33</f>
        <v>0.14893267651888342</v>
      </c>
      <c r="N33" s="58">
        <f>'Pitching Data'!R33/'Pitching Data'!P33</f>
        <v>3.7438423645320199E-2</v>
      </c>
      <c r="O33" s="58">
        <f>'Pitching Data'!S33/'Pitching Data'!P33</f>
        <v>3.6124794745484401E-3</v>
      </c>
      <c r="P33" s="58">
        <f>'Pitching Data'!T33/'Pitching Data'!P33</f>
        <v>3.2019704433497539E-2</v>
      </c>
      <c r="Q33" s="58">
        <f>'Pitching Data'!U33/'Pitching Data'!P33</f>
        <v>7.5697865353037769E-2</v>
      </c>
      <c r="R33" s="58">
        <f>'Pitching Data'!V33/'Pitching Data'!P33</f>
        <v>9.688013136288998E-3</v>
      </c>
      <c r="S33" s="58">
        <f>'Pitching Data'!W33/'Pitching Data'!P33</f>
        <v>0.69261083743842367</v>
      </c>
    </row>
    <row r="34" spans="2:19" x14ac:dyDescent="0.5">
      <c r="B34" s="2">
        <v>2001</v>
      </c>
      <c r="C34" s="2" t="s">
        <v>41</v>
      </c>
      <c r="D34" s="2" t="str">
        <f t="shared" si="0"/>
        <v>2001 Atlanta Braves</v>
      </c>
      <c r="E34" s="60">
        <f>'Batting Data'!K34/'Batting Data'!J34</f>
        <v>0.17660967624590759</v>
      </c>
      <c r="F34" s="60">
        <f>'Batting Data'!L34/'Batting Data'!J34</f>
        <v>4.7835576573299385E-2</v>
      </c>
      <c r="G34" s="60">
        <f>'Batting Data'!M34/'Batting Data'!J34</f>
        <v>4.3652237177155325E-3</v>
      </c>
      <c r="H34" s="60">
        <f>'Batting Data'!N34/'Batting Data'!J34</f>
        <v>3.1647871953437615E-2</v>
      </c>
      <c r="I34" s="60">
        <f>'Batting Data'!O34/'Batting Data'!J34</f>
        <v>8.9668970534739906E-2</v>
      </c>
      <c r="J34" s="60">
        <f>'Batting Data'!P34/'Batting Data'!J34</f>
        <v>8.1847944707166241E-3</v>
      </c>
      <c r="K34" s="60">
        <f>'Batting Data'!Q34/'Batting Data'!J34</f>
        <v>0.64168788650418329</v>
      </c>
      <c r="L34" s="2" t="str">
        <f t="shared" si="1"/>
        <v>2001 Atlanta Braves</v>
      </c>
      <c r="M34" s="58">
        <f>'Pitching Data'!Q34/'Pitching Data'!P34</f>
        <v>0.1576613565445886</v>
      </c>
      <c r="N34" s="58">
        <f>'Pitching Data'!R34/'Pitching Data'!P34</f>
        <v>3.7444572179339795E-2</v>
      </c>
      <c r="O34" s="58">
        <f>'Pitching Data'!S34/'Pitching Data'!P34</f>
        <v>3.613072754146822E-3</v>
      </c>
      <c r="P34" s="58">
        <f>'Pitching Data'!T34/'Pitching Data'!P34</f>
        <v>2.512727869929381E-2</v>
      </c>
      <c r="Q34" s="58">
        <f>'Pitching Data'!U34/'Pitching Data'!P34</f>
        <v>8.1951059287239281E-2</v>
      </c>
      <c r="R34" s="58">
        <f>'Pitching Data'!V34/'Pitching Data'!P34</f>
        <v>5.4196091312202332E-3</v>
      </c>
      <c r="S34" s="58">
        <f>'Pitching Data'!W34/'Pitching Data'!P34</f>
        <v>0.68878305140417151</v>
      </c>
    </row>
    <row r="35" spans="2:19" x14ac:dyDescent="0.5">
      <c r="B35" s="2">
        <v>2001</v>
      </c>
      <c r="C35" s="2" t="s">
        <v>44</v>
      </c>
      <c r="D35" s="2" t="str">
        <f t="shared" si="0"/>
        <v>2001 Baltimore Orioles</v>
      </c>
      <c r="E35" s="60">
        <f>'Batting Data'!K35/'Batting Data'!J35</f>
        <v>0.17123538011695907</v>
      </c>
      <c r="F35" s="60">
        <f>'Batting Data'!L35/'Batting Data'!J35</f>
        <v>4.7880116959064328E-2</v>
      </c>
      <c r="G35" s="60">
        <f>'Batting Data'!M35/'Batting Data'!J35</f>
        <v>4.3859649122807015E-3</v>
      </c>
      <c r="H35" s="60">
        <f>'Batting Data'!N35/'Batting Data'!J35</f>
        <v>2.4853801169590642E-2</v>
      </c>
      <c r="I35" s="60">
        <f>'Batting Data'!O35/'Batting Data'!J35</f>
        <v>9.3932748538011701E-2</v>
      </c>
      <c r="J35" s="60">
        <f>'Batting Data'!P35/'Batting Data'!J35</f>
        <v>1.4071637426900584E-2</v>
      </c>
      <c r="K35" s="60">
        <f>'Batting Data'!Q35/'Batting Data'!J35</f>
        <v>0.64364035087719296</v>
      </c>
      <c r="L35" s="2" t="str">
        <f t="shared" si="1"/>
        <v>2001 Baltimore Orioles</v>
      </c>
      <c r="M35" s="58">
        <f>'Pitching Data'!Q35/'Pitching Data'!P35</f>
        <v>0.15383389128008926</v>
      </c>
      <c r="N35" s="58">
        <f>'Pitching Data'!R35/'Pitching Data'!P35</f>
        <v>5.0374621393272756E-2</v>
      </c>
      <c r="O35" s="58">
        <f>'Pitching Data'!S35/'Pitching Data'!P35</f>
        <v>4.6229874063446518E-3</v>
      </c>
      <c r="P35" s="58">
        <f>'Pitching Data'!T35/'Pitching Data'!P35</f>
        <v>3.0926191614857323E-2</v>
      </c>
      <c r="Q35" s="58">
        <f>'Pitching Data'!U35/'Pitching Data'!P35</f>
        <v>8.4170253467240552E-2</v>
      </c>
      <c r="R35" s="58">
        <f>'Pitching Data'!V35/'Pitching Data'!P35</f>
        <v>1.1796588554120834E-2</v>
      </c>
      <c r="S35" s="58">
        <f>'Pitching Data'!W35/'Pitching Data'!P35</f>
        <v>0.66427546628407463</v>
      </c>
    </row>
    <row r="36" spans="2:19" x14ac:dyDescent="0.5">
      <c r="B36" s="2">
        <v>2001</v>
      </c>
      <c r="C36" s="2" t="s">
        <v>46</v>
      </c>
      <c r="D36" s="2" t="str">
        <f t="shared" si="0"/>
        <v>2001 Boston Red Sox</v>
      </c>
      <c r="E36" s="60">
        <f>'Batting Data'!K36/'Batting Data'!J36</f>
        <v>0.16949152542372881</v>
      </c>
      <c r="F36" s="60">
        <f>'Batting Data'!L36/'Batting Data'!J36</f>
        <v>5.6378233719892951E-2</v>
      </c>
      <c r="G36" s="60">
        <f>'Batting Data'!M36/'Batting Data'!J36</f>
        <v>5.1739518287243534E-3</v>
      </c>
      <c r="H36" s="60">
        <f>'Batting Data'!N36/'Batting Data'!J36</f>
        <v>3.5325602140945586E-2</v>
      </c>
      <c r="I36" s="60">
        <f>'Batting Data'!O36/'Batting Data'!J36</f>
        <v>9.2774308652988399E-2</v>
      </c>
      <c r="J36" s="60">
        <f>'Batting Data'!P36/'Batting Data'!J36</f>
        <v>1.2488849241748439E-2</v>
      </c>
      <c r="K36" s="60">
        <f>'Batting Data'!Q36/'Batting Data'!J36</f>
        <v>0.62836752899197146</v>
      </c>
      <c r="L36" s="2" t="str">
        <f t="shared" si="1"/>
        <v>2001 Boston Red Sox</v>
      </c>
      <c r="M36" s="58">
        <f>'Pitching Data'!Q36/'Pitching Data'!P36</f>
        <v>0.15290178571428573</v>
      </c>
      <c r="N36" s="58">
        <f>'Pitching Data'!R36/'Pitching Data'!P36</f>
        <v>4.4642857142857144E-2</v>
      </c>
      <c r="O36" s="58">
        <f>'Pitching Data'!S36/'Pitching Data'!P36</f>
        <v>4.3048469387755098E-3</v>
      </c>
      <c r="P36" s="58">
        <f>'Pitching Data'!T36/'Pitching Data'!P36</f>
        <v>2.3278061224489797E-2</v>
      </c>
      <c r="Q36" s="58">
        <f>'Pitching Data'!U36/'Pitching Data'!P36</f>
        <v>8.673469387755102E-2</v>
      </c>
      <c r="R36" s="58">
        <f>'Pitching Data'!V36/'Pitching Data'!P36</f>
        <v>1.482780612244898E-2</v>
      </c>
      <c r="S36" s="58">
        <f>'Pitching Data'!W36/'Pitching Data'!P36</f>
        <v>0.67330994897959184</v>
      </c>
    </row>
    <row r="37" spans="2:19" x14ac:dyDescent="0.5">
      <c r="B37" s="2">
        <v>2001</v>
      </c>
      <c r="C37" s="2" t="s">
        <v>50</v>
      </c>
      <c r="D37" s="2" t="str">
        <f t="shared" si="0"/>
        <v>2001 Chicago Cubs</v>
      </c>
      <c r="E37" s="60">
        <f>'Batting Data'!K37/'Batting Data'!J37</f>
        <v>0.16925638179800223</v>
      </c>
      <c r="F37" s="60">
        <f>'Batting Data'!L37/'Batting Data'!J37</f>
        <v>4.9574546799852015E-2</v>
      </c>
      <c r="G37" s="60">
        <f>'Batting Data'!M37/'Batting Data'!J37</f>
        <v>5.9193488716241215E-3</v>
      </c>
      <c r="H37" s="60">
        <f>'Batting Data'!N37/'Batting Data'!J37</f>
        <v>3.5886052534221238E-2</v>
      </c>
      <c r="I37" s="60">
        <f>'Batting Data'!O37/'Batting Data'!J37</f>
        <v>0.10673325934147244</v>
      </c>
      <c r="J37" s="60">
        <f>'Batting Data'!P37/'Batting Data'!J37</f>
        <v>1.2208657047724751E-2</v>
      </c>
      <c r="K37" s="60">
        <f>'Batting Data'!Q37/'Batting Data'!J37</f>
        <v>0.62042175360710317</v>
      </c>
      <c r="L37" s="2" t="str">
        <f t="shared" si="1"/>
        <v>2001 Chicago Cubs</v>
      </c>
      <c r="M37" s="58">
        <f>'Pitching Data'!Q37/'Pitching Data'!P37</f>
        <v>0.14482870595875955</v>
      </c>
      <c r="N37" s="58">
        <f>'Pitching Data'!R37/'Pitching Data'!P37</f>
        <v>4.4812469556746226E-2</v>
      </c>
      <c r="O37" s="58">
        <f>'Pitching Data'!S37/'Pitching Data'!P37</f>
        <v>4.0591005033284626E-3</v>
      </c>
      <c r="P37" s="58">
        <f>'Pitching Data'!T37/'Pitching Data'!P37</f>
        <v>2.6627699301834715E-2</v>
      </c>
      <c r="Q37" s="58">
        <f>'Pitching Data'!U37/'Pitching Data'!P37</f>
        <v>8.9300211073226179E-2</v>
      </c>
      <c r="R37" s="58">
        <f>'Pitching Data'!V37/'Pitching Data'!P37</f>
        <v>8.1182010066569252E-3</v>
      </c>
      <c r="S37" s="58">
        <f>'Pitching Data'!W37/'Pitching Data'!P37</f>
        <v>0.68225361259944795</v>
      </c>
    </row>
    <row r="38" spans="2:19" x14ac:dyDescent="0.5">
      <c r="B38" s="2">
        <v>2001</v>
      </c>
      <c r="C38" s="2" t="s">
        <v>48</v>
      </c>
      <c r="D38" s="2" t="str">
        <f t="shared" si="0"/>
        <v>2001 Chicago White Sox</v>
      </c>
      <c r="E38" s="60">
        <f>'Batting Data'!K38/'Batting Data'!J38</f>
        <v>0.16837481698389459</v>
      </c>
      <c r="F38" s="60">
        <f>'Batting Data'!L38/'Batting Data'!J38</f>
        <v>5.4904831625183018E-2</v>
      </c>
      <c r="G38" s="60">
        <f>'Batting Data'!M38/'Batting Data'!J38</f>
        <v>5.307467057101025E-3</v>
      </c>
      <c r="H38" s="60">
        <f>'Batting Data'!N38/'Batting Data'!J38</f>
        <v>3.9165446559297219E-2</v>
      </c>
      <c r="I38" s="60">
        <f>'Batting Data'!O38/'Batting Data'!J38</f>
        <v>9.5168374816983897E-2</v>
      </c>
      <c r="J38" s="60">
        <f>'Batting Data'!P38/'Batting Data'!J38</f>
        <v>9.5168374816983897E-3</v>
      </c>
      <c r="K38" s="60">
        <f>'Batting Data'!Q38/'Batting Data'!J38</f>
        <v>0.62756222547584184</v>
      </c>
      <c r="L38" s="2" t="str">
        <f t="shared" si="1"/>
        <v>2001 Chicago White Sox</v>
      </c>
      <c r="M38" s="58">
        <f>'Pitching Data'!Q38/'Pitching Data'!P38</f>
        <v>0.15612903225806452</v>
      </c>
      <c r="N38" s="58">
        <f>'Pitching Data'!R38/'Pitching Data'!P38</f>
        <v>4.6612903225806454E-2</v>
      </c>
      <c r="O38" s="58">
        <f>'Pitching Data'!S38/'Pitching Data'!P38</f>
        <v>4.354838709677419E-3</v>
      </c>
      <c r="P38" s="58">
        <f>'Pitching Data'!T38/'Pitching Data'!P38</f>
        <v>2.9193548387096774E-2</v>
      </c>
      <c r="Q38" s="58">
        <f>'Pitching Data'!U38/'Pitching Data'!P38</f>
        <v>8.0645161290322578E-2</v>
      </c>
      <c r="R38" s="58">
        <f>'Pitching Data'!V38/'Pitching Data'!P38</f>
        <v>1.4193548387096775E-2</v>
      </c>
      <c r="S38" s="58">
        <f>'Pitching Data'!W38/'Pitching Data'!P38</f>
        <v>0.66887096774193544</v>
      </c>
    </row>
    <row r="39" spans="2:19" x14ac:dyDescent="0.5">
      <c r="B39" s="2">
        <v>2001</v>
      </c>
      <c r="C39" s="2" t="s">
        <v>52</v>
      </c>
      <c r="D39" s="2" t="str">
        <f t="shared" si="0"/>
        <v>2001 Cincinnati Reds</v>
      </c>
      <c r="E39" s="60">
        <f>'Batting Data'!K39/'Batting Data'!J39</f>
        <v>0.17230879455489881</v>
      </c>
      <c r="F39" s="60">
        <f>'Batting Data'!L39/'Batting Data'!J39</f>
        <v>5.4451012000716462E-2</v>
      </c>
      <c r="G39" s="60">
        <f>'Batting Data'!M39/'Batting Data'!J39</f>
        <v>3.9405337632097441E-3</v>
      </c>
      <c r="H39" s="60">
        <f>'Batting Data'!N39/'Batting Data'!J39</f>
        <v>3.1524270105677953E-2</v>
      </c>
      <c r="I39" s="60">
        <f>'Batting Data'!O39/'Batting Data'!J39</f>
        <v>8.3825900053734553E-2</v>
      </c>
      <c r="J39" s="60">
        <f>'Batting Data'!P39/'Batting Data'!J39</f>
        <v>1.1642486118574243E-2</v>
      </c>
      <c r="K39" s="60">
        <f>'Batting Data'!Q39/'Batting Data'!J39</f>
        <v>0.64230700340318825</v>
      </c>
      <c r="L39" s="2" t="str">
        <f t="shared" si="1"/>
        <v>2001 Cincinnati Reds</v>
      </c>
      <c r="M39" s="58">
        <f>'Pitching Data'!Q39/'Pitching Data'!P39</f>
        <v>0.15844402277039848</v>
      </c>
      <c r="N39" s="58">
        <f>'Pitching Data'!R39/'Pitching Data'!P39</f>
        <v>5.4395951929158762E-2</v>
      </c>
      <c r="O39" s="58">
        <f>'Pitching Data'!S39/'Pitching Data'!P39</f>
        <v>4.4275774826059459E-3</v>
      </c>
      <c r="P39" s="58">
        <f>'Pitching Data'!T39/'Pitching Data'!P39</f>
        <v>3.1309297912713474E-2</v>
      </c>
      <c r="Q39" s="58">
        <f>'Pitching Data'!U39/'Pitching Data'!P39</f>
        <v>8.1435800126502214E-2</v>
      </c>
      <c r="R39" s="58">
        <f>'Pitching Data'!V39/'Pitching Data'!P39</f>
        <v>7.5901328273244783E-3</v>
      </c>
      <c r="S39" s="58">
        <f>'Pitching Data'!W39/'Pitching Data'!P39</f>
        <v>0.66239721695129661</v>
      </c>
    </row>
    <row r="40" spans="2:19" x14ac:dyDescent="0.5">
      <c r="B40" s="2">
        <v>2001</v>
      </c>
      <c r="C40" s="2" t="s">
        <v>54</v>
      </c>
      <c r="D40" s="2" t="str">
        <f t="shared" si="0"/>
        <v>2001 Cleveland Indians</v>
      </c>
      <c r="E40" s="60">
        <f>'Batting Data'!K40/'Batting Data'!J40</f>
        <v>0.18142857142857144</v>
      </c>
      <c r="F40" s="60">
        <f>'Batting Data'!L40/'Batting Data'!J40</f>
        <v>5.2499999999999998E-2</v>
      </c>
      <c r="G40" s="60">
        <f>'Batting Data'!M40/'Batting Data'!J40</f>
        <v>6.6071428571428574E-3</v>
      </c>
      <c r="H40" s="60">
        <f>'Batting Data'!N40/'Batting Data'!J40</f>
        <v>3.785714285714286E-2</v>
      </c>
      <c r="I40" s="60">
        <f>'Batting Data'!O40/'Batting Data'!J40</f>
        <v>0.10303571428571429</v>
      </c>
      <c r="J40" s="60">
        <f>'Batting Data'!P40/'Batting Data'!J40</f>
        <v>1.2321428571428572E-2</v>
      </c>
      <c r="K40" s="60">
        <f>'Batting Data'!Q40/'Batting Data'!J40</f>
        <v>0.60624999999999996</v>
      </c>
      <c r="L40" s="2" t="str">
        <f t="shared" si="1"/>
        <v>2001 Cleveland Indians</v>
      </c>
      <c r="M40" s="58">
        <f>'Pitching Data'!Q40/'Pitching Data'!P40</f>
        <v>0.16112167300380228</v>
      </c>
      <c r="N40" s="58">
        <f>'Pitching Data'!R40/'Pitching Data'!P40</f>
        <v>5.0697084917617236E-2</v>
      </c>
      <c r="O40" s="58">
        <f>'Pitching Data'!S40/'Pitching Data'!P40</f>
        <v>4.2775665399239545E-3</v>
      </c>
      <c r="P40" s="58">
        <f>'Pitching Data'!T40/'Pitching Data'!P40</f>
        <v>2.3447401774397972E-2</v>
      </c>
      <c r="Q40" s="58">
        <f>'Pitching Data'!U40/'Pitching Data'!P40</f>
        <v>9.0779467680608364E-2</v>
      </c>
      <c r="R40" s="58">
        <f>'Pitching Data'!V40/'Pitching Data'!P40</f>
        <v>7.7629911280101393E-3</v>
      </c>
      <c r="S40" s="58">
        <f>'Pitching Data'!W40/'Pitching Data'!P40</f>
        <v>0.66191381495564006</v>
      </c>
    </row>
    <row r="41" spans="2:19" x14ac:dyDescent="0.5">
      <c r="B41" s="2">
        <v>2001</v>
      </c>
      <c r="C41" s="2" t="s">
        <v>56</v>
      </c>
      <c r="D41" s="2" t="str">
        <f t="shared" si="0"/>
        <v>2001 Colorado Rockies</v>
      </c>
      <c r="E41" s="60">
        <f>'Batting Data'!K41/'Batting Data'!J41</f>
        <v>0.18717047451669597</v>
      </c>
      <c r="F41" s="60">
        <f>'Batting Data'!L41/'Batting Data'!J41</f>
        <v>5.6942003514938486E-2</v>
      </c>
      <c r="G41" s="60">
        <f>'Batting Data'!M41/'Batting Data'!J41</f>
        <v>1.0720562390158173E-2</v>
      </c>
      <c r="H41" s="60">
        <f>'Batting Data'!N41/'Batting Data'!J41</f>
        <v>3.7434094903339189E-2</v>
      </c>
      <c r="I41" s="60">
        <f>'Batting Data'!O41/'Batting Data'!J41</f>
        <v>8.9806678383128294E-2</v>
      </c>
      <c r="J41" s="60">
        <f>'Batting Data'!P41/'Batting Data'!J41</f>
        <v>1.0720562390158173E-2</v>
      </c>
      <c r="K41" s="60">
        <f>'Batting Data'!Q41/'Batting Data'!J41</f>
        <v>0.60720562390158173</v>
      </c>
      <c r="L41" s="2" t="str">
        <f t="shared" si="1"/>
        <v>2001 Colorado Rockies</v>
      </c>
      <c r="M41" s="58">
        <f>'Pitching Data'!Q41/'Pitching Data'!P41</f>
        <v>0.1422454804947669</v>
      </c>
      <c r="N41" s="58">
        <f>'Pitching Data'!R41/'Pitching Data'!P41</f>
        <v>5.5661274976213128E-2</v>
      </c>
      <c r="O41" s="58">
        <f>'Pitching Data'!S41/'Pitching Data'!P41</f>
        <v>5.5502695845226768E-3</v>
      </c>
      <c r="P41" s="58">
        <f>'Pitching Data'!T41/'Pitching Data'!P41</f>
        <v>3.7900412305740566E-2</v>
      </c>
      <c r="Q41" s="58">
        <f>'Pitching Data'!U41/'Pitching Data'!P41</f>
        <v>9.4830320329844592E-2</v>
      </c>
      <c r="R41" s="58">
        <f>'Pitching Data'!V41/'Pitching Data'!P41</f>
        <v>1.014906438312718E-2</v>
      </c>
      <c r="S41" s="58">
        <f>'Pitching Data'!W41/'Pitching Data'!P41</f>
        <v>0.65366317792578499</v>
      </c>
    </row>
    <row r="42" spans="2:19" x14ac:dyDescent="0.5">
      <c r="B42" s="2">
        <v>2001</v>
      </c>
      <c r="C42" s="2" t="s">
        <v>58</v>
      </c>
      <c r="D42" s="2" t="str">
        <f t="shared" si="0"/>
        <v>2001 Detroit Tigers</v>
      </c>
      <c r="E42" s="60">
        <f>'Batting Data'!K42/'Batting Data'!J42</f>
        <v>0.17139245078562398</v>
      </c>
      <c r="F42" s="60">
        <f>'Batting Data'!L42/'Batting Data'!J42</f>
        <v>5.2555535488531695E-2</v>
      </c>
      <c r="G42" s="60">
        <f>'Batting Data'!M42/'Batting Data'!J42</f>
        <v>1.0836192884233339E-2</v>
      </c>
      <c r="H42" s="60">
        <f>'Batting Data'!N42/'Batting Data'!J42</f>
        <v>2.5103846848473901E-2</v>
      </c>
      <c r="I42" s="60">
        <f>'Batting Data'!O42/'Batting Data'!J42</f>
        <v>8.4161098067545598E-2</v>
      </c>
      <c r="J42" s="60">
        <f>'Batting Data'!P42/'Batting Data'!J42</f>
        <v>9.2107639515983386E-3</v>
      </c>
      <c r="K42" s="60">
        <f>'Batting Data'!Q42/'Batting Data'!J42</f>
        <v>0.64674011197399317</v>
      </c>
      <c r="L42" s="2" t="str">
        <f t="shared" si="1"/>
        <v>2001 Detroit Tigers</v>
      </c>
      <c r="M42" s="58">
        <f>'Pitching Data'!Q42/'Pitching Data'!P42</f>
        <v>0.16695488130797045</v>
      </c>
      <c r="N42" s="58">
        <f>'Pitching Data'!R42/'Pitching Data'!P42</f>
        <v>5.2350259393177175E-2</v>
      </c>
      <c r="O42" s="58">
        <f>'Pitching Data'!S42/'Pitching Data'!P42</f>
        <v>7.7031913221191637E-3</v>
      </c>
      <c r="P42" s="58">
        <f>'Pitching Data'!T42/'Pitching Data'!P42</f>
        <v>2.8297437509825499E-2</v>
      </c>
      <c r="Q42" s="58">
        <f>'Pitching Data'!U42/'Pitching Data'!P42</f>
        <v>8.6936016349630565E-2</v>
      </c>
      <c r="R42" s="58">
        <f>'Pitching Data'!V42/'Pitching Data'!P42</f>
        <v>1.1476182990095897E-2</v>
      </c>
      <c r="S42" s="58">
        <f>'Pitching Data'!W42/'Pitching Data'!P42</f>
        <v>0.6462820311271813</v>
      </c>
    </row>
    <row r="43" spans="2:19" x14ac:dyDescent="0.5">
      <c r="B43" s="2">
        <v>2001</v>
      </c>
      <c r="C43" s="2" t="s">
        <v>60</v>
      </c>
      <c r="D43" s="2" t="str">
        <f t="shared" si="0"/>
        <v>2001 Florida Marlins</v>
      </c>
      <c r="E43" s="60">
        <f>'Batting Data'!K43/'Batting Data'!J43</f>
        <v>0.16961385781306387</v>
      </c>
      <c r="F43" s="60">
        <f>'Batting Data'!L43/'Batting Data'!J43</f>
        <v>5.864308913749549E-2</v>
      </c>
      <c r="G43" s="60">
        <f>'Batting Data'!M43/'Batting Data'!J43</f>
        <v>5.4132082280765065E-3</v>
      </c>
      <c r="H43" s="60">
        <f>'Batting Data'!N43/'Batting Data'!J43</f>
        <v>2.9953085528690002E-2</v>
      </c>
      <c r="I43" s="60">
        <f>'Batting Data'!O43/'Batting Data'!J43</f>
        <v>8.4806928906531936E-2</v>
      </c>
      <c r="J43" s="60">
        <f>'Batting Data'!P43/'Batting Data'!J43</f>
        <v>1.2089498376037532E-2</v>
      </c>
      <c r="K43" s="60">
        <f>'Batting Data'!Q43/'Batting Data'!J43</f>
        <v>0.63948033201010468</v>
      </c>
      <c r="L43" s="2" t="str">
        <f t="shared" si="1"/>
        <v>2001 Florida Marlins</v>
      </c>
      <c r="M43" s="58">
        <f>'Pitching Data'!Q43/'Pitching Data'!P43</f>
        <v>0.14629837803115464</v>
      </c>
      <c r="N43" s="58">
        <f>'Pitching Data'!R43/'Pitching Data'!P43</f>
        <v>4.6410791713505699E-2</v>
      </c>
      <c r="O43" s="58">
        <f>'Pitching Data'!S43/'Pitching Data'!P43</f>
        <v>7.3871848402119805E-3</v>
      </c>
      <c r="P43" s="58">
        <f>'Pitching Data'!T43/'Pitching Data'!P43</f>
        <v>2.4249237192869762E-2</v>
      </c>
      <c r="Q43" s="58">
        <f>'Pitching Data'!U43/'Pitching Data'!P43</f>
        <v>9.9084631443712864E-2</v>
      </c>
      <c r="R43" s="58">
        <f>'Pitching Data'!V43/'Pitching Data'!P43</f>
        <v>1.1241368235105187E-2</v>
      </c>
      <c r="S43" s="58">
        <f>'Pitching Data'!W43/'Pitching Data'!P43</f>
        <v>0.66532840854343989</v>
      </c>
    </row>
    <row r="44" spans="2:19" x14ac:dyDescent="0.5">
      <c r="B44" s="2">
        <v>2001</v>
      </c>
      <c r="C44" s="2" t="s">
        <v>62</v>
      </c>
      <c r="D44" s="2" t="str">
        <f t="shared" si="0"/>
        <v>2001 Houston Astros</v>
      </c>
      <c r="E44" s="60">
        <f>'Batting Data'!K44/'Batting Data'!J44</f>
        <v>0.17185238784370477</v>
      </c>
      <c r="F44" s="60">
        <f>'Batting Data'!L44/'Batting Data'!J44</f>
        <v>5.6620839363241679E-2</v>
      </c>
      <c r="G44" s="60">
        <f>'Batting Data'!M44/'Batting Data'!J44</f>
        <v>5.2460202604920408E-3</v>
      </c>
      <c r="H44" s="60">
        <f>'Batting Data'!N44/'Batting Data'!J44</f>
        <v>3.7626628075253257E-2</v>
      </c>
      <c r="I44" s="60">
        <f>'Batting Data'!O44/'Batting Data'!J44</f>
        <v>0.10510130246020261</v>
      </c>
      <c r="J44" s="60">
        <f>'Batting Data'!P44/'Batting Data'!J44</f>
        <v>1.6099855282199711E-2</v>
      </c>
      <c r="K44" s="60">
        <f>'Batting Data'!Q44/'Batting Data'!J44</f>
        <v>0.6074529667149059</v>
      </c>
      <c r="L44" s="2" t="str">
        <f t="shared" si="1"/>
        <v>2001 Houston Astros</v>
      </c>
      <c r="M44" s="58">
        <f>'Pitching Data'!Q44/'Pitching Data'!P44</f>
        <v>0.15105837075048109</v>
      </c>
      <c r="N44" s="58">
        <f>'Pitching Data'!R44/'Pitching Data'!P44</f>
        <v>4.2014111610006413E-2</v>
      </c>
      <c r="O44" s="58">
        <f>'Pitching Data'!S44/'Pitching Data'!P44</f>
        <v>4.4900577293136628E-3</v>
      </c>
      <c r="P44" s="58">
        <f>'Pitching Data'!T44/'Pitching Data'!P44</f>
        <v>3.5439384220654263E-2</v>
      </c>
      <c r="Q44" s="58">
        <f>'Pitching Data'!U44/'Pitching Data'!P44</f>
        <v>7.7934573444515709E-2</v>
      </c>
      <c r="R44" s="58">
        <f>'Pitching Data'!V44/'Pitching Data'!P44</f>
        <v>1.1225144323284156E-2</v>
      </c>
      <c r="S44" s="58">
        <f>'Pitching Data'!W44/'Pitching Data'!P44</f>
        <v>0.67783835792174474</v>
      </c>
    </row>
    <row r="45" spans="2:19" x14ac:dyDescent="0.5">
      <c r="B45" s="2">
        <v>2001</v>
      </c>
      <c r="C45" s="2" t="s">
        <v>64</v>
      </c>
      <c r="D45" s="2" t="str">
        <f t="shared" si="0"/>
        <v>2001 Kansas City Royals</v>
      </c>
      <c r="E45" s="60">
        <f>'Batting Data'!K45/'Batting Data'!J45</f>
        <v>0.18376749955697325</v>
      </c>
      <c r="F45" s="60">
        <f>'Batting Data'!L45/'Batting Data'!J45</f>
        <v>4.9087364876838561E-2</v>
      </c>
      <c r="G45" s="60">
        <f>'Batting Data'!M45/'Batting Data'!J45</f>
        <v>6.5567960304802409E-3</v>
      </c>
      <c r="H45" s="60">
        <f>'Batting Data'!N45/'Batting Data'!J45</f>
        <v>2.6936026936026935E-2</v>
      </c>
      <c r="I45" s="60">
        <f>'Batting Data'!O45/'Batting Data'!J45</f>
        <v>7.1947545631756163E-2</v>
      </c>
      <c r="J45" s="60">
        <f>'Batting Data'!P45/'Batting Data'!J45</f>
        <v>7.7972709551656916E-3</v>
      </c>
      <c r="K45" s="60">
        <f>'Batting Data'!Q45/'Batting Data'!J45</f>
        <v>0.65390749601275922</v>
      </c>
      <c r="L45" s="2" t="str">
        <f t="shared" si="1"/>
        <v>2001 Kansas City Royals</v>
      </c>
      <c r="M45" s="58">
        <f>'Pitching Data'!Q45/'Pitching Data'!P45</f>
        <v>0.16346000954046749</v>
      </c>
      <c r="N45" s="58">
        <f>'Pitching Data'!R45/'Pitching Data'!P45</f>
        <v>4.1501033550643981E-2</v>
      </c>
      <c r="O45" s="58">
        <f>'Pitching Data'!S45/'Pitching Data'!P45</f>
        <v>6.2013038638893308E-3</v>
      </c>
      <c r="P45" s="58">
        <f>'Pitching Data'!T45/'Pitching Data'!P45</f>
        <v>3.3232628398791542E-2</v>
      </c>
      <c r="Q45" s="58">
        <f>'Pitching Data'!U45/'Pitching Data'!P45</f>
        <v>9.1588487835903953E-2</v>
      </c>
      <c r="R45" s="58">
        <f>'Pitching Data'!V45/'Pitching Data'!P45</f>
        <v>9.69947527428844E-3</v>
      </c>
      <c r="S45" s="58">
        <f>'Pitching Data'!W45/'Pitching Data'!P45</f>
        <v>0.65431706153601521</v>
      </c>
    </row>
    <row r="46" spans="2:19" x14ac:dyDescent="0.5">
      <c r="B46" s="2">
        <v>2001</v>
      </c>
      <c r="C46" s="2" t="s">
        <v>66</v>
      </c>
      <c r="D46" s="2" t="str">
        <f t="shared" si="0"/>
        <v>2001 Los Angeles Dodgers</v>
      </c>
      <c r="E46" s="60">
        <f>'Batting Data'!K46/'Batting Data'!J46</f>
        <v>0.16420899326415439</v>
      </c>
      <c r="F46" s="60">
        <f>'Batting Data'!L46/'Batting Data'!J46</f>
        <v>4.8061168760240303E-2</v>
      </c>
      <c r="G46" s="60">
        <f>'Batting Data'!M46/'Batting Data'!J46</f>
        <v>4.9153468050245766E-3</v>
      </c>
      <c r="H46" s="60">
        <f>'Batting Data'!N46/'Batting Data'!J46</f>
        <v>3.7502275623520848E-2</v>
      </c>
      <c r="I46" s="60">
        <f>'Batting Data'!O46/'Batting Data'!J46</f>
        <v>9.4483888585472423E-2</v>
      </c>
      <c r="J46" s="60">
        <f>'Batting Data'!P46/'Batting Data'!J46</f>
        <v>1.0194793373384307E-2</v>
      </c>
      <c r="K46" s="60">
        <f>'Batting Data'!Q46/'Batting Data'!J46</f>
        <v>0.64063353358820319</v>
      </c>
      <c r="L46" s="2" t="str">
        <f t="shared" si="1"/>
        <v>2001 Los Angeles Dodgers</v>
      </c>
      <c r="M46" s="58">
        <f>'Pitching Data'!Q46/'Pitching Data'!P46</f>
        <v>0.14658925979680695</v>
      </c>
      <c r="N46" s="58">
        <f>'Pitching Data'!R46/'Pitching Data'!P46</f>
        <v>4.3218835671665859E-2</v>
      </c>
      <c r="O46" s="58">
        <f>'Pitching Data'!S46/'Pitching Data'!P46</f>
        <v>4.1928721174004195E-3</v>
      </c>
      <c r="P46" s="58">
        <f>'Pitching Data'!T46/'Pitching Data'!P46</f>
        <v>2.9672633446218351E-2</v>
      </c>
      <c r="Q46" s="58">
        <f>'Pitching Data'!U46/'Pitching Data'!P46</f>
        <v>8.4502499596839226E-2</v>
      </c>
      <c r="R46" s="58">
        <f>'Pitching Data'!V46/'Pitching Data'!P46</f>
        <v>1.1611030478955007E-2</v>
      </c>
      <c r="S46" s="58">
        <f>'Pitching Data'!W46/'Pitching Data'!P46</f>
        <v>0.68021286889211419</v>
      </c>
    </row>
    <row r="47" spans="2:19" x14ac:dyDescent="0.5">
      <c r="B47" s="2">
        <v>2001</v>
      </c>
      <c r="C47" s="2" t="s">
        <v>68</v>
      </c>
      <c r="D47" s="2" t="str">
        <f t="shared" si="0"/>
        <v>2001 Milwaukee Brewers</v>
      </c>
      <c r="E47" s="60">
        <f>'Batting Data'!K47/'Batting Data'!J47</f>
        <v>0.15779883381924198</v>
      </c>
      <c r="F47" s="60">
        <f>'Batting Data'!L47/'Batting Data'!J47</f>
        <v>4.9744897959183673E-2</v>
      </c>
      <c r="G47" s="60">
        <f>'Batting Data'!M47/'Batting Data'!J47</f>
        <v>5.4664723032069968E-3</v>
      </c>
      <c r="H47" s="60">
        <f>'Batting Data'!N47/'Batting Data'!J47</f>
        <v>3.8083090379008748E-2</v>
      </c>
      <c r="I47" s="60">
        <f>'Batting Data'!O47/'Batting Data'!J47</f>
        <v>8.8921282798833823E-2</v>
      </c>
      <c r="J47" s="60">
        <f>'Batting Data'!P47/'Batting Data'!J47</f>
        <v>1.3119533527696793E-2</v>
      </c>
      <c r="K47" s="60">
        <f>'Batting Data'!Q47/'Batting Data'!J47</f>
        <v>0.64686588921282795</v>
      </c>
      <c r="L47" s="2" t="str">
        <f t="shared" si="1"/>
        <v>2001 Milwaukee Brewers</v>
      </c>
      <c r="M47" s="58">
        <f>'Pitching Data'!Q47/'Pitching Data'!P47</f>
        <v>0.14578731461028716</v>
      </c>
      <c r="N47" s="58">
        <f>'Pitching Data'!R47/'Pitching Data'!P47</f>
        <v>4.6229094351530449E-2</v>
      </c>
      <c r="O47" s="58">
        <f>'Pitching Data'!S47/'Pitching Data'!P47</f>
        <v>5.9955822025875667E-3</v>
      </c>
      <c r="P47" s="58">
        <f>'Pitching Data'!T47/'Pitching Data'!P47</f>
        <v>3.1082360366046072E-2</v>
      </c>
      <c r="Q47" s="58">
        <f>'Pitching Data'!U47/'Pitching Data'!P47</f>
        <v>0.10523824550331334</v>
      </c>
      <c r="R47" s="58">
        <f>'Pitching Data'!V47/'Pitching Data'!P47</f>
        <v>1.1360050489113285E-2</v>
      </c>
      <c r="S47" s="58">
        <f>'Pitching Data'!W47/'Pitching Data'!P47</f>
        <v>0.65430735247712213</v>
      </c>
    </row>
    <row r="48" spans="2:19" x14ac:dyDescent="0.5">
      <c r="B48" s="2">
        <v>2001</v>
      </c>
      <c r="C48" s="2" t="s">
        <v>70</v>
      </c>
      <c r="D48" s="2" t="str">
        <f t="shared" si="0"/>
        <v>2001 Minnesota Twins</v>
      </c>
      <c r="E48" s="60">
        <f>'Batting Data'!K48/'Batting Data'!J48</f>
        <v>0.17697841726618704</v>
      </c>
      <c r="F48" s="60">
        <f>'Batting Data'!L48/'Batting Data'!J48</f>
        <v>5.8992805755395686E-2</v>
      </c>
      <c r="G48" s="60">
        <f>'Batting Data'!M48/'Batting Data'!J48</f>
        <v>6.8345323741007191E-3</v>
      </c>
      <c r="H48" s="60">
        <f>'Batting Data'!N48/'Batting Data'!J48</f>
        <v>2.9496402877697843E-2</v>
      </c>
      <c r="I48" s="60">
        <f>'Batting Data'!O48/'Batting Data'!J48</f>
        <v>8.9028776978417268E-2</v>
      </c>
      <c r="J48" s="60">
        <f>'Batting Data'!P48/'Batting Data'!J48</f>
        <v>1.1510791366906475E-2</v>
      </c>
      <c r="K48" s="60">
        <f>'Batting Data'!Q48/'Batting Data'!J48</f>
        <v>0.62715827338129493</v>
      </c>
      <c r="L48" s="2" t="str">
        <f t="shared" si="1"/>
        <v>2001 Minnesota Twins</v>
      </c>
      <c r="M48" s="58">
        <f>'Pitching Data'!Q48/'Pitching Data'!P48</f>
        <v>0.15629545821884597</v>
      </c>
      <c r="N48" s="58">
        <f>'Pitching Data'!R48/'Pitching Data'!P48</f>
        <v>4.881202521415872E-2</v>
      </c>
      <c r="O48" s="58">
        <f>'Pitching Data'!S48/'Pitching Data'!P48</f>
        <v>5.3337643445935026E-3</v>
      </c>
      <c r="P48" s="58">
        <f>'Pitching Data'!T48/'Pitching Data'!P48</f>
        <v>3.103281073218038E-2</v>
      </c>
      <c r="Q48" s="58">
        <f>'Pitching Data'!U48/'Pitching Data'!P48</f>
        <v>7.1925004040730559E-2</v>
      </c>
      <c r="R48" s="58">
        <f>'Pitching Data'!V48/'Pitching Data'!P48</f>
        <v>9.0512364635526102E-3</v>
      </c>
      <c r="S48" s="58">
        <f>'Pitching Data'!W48/'Pitching Data'!P48</f>
        <v>0.67754970098593825</v>
      </c>
    </row>
    <row r="49" spans="2:19" x14ac:dyDescent="0.5">
      <c r="B49" s="2">
        <v>2001</v>
      </c>
      <c r="C49" s="2" t="s">
        <v>72</v>
      </c>
      <c r="D49" s="2" t="str">
        <f t="shared" si="0"/>
        <v>2001 Montreal Expos</v>
      </c>
      <c r="E49" s="60">
        <f>'Batting Data'!K49/'Batting Data'!J49</f>
        <v>0.16397099832682654</v>
      </c>
      <c r="F49" s="60">
        <f>'Batting Data'!L49/'Batting Data'!J49</f>
        <v>5.9490611637850903E-2</v>
      </c>
      <c r="G49" s="60">
        <f>'Batting Data'!M49/'Batting Data'!J49</f>
        <v>5.2054285183119539E-3</v>
      </c>
      <c r="H49" s="60">
        <f>'Batting Data'!N49/'Batting Data'!J49</f>
        <v>2.4353969139245212E-2</v>
      </c>
      <c r="I49" s="60">
        <f>'Batting Data'!O49/'Batting Data'!J49</f>
        <v>8.886410113403978E-2</v>
      </c>
      <c r="J49" s="60">
        <f>'Batting Data'!P49/'Batting Data'!J49</f>
        <v>1.1154489682097044E-2</v>
      </c>
      <c r="K49" s="60">
        <f>'Batting Data'!Q49/'Batting Data'!J49</f>
        <v>0.6469604015616286</v>
      </c>
      <c r="L49" s="2" t="str">
        <f t="shared" si="1"/>
        <v>2001 Montreal Expos</v>
      </c>
      <c r="M49" s="58">
        <f>'Pitching Data'!Q49/'Pitching Data'!P49</f>
        <v>0.15728</v>
      </c>
      <c r="N49" s="58">
        <f>'Pitching Data'!R49/'Pitching Data'!P49</f>
        <v>4.8959999999999997E-2</v>
      </c>
      <c r="O49" s="58">
        <f>'Pitching Data'!S49/'Pitching Data'!P49</f>
        <v>4.7999999999999996E-3</v>
      </c>
      <c r="P49" s="58">
        <f>'Pitching Data'!T49/'Pitching Data'!P49</f>
        <v>3.04E-2</v>
      </c>
      <c r="Q49" s="58">
        <f>'Pitching Data'!U49/'Pitching Data'!P49</f>
        <v>8.4000000000000005E-2</v>
      </c>
      <c r="R49" s="58">
        <f>'Pitching Data'!V49/'Pitching Data'!P49</f>
        <v>9.7599999999999996E-3</v>
      </c>
      <c r="S49" s="58">
        <f>'Pitching Data'!W49/'Pitching Data'!P49</f>
        <v>0.66479999999999995</v>
      </c>
    </row>
    <row r="50" spans="2:19" x14ac:dyDescent="0.5">
      <c r="B50" s="2">
        <v>2001</v>
      </c>
      <c r="C50" s="2" t="s">
        <v>76</v>
      </c>
      <c r="D50" s="2" t="str">
        <f t="shared" si="0"/>
        <v>2001 New York Mets</v>
      </c>
      <c r="E50" s="60">
        <f>'Batting Data'!K50/'Batting Data'!J50</f>
        <v>0.16907858582157903</v>
      </c>
      <c r="F50" s="60">
        <f>'Batting Data'!L50/'Batting Data'!J50</f>
        <v>5.0009159186664223E-2</v>
      </c>
      <c r="G50" s="60">
        <f>'Batting Data'!M50/'Batting Data'!J50</f>
        <v>3.2973071991207179E-3</v>
      </c>
      <c r="H50" s="60">
        <f>'Batting Data'!N50/'Batting Data'!J50</f>
        <v>2.6928008792819199E-2</v>
      </c>
      <c r="I50" s="60">
        <f>'Batting Data'!O50/'Batting Data'!J50</f>
        <v>9.9835134640043968E-2</v>
      </c>
      <c r="J50" s="60">
        <f>'Batting Data'!P50/'Batting Data'!J50</f>
        <v>1.1906942663491482E-2</v>
      </c>
      <c r="K50" s="60">
        <f>'Batting Data'!Q50/'Batting Data'!J50</f>
        <v>0.6389448616962814</v>
      </c>
      <c r="L50" s="2" t="str">
        <f t="shared" si="1"/>
        <v>2001 New York Mets</v>
      </c>
      <c r="M50" s="58">
        <f>'Pitching Data'!Q50/'Pitching Data'!P50</f>
        <v>0.15277550352055019</v>
      </c>
      <c r="N50" s="58">
        <f>'Pitching Data'!R50/'Pitching Data'!P50</f>
        <v>4.3556574422793516E-2</v>
      </c>
      <c r="O50" s="58">
        <f>'Pitching Data'!S50/'Pitching Data'!P50</f>
        <v>5.4036351727525791E-3</v>
      </c>
      <c r="P50" s="58">
        <f>'Pitching Data'!T50/'Pitching Data'!P50</f>
        <v>3.0456852791878174E-2</v>
      </c>
      <c r="Q50" s="58">
        <f>'Pitching Data'!U50/'Pitching Data'!P50</f>
        <v>7.1720975929261507E-2</v>
      </c>
      <c r="R50" s="58">
        <f>'Pitching Data'!V50/'Pitching Data'!P50</f>
        <v>7.0411003766169969E-3</v>
      </c>
      <c r="S50" s="58">
        <f>'Pitching Data'!W50/'Pitching Data'!P50</f>
        <v>0.68904535778614706</v>
      </c>
    </row>
    <row r="51" spans="2:19" x14ac:dyDescent="0.5">
      <c r="B51" s="2">
        <v>2001</v>
      </c>
      <c r="C51" s="2" t="s">
        <v>74</v>
      </c>
      <c r="D51" s="2" t="str">
        <f t="shared" si="0"/>
        <v>2001 New York Yankees</v>
      </c>
      <c r="E51" s="60">
        <f>'Batting Data'!K51/'Batting Data'!J51</f>
        <v>0.17500448269679039</v>
      </c>
      <c r="F51" s="60">
        <f>'Batting Data'!L51/'Batting Data'!J51</f>
        <v>5.181997489689797E-2</v>
      </c>
      <c r="G51" s="60">
        <f>'Batting Data'!M51/'Batting Data'!J51</f>
        <v>3.5861574323112783E-3</v>
      </c>
      <c r="H51" s="60">
        <f>'Batting Data'!N51/'Batting Data'!J51</f>
        <v>3.6399497937959477E-2</v>
      </c>
      <c r="I51" s="60">
        <f>'Batting Data'!O51/'Batting Data'!J51</f>
        <v>9.3060785368477672E-2</v>
      </c>
      <c r="J51" s="60">
        <f>'Batting Data'!P51/'Batting Data'!J51</f>
        <v>1.1475703783396091E-2</v>
      </c>
      <c r="K51" s="60">
        <f>'Batting Data'!Q51/'Batting Data'!J51</f>
        <v>0.62865339788416708</v>
      </c>
      <c r="L51" s="2" t="str">
        <f t="shared" si="1"/>
        <v>2001 New York Yankees</v>
      </c>
      <c r="M51" s="58">
        <f>'Pitching Data'!Q51/'Pitching Data'!P51</f>
        <v>0.15873015873015872</v>
      </c>
      <c r="N51" s="58">
        <f>'Pitching Data'!R51/'Pitching Data'!P51</f>
        <v>4.3083900226757371E-2</v>
      </c>
      <c r="O51" s="58">
        <f>'Pitching Data'!S51/'Pitching Data'!P51</f>
        <v>4.0492387431162943E-3</v>
      </c>
      <c r="P51" s="58">
        <f>'Pitching Data'!T51/'Pitching Data'!P51</f>
        <v>2.559118885649498E-2</v>
      </c>
      <c r="Q51" s="58">
        <f>'Pitching Data'!U51/'Pitching Data'!P51</f>
        <v>7.5315840621963073E-2</v>
      </c>
      <c r="R51" s="58">
        <f>'Pitching Data'!V51/'Pitching Data'!P51</f>
        <v>8.9083252348558465E-3</v>
      </c>
      <c r="S51" s="58">
        <f>'Pitching Data'!W51/'Pitching Data'!P51</f>
        <v>0.68432134758665375</v>
      </c>
    </row>
    <row r="52" spans="2:19" x14ac:dyDescent="0.5">
      <c r="B52" s="2">
        <v>2001</v>
      </c>
      <c r="C52" s="2" t="s">
        <v>78</v>
      </c>
      <c r="D52" s="2" t="str">
        <f t="shared" si="0"/>
        <v>2001 Oakland Athletics</v>
      </c>
      <c r="E52" s="60">
        <f>'Batting Data'!K52/'Batting Data'!J52</f>
        <v>0.16400502422393684</v>
      </c>
      <c r="F52" s="60">
        <f>'Batting Data'!L52/'Batting Data'!J52</f>
        <v>5.9931814103714336E-2</v>
      </c>
      <c r="G52" s="60">
        <f>'Batting Data'!M52/'Batting Data'!J52</f>
        <v>3.9476045218015433E-3</v>
      </c>
      <c r="H52" s="60">
        <f>'Batting Data'!N52/'Batting Data'!J52</f>
        <v>3.5707877265386684E-2</v>
      </c>
      <c r="I52" s="60">
        <f>'Batting Data'!O52/'Batting Data'!J52</f>
        <v>0.11483940427059035</v>
      </c>
      <c r="J52" s="60">
        <f>'Batting Data'!P52/'Batting Data'!J52</f>
        <v>1.5790418087206173E-2</v>
      </c>
      <c r="K52" s="60">
        <f>'Batting Data'!Q52/'Batting Data'!J52</f>
        <v>0.60577785752736413</v>
      </c>
      <c r="L52" s="2" t="str">
        <f t="shared" si="1"/>
        <v>2001 Oakland Athletics</v>
      </c>
      <c r="M52" s="58">
        <f>'Pitching Data'!Q52/'Pitching Data'!P52</f>
        <v>0.16124284546197873</v>
      </c>
      <c r="N52" s="58">
        <f>'Pitching Data'!R52/'Pitching Data'!P52</f>
        <v>3.6467702371218318E-2</v>
      </c>
      <c r="O52" s="58">
        <f>'Pitching Data'!S52/'Pitching Data'!P52</f>
        <v>3.5977105478331973E-3</v>
      </c>
      <c r="P52" s="58">
        <f>'Pitching Data'!T52/'Pitching Data'!P52</f>
        <v>2.5020441537203598E-2</v>
      </c>
      <c r="Q52" s="58">
        <f>'Pitching Data'!U52/'Pitching Data'!P52</f>
        <v>7.1954210956663947E-2</v>
      </c>
      <c r="R52" s="58">
        <f>'Pitching Data'!V52/'Pitching Data'!P52</f>
        <v>7.5224856909239576E-3</v>
      </c>
      <c r="S52" s="58">
        <f>'Pitching Data'!W52/'Pitching Data'!P52</f>
        <v>0.69419460343417827</v>
      </c>
    </row>
    <row r="53" spans="2:19" x14ac:dyDescent="0.5">
      <c r="B53" s="2">
        <v>2001</v>
      </c>
      <c r="C53" s="2" t="s">
        <v>80</v>
      </c>
      <c r="D53" s="2" t="str">
        <f t="shared" si="0"/>
        <v>2001 Philadelphia Phillies</v>
      </c>
      <c r="E53" s="60">
        <f>'Batting Data'!K53/'Batting Data'!J53</f>
        <v>0.17154811715481172</v>
      </c>
      <c r="F53" s="60">
        <f>'Batting Data'!L53/'Batting Data'!J53</f>
        <v>5.3665635801346187E-2</v>
      </c>
      <c r="G53" s="60">
        <f>'Batting Data'!M53/'Batting Data'!J53</f>
        <v>5.2756048753865746E-3</v>
      </c>
      <c r="H53" s="60">
        <f>'Batting Data'!N53/'Batting Data'!J53</f>
        <v>2.983445515735856E-2</v>
      </c>
      <c r="I53" s="60">
        <f>'Batting Data'!O53/'Batting Data'!J53</f>
        <v>0.10023649263234491</v>
      </c>
      <c r="J53" s="60">
        <f>'Batting Data'!P53/'Batting Data'!J53</f>
        <v>7.8224486083318182E-3</v>
      </c>
      <c r="K53" s="60">
        <f>'Batting Data'!Q53/'Batting Data'!J53</f>
        <v>0.63161724577042022</v>
      </c>
      <c r="L53" s="2" t="str">
        <f t="shared" si="1"/>
        <v>2001 Philadelphia Phillies</v>
      </c>
      <c r="M53" s="58">
        <f>'Pitching Data'!Q53/'Pitching Data'!P53</f>
        <v>0.14311068086479509</v>
      </c>
      <c r="N53" s="58">
        <f>'Pitching Data'!R53/'Pitching Data'!P53</f>
        <v>5.1952242658922232E-2</v>
      </c>
      <c r="O53" s="58">
        <f>'Pitching Data'!S53/'Pitching Data'!P53</f>
        <v>6.1310100032268477E-3</v>
      </c>
      <c r="P53" s="58">
        <f>'Pitching Data'!T53/'Pitching Data'!P53</f>
        <v>2.7428202646014845E-2</v>
      </c>
      <c r="Q53" s="58">
        <f>'Pitching Data'!U53/'Pitching Data'!P53</f>
        <v>8.5027428202646013E-2</v>
      </c>
      <c r="R53" s="58">
        <f>'Pitching Data'!V53/'Pitching Data'!P53</f>
        <v>1.1293965795417877E-2</v>
      </c>
      <c r="S53" s="58">
        <f>'Pitching Data'!W53/'Pitching Data'!P53</f>
        <v>0.67505646982897705</v>
      </c>
    </row>
    <row r="54" spans="2:19" x14ac:dyDescent="0.5">
      <c r="B54" s="2">
        <v>2001</v>
      </c>
      <c r="C54" s="2" t="s">
        <v>82</v>
      </c>
      <c r="D54" s="2" t="str">
        <f t="shared" si="0"/>
        <v>2001 Pittsburgh Pirates</v>
      </c>
      <c r="E54" s="60">
        <f>'Batting Data'!K54/'Batting Data'!J54</f>
        <v>0.16506113375324194</v>
      </c>
      <c r="F54" s="60">
        <f>'Batting Data'!L54/'Batting Data'!J54</f>
        <v>4.7424972211930344E-2</v>
      </c>
      <c r="G54" s="60">
        <f>'Batting Data'!M54/'Batting Data'!J54</f>
        <v>4.631344942571323E-3</v>
      </c>
      <c r="H54" s="60">
        <f>'Batting Data'!N54/'Batting Data'!J54</f>
        <v>2.9825861430159317E-2</v>
      </c>
      <c r="I54" s="60">
        <f>'Batting Data'!O54/'Batting Data'!J54</f>
        <v>8.6513523527232308E-2</v>
      </c>
      <c r="J54" s="60">
        <f>'Batting Data'!P54/'Batting Data'!J54</f>
        <v>1.2412004446091146E-2</v>
      </c>
      <c r="K54" s="60">
        <f>'Batting Data'!Q54/'Batting Data'!J54</f>
        <v>0.65413115968877367</v>
      </c>
      <c r="L54" s="2" t="str">
        <f t="shared" si="1"/>
        <v>2001 Pittsburgh Pirates</v>
      </c>
      <c r="M54" s="58">
        <f>'Pitching Data'!Q54/'Pitching Data'!P54</f>
        <v>0.15750562520090003</v>
      </c>
      <c r="N54" s="58">
        <f>'Pitching Data'!R54/'Pitching Data'!P54</f>
        <v>4.9823207971713274E-2</v>
      </c>
      <c r="O54" s="58">
        <f>'Pitching Data'!S54/'Pitching Data'!P54</f>
        <v>5.7859209257473485E-3</v>
      </c>
      <c r="P54" s="58">
        <f>'Pitching Data'!T54/'Pitching Data'!P54</f>
        <v>2.6840244294439087E-2</v>
      </c>
      <c r="Q54" s="58">
        <f>'Pitching Data'!U54/'Pitching Data'!P54</f>
        <v>8.8235294117647065E-2</v>
      </c>
      <c r="R54" s="58">
        <f>'Pitching Data'!V54/'Pitching Data'!P54</f>
        <v>1.285760205721633E-2</v>
      </c>
      <c r="S54" s="58">
        <f>'Pitching Data'!W54/'Pitching Data'!P54</f>
        <v>0.65895210543233684</v>
      </c>
    </row>
    <row r="55" spans="2:19" x14ac:dyDescent="0.5">
      <c r="B55" s="2">
        <v>2001</v>
      </c>
      <c r="C55" s="2" t="s">
        <v>84</v>
      </c>
      <c r="D55" s="2" t="str">
        <f t="shared" si="0"/>
        <v>2001 San Diego Padres</v>
      </c>
      <c r="E55" s="60">
        <f>'Batting Data'!K55/'Batting Data'!J55</f>
        <v>0.16763954761036118</v>
      </c>
      <c r="F55" s="60">
        <f>'Batting Data'!L55/'Batting Data'!J55</f>
        <v>4.9799343305363009E-2</v>
      </c>
      <c r="G55" s="60">
        <f>'Batting Data'!M55/'Batting Data'!J55</f>
        <v>4.7427946005107625E-3</v>
      </c>
      <c r="H55" s="60">
        <f>'Batting Data'!N55/'Batting Data'!J55</f>
        <v>2.9368843487778185E-2</v>
      </c>
      <c r="I55" s="60">
        <f>'Batting Data'!O55/'Batting Data'!J55</f>
        <v>0.12367748996716527</v>
      </c>
      <c r="J55" s="60">
        <f>'Batting Data'!P55/'Batting Data'!J55</f>
        <v>7.4790222546515872E-3</v>
      </c>
      <c r="K55" s="60">
        <f>'Batting Data'!Q55/'Batting Data'!J55</f>
        <v>0.61729295877417001</v>
      </c>
      <c r="L55" s="2" t="str">
        <f t="shared" si="1"/>
        <v>2001 San Diego Padres</v>
      </c>
      <c r="M55" s="58">
        <f>'Pitching Data'!Q55/'Pitching Data'!P55</f>
        <v>0.15482637782733355</v>
      </c>
      <c r="N55" s="58">
        <f>'Pitching Data'!R55/'Pitching Data'!P55</f>
        <v>4.6830200700860143E-2</v>
      </c>
      <c r="O55" s="58">
        <f>'Pitching Data'!S55/'Pitching Data'!P55</f>
        <v>5.41573749601784E-3</v>
      </c>
      <c r="P55" s="58">
        <f>'Pitching Data'!T55/'Pitching Data'!P55</f>
        <v>3.4883720930232558E-2</v>
      </c>
      <c r="Q55" s="58">
        <f>'Pitching Data'!U55/'Pitching Data'!P55</f>
        <v>7.5820324944249756E-2</v>
      </c>
      <c r="R55" s="58">
        <f>'Pitching Data'!V55/'Pitching Data'!P55</f>
        <v>8.9200382287352668E-3</v>
      </c>
      <c r="S55" s="58">
        <f>'Pitching Data'!W55/'Pitching Data'!P55</f>
        <v>0.67330359987257093</v>
      </c>
    </row>
    <row r="56" spans="2:19" x14ac:dyDescent="0.5">
      <c r="B56" s="2">
        <v>2001</v>
      </c>
      <c r="C56" s="2" t="s">
        <v>86</v>
      </c>
      <c r="D56" s="2" t="str">
        <f t="shared" si="0"/>
        <v>2001 Seattle Mariners</v>
      </c>
      <c r="E56" s="60">
        <f>'Batting Data'!K56/'Batting Data'!J56</f>
        <v>0.19718309859154928</v>
      </c>
      <c r="F56" s="60">
        <f>'Batting Data'!L56/'Batting Data'!J56</f>
        <v>5.4577464788732391E-2</v>
      </c>
      <c r="G56" s="60">
        <f>'Batting Data'!M56/'Batting Data'!J56</f>
        <v>6.6901408450704223E-3</v>
      </c>
      <c r="H56" s="60">
        <f>'Batting Data'!N56/'Batting Data'!J56</f>
        <v>2.9753521126760562E-2</v>
      </c>
      <c r="I56" s="60">
        <f>'Batting Data'!O56/'Batting Data'!J56</f>
        <v>0.10809859154929577</v>
      </c>
      <c r="J56" s="60">
        <f>'Batting Data'!P56/'Batting Data'!J56</f>
        <v>1.0915492957746478E-2</v>
      </c>
      <c r="K56" s="60">
        <f>'Batting Data'!Q56/'Batting Data'!J56</f>
        <v>0.59278169014084503</v>
      </c>
      <c r="L56" s="2" t="str">
        <f t="shared" si="1"/>
        <v>2001 Seattle Mariners</v>
      </c>
      <c r="M56" s="58">
        <f>'Pitching Data'!Q56/'Pitching Data'!P56</f>
        <v>0.13976377952755906</v>
      </c>
      <c r="N56" s="58">
        <f>'Pitching Data'!R56/'Pitching Data'!P56</f>
        <v>4.2486876640419946E-2</v>
      </c>
      <c r="O56" s="58">
        <f>'Pitching Data'!S56/'Pitching Data'!P56</f>
        <v>3.6089238845144356E-3</v>
      </c>
      <c r="P56" s="58">
        <f>'Pitching Data'!T56/'Pitching Data'!P56</f>
        <v>2.6246719160104987E-2</v>
      </c>
      <c r="Q56" s="58">
        <f>'Pitching Data'!U56/'Pitching Data'!P56</f>
        <v>7.6279527559055121E-2</v>
      </c>
      <c r="R56" s="58">
        <f>'Pitching Data'!V56/'Pitching Data'!P56</f>
        <v>1.0498687664041995E-2</v>
      </c>
      <c r="S56" s="58">
        <f>'Pitching Data'!W56/'Pitching Data'!P56</f>
        <v>0.70111548556430447</v>
      </c>
    </row>
    <row r="57" spans="2:19" x14ac:dyDescent="0.5">
      <c r="B57" s="2">
        <v>2001</v>
      </c>
      <c r="C57" s="2" t="s">
        <v>88</v>
      </c>
      <c r="D57" s="2" t="str">
        <f t="shared" si="0"/>
        <v>2001 San Francisco Giants</v>
      </c>
      <c r="E57" s="60">
        <f>'Batting Data'!K57/'Batting Data'!J57</f>
        <v>0.16286528866714184</v>
      </c>
      <c r="F57" s="60">
        <f>'Batting Data'!L57/'Batting Data'!J57</f>
        <v>5.4169636493228798E-2</v>
      </c>
      <c r="G57" s="60">
        <f>'Batting Data'!M57/'Batting Data'!J57</f>
        <v>7.1275837491090524E-3</v>
      </c>
      <c r="H57" s="60">
        <f>'Batting Data'!N57/'Batting Data'!J57</f>
        <v>4.1874554526015684E-2</v>
      </c>
      <c r="I57" s="60">
        <f>'Batting Data'!O57/'Batting Data'!J57</f>
        <v>0.11136849607982893</v>
      </c>
      <c r="J57" s="60">
        <f>'Batting Data'!P57/'Batting Data'!J57</f>
        <v>8.9094796863863155E-3</v>
      </c>
      <c r="K57" s="60">
        <f>'Batting Data'!Q57/'Batting Data'!J57</f>
        <v>0.61368496079828938</v>
      </c>
      <c r="L57" s="2" t="str">
        <f t="shared" si="1"/>
        <v>2001 San Francisco Giants</v>
      </c>
      <c r="M57" s="58">
        <f>'Pitching Data'!Q57/'Pitching Data'!P57</f>
        <v>0.15300285986653955</v>
      </c>
      <c r="N57" s="58">
        <f>'Pitching Data'!R57/'Pitching Data'!P57</f>
        <v>4.5440101684143627E-2</v>
      </c>
      <c r="O57" s="58">
        <f>'Pitching Data'!S57/'Pitching Data'!P57</f>
        <v>6.8319034000635529E-3</v>
      </c>
      <c r="P57" s="58">
        <f>'Pitching Data'!T57/'Pitching Data'!P57</f>
        <v>2.3037813790911979E-2</v>
      </c>
      <c r="Q57" s="58">
        <f>'Pitching Data'!U57/'Pitching Data'!P57</f>
        <v>9.199237368922783E-2</v>
      </c>
      <c r="R57" s="58">
        <f>'Pitching Data'!V57/'Pitching Data'!P57</f>
        <v>5.243088655862726E-3</v>
      </c>
      <c r="S57" s="58">
        <f>'Pitching Data'!W57/'Pitching Data'!P57</f>
        <v>0.67445185891325077</v>
      </c>
    </row>
    <row r="58" spans="2:19" x14ac:dyDescent="0.5">
      <c r="B58" s="2">
        <v>2001</v>
      </c>
      <c r="C58" s="2" t="s">
        <v>90</v>
      </c>
      <c r="D58" s="2" t="str">
        <f t="shared" si="0"/>
        <v>2001 St. Louis Cardinals</v>
      </c>
      <c r="E58" s="60">
        <f>'Batting Data'!K58/'Batting Data'!J58</f>
        <v>0.17688073394495413</v>
      </c>
      <c r="F58" s="60">
        <f>'Batting Data'!L58/'Batting Data'!J58</f>
        <v>5.0275229357798164E-2</v>
      </c>
      <c r="G58" s="60">
        <f>'Batting Data'!M58/'Batting Data'!J58</f>
        <v>5.8715596330275229E-3</v>
      </c>
      <c r="H58" s="60">
        <f>'Batting Data'!N58/'Batting Data'!J58</f>
        <v>3.6513761467889906E-2</v>
      </c>
      <c r="I58" s="60">
        <f>'Batting Data'!O58/'Batting Data'!J58</f>
        <v>9.7064220183486233E-2</v>
      </c>
      <c r="J58" s="60">
        <f>'Batting Data'!P58/'Batting Data'!J58</f>
        <v>1.1926605504587157E-2</v>
      </c>
      <c r="K58" s="60">
        <f>'Batting Data'!Q58/'Batting Data'!J58</f>
        <v>0.62146788990825685</v>
      </c>
      <c r="L58" s="2" t="str">
        <f t="shared" si="1"/>
        <v>2001 St. Louis Cardinals</v>
      </c>
      <c r="M58" s="58">
        <f>'Pitching Data'!Q58/'Pitching Data'!P58</f>
        <v>0.14278712628655449</v>
      </c>
      <c r="N58" s="58">
        <f>'Pitching Data'!R58/'Pitching Data'!P58</f>
        <v>4.8358111419702664E-2</v>
      </c>
      <c r="O58" s="58">
        <f>'Pitching Data'!S58/'Pitching Data'!P58</f>
        <v>3.7575559549093284E-3</v>
      </c>
      <c r="P58" s="58">
        <f>'Pitching Data'!T58/'Pitching Data'!P58</f>
        <v>3.2020911615749062E-2</v>
      </c>
      <c r="Q58" s="58">
        <f>'Pitching Data'!U58/'Pitching Data'!P58</f>
        <v>8.593367096879595E-2</v>
      </c>
      <c r="R58" s="58">
        <f>'Pitching Data'!V58/'Pitching Data'!P58</f>
        <v>1.1762783858846593E-2</v>
      </c>
      <c r="S58" s="58">
        <f>'Pitching Data'!W58/'Pitching Data'!P58</f>
        <v>0.67537983989544192</v>
      </c>
    </row>
    <row r="59" spans="2:19" x14ac:dyDescent="0.5">
      <c r="B59" s="2">
        <v>2001</v>
      </c>
      <c r="C59" s="2" t="s">
        <v>92</v>
      </c>
      <c r="D59" s="2" t="str">
        <f t="shared" si="0"/>
        <v>2001 Tampa Bay Devil Rays</v>
      </c>
      <c r="E59" s="60">
        <f>'Batting Data'!K59/'Batting Data'!J59</f>
        <v>0.17614047791455467</v>
      </c>
      <c r="F59" s="60">
        <f>'Batting Data'!L59/'Batting Data'!J59</f>
        <v>5.6299782766111514E-2</v>
      </c>
      <c r="G59" s="60">
        <f>'Batting Data'!M59/'Batting Data'!J59</f>
        <v>3.8015930485155685E-3</v>
      </c>
      <c r="H59" s="60">
        <f>'Batting Data'!N59/'Batting Data'!J59</f>
        <v>2.1904417089065896E-2</v>
      </c>
      <c r="I59" s="60">
        <f>'Batting Data'!O59/'Batting Data'!J59</f>
        <v>8.2548877624909492E-2</v>
      </c>
      <c r="J59" s="60">
        <f>'Batting Data'!P59/'Batting Data'!J59</f>
        <v>9.7755249818971754E-3</v>
      </c>
      <c r="K59" s="60">
        <f>'Batting Data'!Q59/'Batting Data'!J59</f>
        <v>0.64952932657494566</v>
      </c>
      <c r="L59" s="2" t="str">
        <f t="shared" si="1"/>
        <v>2001 Tampa Bay Devil Rays</v>
      </c>
      <c r="M59" s="58">
        <f>'Pitching Data'!Q59/'Pitching Data'!P59</f>
        <v>0.15346692111959287</v>
      </c>
      <c r="N59" s="58">
        <f>'Pitching Data'!R59/'Pitching Data'!P59</f>
        <v>4.9618320610687022E-2</v>
      </c>
      <c r="O59" s="58">
        <f>'Pitching Data'!S59/'Pitching Data'!P59</f>
        <v>4.6119592875318062E-3</v>
      </c>
      <c r="P59" s="58">
        <f>'Pitching Data'!T59/'Pitching Data'!P59</f>
        <v>3.2919847328244274E-2</v>
      </c>
      <c r="Q59" s="58">
        <f>'Pitching Data'!U59/'Pitching Data'!P59</f>
        <v>9.0489821882951654E-2</v>
      </c>
      <c r="R59" s="58">
        <f>'Pitching Data'!V59/'Pitching Data'!P59</f>
        <v>1.1927480916030535E-2</v>
      </c>
      <c r="S59" s="58">
        <f>'Pitching Data'!W59/'Pitching Data'!P59</f>
        <v>0.65696564885496178</v>
      </c>
    </row>
    <row r="60" spans="2:19" x14ac:dyDescent="0.5">
      <c r="B60" s="2">
        <v>2001</v>
      </c>
      <c r="C60" s="2" t="s">
        <v>94</v>
      </c>
      <c r="D60" s="2" t="str">
        <f t="shared" si="0"/>
        <v>2001 Texas Rangers</v>
      </c>
      <c r="E60" s="60">
        <f>'Batting Data'!K60/'Batting Data'!J60</f>
        <v>0.17080035180299033</v>
      </c>
      <c r="F60" s="60">
        <f>'Batting Data'!L60/'Batting Data'!J60</f>
        <v>5.7343887423043097E-2</v>
      </c>
      <c r="G60" s="60">
        <f>'Batting Data'!M60/'Batting Data'!J60</f>
        <v>4.0457343887423045E-3</v>
      </c>
      <c r="H60" s="60">
        <f>'Batting Data'!N60/'Batting Data'!J60</f>
        <v>4.3271767810026382E-2</v>
      </c>
      <c r="I60" s="60">
        <f>'Batting Data'!O60/'Batting Data'!J60</f>
        <v>9.6394019349164473E-2</v>
      </c>
      <c r="J60" s="60">
        <f>'Batting Data'!P60/'Batting Data'!J60</f>
        <v>1.3192612137203167E-2</v>
      </c>
      <c r="K60" s="60">
        <f>'Batting Data'!Q60/'Batting Data'!J60</f>
        <v>0.61495162708883022</v>
      </c>
      <c r="L60" s="2" t="str">
        <f t="shared" si="1"/>
        <v>2001 Texas Rangers</v>
      </c>
      <c r="M60" s="58">
        <f>'Pitching Data'!Q60/'Pitching Data'!P60</f>
        <v>0.15612923172051321</v>
      </c>
      <c r="N60" s="58">
        <f>'Pitching Data'!R60/'Pitching Data'!P60</f>
        <v>6.0442108517545216E-2</v>
      </c>
      <c r="O60" s="58">
        <f>'Pitching Data'!S60/'Pitching Data'!P60</f>
        <v>7.2654196939248728E-3</v>
      </c>
      <c r="P60" s="58">
        <f>'Pitching Data'!T60/'Pitching Data'!P60</f>
        <v>3.4317514298964291E-2</v>
      </c>
      <c r="Q60" s="58">
        <f>'Pitching Data'!U60/'Pitching Data'!P60</f>
        <v>9.2131705054877111E-2</v>
      </c>
      <c r="R60" s="58">
        <f>'Pitching Data'!V60/'Pitching Data'!P60</f>
        <v>9.7387540578141914E-3</v>
      </c>
      <c r="S60" s="58">
        <f>'Pitching Data'!W60/'Pitching Data'!P60</f>
        <v>0.63997526665636106</v>
      </c>
    </row>
    <row r="61" spans="2:19" x14ac:dyDescent="0.5">
      <c r="B61" s="2">
        <v>2001</v>
      </c>
      <c r="C61" s="2" t="s">
        <v>96</v>
      </c>
      <c r="D61" s="2" t="str">
        <f t="shared" si="0"/>
        <v>2001 Toronto Blue Jays</v>
      </c>
      <c r="E61" s="60">
        <f>'Batting Data'!K61/'Batting Data'!J61</f>
        <v>0.17146388839837542</v>
      </c>
      <c r="F61" s="60">
        <f>'Batting Data'!L61/'Batting Data'!J61</f>
        <v>5.0679851668726822E-2</v>
      </c>
      <c r="G61" s="60">
        <f>'Batting Data'!M61/'Batting Data'!J61</f>
        <v>6.3570545647183467E-3</v>
      </c>
      <c r="H61" s="60">
        <f>'Batting Data'!N61/'Batting Data'!J61</f>
        <v>3.4434045558891048E-2</v>
      </c>
      <c r="I61" s="60">
        <f>'Batting Data'!O61/'Batting Data'!J61</f>
        <v>8.2994879039378425E-2</v>
      </c>
      <c r="J61" s="60">
        <f>'Batting Data'!P61/'Batting Data'!J61</f>
        <v>1.3067278827476603E-2</v>
      </c>
      <c r="K61" s="60">
        <f>'Batting Data'!Q61/'Batting Data'!J61</f>
        <v>0.64100300194243331</v>
      </c>
      <c r="L61" s="2" t="str">
        <f t="shared" si="1"/>
        <v>2001 Toronto Blue Jays</v>
      </c>
      <c r="M61" s="58">
        <f>'Pitching Data'!Q61/'Pitching Data'!P61</f>
        <v>0.15939730372720062</v>
      </c>
      <c r="N61" s="58">
        <f>'Pitching Data'!R61/'Pitching Data'!P61</f>
        <v>5.662172878667724E-2</v>
      </c>
      <c r="O61" s="58">
        <f>'Pitching Data'!S61/'Pitching Data'!P61</f>
        <v>4.1237113402061857E-3</v>
      </c>
      <c r="P61" s="58">
        <f>'Pitching Data'!T61/'Pitching Data'!P61</f>
        <v>2.6169706582077717E-2</v>
      </c>
      <c r="Q61" s="58">
        <f>'Pitching Data'!U61/'Pitching Data'!P61</f>
        <v>7.7716098334655037E-2</v>
      </c>
      <c r="R61" s="58">
        <f>'Pitching Data'!V61/'Pitching Data'!P61</f>
        <v>1.2053925455987312E-2</v>
      </c>
      <c r="S61" s="58">
        <f>'Pitching Data'!W61/'Pitching Data'!P61</f>
        <v>0.66391752577319585</v>
      </c>
    </row>
    <row r="62" spans="2:19" x14ac:dyDescent="0.5">
      <c r="B62" s="2">
        <v>2002</v>
      </c>
      <c r="C62" s="2" t="s">
        <v>36</v>
      </c>
      <c r="D62" s="2" t="str">
        <f t="shared" si="0"/>
        <v>2002 Anaheim Angels</v>
      </c>
      <c r="E62" s="60">
        <f>'Batting Data'!K62/'Batting Data'!J62</f>
        <v>0.19126452976400141</v>
      </c>
      <c r="F62" s="60">
        <f>'Batting Data'!L62/'Batting Data'!J62</f>
        <v>5.8647411060232475E-2</v>
      </c>
      <c r="G62" s="60">
        <f>'Batting Data'!M62/'Batting Data'!J62</f>
        <v>5.6357872490313491E-3</v>
      </c>
      <c r="H62" s="60">
        <f>'Batting Data'!N62/'Batting Data'!J62</f>
        <v>2.6769989432898909E-2</v>
      </c>
      <c r="I62" s="60">
        <f>'Batting Data'!O62/'Batting Data'!J62</f>
        <v>8.1366678407890108E-2</v>
      </c>
      <c r="J62" s="60">
        <f>'Batting Data'!P62/'Batting Data'!J62</f>
        <v>1.3032758013384995E-2</v>
      </c>
      <c r="K62" s="60">
        <f>'Batting Data'!Q62/'Batting Data'!J62</f>
        <v>0.62328284607256079</v>
      </c>
      <c r="L62" s="2" t="str">
        <f t="shared" si="1"/>
        <v>2002 Anaheim Angels</v>
      </c>
      <c r="M62" s="58">
        <f>'Pitching Data'!Q62/'Pitching Data'!P62</f>
        <v>0.14908971625389536</v>
      </c>
      <c r="N62" s="58">
        <f>'Pitching Data'!R62/'Pitching Data'!P62</f>
        <v>4.0675742168279481E-2</v>
      </c>
      <c r="O62" s="58">
        <f>'Pitching Data'!S62/'Pitching Data'!P62</f>
        <v>3.1162866983762507E-3</v>
      </c>
      <c r="P62" s="58">
        <f>'Pitching Data'!T62/'Pitching Data'!P62</f>
        <v>2.7718550106609809E-2</v>
      </c>
      <c r="Q62" s="58">
        <f>'Pitching Data'!U62/'Pitching Data'!P62</f>
        <v>8.3483680498605869E-2</v>
      </c>
      <c r="R62" s="58">
        <f>'Pitching Data'!V62/'Pitching Data'!P62</f>
        <v>8.0367393800229621E-3</v>
      </c>
      <c r="S62" s="58">
        <f>'Pitching Data'!W62/'Pitching Data'!P62</f>
        <v>0.68787928489421024</v>
      </c>
    </row>
    <row r="63" spans="2:19" x14ac:dyDescent="0.5">
      <c r="B63" s="2">
        <v>2002</v>
      </c>
      <c r="C63" s="2" t="s">
        <v>39</v>
      </c>
      <c r="D63" s="2" t="str">
        <f t="shared" si="0"/>
        <v>2002 Arizona Diamondbacks</v>
      </c>
      <c r="E63" s="60">
        <f>'Batting Data'!K63/'Batting Data'!J63</f>
        <v>0.17828612926652143</v>
      </c>
      <c r="F63" s="60">
        <f>'Batting Data'!L63/'Batting Data'!J63</f>
        <v>5.1379811183732756E-2</v>
      </c>
      <c r="G63" s="60">
        <f>'Batting Data'!M63/'Batting Data'!J63</f>
        <v>7.4437182280319538E-3</v>
      </c>
      <c r="H63" s="60">
        <f>'Batting Data'!N63/'Batting Data'!J63</f>
        <v>2.9956427015250545E-2</v>
      </c>
      <c r="I63" s="60">
        <f>'Batting Data'!O63/'Batting Data'!J63</f>
        <v>0.11673928830791576</v>
      </c>
      <c r="J63" s="60">
        <f>'Batting Data'!P63/'Batting Data'!J63</f>
        <v>9.0777051561365292E-3</v>
      </c>
      <c r="K63" s="60">
        <f>'Batting Data'!Q63/'Batting Data'!J63</f>
        <v>0.60711692084241109</v>
      </c>
      <c r="L63" s="2" t="str">
        <f t="shared" si="1"/>
        <v>2002 Arizona Diamondbacks</v>
      </c>
      <c r="M63" s="58">
        <f>'Pitching Data'!Q63/'Pitching Data'!P63</f>
        <v>0.14949728036921048</v>
      </c>
      <c r="N63" s="58">
        <f>'Pitching Data'!R63/'Pitching Data'!P63</f>
        <v>4.1536179330806E-2</v>
      </c>
      <c r="O63" s="58">
        <f>'Pitching Data'!S63/'Pitching Data'!P63</f>
        <v>5.2744354705785397E-3</v>
      </c>
      <c r="P63" s="58">
        <f>'Pitching Data'!T63/'Pitching Data'!P63</f>
        <v>2.8020438437448492E-2</v>
      </c>
      <c r="Q63" s="58">
        <f>'Pitching Data'!U63/'Pitching Data'!P63</f>
        <v>6.9391791659798918E-2</v>
      </c>
      <c r="R63" s="58">
        <f>'Pitching Data'!V63/'Pitching Data'!P63</f>
        <v>8.900609856601285E-3</v>
      </c>
      <c r="S63" s="58">
        <f>'Pitching Data'!W63/'Pitching Data'!P63</f>
        <v>0.69737926487555624</v>
      </c>
    </row>
    <row r="64" spans="2:19" x14ac:dyDescent="0.5">
      <c r="B64" s="2">
        <v>2002</v>
      </c>
      <c r="C64" s="2" t="s">
        <v>41</v>
      </c>
      <c r="D64" s="2" t="str">
        <f t="shared" si="0"/>
        <v>2002 Atlanta Braves</v>
      </c>
      <c r="E64" s="60">
        <f>'Batting Data'!K64/'Batting Data'!J64</f>
        <v>0.17452229299363056</v>
      </c>
      <c r="F64" s="60">
        <f>'Batting Data'!L64/'Batting Data'!J64</f>
        <v>5.0955414012738856E-2</v>
      </c>
      <c r="G64" s="60">
        <f>'Batting Data'!M64/'Batting Data'!J64</f>
        <v>4.549590536851683E-3</v>
      </c>
      <c r="H64" s="60">
        <f>'Batting Data'!N64/'Batting Data'!J64</f>
        <v>2.9845313921747042E-2</v>
      </c>
      <c r="I64" s="60">
        <f>'Batting Data'!O64/'Batting Data'!J64</f>
        <v>0.10154686078252957</v>
      </c>
      <c r="J64" s="60">
        <f>'Batting Data'!P64/'Batting Data'!J64</f>
        <v>9.8271155595996366E-3</v>
      </c>
      <c r="K64" s="60">
        <f>'Batting Data'!Q64/'Batting Data'!J64</f>
        <v>0.62875341219290259</v>
      </c>
      <c r="L64" s="2" t="str">
        <f t="shared" si="1"/>
        <v>2002 Atlanta Braves</v>
      </c>
      <c r="M64" s="58">
        <f>'Pitching Data'!Q64/'Pitching Data'!P64</f>
        <v>0.14793671505464034</v>
      </c>
      <c r="N64" s="58">
        <f>'Pitching Data'!R64/'Pitching Data'!P64</f>
        <v>3.9145327026586199E-2</v>
      </c>
      <c r="O64" s="58">
        <f>'Pitching Data'!S64/'Pitching Data'!P64</f>
        <v>5.2193769368781605E-3</v>
      </c>
      <c r="P64" s="58">
        <f>'Pitching Data'!T64/'Pitching Data'!P64</f>
        <v>2.0061980101125428E-2</v>
      </c>
      <c r="Q64" s="58">
        <f>'Pitching Data'!U64/'Pitching Data'!P64</f>
        <v>9.0360463219703147E-2</v>
      </c>
      <c r="R64" s="58">
        <f>'Pitching Data'!V64/'Pitching Data'!P64</f>
        <v>6.8504322296525852E-3</v>
      </c>
      <c r="S64" s="58">
        <f>'Pitching Data'!W64/'Pitching Data'!P64</f>
        <v>0.69042570543141413</v>
      </c>
    </row>
    <row r="65" spans="2:19" x14ac:dyDescent="0.5">
      <c r="B65" s="2">
        <v>2002</v>
      </c>
      <c r="C65" s="2" t="s">
        <v>44</v>
      </c>
      <c r="D65" s="2" t="str">
        <f t="shared" si="0"/>
        <v>2002 Baltimore Orioles</v>
      </c>
      <c r="E65" s="60">
        <f>'Batting Data'!K65/'Batting Data'!J65</f>
        <v>0.15479876160990713</v>
      </c>
      <c r="F65" s="60">
        <f>'Batting Data'!L65/'Batting Data'!J65</f>
        <v>5.6638135130213076E-2</v>
      </c>
      <c r="G65" s="60">
        <f>'Batting Data'!M65/'Batting Data'!J65</f>
        <v>4.9171371334911671E-3</v>
      </c>
      <c r="H65" s="60">
        <f>'Batting Data'!N65/'Batting Data'!J65</f>
        <v>3.004917137133491E-2</v>
      </c>
      <c r="I65" s="60">
        <f>'Batting Data'!O65/'Batting Data'!J65</f>
        <v>8.231651793844473E-2</v>
      </c>
      <c r="J65" s="60">
        <f>'Batting Data'!P65/'Batting Data'!J65</f>
        <v>1.1655436168275359E-2</v>
      </c>
      <c r="K65" s="60">
        <f>'Batting Data'!Q65/'Batting Data'!J65</f>
        <v>0.6596248406483336</v>
      </c>
      <c r="L65" s="2" t="str">
        <f t="shared" si="1"/>
        <v>2002 Baltimore Orioles</v>
      </c>
      <c r="M65" s="58">
        <f>'Pitching Data'!Q65/'Pitching Data'!P65</f>
        <v>0.15851709811441356</v>
      </c>
      <c r="N65" s="58">
        <f>'Pitching Data'!R65/'Pitching Data'!P65</f>
        <v>4.2345797379354427E-2</v>
      </c>
      <c r="O65" s="58">
        <f>'Pitching Data'!S65/'Pitching Data'!P65</f>
        <v>4.1546820070310006E-3</v>
      </c>
      <c r="P65" s="58">
        <f>'Pitching Data'!T65/'Pitching Data'!P65</f>
        <v>3.3237456056248005E-2</v>
      </c>
      <c r="Q65" s="58">
        <f>'Pitching Data'!U65/'Pitching Data'!P65</f>
        <v>8.7727708533077667E-2</v>
      </c>
      <c r="R65" s="58">
        <f>'Pitching Data'!V65/'Pitching Data'!P65</f>
        <v>8.6289549376797701E-3</v>
      </c>
      <c r="S65" s="58">
        <f>'Pitching Data'!W65/'Pitching Data'!P65</f>
        <v>0.66538830297219564</v>
      </c>
    </row>
    <row r="66" spans="2:19" x14ac:dyDescent="0.5">
      <c r="B66" s="2">
        <v>2002</v>
      </c>
      <c r="C66" s="2" t="s">
        <v>46</v>
      </c>
      <c r="D66" s="2" t="str">
        <f t="shared" si="0"/>
        <v>2002 Boston Red Sox</v>
      </c>
      <c r="E66" s="60">
        <f>'Batting Data'!K66/'Batting Data'!J66</f>
        <v>0.17765957446808511</v>
      </c>
      <c r="F66" s="60">
        <f>'Batting Data'!L66/'Batting Data'!J66</f>
        <v>6.1702127659574467E-2</v>
      </c>
      <c r="G66" s="60">
        <f>'Batting Data'!M66/'Batting Data'!J66</f>
        <v>5.8510638297872338E-3</v>
      </c>
      <c r="H66" s="60">
        <f>'Batting Data'!N66/'Batting Data'!J66</f>
        <v>3.1382978723404252E-2</v>
      </c>
      <c r="I66" s="60">
        <f>'Batting Data'!O66/'Batting Data'!J66</f>
        <v>9.6631205673758866E-2</v>
      </c>
      <c r="J66" s="60">
        <f>'Batting Data'!P66/'Batting Data'!J66</f>
        <v>1.276595744680851E-2</v>
      </c>
      <c r="K66" s="60">
        <f>'Batting Data'!Q66/'Batting Data'!J66</f>
        <v>0.61400709219858152</v>
      </c>
      <c r="L66" s="2" t="str">
        <f t="shared" si="1"/>
        <v>2002 Boston Red Sox</v>
      </c>
      <c r="M66" s="58">
        <f>'Pitching Data'!Q66/'Pitching Data'!P66</f>
        <v>0.14746239047776491</v>
      </c>
      <c r="N66" s="58">
        <f>'Pitching Data'!R66/'Pitching Data'!P66</f>
        <v>4.5792693007108615E-2</v>
      </c>
      <c r="O66" s="58">
        <f>'Pitching Data'!S66/'Pitching Data'!P66</f>
        <v>3.9675979500743922E-3</v>
      </c>
      <c r="P66" s="58">
        <f>'Pitching Data'!T66/'Pitching Data'!P66</f>
        <v>2.4136220862952553E-2</v>
      </c>
      <c r="Q66" s="58">
        <f>'Pitching Data'!U66/'Pitching Data'!P66</f>
        <v>7.108612993883287E-2</v>
      </c>
      <c r="R66" s="58">
        <f>'Pitching Data'!V66/'Pitching Data'!P66</f>
        <v>1.3886592825260374E-2</v>
      </c>
      <c r="S66" s="58">
        <f>'Pitching Data'!W66/'Pitching Data'!P66</f>
        <v>0.69366837493800626</v>
      </c>
    </row>
    <row r="67" spans="2:19" x14ac:dyDescent="0.5">
      <c r="B67" s="2">
        <v>2002</v>
      </c>
      <c r="C67" s="2" t="s">
        <v>50</v>
      </c>
      <c r="D67" s="2" t="str">
        <f t="shared" ref="D67:D130" si="2">$B67&amp;" "&amp;$C67</f>
        <v>2002 Chicago Cubs</v>
      </c>
      <c r="E67" s="60">
        <f>'Batting Data'!K67/'Batting Data'!J67</f>
        <v>0.15702328966521106</v>
      </c>
      <c r="F67" s="60">
        <f>'Batting Data'!L67/'Batting Data'!J67</f>
        <v>4.7125181950509458E-2</v>
      </c>
      <c r="G67" s="60">
        <f>'Batting Data'!M67/'Batting Data'!J67</f>
        <v>5.2765647743813681E-3</v>
      </c>
      <c r="H67" s="60">
        <f>'Batting Data'!N67/'Batting Data'!J67</f>
        <v>3.6390101892285295E-2</v>
      </c>
      <c r="I67" s="60">
        <f>'Batting Data'!O67/'Batting Data'!J67</f>
        <v>0.1064410480349345</v>
      </c>
      <c r="J67" s="60">
        <f>'Batting Data'!P67/'Batting Data'!J67</f>
        <v>8.0058224163027658E-3</v>
      </c>
      <c r="K67" s="60">
        <f>'Batting Data'!Q67/'Batting Data'!J67</f>
        <v>0.63973799126637554</v>
      </c>
      <c r="L67" s="2" t="str">
        <f t="shared" ref="L67:L130" si="3">$B67&amp;" "&amp;$C67</f>
        <v>2002 Chicago Cubs</v>
      </c>
      <c r="M67" s="58">
        <f>'Pitching Data'!Q67/'Pitching Data'!P67</f>
        <v>0.14464400256574728</v>
      </c>
      <c r="N67" s="58">
        <f>'Pitching Data'!R67/'Pitching Data'!P67</f>
        <v>4.3938422065426558E-2</v>
      </c>
      <c r="O67" s="58">
        <f>'Pitching Data'!S67/'Pitching Data'!P67</f>
        <v>4.8107761385503527E-3</v>
      </c>
      <c r="P67" s="58">
        <f>'Pitching Data'!T67/'Pitching Data'!P67</f>
        <v>2.677998717126363E-2</v>
      </c>
      <c r="Q67" s="58">
        <f>'Pitching Data'!U67/'Pitching Data'!P67</f>
        <v>9.7177677998717127E-2</v>
      </c>
      <c r="R67" s="58">
        <f>'Pitching Data'!V67/'Pitching Data'!P67</f>
        <v>9.3008338678640147E-3</v>
      </c>
      <c r="S67" s="58">
        <f>'Pitching Data'!W67/'Pitching Data'!P67</f>
        <v>0.67334830019243108</v>
      </c>
    </row>
    <row r="68" spans="2:19" x14ac:dyDescent="0.5">
      <c r="B68" s="2">
        <v>2002</v>
      </c>
      <c r="C68" s="2" t="s">
        <v>48</v>
      </c>
      <c r="D68" s="2" t="str">
        <f t="shared" si="2"/>
        <v>2002 Chicago White Sox</v>
      </c>
      <c r="E68" s="60">
        <f>'Batting Data'!K68/'Batting Data'!J68</f>
        <v>0.1708469647400945</v>
      </c>
      <c r="F68" s="60">
        <f>'Batting Data'!L68/'Batting Data'!J68</f>
        <v>5.2526354053071607E-2</v>
      </c>
      <c r="G68" s="60">
        <f>'Batting Data'!M68/'Batting Data'!J68</f>
        <v>5.2708106143220645E-3</v>
      </c>
      <c r="H68" s="60">
        <f>'Batting Data'!N68/'Batting Data'!J68</f>
        <v>3.9440203562340966E-2</v>
      </c>
      <c r="I68" s="60">
        <f>'Batting Data'!O68/'Batting Data'!J68</f>
        <v>0.10087241003271538</v>
      </c>
      <c r="J68" s="60">
        <f>'Batting Data'!P68/'Batting Data'!J68</f>
        <v>8.9058524173027988E-3</v>
      </c>
      <c r="K68" s="60">
        <f>'Batting Data'!Q68/'Batting Data'!J68</f>
        <v>0.62213740458015265</v>
      </c>
      <c r="L68" s="2" t="str">
        <f t="shared" si="3"/>
        <v>2002 Chicago White Sox</v>
      </c>
      <c r="M68" s="58">
        <f>'Pitching Data'!Q68/'Pitching Data'!P68</f>
        <v>0.15152503669874409</v>
      </c>
      <c r="N68" s="58">
        <f>'Pitching Data'!R68/'Pitching Data'!P68</f>
        <v>4.6811286902626002E-2</v>
      </c>
      <c r="O68" s="58">
        <f>'Pitching Data'!S68/'Pitching Data'!P68</f>
        <v>2.6096884684390803E-3</v>
      </c>
      <c r="P68" s="58">
        <f>'Pitching Data'!T68/'Pitching Data'!P68</f>
        <v>3.0990050562714075E-2</v>
      </c>
      <c r="Q68" s="58">
        <f>'Pitching Data'!U68/'Pitching Data'!P68</f>
        <v>8.6119719458489646E-2</v>
      </c>
      <c r="R68" s="58">
        <f>'Pitching Data'!V68/'Pitching Data'!P68</f>
        <v>9.7863317566465498E-3</v>
      </c>
      <c r="S68" s="58">
        <f>'Pitching Data'!W68/'Pitching Data'!P68</f>
        <v>0.67215788615234051</v>
      </c>
    </row>
    <row r="69" spans="2:19" x14ac:dyDescent="0.5">
      <c r="B69" s="2">
        <v>2002</v>
      </c>
      <c r="C69" s="2" t="s">
        <v>52</v>
      </c>
      <c r="D69" s="2" t="str">
        <f t="shared" si="2"/>
        <v>2002 Cincinnati Reds</v>
      </c>
      <c r="E69" s="60">
        <f>'Batting Data'!K69/'Batting Data'!J69</f>
        <v>0.16435100548446069</v>
      </c>
      <c r="F69" s="60">
        <f>'Batting Data'!L69/'Batting Data'!J69</f>
        <v>5.4296160877513711E-2</v>
      </c>
      <c r="G69" s="60">
        <f>'Batting Data'!M69/'Batting Data'!J69</f>
        <v>3.8391224862888481E-3</v>
      </c>
      <c r="H69" s="60">
        <f>'Batting Data'!N69/'Batting Data'!J69</f>
        <v>3.0895795246800733E-2</v>
      </c>
      <c r="I69" s="60">
        <f>'Batting Data'!O69/'Batting Data'!J69</f>
        <v>0.10658135283363802</v>
      </c>
      <c r="J69" s="60">
        <f>'Batting Data'!P69/'Batting Data'!J69</f>
        <v>1.206581352833638E-2</v>
      </c>
      <c r="K69" s="60">
        <f>'Batting Data'!Q69/'Batting Data'!J69</f>
        <v>0.62797074954296161</v>
      </c>
      <c r="L69" s="2" t="str">
        <f t="shared" si="3"/>
        <v>2002 Cincinnati Reds</v>
      </c>
      <c r="M69" s="58">
        <f>'Pitching Data'!Q69/'Pitching Data'!P69</f>
        <v>0.15883100381194409</v>
      </c>
      <c r="N69" s="58">
        <f>'Pitching Data'!R69/'Pitching Data'!P69</f>
        <v>4.7808132147395169E-2</v>
      </c>
      <c r="O69" s="58">
        <f>'Pitching Data'!S69/'Pitching Data'!P69</f>
        <v>4.4472681067344345E-3</v>
      </c>
      <c r="P69" s="58">
        <f>'Pitching Data'!T69/'Pitching Data'!P69</f>
        <v>2.7477763659466328E-2</v>
      </c>
      <c r="Q69" s="58">
        <f>'Pitching Data'!U69/'Pitching Data'!P69</f>
        <v>8.7357052096569257E-2</v>
      </c>
      <c r="R69" s="58">
        <f>'Pitching Data'!V69/'Pitching Data'!P69</f>
        <v>8.8945362134688691E-3</v>
      </c>
      <c r="S69" s="58">
        <f>'Pitching Data'!W69/'Pitching Data'!P69</f>
        <v>0.66518424396442188</v>
      </c>
    </row>
    <row r="70" spans="2:19" x14ac:dyDescent="0.5">
      <c r="B70" s="2">
        <v>2002</v>
      </c>
      <c r="C70" s="2" t="s">
        <v>54</v>
      </c>
      <c r="D70" s="2" t="str">
        <f t="shared" si="2"/>
        <v>2002 Cleveland Indians</v>
      </c>
      <c r="E70" s="60">
        <f>'Batting Data'!K70/'Batting Data'!J70</f>
        <v>0.16153420615895261</v>
      </c>
      <c r="F70" s="60">
        <f>'Batting Data'!L70/'Batting Data'!J70</f>
        <v>4.7021943573667714E-2</v>
      </c>
      <c r="G70" s="60">
        <f>'Batting Data'!M70/'Batting Data'!J70</f>
        <v>4.7943942467269041E-3</v>
      </c>
      <c r="H70" s="60">
        <f>'Batting Data'!N70/'Batting Data'!J70</f>
        <v>3.540475751429098E-2</v>
      </c>
      <c r="I70" s="60">
        <f>'Batting Data'!O70/'Batting Data'!J70</f>
        <v>9.994468006638392E-2</v>
      </c>
      <c r="J70" s="60">
        <f>'Batting Data'!P70/'Batting Data'!J70</f>
        <v>1.032638760833487E-2</v>
      </c>
      <c r="K70" s="60">
        <f>'Batting Data'!Q70/'Batting Data'!J70</f>
        <v>0.64097363083164305</v>
      </c>
      <c r="L70" s="2" t="str">
        <f t="shared" si="3"/>
        <v>2002 Cleveland Indians</v>
      </c>
      <c r="M70" s="58">
        <f>'Pitching Data'!Q70/'Pitching Data'!P70</f>
        <v>0.16169669909105405</v>
      </c>
      <c r="N70" s="58">
        <f>'Pitching Data'!R70/'Pitching Data'!P70</f>
        <v>4.9593366289268061E-2</v>
      </c>
      <c r="O70" s="58">
        <f>'Pitching Data'!S70/'Pitching Data'!P70</f>
        <v>6.5380322117684578E-3</v>
      </c>
      <c r="P70" s="58">
        <f>'Pitching Data'!T70/'Pitching Data'!P70</f>
        <v>2.2643916440759051E-2</v>
      </c>
      <c r="Q70" s="58">
        <f>'Pitching Data'!U70/'Pitching Data'!P70</f>
        <v>9.6156912773082442E-2</v>
      </c>
      <c r="R70" s="58">
        <f>'Pitching Data'!V70/'Pitching Data'!P70</f>
        <v>9.0894594163610266E-3</v>
      </c>
      <c r="S70" s="58">
        <f>'Pitching Data'!W70/'Pitching Data'!P70</f>
        <v>0.65428161377770688</v>
      </c>
    </row>
    <row r="71" spans="2:19" x14ac:dyDescent="0.5">
      <c r="B71" s="2">
        <v>2002</v>
      </c>
      <c r="C71" s="2" t="s">
        <v>56</v>
      </c>
      <c r="D71" s="2" t="str">
        <f t="shared" si="2"/>
        <v>2002 Colorado Rockies</v>
      </c>
      <c r="E71" s="60">
        <f>'Batting Data'!K71/'Batting Data'!J71</f>
        <v>0.18722786647314948</v>
      </c>
      <c r="F71" s="60">
        <f>'Batting Data'!L71/'Batting Data'!J71</f>
        <v>5.1342525399129174E-2</v>
      </c>
      <c r="G71" s="60">
        <f>'Batting Data'!M71/'Batting Data'!J71</f>
        <v>7.4383164005805517E-3</v>
      </c>
      <c r="H71" s="60">
        <f>'Batting Data'!N71/'Batting Data'!J71</f>
        <v>2.7576197387518143E-2</v>
      </c>
      <c r="I71" s="60">
        <f>'Batting Data'!O71/'Batting Data'!J71</f>
        <v>9.0166908563134973E-2</v>
      </c>
      <c r="J71" s="60">
        <f>'Batting Data'!P71/'Batting Data'!J71</f>
        <v>1.0159651669085631E-2</v>
      </c>
      <c r="K71" s="60">
        <f>'Batting Data'!Q71/'Batting Data'!J71</f>
        <v>0.62608853410740206</v>
      </c>
      <c r="L71" s="2" t="str">
        <f t="shared" si="3"/>
        <v>2002 Colorado Rockies</v>
      </c>
      <c r="M71" s="58">
        <f>'Pitching Data'!Q71/'Pitching Data'!P71</f>
        <v>0.15508274231678487</v>
      </c>
      <c r="N71" s="58">
        <f>'Pitching Data'!R71/'Pitching Data'!P71</f>
        <v>4.8226950354609929E-2</v>
      </c>
      <c r="O71" s="58">
        <f>'Pitching Data'!S71/'Pitching Data'!P71</f>
        <v>6.1465721040189127E-3</v>
      </c>
      <c r="P71" s="58">
        <f>'Pitching Data'!T71/'Pitching Data'!P71</f>
        <v>3.5460992907801421E-2</v>
      </c>
      <c r="Q71" s="58">
        <f>'Pitching Data'!U71/'Pitching Data'!P71</f>
        <v>9.1725768321512996E-2</v>
      </c>
      <c r="R71" s="58">
        <f>'Pitching Data'!V71/'Pitching Data'!P71</f>
        <v>1.008668242710796E-2</v>
      </c>
      <c r="S71" s="58">
        <f>'Pitching Data'!W71/'Pitching Data'!P71</f>
        <v>0.65327029156816396</v>
      </c>
    </row>
    <row r="72" spans="2:19" x14ac:dyDescent="0.5">
      <c r="B72" s="2">
        <v>2002</v>
      </c>
      <c r="C72" s="2" t="s">
        <v>58</v>
      </c>
      <c r="D72" s="2" t="str">
        <f t="shared" si="2"/>
        <v>2002 Detroit Tigers</v>
      </c>
      <c r="E72" s="60">
        <f>'Batting Data'!K72/'Batting Data'!J72</f>
        <v>0.16907140214576397</v>
      </c>
      <c r="F72" s="60">
        <f>'Batting Data'!L72/'Batting Data'!J72</f>
        <v>4.9019607843137254E-2</v>
      </c>
      <c r="G72" s="60">
        <f>'Batting Data'!M72/'Batting Data'!J72</f>
        <v>6.8442471328153901E-3</v>
      </c>
      <c r="H72" s="60">
        <f>'Batting Data'!N72/'Batting Data'!J72</f>
        <v>2.293747687754347E-2</v>
      </c>
      <c r="I72" s="60">
        <f>'Batting Data'!O72/'Batting Data'!J72</f>
        <v>6.7147613762486125E-2</v>
      </c>
      <c r="J72" s="60">
        <f>'Batting Data'!P72/'Batting Data'!J72</f>
        <v>1.1838697743248243E-2</v>
      </c>
      <c r="K72" s="60">
        <f>'Batting Data'!Q72/'Batting Data'!J72</f>
        <v>0.67314095449500555</v>
      </c>
      <c r="L72" s="2" t="str">
        <f t="shared" si="3"/>
        <v>2002 Detroit Tigers</v>
      </c>
      <c r="M72" s="58">
        <f>'Pitching Data'!Q72/'Pitching Data'!P72</f>
        <v>0.16524537409493162</v>
      </c>
      <c r="N72" s="58">
        <f>'Pitching Data'!R72/'Pitching Data'!P72</f>
        <v>5.5510860820595337E-2</v>
      </c>
      <c r="O72" s="58">
        <f>'Pitching Data'!S72/'Pitching Data'!P72</f>
        <v>9.3322606596942873E-3</v>
      </c>
      <c r="P72" s="58">
        <f>'Pitching Data'!T72/'Pitching Data'!P72</f>
        <v>2.6226870474658086E-2</v>
      </c>
      <c r="Q72" s="58">
        <f>'Pitching Data'!U72/'Pitching Data'!P72</f>
        <v>7.4497184231697502E-2</v>
      </c>
      <c r="R72" s="58">
        <f>'Pitching Data'!V72/'Pitching Data'!P72</f>
        <v>9.9758648431214798E-3</v>
      </c>
      <c r="S72" s="58">
        <f>'Pitching Data'!W72/'Pitching Data'!P72</f>
        <v>0.65921158487530174</v>
      </c>
    </row>
    <row r="73" spans="2:19" x14ac:dyDescent="0.5">
      <c r="B73" s="2">
        <v>2002</v>
      </c>
      <c r="C73" s="2" t="s">
        <v>60</v>
      </c>
      <c r="D73" s="2" t="str">
        <f t="shared" si="2"/>
        <v>2002 Florida Marlins</v>
      </c>
      <c r="E73" s="60">
        <f>'Batting Data'!K73/'Batting Data'!J73</f>
        <v>0.17740174672489084</v>
      </c>
      <c r="F73" s="60">
        <f>'Batting Data'!L73/'Batting Data'!J73</f>
        <v>5.0946142649199416E-2</v>
      </c>
      <c r="G73" s="60">
        <f>'Batting Data'!M73/'Batting Data'!J73</f>
        <v>5.822416302765648E-3</v>
      </c>
      <c r="H73" s="60">
        <f>'Batting Data'!N73/'Batting Data'!J73</f>
        <v>2.6564774381368266E-2</v>
      </c>
      <c r="I73" s="60">
        <f>'Batting Data'!O73/'Batting Data'!J73</f>
        <v>0.10826055312954876</v>
      </c>
      <c r="J73" s="60">
        <f>'Batting Data'!P73/'Batting Data'!J73</f>
        <v>1.1098981077147015E-2</v>
      </c>
      <c r="K73" s="60">
        <f>'Batting Data'!Q73/'Batting Data'!J73</f>
        <v>0.61990538573508003</v>
      </c>
      <c r="L73" s="2" t="str">
        <f t="shared" si="3"/>
        <v>2002 Florida Marlins</v>
      </c>
      <c r="M73" s="58">
        <f>'Pitching Data'!Q73/'Pitching Data'!P73</f>
        <v>0.14936908517350159</v>
      </c>
      <c r="N73" s="58">
        <f>'Pitching Data'!R73/'Pitching Data'!P73</f>
        <v>4.8580441640378551E-2</v>
      </c>
      <c r="O73" s="58">
        <f>'Pitching Data'!S73/'Pitching Data'!P73</f>
        <v>6.782334384858044E-3</v>
      </c>
      <c r="P73" s="58">
        <f>'Pitching Data'!T73/'Pitching Data'!P73</f>
        <v>2.3817034700315456E-2</v>
      </c>
      <c r="Q73" s="58">
        <f>'Pitching Data'!U73/'Pitching Data'!P73</f>
        <v>9.9526813880126186E-2</v>
      </c>
      <c r="R73" s="58">
        <f>'Pitching Data'!V73/'Pitching Data'!P73</f>
        <v>9.1482649842271301E-3</v>
      </c>
      <c r="S73" s="58">
        <f>'Pitching Data'!W73/'Pitching Data'!P73</f>
        <v>0.66277602523659307</v>
      </c>
    </row>
    <row r="74" spans="2:19" x14ac:dyDescent="0.5">
      <c r="B74" s="2">
        <v>2002</v>
      </c>
      <c r="C74" s="2" t="s">
        <v>62</v>
      </c>
      <c r="D74" s="2" t="str">
        <f t="shared" si="2"/>
        <v>2002 Houston Astros</v>
      </c>
      <c r="E74" s="60">
        <f>'Batting Data'!K74/'Batting Data'!J74</f>
        <v>0.17281482827548611</v>
      </c>
      <c r="F74" s="60">
        <f>'Batting Data'!L74/'Batting Data'!J74</f>
        <v>5.2880247137924767E-2</v>
      </c>
      <c r="G74" s="60">
        <f>'Batting Data'!M74/'Batting Data'!J74</f>
        <v>5.8150099945484283E-3</v>
      </c>
      <c r="H74" s="60">
        <f>'Batting Data'!N74/'Batting Data'!J74</f>
        <v>3.0347083409049611E-2</v>
      </c>
      <c r="I74" s="60">
        <f>'Batting Data'!O74/'Batting Data'!J74</f>
        <v>0.107032527712157</v>
      </c>
      <c r="J74" s="60">
        <f>'Batting Data'!P74/'Batting Data'!J74</f>
        <v>1.0721424677448665E-2</v>
      </c>
      <c r="K74" s="60">
        <f>'Batting Data'!Q74/'Batting Data'!J74</f>
        <v>0.62038887879338545</v>
      </c>
      <c r="L74" s="2" t="str">
        <f t="shared" si="3"/>
        <v>2002 Houston Astros</v>
      </c>
      <c r="M74" s="58">
        <f>'Pitching Data'!Q74/'Pitching Data'!P74</f>
        <v>0.15052377115229654</v>
      </c>
      <c r="N74" s="58">
        <f>'Pitching Data'!R74/'Pitching Data'!P74</f>
        <v>4.9153908138597907E-2</v>
      </c>
      <c r="O74" s="58">
        <f>'Pitching Data'!S74/'Pitching Data'!P74</f>
        <v>5.3182917002417406E-3</v>
      </c>
      <c r="P74" s="58">
        <f>'Pitching Data'!T74/'Pitching Data'!P74</f>
        <v>2.4335213537469782E-2</v>
      </c>
      <c r="Q74" s="58">
        <f>'Pitching Data'!U74/'Pitching Data'!P74</f>
        <v>8.7993553585817882E-2</v>
      </c>
      <c r="R74" s="58">
        <f>'Pitching Data'!V74/'Pitching Data'!P74</f>
        <v>8.8638195004029016E-3</v>
      </c>
      <c r="S74" s="58">
        <f>'Pitching Data'!W74/'Pitching Data'!P74</f>
        <v>0.67381144238517321</v>
      </c>
    </row>
    <row r="75" spans="2:19" x14ac:dyDescent="0.5">
      <c r="B75" s="2">
        <v>2002</v>
      </c>
      <c r="C75" s="2" t="s">
        <v>64</v>
      </c>
      <c r="D75" s="2" t="str">
        <f t="shared" si="2"/>
        <v>2002 Kansas City Royals</v>
      </c>
      <c r="E75" s="60">
        <f>'Batting Data'!K75/'Batting Data'!J75</f>
        <v>0.17127371273712738</v>
      </c>
      <c r="F75" s="60">
        <f>'Batting Data'!L75/'Batting Data'!J75</f>
        <v>5.1490514905149054E-2</v>
      </c>
      <c r="G75" s="60">
        <f>'Batting Data'!M75/'Batting Data'!J75</f>
        <v>7.5880758807588076E-3</v>
      </c>
      <c r="H75" s="60">
        <f>'Batting Data'!N75/'Batting Data'!J75</f>
        <v>2.5293586269196026E-2</v>
      </c>
      <c r="I75" s="60">
        <f>'Batting Data'!O75/'Batting Data'!J75</f>
        <v>9.4670280036133689E-2</v>
      </c>
      <c r="J75" s="60">
        <f>'Batting Data'!P75/'Batting Data'!J75</f>
        <v>9.39476061427281E-3</v>
      </c>
      <c r="K75" s="60">
        <f>'Batting Data'!Q75/'Batting Data'!J75</f>
        <v>0.6402890695573622</v>
      </c>
      <c r="L75" s="2" t="str">
        <f t="shared" si="3"/>
        <v>2002 Kansas City Royals</v>
      </c>
      <c r="M75" s="58">
        <f>'Pitching Data'!Q75/'Pitching Data'!P75</f>
        <v>0.15878484184152836</v>
      </c>
      <c r="N75" s="58">
        <f>'Pitching Data'!R75/'Pitching Data'!P75</f>
        <v>5.1362355151894773E-2</v>
      </c>
      <c r="O75" s="58">
        <f>'Pitching Data'!S75/'Pitching Data'!P75</f>
        <v>5.1675540244284371E-3</v>
      </c>
      <c r="P75" s="58">
        <f>'Pitching Data'!T75/'Pitching Data'!P75</f>
        <v>3.3197619793297842E-2</v>
      </c>
      <c r="Q75" s="58">
        <f>'Pitching Data'!U75/'Pitching Data'!P75</f>
        <v>8.9570936423426242E-2</v>
      </c>
      <c r="R75" s="58">
        <f>'Pitching Data'!V75/'Pitching Data'!P75</f>
        <v>8.1428124021296587E-3</v>
      </c>
      <c r="S75" s="58">
        <f>'Pitching Data'!W75/'Pitching Data'!P75</f>
        <v>0.65377388036329476</v>
      </c>
    </row>
    <row r="76" spans="2:19" x14ac:dyDescent="0.5">
      <c r="B76" s="2">
        <v>2002</v>
      </c>
      <c r="C76" s="2" t="s">
        <v>66</v>
      </c>
      <c r="D76" s="2" t="str">
        <f t="shared" si="2"/>
        <v>2002 Los Angeles Dodgers</v>
      </c>
      <c r="E76" s="60">
        <f>'Batting Data'!K76/'Batting Data'!J76</f>
        <v>0.17897011163125676</v>
      </c>
      <c r="F76" s="60">
        <f>'Batting Data'!L76/'Batting Data'!J76</f>
        <v>5.1494418437162404E-2</v>
      </c>
      <c r="G76" s="60">
        <f>'Batting Data'!M76/'Batting Data'!J76</f>
        <v>5.2214620093626214E-3</v>
      </c>
      <c r="H76" s="60">
        <f>'Batting Data'!N76/'Batting Data'!J76</f>
        <v>2.7907814187972634E-2</v>
      </c>
      <c r="I76" s="60">
        <f>'Batting Data'!O76/'Batting Data'!J76</f>
        <v>7.7061577241627655E-2</v>
      </c>
      <c r="J76" s="60">
        <f>'Batting Data'!P76/'Batting Data'!J76</f>
        <v>9.5426719481454814E-3</v>
      </c>
      <c r="K76" s="60">
        <f>'Batting Data'!Q76/'Batting Data'!J76</f>
        <v>0.64980194454447249</v>
      </c>
      <c r="L76" s="2" t="str">
        <f t="shared" si="3"/>
        <v>2002 Los Angeles Dodgers</v>
      </c>
      <c r="M76" s="58">
        <f>'Pitching Data'!Q76/'Pitching Data'!P76</f>
        <v>0.14236846391920507</v>
      </c>
      <c r="N76" s="58">
        <f>'Pitching Data'!R76/'Pitching Data'!P76</f>
        <v>4.1049030786773091E-2</v>
      </c>
      <c r="O76" s="58">
        <f>'Pitching Data'!S76/'Pitching Data'!P76</f>
        <v>3.2578595862518323E-3</v>
      </c>
      <c r="P76" s="58">
        <f>'Pitching Data'!T76/'Pitching Data'!P76</f>
        <v>2.6877341586577619E-2</v>
      </c>
      <c r="Q76" s="58">
        <f>'Pitching Data'!U76/'Pitching Data'!P76</f>
        <v>9.0405603518488351E-2</v>
      </c>
      <c r="R76" s="58">
        <f>'Pitching Data'!V76/'Pitching Data'!P76</f>
        <v>7.4930770483792146E-3</v>
      </c>
      <c r="S76" s="58">
        <f>'Pitching Data'!W76/'Pitching Data'!P76</f>
        <v>0.68854862355432478</v>
      </c>
    </row>
    <row r="77" spans="2:19" x14ac:dyDescent="0.5">
      <c r="B77" s="2">
        <v>2002</v>
      </c>
      <c r="C77" s="2" t="s">
        <v>68</v>
      </c>
      <c r="D77" s="2" t="str">
        <f t="shared" si="2"/>
        <v>2002 Milwaukee Brewers</v>
      </c>
      <c r="E77" s="60">
        <f>'Batting Data'!K77/'Batting Data'!J77</f>
        <v>0.17211449676823637</v>
      </c>
      <c r="F77" s="60">
        <f>'Batting Data'!L77/'Batting Data'!J77</f>
        <v>4.9676823638042475E-2</v>
      </c>
      <c r="G77" s="60">
        <f>'Batting Data'!M77/'Batting Data'!J77</f>
        <v>5.3554939981532781E-3</v>
      </c>
      <c r="H77" s="60">
        <f>'Batting Data'!N77/'Batting Data'!J77</f>
        <v>2.566943674976916E-2</v>
      </c>
      <c r="I77" s="60">
        <f>'Batting Data'!O77/'Batting Data'!J77</f>
        <v>9.2336103416435833E-2</v>
      </c>
      <c r="J77" s="60">
        <f>'Batting Data'!P77/'Batting Data'!J77</f>
        <v>1.0156971375807941E-2</v>
      </c>
      <c r="K77" s="60">
        <f>'Batting Data'!Q77/'Batting Data'!J77</f>
        <v>0.64469067405355496</v>
      </c>
      <c r="L77" s="2" t="str">
        <f t="shared" si="3"/>
        <v>2002 Milwaukee Brewers</v>
      </c>
      <c r="M77" s="58">
        <f>'Pitching Data'!Q77/'Pitching Data'!P77</f>
        <v>0.14860388073828679</v>
      </c>
      <c r="N77" s="58">
        <f>'Pitching Data'!R77/'Pitching Data'!P77</f>
        <v>4.7168323079350052E-2</v>
      </c>
      <c r="O77" s="58">
        <f>'Pitching Data'!S77/'Pitching Data'!P77</f>
        <v>4.4171004890361252E-3</v>
      </c>
      <c r="P77" s="58">
        <f>'Pitching Data'!T77/'Pitching Data'!P77</f>
        <v>3.139296418993532E-2</v>
      </c>
      <c r="Q77" s="58">
        <f>'Pitching Data'!U77/'Pitching Data'!P77</f>
        <v>0.10506389020350212</v>
      </c>
      <c r="R77" s="58">
        <f>'Pitching Data'!V77/'Pitching Data'!P77</f>
        <v>9.7807225114371343E-3</v>
      </c>
      <c r="S77" s="58">
        <f>'Pitching Data'!W77/'Pitching Data'!P77</f>
        <v>0.65357311878845248</v>
      </c>
    </row>
    <row r="78" spans="2:19" x14ac:dyDescent="0.5">
      <c r="B78" s="2">
        <v>2002</v>
      </c>
      <c r="C78" s="2" t="s">
        <v>70</v>
      </c>
      <c r="D78" s="2" t="str">
        <f t="shared" si="2"/>
        <v>2002 Minnesota Twins</v>
      </c>
      <c r="E78" s="60">
        <f>'Batting Data'!K78/'Batting Data'!J78</f>
        <v>0.17323539949838768</v>
      </c>
      <c r="F78" s="60">
        <f>'Batting Data'!L78/'Batting Data'!J78</f>
        <v>6.2343246148333933E-2</v>
      </c>
      <c r="G78" s="60">
        <f>'Batting Data'!M78/'Batting Data'!J78</f>
        <v>6.4493013256897167E-3</v>
      </c>
      <c r="H78" s="60">
        <f>'Batting Data'!N78/'Batting Data'!J78</f>
        <v>2.991759226083841E-2</v>
      </c>
      <c r="I78" s="60">
        <f>'Batting Data'!O78/'Batting Data'!J78</f>
        <v>8.455750627015407E-2</v>
      </c>
      <c r="J78" s="60">
        <f>'Batting Data'!P78/'Batting Data'!J78</f>
        <v>1.0032246506628449E-2</v>
      </c>
      <c r="K78" s="60">
        <f>'Batting Data'!Q78/'Batting Data'!J78</f>
        <v>0.63346470798996779</v>
      </c>
      <c r="L78" s="2" t="str">
        <f t="shared" si="3"/>
        <v>2002 Minnesota Twins</v>
      </c>
      <c r="M78" s="58">
        <f>'Pitching Data'!Q78/'Pitching Data'!P78</f>
        <v>0.15620414152943093</v>
      </c>
      <c r="N78" s="58">
        <f>'Pitching Data'!R78/'Pitching Data'!P78</f>
        <v>4.5654655144301323E-2</v>
      </c>
      <c r="O78" s="58">
        <f>'Pitching Data'!S78/'Pitching Data'!P78</f>
        <v>5.2176748736344368E-3</v>
      </c>
      <c r="P78" s="58">
        <f>'Pitching Data'!T78/'Pitching Data'!P78</f>
        <v>3.000163052339801E-2</v>
      </c>
      <c r="Q78" s="58">
        <f>'Pitching Data'!U78/'Pitching Data'!P78</f>
        <v>7.1579977172672421E-2</v>
      </c>
      <c r="R78" s="58">
        <f>'Pitching Data'!V78/'Pitching Data'!P78</f>
        <v>7.3373552910484269E-3</v>
      </c>
      <c r="S78" s="58">
        <f>'Pitching Data'!W78/'Pitching Data'!P78</f>
        <v>0.68400456546551447</v>
      </c>
    </row>
    <row r="79" spans="2:19" x14ac:dyDescent="0.5">
      <c r="B79" s="2">
        <v>2002</v>
      </c>
      <c r="C79" s="2" t="s">
        <v>72</v>
      </c>
      <c r="D79" s="2" t="str">
        <f t="shared" si="2"/>
        <v>2002 Montreal Expos</v>
      </c>
      <c r="E79" s="60">
        <f>'Batting Data'!K79/'Batting Data'!J79</f>
        <v>0.17046906369775505</v>
      </c>
      <c r="F79" s="60">
        <f>'Batting Data'!L79/'Batting Data'!J79</f>
        <v>5.4754517247672933E-2</v>
      </c>
      <c r="G79" s="60">
        <f>'Batting Data'!M79/'Batting Data'!J79</f>
        <v>6.5705420697207521E-3</v>
      </c>
      <c r="H79" s="60">
        <f>'Batting Data'!N79/'Batting Data'!J79</f>
        <v>2.9567439313743383E-2</v>
      </c>
      <c r="I79" s="60">
        <f>'Batting Data'!O79/'Batting Data'!J79</f>
        <v>0.10494615805803979</v>
      </c>
      <c r="J79" s="60">
        <f>'Batting Data'!P79/'Batting Data'!J79</f>
        <v>8.3956926446431823E-3</v>
      </c>
      <c r="K79" s="60">
        <f>'Batting Data'!Q79/'Batting Data'!J79</f>
        <v>0.62529658696842494</v>
      </c>
      <c r="L79" s="2" t="str">
        <f t="shared" si="3"/>
        <v>2002 Montreal Expos</v>
      </c>
      <c r="M79" s="58">
        <f>'Pitching Data'!Q79/'Pitching Data'!P79</f>
        <v>0.15497918667947486</v>
      </c>
      <c r="N79" s="58">
        <f>'Pitching Data'!R79/'Pitching Data'!P79</f>
        <v>4.8831252001280821E-2</v>
      </c>
      <c r="O79" s="58">
        <f>'Pitching Data'!S79/'Pitching Data'!P79</f>
        <v>5.923791226384886E-3</v>
      </c>
      <c r="P79" s="58">
        <f>'Pitching Data'!T79/'Pitching Data'!P79</f>
        <v>2.6416906820365033E-2</v>
      </c>
      <c r="Q79" s="58">
        <f>'Pitching Data'!U79/'Pitching Data'!P79</f>
        <v>8.1332052513608713E-2</v>
      </c>
      <c r="R79" s="58">
        <f>'Pitching Data'!V79/'Pitching Data'!P79</f>
        <v>7.3647134165866152E-3</v>
      </c>
      <c r="S79" s="58">
        <f>'Pitching Data'!W79/'Pitching Data'!P79</f>
        <v>0.67515209734229908</v>
      </c>
    </row>
    <row r="80" spans="2:19" x14ac:dyDescent="0.5">
      <c r="B80" s="2">
        <v>2002</v>
      </c>
      <c r="C80" s="2" t="s">
        <v>76</v>
      </c>
      <c r="D80" s="2" t="str">
        <f t="shared" si="2"/>
        <v>2002 New York Mets</v>
      </c>
      <c r="E80" s="60">
        <f>'Batting Data'!K80/'Batting Data'!J80</f>
        <v>0.1799490538573508</v>
      </c>
      <c r="F80" s="60">
        <f>'Batting Data'!L80/'Batting Data'!J80</f>
        <v>4.3304221251819507E-2</v>
      </c>
      <c r="G80" s="60">
        <f>'Batting Data'!M80/'Batting Data'!J80</f>
        <v>4.0029112081513829E-3</v>
      </c>
      <c r="H80" s="60">
        <f>'Batting Data'!N80/'Batting Data'!J80</f>
        <v>2.9112081513828238E-2</v>
      </c>
      <c r="I80" s="60">
        <f>'Batting Data'!O80/'Batting Data'!J80</f>
        <v>8.8427947598253273E-2</v>
      </c>
      <c r="J80" s="60">
        <f>'Batting Data'!P80/'Batting Data'!J80</f>
        <v>1.146288209606987E-2</v>
      </c>
      <c r="K80" s="60">
        <f>'Batting Data'!Q80/'Batting Data'!J80</f>
        <v>0.64374090247452698</v>
      </c>
      <c r="L80" s="2" t="str">
        <f t="shared" si="3"/>
        <v>2002 New York Mets</v>
      </c>
      <c r="M80" s="58">
        <f>'Pitching Data'!Q80/'Pitching Data'!P80</f>
        <v>0.15421764327108822</v>
      </c>
      <c r="N80" s="58">
        <f>'Pitching Data'!R80/'Pitching Data'!P80</f>
        <v>4.12105602060528E-2</v>
      </c>
      <c r="O80" s="58">
        <f>'Pitching Data'!S80/'Pitching Data'!P80</f>
        <v>4.9903412749517061E-3</v>
      </c>
      <c r="P80" s="58">
        <f>'Pitching Data'!T80/'Pitching Data'!P80</f>
        <v>2.6239536381197682E-2</v>
      </c>
      <c r="Q80" s="58">
        <f>'Pitching Data'!U80/'Pitching Data'!P80</f>
        <v>8.741146168705731E-2</v>
      </c>
      <c r="R80" s="58">
        <f>'Pitching Data'!V80/'Pitching Data'!P80</f>
        <v>8.8538312942691572E-3</v>
      </c>
      <c r="S80" s="58">
        <f>'Pitching Data'!W80/'Pitching Data'!P80</f>
        <v>0.67707662588538309</v>
      </c>
    </row>
    <row r="81" spans="2:19" x14ac:dyDescent="0.5">
      <c r="B81" s="2">
        <v>2002</v>
      </c>
      <c r="C81" s="2" t="s">
        <v>74</v>
      </c>
      <c r="D81" s="2" t="str">
        <f t="shared" si="2"/>
        <v>2002 New York Yankees</v>
      </c>
      <c r="E81" s="60">
        <f>'Batting Data'!K81/'Batting Data'!J81</f>
        <v>0.17693269059096589</v>
      </c>
      <c r="F81" s="60">
        <f>'Batting Data'!L81/'Batting Data'!J81</f>
        <v>5.6061417603999283E-2</v>
      </c>
      <c r="G81" s="60">
        <f>'Batting Data'!M81/'Batting Data'!J81</f>
        <v>2.1424745581146223E-3</v>
      </c>
      <c r="H81" s="60">
        <f>'Batting Data'!N81/'Batting Data'!J81</f>
        <v>3.9814318871630068E-2</v>
      </c>
      <c r="I81" s="60">
        <f>'Batting Data'!O81/'Batting Data'!J81</f>
        <v>0.1142653097661132</v>
      </c>
      <c r="J81" s="60">
        <f>'Batting Data'!P81/'Batting Data'!J81</f>
        <v>1.2854847348687734E-2</v>
      </c>
      <c r="K81" s="60">
        <f>'Batting Data'!Q81/'Batting Data'!J81</f>
        <v>0.59792894126048923</v>
      </c>
      <c r="L81" s="2" t="str">
        <f t="shared" si="3"/>
        <v>2002 New York Yankees</v>
      </c>
      <c r="M81" s="58">
        <f>'Pitching Data'!Q81/'Pitching Data'!P81</f>
        <v>0.15749309952914434</v>
      </c>
      <c r="N81" s="58">
        <f>'Pitching Data'!R81/'Pitching Data'!P81</f>
        <v>4.8871570060074684E-2</v>
      </c>
      <c r="O81" s="58">
        <f>'Pitching Data'!S81/'Pitching Data'!P81</f>
        <v>4.2214645234616007E-3</v>
      </c>
      <c r="P81" s="58">
        <f>'Pitching Data'!T81/'Pitching Data'!P81</f>
        <v>2.3380418899171942E-2</v>
      </c>
      <c r="Q81" s="58">
        <f>'Pitching Data'!U81/'Pitching Data'!P81</f>
        <v>6.5432700113654818E-2</v>
      </c>
      <c r="R81" s="58">
        <f>'Pitching Data'!V81/'Pitching Data'!P81</f>
        <v>7.7934729663906481E-3</v>
      </c>
      <c r="S81" s="58">
        <f>'Pitching Data'!W81/'Pitching Data'!P81</f>
        <v>0.69280727390810193</v>
      </c>
    </row>
    <row r="82" spans="2:19" x14ac:dyDescent="0.5">
      <c r="B82" s="2">
        <v>2002</v>
      </c>
      <c r="C82" s="2" t="s">
        <v>78</v>
      </c>
      <c r="D82" s="2" t="str">
        <f t="shared" si="2"/>
        <v>2002 Oakland Athletics</v>
      </c>
      <c r="E82" s="60">
        <f>'Batting Data'!K82/'Batting Data'!J82</f>
        <v>0.16876574307304787</v>
      </c>
      <c r="F82" s="60">
        <f>'Batting Data'!L82/'Batting Data'!J82</f>
        <v>5.0197912918315941E-2</v>
      </c>
      <c r="G82" s="60">
        <f>'Batting Data'!M82/'Batting Data'!J82</f>
        <v>5.0377833753148613E-3</v>
      </c>
      <c r="H82" s="60">
        <f>'Batting Data'!N82/'Batting Data'!J82</f>
        <v>3.6883771140698095E-2</v>
      </c>
      <c r="I82" s="60">
        <f>'Batting Data'!O82/'Batting Data'!J82</f>
        <v>0.10957178841309824</v>
      </c>
      <c r="J82" s="60">
        <f>'Batting Data'!P82/'Batting Data'!J82</f>
        <v>1.2234616768621807E-2</v>
      </c>
      <c r="K82" s="60">
        <f>'Batting Data'!Q82/'Batting Data'!J82</f>
        <v>0.61730838431090318</v>
      </c>
      <c r="L82" s="2" t="str">
        <f t="shared" si="3"/>
        <v>2002 Oakland Athletics</v>
      </c>
      <c r="M82" s="58">
        <f>'Pitching Data'!Q82/'Pitching Data'!P82</f>
        <v>0.15573238064306594</v>
      </c>
      <c r="N82" s="58">
        <f>'Pitching Data'!R82/'Pitching Data'!P82</f>
        <v>4.3683013965573239E-2</v>
      </c>
      <c r="O82" s="58">
        <f>'Pitching Data'!S82/'Pitching Data'!P82</f>
        <v>4.5469308216953552E-3</v>
      </c>
      <c r="P82" s="58">
        <f>'Pitching Data'!T82/'Pitching Data'!P82</f>
        <v>2.1922702176031178E-2</v>
      </c>
      <c r="Q82" s="58">
        <f>'Pitching Data'!U82/'Pitching Data'!P82</f>
        <v>7.6973043195842805E-2</v>
      </c>
      <c r="R82" s="58">
        <f>'Pitching Data'!V82/'Pitching Data'!P82</f>
        <v>1.0068203962325431E-2</v>
      </c>
      <c r="S82" s="58">
        <f>'Pitching Data'!W82/'Pitching Data'!P82</f>
        <v>0.68707372523546606</v>
      </c>
    </row>
    <row r="83" spans="2:19" x14ac:dyDescent="0.5">
      <c r="B83" s="2">
        <v>2002</v>
      </c>
      <c r="C83" s="2" t="s">
        <v>80</v>
      </c>
      <c r="D83" s="2" t="str">
        <f t="shared" si="2"/>
        <v>2002 Philadelphia Phillies</v>
      </c>
      <c r="E83" s="60">
        <f>'Batting Data'!K83/'Batting Data'!J83</f>
        <v>0.16241173275393808</v>
      </c>
      <c r="F83" s="60">
        <f>'Batting Data'!L83/'Batting Data'!J83</f>
        <v>5.8844830707948576E-2</v>
      </c>
      <c r="G83" s="60">
        <f>'Batting Data'!M83/'Batting Data'!J83</f>
        <v>7.4235017200796668E-3</v>
      </c>
      <c r="H83" s="60">
        <f>'Batting Data'!N83/'Batting Data'!J83</f>
        <v>2.9875067897881587E-2</v>
      </c>
      <c r="I83" s="60">
        <f>'Batting Data'!O83/'Batting Data'!J83</f>
        <v>0.11587905124026797</v>
      </c>
      <c r="J83" s="60">
        <f>'Batting Data'!P83/'Batting Data'!J83</f>
        <v>9.5962339308346915E-3</v>
      </c>
      <c r="K83" s="60">
        <f>'Batting Data'!Q83/'Batting Data'!J83</f>
        <v>0.61596958174904948</v>
      </c>
      <c r="L83" s="2" t="str">
        <f t="shared" si="3"/>
        <v>2002 Philadelphia Phillies</v>
      </c>
      <c r="M83" s="58">
        <f>'Pitching Data'!Q83/'Pitching Data'!P83</f>
        <v>0.14561234329797493</v>
      </c>
      <c r="N83" s="58">
        <f>'Pitching Data'!R83/'Pitching Data'!P83</f>
        <v>4.580520732883317E-2</v>
      </c>
      <c r="O83" s="58">
        <f>'Pitching Data'!S83/'Pitching Data'!P83</f>
        <v>5.9466409514625524E-3</v>
      </c>
      <c r="P83" s="58">
        <f>'Pitching Data'!T83/'Pitching Data'!P83</f>
        <v>2.4590163934426229E-2</v>
      </c>
      <c r="Q83" s="58">
        <f>'Pitching Data'!U83/'Pitching Data'!P83</f>
        <v>9.1610414657666339E-2</v>
      </c>
      <c r="R83" s="58">
        <f>'Pitching Data'!V83/'Pitching Data'!P83</f>
        <v>1.1250401800064288E-2</v>
      </c>
      <c r="S83" s="58">
        <f>'Pitching Data'!W83/'Pitching Data'!P83</f>
        <v>0.67518482802957247</v>
      </c>
    </row>
    <row r="84" spans="2:19" x14ac:dyDescent="0.5">
      <c r="B84" s="2">
        <v>2002</v>
      </c>
      <c r="C84" s="2" t="s">
        <v>82</v>
      </c>
      <c r="D84" s="2" t="str">
        <f t="shared" si="2"/>
        <v>2002 Pittsburgh Pirates</v>
      </c>
      <c r="E84" s="60">
        <f>'Batting Data'!K84/'Batting Data'!J84</f>
        <v>0.16416510318949343</v>
      </c>
      <c r="F84" s="60">
        <f>'Batting Data'!L84/'Batting Data'!J84</f>
        <v>4.9343339587242026E-2</v>
      </c>
      <c r="G84" s="60">
        <f>'Batting Data'!M84/'Batting Data'!J84</f>
        <v>3.7523452157598499E-3</v>
      </c>
      <c r="H84" s="60">
        <f>'Batting Data'!N84/'Batting Data'!J84</f>
        <v>2.6641651031894933E-2</v>
      </c>
      <c r="I84" s="60">
        <f>'Batting Data'!O84/'Batting Data'!J84</f>
        <v>0.10075046904315196</v>
      </c>
      <c r="J84" s="60">
        <f>'Batting Data'!P84/'Batting Data'!J84</f>
        <v>1.3696060037523453E-2</v>
      </c>
      <c r="K84" s="60">
        <f>'Batting Data'!Q84/'Batting Data'!J84</f>
        <v>0.64165103189493433</v>
      </c>
      <c r="L84" s="2" t="str">
        <f t="shared" si="3"/>
        <v>2002 Pittsburgh Pirates</v>
      </c>
      <c r="M84" s="58">
        <f>'Pitching Data'!Q84/'Pitching Data'!P84</f>
        <v>0.15707062469417712</v>
      </c>
      <c r="N84" s="58">
        <f>'Pitching Data'!R84/'Pitching Data'!P84</f>
        <v>4.7300603490458323E-2</v>
      </c>
      <c r="O84" s="58">
        <f>'Pitching Data'!S84/'Pitching Data'!P84</f>
        <v>5.0562714076007173E-3</v>
      </c>
      <c r="P84" s="58">
        <f>'Pitching Data'!T84/'Pitching Data'!P84</f>
        <v>2.658620127222313E-2</v>
      </c>
      <c r="Q84" s="58">
        <f>'Pitching Data'!U84/'Pitching Data'!P84</f>
        <v>9.3296362746697115E-2</v>
      </c>
      <c r="R84" s="58">
        <f>'Pitching Data'!V84/'Pitching Data'!P84</f>
        <v>8.970804110259337E-3</v>
      </c>
      <c r="S84" s="58">
        <f>'Pitching Data'!W84/'Pitching Data'!P84</f>
        <v>0.66171913227858425</v>
      </c>
    </row>
    <row r="85" spans="2:19" x14ac:dyDescent="0.5">
      <c r="B85" s="2">
        <v>2002</v>
      </c>
      <c r="C85" s="2" t="s">
        <v>84</v>
      </c>
      <c r="D85" s="2" t="str">
        <f t="shared" si="2"/>
        <v>2002 San Diego Padres</v>
      </c>
      <c r="E85" s="60">
        <f>'Batting Data'!K85/'Batting Data'!J85</f>
        <v>0.17860380779691751</v>
      </c>
      <c r="F85" s="60">
        <f>'Batting Data'!L85/'Batting Data'!J85</f>
        <v>4.4061650045330913E-2</v>
      </c>
      <c r="G85" s="60">
        <f>'Batting Data'!M85/'Batting Data'!J85</f>
        <v>5.2583862194016317E-3</v>
      </c>
      <c r="H85" s="60">
        <f>'Batting Data'!N85/'Batting Data'!J85</f>
        <v>2.4660018132366273E-2</v>
      </c>
      <c r="I85" s="60">
        <f>'Batting Data'!O85/'Batting Data'!J85</f>
        <v>9.9184043517679052E-2</v>
      </c>
      <c r="J85" s="60">
        <f>'Batting Data'!P85/'Batting Data'!J85</f>
        <v>5.4397098821396192E-3</v>
      </c>
      <c r="K85" s="60">
        <f>'Batting Data'!Q85/'Batting Data'!J85</f>
        <v>0.64279238440616504</v>
      </c>
      <c r="L85" s="2" t="str">
        <f t="shared" si="3"/>
        <v>2002 San Diego Padres</v>
      </c>
      <c r="M85" s="58">
        <f>'Pitching Data'!Q85/'Pitching Data'!P85</f>
        <v>0.15490288962576979</v>
      </c>
      <c r="N85" s="58">
        <f>'Pitching Data'!R85/'Pitching Data'!P85</f>
        <v>5.1002684351807992E-2</v>
      </c>
      <c r="O85" s="58">
        <f>'Pitching Data'!S85/'Pitching Data'!P85</f>
        <v>6.4740249486815093E-3</v>
      </c>
      <c r="P85" s="58">
        <f>'Pitching Data'!T85/'Pitching Data'!P85</f>
        <v>2.7948839412600662E-2</v>
      </c>
      <c r="Q85" s="58">
        <f>'Pitching Data'!U85/'Pitching Data'!P85</f>
        <v>9.1899573661771677E-2</v>
      </c>
      <c r="R85" s="58">
        <f>'Pitching Data'!V85/'Pitching Data'!P85</f>
        <v>1.0421601136901942E-2</v>
      </c>
      <c r="S85" s="58">
        <f>'Pitching Data'!W85/'Pitching Data'!P85</f>
        <v>0.6573503868624665</v>
      </c>
    </row>
    <row r="86" spans="2:19" x14ac:dyDescent="0.5">
      <c r="B86" s="2">
        <v>2002</v>
      </c>
      <c r="C86" s="2" t="s">
        <v>86</v>
      </c>
      <c r="D86" s="2" t="str">
        <f t="shared" si="2"/>
        <v>2002 Seattle Mariners</v>
      </c>
      <c r="E86" s="60">
        <f>'Batting Data'!K86/'Batting Data'!J86</f>
        <v>0.19087807505835877</v>
      </c>
      <c r="F86" s="60">
        <f>'Batting Data'!L86/'Batting Data'!J86</f>
        <v>5.1176153708026577E-2</v>
      </c>
      <c r="G86" s="60">
        <f>'Batting Data'!M86/'Batting Data'!J86</f>
        <v>5.5665289998204342E-3</v>
      </c>
      <c r="H86" s="60">
        <f>'Batting Data'!N86/'Batting Data'!J86</f>
        <v>2.7293948644280839E-2</v>
      </c>
      <c r="I86" s="60">
        <f>'Batting Data'!O86/'Batting Data'!J86</f>
        <v>0.11294666906087268</v>
      </c>
      <c r="J86" s="60">
        <f>'Batting Data'!P86/'Batting Data'!J86</f>
        <v>9.157838031962651E-3</v>
      </c>
      <c r="K86" s="60">
        <f>'Batting Data'!Q86/'Batting Data'!J86</f>
        <v>0.60298078649667808</v>
      </c>
      <c r="L86" s="2" t="str">
        <f t="shared" si="3"/>
        <v>2002 Seattle Mariners</v>
      </c>
      <c r="M86" s="58">
        <f>'Pitching Data'!Q86/'Pitching Data'!P86</f>
        <v>0.15465097269903547</v>
      </c>
      <c r="N86" s="58">
        <f>'Pitching Data'!R86/'Pitching Data'!P86</f>
        <v>4.6264508746117379E-2</v>
      </c>
      <c r="O86" s="58">
        <f>'Pitching Data'!S86/'Pitching Data'!P86</f>
        <v>2.4521824423737125E-3</v>
      </c>
      <c r="P86" s="58">
        <f>'Pitching Data'!T86/'Pitching Data'!P86</f>
        <v>2.909923164950139E-2</v>
      </c>
      <c r="Q86" s="58">
        <f>'Pitching Data'!U86/'Pitching Data'!P86</f>
        <v>7.2094163805787148E-2</v>
      </c>
      <c r="R86" s="58">
        <f>'Pitching Data'!V86/'Pitching Data'!P86</f>
        <v>8.0104626450874603E-3</v>
      </c>
      <c r="S86" s="58">
        <f>'Pitching Data'!W86/'Pitching Data'!P86</f>
        <v>0.68742847801209739</v>
      </c>
    </row>
    <row r="87" spans="2:19" x14ac:dyDescent="0.5">
      <c r="B87" s="2">
        <v>2002</v>
      </c>
      <c r="C87" s="2" t="s">
        <v>88</v>
      </c>
      <c r="D87" s="2" t="str">
        <f t="shared" si="2"/>
        <v>2002 San Francisco Giants</v>
      </c>
      <c r="E87" s="60">
        <f>'Batting Data'!K87/'Batting Data'!J87</f>
        <v>0.16954702565035473</v>
      </c>
      <c r="F87" s="60">
        <f>'Batting Data'!L87/'Batting Data'!J87</f>
        <v>5.4575222848826634E-2</v>
      </c>
      <c r="G87" s="60">
        <f>'Batting Data'!M87/'Batting Data'!J87</f>
        <v>6.3671093323631068E-3</v>
      </c>
      <c r="H87" s="60">
        <f>'Batting Data'!N87/'Batting Data'!J87</f>
        <v>3.6019647080225578E-2</v>
      </c>
      <c r="I87" s="60">
        <f>'Batting Data'!O87/'Batting Data'!J87</f>
        <v>0.11206112424959068</v>
      </c>
      <c r="J87" s="60">
        <f>'Batting Data'!P87/'Batting Data'!J87</f>
        <v>1.182463161724577E-2</v>
      </c>
      <c r="K87" s="60">
        <f>'Batting Data'!Q87/'Batting Data'!J87</f>
        <v>0.60960523922139354</v>
      </c>
      <c r="L87" s="2" t="str">
        <f t="shared" si="3"/>
        <v>2002 San Francisco Giants</v>
      </c>
      <c r="M87" s="58">
        <f>'Pitching Data'!Q87/'Pitching Data'!P87</f>
        <v>0.15852047556142668</v>
      </c>
      <c r="N87" s="58">
        <f>'Pitching Data'!R87/'Pitching Data'!P87</f>
        <v>3.9960369881109646E-2</v>
      </c>
      <c r="O87" s="58">
        <f>'Pitching Data'!S87/'Pitching Data'!P87</f>
        <v>5.1188903566710704E-3</v>
      </c>
      <c r="P87" s="58">
        <f>'Pitching Data'!T87/'Pitching Data'!P87</f>
        <v>1.9154557463672391E-2</v>
      </c>
      <c r="Q87" s="58">
        <f>'Pitching Data'!U87/'Pitching Data'!P87</f>
        <v>8.6360634081902241E-2</v>
      </c>
      <c r="R87" s="58">
        <f>'Pitching Data'!V87/'Pitching Data'!P87</f>
        <v>5.9445178335535004E-3</v>
      </c>
      <c r="S87" s="58">
        <f>'Pitching Data'!W87/'Pitching Data'!P87</f>
        <v>0.68494055482166449</v>
      </c>
    </row>
    <row r="88" spans="2:19" x14ac:dyDescent="0.5">
      <c r="B88" s="2">
        <v>2002</v>
      </c>
      <c r="C88" s="2" t="s">
        <v>90</v>
      </c>
      <c r="D88" s="2" t="str">
        <f t="shared" si="2"/>
        <v>2002 St. Louis Cardinals</v>
      </c>
      <c r="E88" s="60">
        <f>'Batting Data'!K88/'Batting Data'!J88</f>
        <v>0.1796548592188919</v>
      </c>
      <c r="F88" s="60">
        <f>'Batting Data'!L88/'Batting Data'!J88</f>
        <v>5.1771117166212535E-2</v>
      </c>
      <c r="G88" s="60">
        <f>'Batting Data'!M88/'Batting Data'!J88</f>
        <v>4.7229791099000912E-3</v>
      </c>
      <c r="H88" s="60">
        <f>'Batting Data'!N88/'Batting Data'!J88</f>
        <v>3.1789282470481378E-2</v>
      </c>
      <c r="I88" s="60">
        <f>'Batting Data'!O88/'Batting Data'!J88</f>
        <v>9.8455949137148044E-2</v>
      </c>
      <c r="J88" s="60">
        <f>'Batting Data'!P88/'Batting Data'!J88</f>
        <v>1.2170753860127156E-2</v>
      </c>
      <c r="K88" s="60">
        <f>'Batting Data'!Q88/'Batting Data'!J88</f>
        <v>0.62143505903723883</v>
      </c>
      <c r="L88" s="2" t="str">
        <f t="shared" si="3"/>
        <v>2002 St. Louis Cardinals</v>
      </c>
      <c r="M88" s="58">
        <f>'Pitching Data'!Q88/'Pitching Data'!P88</f>
        <v>0.15061124694376529</v>
      </c>
      <c r="N88" s="58">
        <f>'Pitching Data'!R88/'Pitching Data'!P88</f>
        <v>4.4824775876120618E-2</v>
      </c>
      <c r="O88" s="58">
        <f>'Pitching Data'!S88/'Pitching Data'!P88</f>
        <v>2.4449877750611247E-3</v>
      </c>
      <c r="P88" s="58">
        <f>'Pitching Data'!T88/'Pitching Data'!P88</f>
        <v>2.2982885085574573E-2</v>
      </c>
      <c r="Q88" s="58">
        <f>'Pitching Data'!U88/'Pitching Data'!P88</f>
        <v>8.9160554197229014E-2</v>
      </c>
      <c r="R88" s="58">
        <f>'Pitching Data'!V88/'Pitching Data'!P88</f>
        <v>9.7799511002444987E-3</v>
      </c>
      <c r="S88" s="58">
        <f>'Pitching Data'!W88/'Pitching Data'!P88</f>
        <v>0.68019559902200488</v>
      </c>
    </row>
    <row r="89" spans="2:19" x14ac:dyDescent="0.5">
      <c r="B89" s="2">
        <v>2002</v>
      </c>
      <c r="C89" s="2" t="s">
        <v>92</v>
      </c>
      <c r="D89" s="2" t="str">
        <f t="shared" si="2"/>
        <v>2002 Tampa Bay Devil Rays</v>
      </c>
      <c r="E89" s="60">
        <f>'Batting Data'!K89/'Batting Data'!J89</f>
        <v>0.17005710206995003</v>
      </c>
      <c r="F89" s="60">
        <f>'Batting Data'!L89/'Batting Data'!J89</f>
        <v>5.2997858672376871E-2</v>
      </c>
      <c r="G89" s="60">
        <f>'Batting Data'!M89/'Batting Data'!J89</f>
        <v>6.2455389007851532E-3</v>
      </c>
      <c r="H89" s="60">
        <f>'Batting Data'!N89/'Batting Data'!J89</f>
        <v>2.3733047822983584E-2</v>
      </c>
      <c r="I89" s="60">
        <f>'Batting Data'!O89/'Batting Data'!J89</f>
        <v>8.137044967880086E-2</v>
      </c>
      <c r="J89" s="60">
        <f>'Batting Data'!P89/'Batting Data'!J89</f>
        <v>1.0349750178443969E-2</v>
      </c>
      <c r="K89" s="60">
        <f>'Batting Data'!Q89/'Batting Data'!J89</f>
        <v>0.65524625267665948</v>
      </c>
      <c r="L89" s="2" t="str">
        <f t="shared" si="3"/>
        <v>2002 Tampa Bay Devil Rays</v>
      </c>
      <c r="M89" s="58">
        <f>'Pitching Data'!Q89/'Pitching Data'!P89</f>
        <v>0.1541095890410959</v>
      </c>
      <c r="N89" s="58">
        <f>'Pitching Data'!R89/'Pitching Data'!P89</f>
        <v>5.2459526774595269E-2</v>
      </c>
      <c r="O89" s="58">
        <f>'Pitching Data'!S89/'Pitching Data'!P89</f>
        <v>3.8916562889165628E-3</v>
      </c>
      <c r="P89" s="58">
        <f>'Pitching Data'!T89/'Pitching Data'!P89</f>
        <v>3.3468244084682443E-2</v>
      </c>
      <c r="Q89" s="58">
        <f>'Pitching Data'!U89/'Pitching Data'!P89</f>
        <v>9.6513075965130757E-2</v>
      </c>
      <c r="R89" s="58">
        <f>'Pitching Data'!V89/'Pitching Data'!P89</f>
        <v>1.4632627646326276E-2</v>
      </c>
      <c r="S89" s="58">
        <f>'Pitching Data'!W89/'Pitching Data'!P89</f>
        <v>0.64492528019925277</v>
      </c>
    </row>
    <row r="90" spans="2:19" x14ac:dyDescent="0.5">
      <c r="B90" s="2">
        <v>2002</v>
      </c>
      <c r="C90" s="2" t="s">
        <v>94</v>
      </c>
      <c r="D90" s="2" t="str">
        <f t="shared" si="2"/>
        <v>2002 Texas Rangers</v>
      </c>
      <c r="E90" s="60">
        <f>'Batting Data'!K90/'Batting Data'!J90</f>
        <v>0.16892132431470275</v>
      </c>
      <c r="F90" s="60">
        <f>'Batting Data'!L90/'Batting Data'!J90</f>
        <v>5.4111783552865791E-2</v>
      </c>
      <c r="G90" s="60">
        <f>'Batting Data'!M90/'Batting Data'!J90</f>
        <v>4.805980776076896E-3</v>
      </c>
      <c r="H90" s="60">
        <f>'Batting Data'!N90/'Batting Data'!J90</f>
        <v>4.0939836240655038E-2</v>
      </c>
      <c r="I90" s="60">
        <f>'Batting Data'!O90/'Batting Data'!J90</f>
        <v>9.8611605553577786E-2</v>
      </c>
      <c r="J90" s="60">
        <f>'Batting Data'!P90/'Batting Data'!J90</f>
        <v>1.1035955856176576E-2</v>
      </c>
      <c r="K90" s="60">
        <f>'Batting Data'!Q90/'Batting Data'!J90</f>
        <v>0.62157351370594516</v>
      </c>
      <c r="L90" s="2" t="str">
        <f t="shared" si="3"/>
        <v>2002 Texas Rangers</v>
      </c>
      <c r="M90" s="58">
        <f>'Pitching Data'!Q90/'Pitching Data'!P90</f>
        <v>0.14722308408315235</v>
      </c>
      <c r="N90" s="58">
        <f>'Pitching Data'!R90/'Pitching Data'!P90</f>
        <v>5.3366428793049953E-2</v>
      </c>
      <c r="O90" s="58">
        <f>'Pitching Data'!S90/'Pitching Data'!P90</f>
        <v>6.3605336642879309E-3</v>
      </c>
      <c r="P90" s="58">
        <f>'Pitching Data'!T90/'Pitching Data'!P90</f>
        <v>3.0096183679801426E-2</v>
      </c>
      <c r="Q90" s="58">
        <f>'Pitching Data'!U90/'Pitching Data'!P90</f>
        <v>0.10378529320508843</v>
      </c>
      <c r="R90" s="58">
        <f>'Pitching Data'!V90/'Pitching Data'!P90</f>
        <v>1.179025752404592E-2</v>
      </c>
      <c r="S90" s="58">
        <f>'Pitching Data'!W90/'Pitching Data'!P90</f>
        <v>0.64737821905057402</v>
      </c>
    </row>
    <row r="91" spans="2:19" x14ac:dyDescent="0.5">
      <c r="B91" s="2">
        <v>2002</v>
      </c>
      <c r="C91" s="2" t="s">
        <v>96</v>
      </c>
      <c r="D91" s="2" t="str">
        <f t="shared" si="2"/>
        <v>2002 Toronto Blue Jays</v>
      </c>
      <c r="E91" s="60">
        <f>'Batting Data'!K91/'Batting Data'!J91</f>
        <v>0.16609926536462999</v>
      </c>
      <c r="F91" s="60">
        <f>'Batting Data'!L91/'Batting Data'!J91</f>
        <v>5.4649704354058415E-2</v>
      </c>
      <c r="G91" s="60">
        <f>'Batting Data'!M91/'Batting Data'!J91</f>
        <v>6.8088156244400641E-3</v>
      </c>
      <c r="H91" s="60">
        <f>'Batting Data'!N91/'Batting Data'!J91</f>
        <v>3.3506540046586632E-2</v>
      </c>
      <c r="I91" s="60">
        <f>'Batting Data'!O91/'Batting Data'!J91</f>
        <v>9.3531625156781942E-2</v>
      </c>
      <c r="J91" s="60">
        <f>'Batting Data'!P91/'Batting Data'!J91</f>
        <v>9.4965060025085108E-3</v>
      </c>
      <c r="K91" s="60">
        <f>'Batting Data'!Q91/'Batting Data'!J91</f>
        <v>0.63590754345099443</v>
      </c>
      <c r="L91" s="2" t="str">
        <f t="shared" si="3"/>
        <v>2002 Toronto Blue Jays</v>
      </c>
      <c r="M91" s="58">
        <f>'Pitching Data'!Q91/'Pitching Data'!P91</f>
        <v>0.15556958030924581</v>
      </c>
      <c r="N91" s="58">
        <f>'Pitching Data'!R91/'Pitching Data'!P91</f>
        <v>4.9226885452824234E-2</v>
      </c>
      <c r="O91" s="58">
        <f>'Pitching Data'!S91/'Pitching Data'!P91</f>
        <v>4.5755758914484065E-3</v>
      </c>
      <c r="P91" s="58">
        <f>'Pitching Data'!T91/'Pitching Data'!P91</f>
        <v>2.7926790785736826E-2</v>
      </c>
      <c r="Q91" s="58">
        <f>'Pitching Data'!U91/'Pitching Data'!P91</f>
        <v>9.3089302619122752E-2</v>
      </c>
      <c r="R91" s="58">
        <f>'Pitching Data'!V91/'Pitching Data'!P91</f>
        <v>1.1202272010097823E-2</v>
      </c>
      <c r="S91" s="58">
        <f>'Pitching Data'!W91/'Pitching Data'!P91</f>
        <v>0.65840959293152412</v>
      </c>
    </row>
    <row r="92" spans="2:19" x14ac:dyDescent="0.5">
      <c r="B92" s="2">
        <v>2003</v>
      </c>
      <c r="C92" s="2" t="s">
        <v>36</v>
      </c>
      <c r="D92" s="2" t="str">
        <f t="shared" si="2"/>
        <v>2003 Anaheim Angels</v>
      </c>
      <c r="E92" s="60">
        <f>'Batting Data'!K92/'Batting Data'!J92</f>
        <v>0.18480043739748497</v>
      </c>
      <c r="F92" s="60">
        <f>'Batting Data'!L92/'Batting Data'!J92</f>
        <v>5.0300710770913068E-2</v>
      </c>
      <c r="G92" s="60">
        <f>'Batting Data'!M92/'Batting Data'!J92</f>
        <v>6.0142154182613447E-3</v>
      </c>
      <c r="H92" s="60">
        <f>'Batting Data'!N92/'Batting Data'!J92</f>
        <v>2.7337342810278841E-2</v>
      </c>
      <c r="I92" s="60">
        <f>'Batting Data'!O92/'Batting Data'!J92</f>
        <v>8.6750501184618189E-2</v>
      </c>
      <c r="J92" s="60">
        <f>'Batting Data'!P92/'Batting Data'!J92</f>
        <v>1.0205941315837434E-2</v>
      </c>
      <c r="K92" s="60">
        <f>'Batting Data'!Q92/'Batting Data'!J92</f>
        <v>0.63459085110260616</v>
      </c>
      <c r="L92" s="2" t="str">
        <f t="shared" si="3"/>
        <v>2003 Anaheim Angels</v>
      </c>
      <c r="M92" s="58">
        <f>'Pitching Data'!Q92/'Pitching Data'!P92</f>
        <v>0.1569550397662717</v>
      </c>
      <c r="N92" s="58">
        <f>'Pitching Data'!R92/'Pitching Data'!P92</f>
        <v>4.220094140561597E-2</v>
      </c>
      <c r="O92" s="58">
        <f>'Pitching Data'!S92/'Pitching Data'!P92</f>
        <v>4.3824054536601197E-3</v>
      </c>
      <c r="P92" s="58">
        <f>'Pitching Data'!T92/'Pitching Data'!P92</f>
        <v>3.0839149488719363E-2</v>
      </c>
      <c r="Q92" s="58">
        <f>'Pitching Data'!U92/'Pitching Data'!P92</f>
        <v>7.888329816588216E-2</v>
      </c>
      <c r="R92" s="58">
        <f>'Pitching Data'!V92/'Pitching Data'!P92</f>
        <v>1.2335659795487746E-2</v>
      </c>
      <c r="S92" s="58">
        <f>'Pitching Data'!W92/'Pitching Data'!P92</f>
        <v>0.67440350592436293</v>
      </c>
    </row>
    <row r="93" spans="2:19" x14ac:dyDescent="0.5">
      <c r="B93" s="2">
        <v>2003</v>
      </c>
      <c r="C93" s="2" t="s">
        <v>39</v>
      </c>
      <c r="D93" s="2" t="str">
        <f t="shared" si="2"/>
        <v>2003 Arizona Diamondbacks</v>
      </c>
      <c r="E93" s="60">
        <f>'Batting Data'!K93/'Batting Data'!J93</f>
        <v>0.17324955116696589</v>
      </c>
      <c r="F93" s="60">
        <f>'Batting Data'!L93/'Batting Data'!J93</f>
        <v>5.439856373429084E-2</v>
      </c>
      <c r="G93" s="60">
        <f>'Batting Data'!M93/'Batting Data'!J93</f>
        <v>8.4380610412926396E-3</v>
      </c>
      <c r="H93" s="60">
        <f>'Batting Data'!N93/'Batting Data'!J93</f>
        <v>2.7289048473967684E-2</v>
      </c>
      <c r="I93" s="60">
        <f>'Batting Data'!O93/'Batting Data'!J93</f>
        <v>9.5332136445242369E-2</v>
      </c>
      <c r="J93" s="60">
        <f>'Batting Data'!P93/'Batting Data'!J93</f>
        <v>8.0789946140035901E-3</v>
      </c>
      <c r="K93" s="60">
        <f>'Batting Data'!Q93/'Batting Data'!J93</f>
        <v>0.63321364452423701</v>
      </c>
      <c r="L93" s="2" t="str">
        <f t="shared" si="3"/>
        <v>2003 Arizona Diamondbacks</v>
      </c>
      <c r="M93" s="58">
        <f>'Pitching Data'!Q93/'Pitching Data'!P93</f>
        <v>0.15072231139646869</v>
      </c>
      <c r="N93" s="58">
        <f>'Pitching Data'!R93/'Pitching Data'!P93</f>
        <v>4.2696629213483148E-2</v>
      </c>
      <c r="O93" s="58">
        <f>'Pitching Data'!S93/'Pitching Data'!P93</f>
        <v>3.8523274478330658E-3</v>
      </c>
      <c r="P93" s="58">
        <f>'Pitching Data'!T93/'Pitching Data'!P93</f>
        <v>2.4077046548956663E-2</v>
      </c>
      <c r="Q93" s="58">
        <f>'Pitching Data'!U93/'Pitching Data'!P93</f>
        <v>8.4430176565008022E-2</v>
      </c>
      <c r="R93" s="58">
        <f>'Pitching Data'!V93/'Pitching Data'!P93</f>
        <v>1.1556982343499198E-2</v>
      </c>
      <c r="S93" s="58">
        <f>'Pitching Data'!W93/'Pitching Data'!P93</f>
        <v>0.68266452648475118</v>
      </c>
    </row>
    <row r="94" spans="2:19" x14ac:dyDescent="0.5">
      <c r="B94" s="2">
        <v>2003</v>
      </c>
      <c r="C94" s="2" t="s">
        <v>41</v>
      </c>
      <c r="D94" s="2" t="str">
        <f t="shared" si="2"/>
        <v>2003 Atlanta Braves</v>
      </c>
      <c r="E94" s="60">
        <f>'Batting Data'!K94/'Batting Data'!J94</f>
        <v>0.1800705467372134</v>
      </c>
      <c r="F94" s="60">
        <f>'Batting Data'!L94/'Batting Data'!J94</f>
        <v>5.6613756613756616E-2</v>
      </c>
      <c r="G94" s="60">
        <f>'Batting Data'!M94/'Batting Data'!J94</f>
        <v>5.4673721340388007E-3</v>
      </c>
      <c r="H94" s="60">
        <f>'Batting Data'!N94/'Batting Data'!J94</f>
        <v>4.1446208112874777E-2</v>
      </c>
      <c r="I94" s="60">
        <f>'Batting Data'!O94/'Batting Data'!J94</f>
        <v>9.6119929453262781E-2</v>
      </c>
      <c r="J94" s="60">
        <f>'Batting Data'!P94/'Batting Data'!J94</f>
        <v>8.6419753086419745E-3</v>
      </c>
      <c r="K94" s="60">
        <f>'Batting Data'!Q94/'Batting Data'!J94</f>
        <v>0.61164021164021165</v>
      </c>
      <c r="L94" s="2" t="str">
        <f t="shared" si="3"/>
        <v>2003 Atlanta Braves</v>
      </c>
      <c r="M94" s="58">
        <f>'Pitching Data'!Q94/'Pitching Data'!P94</f>
        <v>0.15111253401632785</v>
      </c>
      <c r="N94" s="58">
        <f>'Pitching Data'!R94/'Pitching Data'!P94</f>
        <v>4.9463742596446293E-2</v>
      </c>
      <c r="O94" s="58">
        <f>'Pitching Data'!S94/'Pitching Data'!P94</f>
        <v>4.0019209220425803E-3</v>
      </c>
      <c r="P94" s="58">
        <f>'Pitching Data'!T94/'Pitching Data'!P94</f>
        <v>2.3531295021610374E-2</v>
      </c>
      <c r="Q94" s="58">
        <f>'Pitching Data'!U94/'Pitching Data'!P94</f>
        <v>8.8842644469345283E-2</v>
      </c>
      <c r="R94" s="58">
        <f>'Pitching Data'!V94/'Pitching Data'!P94</f>
        <v>6.7232271490315354E-3</v>
      </c>
      <c r="S94" s="58">
        <f>'Pitching Data'!W94/'Pitching Data'!P94</f>
        <v>0.67632463582519609</v>
      </c>
    </row>
    <row r="95" spans="2:19" x14ac:dyDescent="0.5">
      <c r="B95" s="2">
        <v>2003</v>
      </c>
      <c r="C95" s="2" t="s">
        <v>44</v>
      </c>
      <c r="D95" s="2" t="str">
        <f t="shared" si="2"/>
        <v>2003 Baltimore Orioles</v>
      </c>
      <c r="E95" s="60">
        <f>'Batting Data'!K95/'Batting Data'!J95</f>
        <v>0.18764342453662841</v>
      </c>
      <c r="F95" s="60">
        <f>'Batting Data'!L95/'Batting Data'!J95</f>
        <v>4.889673433362754E-2</v>
      </c>
      <c r="G95" s="60">
        <f>'Batting Data'!M95/'Batting Data'!J95</f>
        <v>4.2365401588702559E-3</v>
      </c>
      <c r="H95" s="60">
        <f>'Batting Data'!N95/'Batting Data'!J95</f>
        <v>2.6831421006178288E-2</v>
      </c>
      <c r="I95" s="60">
        <f>'Batting Data'!O95/'Batting Data'!J95</f>
        <v>7.6081200353045011E-2</v>
      </c>
      <c r="J95" s="60">
        <f>'Batting Data'!P95/'Batting Data'!J95</f>
        <v>9.5322153574580754E-3</v>
      </c>
      <c r="K95" s="60">
        <f>'Batting Data'!Q95/'Batting Data'!J95</f>
        <v>0.64677846425419239</v>
      </c>
      <c r="L95" s="2" t="str">
        <f t="shared" si="3"/>
        <v>2003 Baltimore Orioles</v>
      </c>
      <c r="M95" s="58">
        <f>'Pitching Data'!Q95/'Pitching Data'!P95</f>
        <v>0.16415331448319195</v>
      </c>
      <c r="N95" s="58">
        <f>'Pitching Data'!R95/'Pitching Data'!P95</f>
        <v>4.8539114043355328E-2</v>
      </c>
      <c r="O95" s="58">
        <f>'Pitching Data'!S95/'Pitching Data'!P95</f>
        <v>4.2412818096135719E-3</v>
      </c>
      <c r="P95" s="58">
        <f>'Pitching Data'!T95/'Pitching Data'!P95</f>
        <v>3.1102733270499529E-2</v>
      </c>
      <c r="Q95" s="58">
        <f>'Pitching Data'!U95/'Pitching Data'!P95</f>
        <v>8.2626453031731065E-2</v>
      </c>
      <c r="R95" s="58">
        <f>'Pitching Data'!V95/'Pitching Data'!P95</f>
        <v>1.2566760917373547E-2</v>
      </c>
      <c r="S95" s="58">
        <f>'Pitching Data'!W95/'Pitching Data'!P95</f>
        <v>0.65677034244423504</v>
      </c>
    </row>
    <row r="96" spans="2:19" x14ac:dyDescent="0.5">
      <c r="B96" s="2">
        <v>2003</v>
      </c>
      <c r="C96" s="2" t="s">
        <v>46</v>
      </c>
      <c r="D96" s="2" t="str">
        <f t="shared" si="2"/>
        <v>2003 Boston Red Sox</v>
      </c>
      <c r="E96" s="60">
        <f>'Batting Data'!K96/'Batting Data'!J96</f>
        <v>0.1764603917490033</v>
      </c>
      <c r="F96" s="60">
        <f>'Batting Data'!L96/'Batting Data'!J96</f>
        <v>6.4309239036228122E-2</v>
      </c>
      <c r="G96" s="60">
        <f>'Batting Data'!M96/'Batting Data'!J96</f>
        <v>6.9336106777604439E-3</v>
      </c>
      <c r="H96" s="60">
        <f>'Batting Data'!N96/'Batting Data'!J96</f>
        <v>4.1254983532674643E-2</v>
      </c>
      <c r="I96" s="60">
        <f>'Batting Data'!O96/'Batting Data'!J96</f>
        <v>0.10747096550528688</v>
      </c>
      <c r="J96" s="60">
        <f>'Batting Data'!P96/'Batting Data'!J96</f>
        <v>9.1870341480325881E-3</v>
      </c>
      <c r="K96" s="60">
        <f>'Batting Data'!Q96/'Batting Data'!J96</f>
        <v>0.59438377535101405</v>
      </c>
      <c r="L96" s="2" t="str">
        <f t="shared" si="3"/>
        <v>2003 Boston Red Sox</v>
      </c>
      <c r="M96" s="58">
        <f>'Pitching Data'!Q96/'Pitching Data'!P96</f>
        <v>0.15452399685287174</v>
      </c>
      <c r="N96" s="58">
        <f>'Pitching Data'!R96/'Pitching Data'!P96</f>
        <v>5.1612903225806452E-2</v>
      </c>
      <c r="O96" s="58">
        <f>'Pitching Data'!S96/'Pitching Data'!P96</f>
        <v>6.2942564909520063E-3</v>
      </c>
      <c r="P96" s="58">
        <f>'Pitching Data'!T96/'Pitching Data'!P96</f>
        <v>2.4075531077891423E-2</v>
      </c>
      <c r="Q96" s="58">
        <f>'Pitching Data'!U96/'Pitching Data'!P96</f>
        <v>7.6789929189614484E-2</v>
      </c>
      <c r="R96" s="58">
        <f>'Pitching Data'!V96/'Pitching Data'!P96</f>
        <v>1.1959087332808812E-2</v>
      </c>
      <c r="S96" s="58">
        <f>'Pitching Data'!W96/'Pitching Data'!P96</f>
        <v>0.67474429583005513</v>
      </c>
    </row>
    <row r="97" spans="2:19" x14ac:dyDescent="0.5">
      <c r="B97" s="2">
        <v>2003</v>
      </c>
      <c r="C97" s="2" t="s">
        <v>50</v>
      </c>
      <c r="D97" s="2" t="str">
        <f t="shared" si="2"/>
        <v>2003 Chicago Cubs</v>
      </c>
      <c r="E97" s="60">
        <f>'Batting Data'!K97/'Batting Data'!J97</f>
        <v>0.16905236455879688</v>
      </c>
      <c r="F97" s="60">
        <f>'Batting Data'!L97/'Batting Data'!J97</f>
        <v>5.472005798151839E-2</v>
      </c>
      <c r="G97" s="60">
        <f>'Batting Data'!M97/'Batting Data'!J97</f>
        <v>4.3486138793259648E-3</v>
      </c>
      <c r="H97" s="60">
        <f>'Batting Data'!N97/'Batting Data'!J97</f>
        <v>3.1165066135169416E-2</v>
      </c>
      <c r="I97" s="60">
        <f>'Batting Data'!O97/'Batting Data'!J97</f>
        <v>8.9146584526182279E-2</v>
      </c>
      <c r="J97" s="60">
        <f>'Batting Data'!P97/'Batting Data'!J97</f>
        <v>9.0596122485957602E-3</v>
      </c>
      <c r="K97" s="60">
        <f>'Batting Data'!Q97/'Batting Data'!J97</f>
        <v>0.6425077006704113</v>
      </c>
      <c r="L97" s="2" t="str">
        <f t="shared" si="3"/>
        <v>2003 Chicago Cubs</v>
      </c>
      <c r="M97" s="58">
        <f>'Pitching Data'!Q97/'Pitching Data'!P97</f>
        <v>0.14356833145977196</v>
      </c>
      <c r="N97" s="58">
        <f>'Pitching Data'!R97/'Pitching Data'!P97</f>
        <v>3.9826561747229802E-2</v>
      </c>
      <c r="O97" s="58">
        <f>'Pitching Data'!S97/'Pitching Data'!P97</f>
        <v>3.0512285209571221E-3</v>
      </c>
      <c r="P97" s="58">
        <f>'Pitching Data'!T97/'Pitching Data'!P97</f>
        <v>2.2964509394572025E-2</v>
      </c>
      <c r="Q97" s="58">
        <f>'Pitching Data'!U97/'Pitching Data'!P97</f>
        <v>9.9084631443712864E-2</v>
      </c>
      <c r="R97" s="58">
        <f>'Pitching Data'!V97/'Pitching Data'!P97</f>
        <v>1.1401959209892404E-2</v>
      </c>
      <c r="S97" s="58">
        <f>'Pitching Data'!W97/'Pitching Data'!P97</f>
        <v>0.68010277822386378</v>
      </c>
    </row>
    <row r="98" spans="2:19" x14ac:dyDescent="0.5">
      <c r="B98" s="2">
        <v>2003</v>
      </c>
      <c r="C98" s="2" t="s">
        <v>48</v>
      </c>
      <c r="D98" s="2" t="str">
        <f t="shared" si="2"/>
        <v>2003 Chicago White Sox</v>
      </c>
      <c r="E98" s="60">
        <f>'Batting Data'!K98/'Batting Data'!J98</f>
        <v>0.16457080371787863</v>
      </c>
      <c r="F98" s="60">
        <f>'Batting Data'!L98/'Batting Data'!J98</f>
        <v>5.5221432476763262E-2</v>
      </c>
      <c r="G98" s="60">
        <f>'Batting Data'!M98/'Batting Data'!J98</f>
        <v>3.4627300893019866E-3</v>
      </c>
      <c r="H98" s="60">
        <f>'Batting Data'!N98/'Batting Data'!J98</f>
        <v>4.0094769455075632E-2</v>
      </c>
      <c r="I98" s="60">
        <f>'Batting Data'!O98/'Batting Data'!J98</f>
        <v>9.458720612356479E-2</v>
      </c>
      <c r="J98" s="60">
        <f>'Batting Data'!P98/'Batting Data'!J98</f>
        <v>1.0570439219974486E-2</v>
      </c>
      <c r="K98" s="60">
        <f>'Batting Data'!Q98/'Batting Data'!J98</f>
        <v>0.63149261891744124</v>
      </c>
      <c r="L98" s="2" t="str">
        <f t="shared" si="3"/>
        <v>2003 Chicago White Sox</v>
      </c>
      <c r="M98" s="58">
        <f>'Pitching Data'!Q98/'Pitching Data'!P98</f>
        <v>0.14817867150156586</v>
      </c>
      <c r="N98" s="58">
        <f>'Pitching Data'!R98/'Pitching Data'!P98</f>
        <v>4.598648425910664E-2</v>
      </c>
      <c r="O98" s="58">
        <f>'Pitching Data'!S98/'Pitching Data'!P98</f>
        <v>3.955826602933905E-3</v>
      </c>
      <c r="P98" s="58">
        <f>'Pitching Data'!T98/'Pitching Data'!P98</f>
        <v>2.6701829569803857E-2</v>
      </c>
      <c r="Q98" s="58">
        <f>'Pitching Data'!U98/'Pitching Data'!P98</f>
        <v>8.5379924179990116E-2</v>
      </c>
      <c r="R98" s="58">
        <f>'Pitching Data'!V98/'Pitching Data'!P98</f>
        <v>8.7357837481457055E-3</v>
      </c>
      <c r="S98" s="58">
        <f>'Pitching Data'!W98/'Pitching Data'!P98</f>
        <v>0.68106148013845391</v>
      </c>
    </row>
    <row r="99" spans="2:19" x14ac:dyDescent="0.5">
      <c r="B99" s="2">
        <v>2003</v>
      </c>
      <c r="C99" s="2" t="s">
        <v>52</v>
      </c>
      <c r="D99" s="2" t="str">
        <f t="shared" si="2"/>
        <v>2003 Cincinnati Reds</v>
      </c>
      <c r="E99" s="60">
        <f>'Batting Data'!K99/'Batting Data'!J99</f>
        <v>0.16463968052278091</v>
      </c>
      <c r="F99" s="60">
        <f>'Batting Data'!L99/'Batting Data'!J99</f>
        <v>4.3383554184062444E-2</v>
      </c>
      <c r="G99" s="60">
        <f>'Batting Data'!M99/'Batting Data'!J99</f>
        <v>3.8119440914866584E-3</v>
      </c>
      <c r="H99" s="60">
        <f>'Batting Data'!N99/'Batting Data'!J99</f>
        <v>3.303684879288437E-2</v>
      </c>
      <c r="I99" s="60">
        <f>'Batting Data'!O99/'Batting Data'!J99</f>
        <v>9.5117081139952805E-2</v>
      </c>
      <c r="J99" s="60">
        <f>'Batting Data'!P99/'Batting Data'!J99</f>
        <v>1.4340170629878381E-2</v>
      </c>
      <c r="K99" s="60">
        <f>'Batting Data'!Q99/'Batting Data'!J99</f>
        <v>0.64567072063895448</v>
      </c>
      <c r="L99" s="2" t="str">
        <f t="shared" si="3"/>
        <v>2003 Cincinnati Reds</v>
      </c>
      <c r="M99" s="58">
        <f>'Pitching Data'!Q99/'Pitching Data'!P99</f>
        <v>0.15319943951424567</v>
      </c>
      <c r="N99" s="58">
        <f>'Pitching Data'!R99/'Pitching Data'!P99</f>
        <v>5.4180289584306401E-2</v>
      </c>
      <c r="O99" s="58">
        <f>'Pitching Data'!S99/'Pitching Data'!P99</f>
        <v>5.7605480305153358E-3</v>
      </c>
      <c r="P99" s="58">
        <f>'Pitching Data'!T99/'Pitching Data'!P99</f>
        <v>3.2539311848046086E-2</v>
      </c>
      <c r="Q99" s="58">
        <f>'Pitching Data'!U99/'Pitching Data'!P99</f>
        <v>9.1857387513622921E-2</v>
      </c>
      <c r="R99" s="58">
        <f>'Pitching Data'!V99/'Pitching Data'!P99</f>
        <v>7.4731433909388132E-3</v>
      </c>
      <c r="S99" s="58">
        <f>'Pitching Data'!W99/'Pitching Data'!P99</f>
        <v>0.65498988011832482</v>
      </c>
    </row>
    <row r="100" spans="2:19" x14ac:dyDescent="0.5">
      <c r="B100" s="2">
        <v>2003</v>
      </c>
      <c r="C100" s="2" t="s">
        <v>54</v>
      </c>
      <c r="D100" s="2" t="str">
        <f t="shared" si="2"/>
        <v>2003 Cleveland Indians</v>
      </c>
      <c r="E100" s="60">
        <f>'Batting Data'!K100/'Batting Data'!J100</f>
        <v>0.16744436468054558</v>
      </c>
      <c r="F100" s="60">
        <f>'Batting Data'!L100/'Batting Data'!J100</f>
        <v>5.3122756640344583E-2</v>
      </c>
      <c r="G100" s="60">
        <f>'Batting Data'!M100/'Batting Data'!J100</f>
        <v>4.6661880832735104E-3</v>
      </c>
      <c r="H100" s="60">
        <f>'Batting Data'!N100/'Batting Data'!J100</f>
        <v>2.8356066044508254E-2</v>
      </c>
      <c r="I100" s="60">
        <f>'Batting Data'!O100/'Batting Data'!J100</f>
        <v>8.3632447954056E-2</v>
      </c>
      <c r="J100" s="60">
        <f>'Batting Data'!P100/'Batting Data'!J100</f>
        <v>1.1127063890882987E-2</v>
      </c>
      <c r="K100" s="60">
        <f>'Batting Data'!Q100/'Batting Data'!J100</f>
        <v>0.65165111270638909</v>
      </c>
      <c r="L100" s="2" t="str">
        <f t="shared" si="3"/>
        <v>2003 Cleveland Indians</v>
      </c>
      <c r="M100" s="58">
        <f>'Pitching Data'!Q100/'Pitching Data'!P100</f>
        <v>0.15366165653981451</v>
      </c>
      <c r="N100" s="58">
        <f>'Pitching Data'!R100/'Pitching Data'!P100</f>
        <v>4.8928685641189636E-2</v>
      </c>
      <c r="O100" s="58">
        <f>'Pitching Data'!S100/'Pitching Data'!P100</f>
        <v>4.9568276303165971E-3</v>
      </c>
      <c r="P100" s="58">
        <f>'Pitching Data'!T100/'Pitching Data'!P100</f>
        <v>2.8621682123440999E-2</v>
      </c>
      <c r="Q100" s="58">
        <f>'Pitching Data'!U100/'Pitching Data'!P100</f>
        <v>8.0108730412535981E-2</v>
      </c>
      <c r="R100" s="58">
        <f>'Pitching Data'!V100/'Pitching Data'!P100</f>
        <v>1.0233450591621363E-2</v>
      </c>
      <c r="S100" s="58">
        <f>'Pitching Data'!W100/'Pitching Data'!P100</f>
        <v>0.67348896706108086</v>
      </c>
    </row>
    <row r="101" spans="2:19" x14ac:dyDescent="0.5">
      <c r="B101" s="2">
        <v>2003</v>
      </c>
      <c r="C101" s="2" t="s">
        <v>56</v>
      </c>
      <c r="D101" s="2" t="str">
        <f t="shared" si="2"/>
        <v>2003 Colorado Rockies</v>
      </c>
      <c r="E101" s="60">
        <f>'Batting Data'!K101/'Batting Data'!J101</f>
        <v>0.16545849945632476</v>
      </c>
      <c r="F101" s="60">
        <f>'Batting Data'!L101/'Batting Data'!J101</f>
        <v>5.9804276911924609E-2</v>
      </c>
      <c r="G101" s="60">
        <f>'Batting Data'!M101/'Batting Data'!J101</f>
        <v>5.6179775280898875E-3</v>
      </c>
      <c r="H101" s="60">
        <f>'Batting Data'!N101/'Batting Data'!J101</f>
        <v>3.5882566147154765E-2</v>
      </c>
      <c r="I101" s="60">
        <f>'Batting Data'!O101/'Batting Data'!J101</f>
        <v>0.11217832548024646</v>
      </c>
      <c r="J101" s="60">
        <f>'Batting Data'!P101/'Batting Data'!J101</f>
        <v>9.423704240666908E-3</v>
      </c>
      <c r="K101" s="60">
        <f>'Batting Data'!Q101/'Batting Data'!J101</f>
        <v>0.6116346502355926</v>
      </c>
      <c r="L101" s="2" t="str">
        <f t="shared" si="3"/>
        <v>2003 Colorado Rockies</v>
      </c>
      <c r="M101" s="58">
        <f>'Pitching Data'!Q101/'Pitching Data'!P101</f>
        <v>0.16656191074795726</v>
      </c>
      <c r="N101" s="58">
        <f>'Pitching Data'!R101/'Pitching Data'!P101</f>
        <v>5.106851037083595E-2</v>
      </c>
      <c r="O101" s="58">
        <f>'Pitching Data'!S101/'Pitching Data'!P101</f>
        <v>6.9138906348208675E-3</v>
      </c>
      <c r="P101" s="58">
        <f>'Pitching Data'!T101/'Pitching Data'!P101</f>
        <v>3.1426775612822123E-2</v>
      </c>
      <c r="Q101" s="58">
        <f>'Pitching Data'!U101/'Pitching Data'!P101</f>
        <v>8.6737900691389064E-2</v>
      </c>
      <c r="R101" s="58">
        <f>'Pitching Data'!V101/'Pitching Data'!P101</f>
        <v>1.3199245757385292E-2</v>
      </c>
      <c r="S101" s="58">
        <f>'Pitching Data'!W101/'Pitching Data'!P101</f>
        <v>0.64409176618478947</v>
      </c>
    </row>
    <row r="102" spans="2:19" x14ac:dyDescent="0.5">
      <c r="B102" s="2">
        <v>2003</v>
      </c>
      <c r="C102" s="2" t="s">
        <v>58</v>
      </c>
      <c r="D102" s="2" t="str">
        <f t="shared" si="2"/>
        <v>2003 Detroit Tigers</v>
      </c>
      <c r="E102" s="60">
        <f>'Batting Data'!K102/'Batting Data'!J102</f>
        <v>0.16813025978777899</v>
      </c>
      <c r="F102" s="60">
        <f>'Batting Data'!L102/'Batting Data'!J102</f>
        <v>3.6772777167947308E-2</v>
      </c>
      <c r="G102" s="60">
        <f>'Batting Data'!M102/'Batting Data'!J102</f>
        <v>7.1350164654226129E-3</v>
      </c>
      <c r="H102" s="60">
        <f>'Batting Data'!N102/'Batting Data'!J102</f>
        <v>2.7991218441273325E-2</v>
      </c>
      <c r="I102" s="60">
        <f>'Batting Data'!O102/'Batting Data'!J102</f>
        <v>8.104646908159531E-2</v>
      </c>
      <c r="J102" s="60">
        <f>'Batting Data'!P102/'Batting Data'!J102</f>
        <v>8.598609586534944E-3</v>
      </c>
      <c r="K102" s="60">
        <f>'Batting Data'!Q102/'Batting Data'!J102</f>
        <v>0.6703256494694475</v>
      </c>
      <c r="L102" s="2" t="str">
        <f t="shared" si="3"/>
        <v>2003 Detroit Tigers</v>
      </c>
      <c r="M102" s="58">
        <f>'Pitching Data'!Q102/'Pitching Data'!P102</f>
        <v>0.16703262233375157</v>
      </c>
      <c r="N102" s="58">
        <f>'Pitching Data'!R102/'Pitching Data'!P102</f>
        <v>4.8306148055207027E-2</v>
      </c>
      <c r="O102" s="58">
        <f>'Pitching Data'!S102/'Pitching Data'!P102</f>
        <v>7.5282308657465494E-3</v>
      </c>
      <c r="P102" s="58">
        <f>'Pitching Data'!T102/'Pitching Data'!P102</f>
        <v>3.0583437892095357E-2</v>
      </c>
      <c r="Q102" s="58">
        <f>'Pitching Data'!U102/'Pitching Data'!P102</f>
        <v>8.7358845671267255E-2</v>
      </c>
      <c r="R102" s="58">
        <f>'Pitching Data'!V102/'Pitching Data'!P102</f>
        <v>8.7829360100376407E-3</v>
      </c>
      <c r="S102" s="58">
        <f>'Pitching Data'!W102/'Pitching Data'!P102</f>
        <v>0.65040777917189463</v>
      </c>
    </row>
    <row r="103" spans="2:19" x14ac:dyDescent="0.5">
      <c r="B103" s="2">
        <v>2003</v>
      </c>
      <c r="C103" s="2" t="s">
        <v>60</v>
      </c>
      <c r="D103" s="2" t="str">
        <f t="shared" si="2"/>
        <v>2003 Florida Marlins</v>
      </c>
      <c r="E103" s="60">
        <f>'Batting Data'!K103/'Batting Data'!J103</f>
        <v>0.17595628415300546</v>
      </c>
      <c r="F103" s="60">
        <f>'Batting Data'!L103/'Batting Data'!J103</f>
        <v>5.318761384335155E-2</v>
      </c>
      <c r="G103" s="60">
        <f>'Batting Data'!M103/'Batting Data'!J103</f>
        <v>8.0145719489981785E-3</v>
      </c>
      <c r="H103" s="60">
        <f>'Batting Data'!N103/'Batting Data'!J103</f>
        <v>2.8597449908925317E-2</v>
      </c>
      <c r="I103" s="60">
        <f>'Batting Data'!O103/'Batting Data'!J103</f>
        <v>9.3806921675774133E-2</v>
      </c>
      <c r="J103" s="60">
        <f>'Batting Data'!P103/'Batting Data'!J103</f>
        <v>1.0382513661202186E-2</v>
      </c>
      <c r="K103" s="60">
        <f>'Batting Data'!Q103/'Batting Data'!J103</f>
        <v>0.63005464480874318</v>
      </c>
      <c r="L103" s="2" t="str">
        <f t="shared" si="3"/>
        <v>2003 Florida Marlins</v>
      </c>
      <c r="M103" s="58">
        <f>'Pitching Data'!Q103/'Pitching Data'!P103</f>
        <v>0.154095701540957</v>
      </c>
      <c r="N103" s="58">
        <f>'Pitching Data'!R103/'Pitching Data'!P103</f>
        <v>4.8661800486618008E-2</v>
      </c>
      <c r="O103" s="58">
        <f>'Pitching Data'!S103/'Pitching Data'!P103</f>
        <v>6.001622060016221E-3</v>
      </c>
      <c r="P103" s="58">
        <f>'Pitching Data'!T103/'Pitching Data'!P103</f>
        <v>2.0762368207623682E-2</v>
      </c>
      <c r="Q103" s="58">
        <f>'Pitching Data'!U103/'Pitching Data'!P103</f>
        <v>8.596918085969181E-2</v>
      </c>
      <c r="R103" s="58">
        <f>'Pitching Data'!V103/'Pitching Data'!P103</f>
        <v>6.4882400648824008E-3</v>
      </c>
      <c r="S103" s="58">
        <f>'Pitching Data'!W103/'Pitching Data'!P103</f>
        <v>0.67802108678021089</v>
      </c>
    </row>
    <row r="104" spans="2:19" x14ac:dyDescent="0.5">
      <c r="B104" s="2">
        <v>2003</v>
      </c>
      <c r="C104" s="2" t="s">
        <v>62</v>
      </c>
      <c r="D104" s="2" t="str">
        <f t="shared" si="2"/>
        <v>2003 Houston Astros</v>
      </c>
      <c r="E104" s="60">
        <f>'Batting Data'!K104/'Batting Data'!J104</f>
        <v>0.16783091527852409</v>
      </c>
      <c r="F104" s="60">
        <f>'Batting Data'!L104/'Batting Data'!J104</f>
        <v>5.5167472684936415E-2</v>
      </c>
      <c r="G104" s="60">
        <f>'Batting Data'!M104/'Batting Data'!J104</f>
        <v>5.3734551316496505E-3</v>
      </c>
      <c r="H104" s="60">
        <f>'Batting Data'!N104/'Batting Data'!J104</f>
        <v>3.4210997671502777E-2</v>
      </c>
      <c r="I104" s="60">
        <f>'Batting Data'!O104/'Batting Data'!J104</f>
        <v>9.9767150277628516E-2</v>
      </c>
      <c r="J104" s="60">
        <f>'Batting Data'!P104/'Batting Data'!J104</f>
        <v>1.4508328855454057E-2</v>
      </c>
      <c r="K104" s="60">
        <f>'Batting Data'!Q104/'Batting Data'!J104</f>
        <v>0.62314168010030446</v>
      </c>
      <c r="L104" s="2" t="str">
        <f t="shared" si="3"/>
        <v>2003 Houston Astros</v>
      </c>
      <c r="M104" s="58">
        <f>'Pitching Data'!Q104/'Pitching Data'!P104</f>
        <v>0.14507772020725387</v>
      </c>
      <c r="N104" s="58">
        <f>'Pitching Data'!R104/'Pitching Data'!P104</f>
        <v>4.2422279792746112E-2</v>
      </c>
      <c r="O104" s="58">
        <f>'Pitching Data'!S104/'Pitching Data'!P104</f>
        <v>5.0194300518134711E-3</v>
      </c>
      <c r="P104" s="58">
        <f>'Pitching Data'!T104/'Pitching Data'!P104</f>
        <v>2.6068652849740932E-2</v>
      </c>
      <c r="Q104" s="58">
        <f>'Pitching Data'!U104/'Pitching Data'!P104</f>
        <v>9.1483160621761664E-2</v>
      </c>
      <c r="R104" s="58">
        <f>'Pitching Data'!V104/'Pitching Data'!P104</f>
        <v>1.1981865284974092E-2</v>
      </c>
      <c r="S104" s="58">
        <f>'Pitching Data'!W104/'Pitching Data'!P104</f>
        <v>0.67794689119170981</v>
      </c>
    </row>
    <row r="105" spans="2:19" x14ac:dyDescent="0.5">
      <c r="B105" s="2">
        <v>2003</v>
      </c>
      <c r="C105" s="2" t="s">
        <v>64</v>
      </c>
      <c r="D105" s="2" t="str">
        <f t="shared" si="2"/>
        <v>2003 Kansas City Royals</v>
      </c>
      <c r="E105" s="60">
        <f>'Batting Data'!K105/'Batting Data'!J105</f>
        <v>0.18624281609195403</v>
      </c>
      <c r="F105" s="60">
        <f>'Batting Data'!L105/'Batting Data'!J105</f>
        <v>5.1724137931034482E-2</v>
      </c>
      <c r="G105" s="60">
        <f>'Batting Data'!M105/'Batting Data'!J105</f>
        <v>7.0043103448275863E-3</v>
      </c>
      <c r="H105" s="60">
        <f>'Batting Data'!N105/'Batting Data'!J105</f>
        <v>2.9094827586206896E-2</v>
      </c>
      <c r="I105" s="60">
        <f>'Batting Data'!O105/'Batting Data'!J105</f>
        <v>8.5488505747126436E-2</v>
      </c>
      <c r="J105" s="60">
        <f>'Batting Data'!P105/'Batting Data'!J105</f>
        <v>1.3469827586206896E-2</v>
      </c>
      <c r="K105" s="60">
        <f>'Batting Data'!Q105/'Batting Data'!J105</f>
        <v>0.62697557471264365</v>
      </c>
      <c r="L105" s="2" t="str">
        <f t="shared" si="3"/>
        <v>2003 Kansas City Royals</v>
      </c>
      <c r="M105" s="58">
        <f>'Pitching Data'!Q105/'Pitching Data'!P105</f>
        <v>0.15959786365064405</v>
      </c>
      <c r="N105" s="58">
        <f>'Pitching Data'!R105/'Pitching Data'!P105</f>
        <v>5.1680804272698715E-2</v>
      </c>
      <c r="O105" s="58">
        <f>'Pitching Data'!S105/'Pitching Data'!P105</f>
        <v>5.3408733898837575E-3</v>
      </c>
      <c r="P105" s="58">
        <f>'Pitching Data'!T105/'Pitching Data'!P105</f>
        <v>2.9846057178762174E-2</v>
      </c>
      <c r="Q105" s="58">
        <f>'Pitching Data'!U105/'Pitching Data'!P105</f>
        <v>8.8909833490417839E-2</v>
      </c>
      <c r="R105" s="58">
        <f>'Pitching Data'!V105/'Pitching Data'!P105</f>
        <v>1.0367577756833177E-2</v>
      </c>
      <c r="S105" s="58">
        <f>'Pitching Data'!W105/'Pitching Data'!P105</f>
        <v>0.65425699026076034</v>
      </c>
    </row>
    <row r="106" spans="2:19" x14ac:dyDescent="0.5">
      <c r="B106" s="2">
        <v>2003</v>
      </c>
      <c r="C106" s="2" t="s">
        <v>66</v>
      </c>
      <c r="D106" s="2" t="str">
        <f t="shared" si="2"/>
        <v>2003 Los Angeles Dodgers</v>
      </c>
      <c r="E106" s="60">
        <f>'Batting Data'!K106/'Batting Data'!J106</f>
        <v>0.16837669475998535</v>
      </c>
      <c r="F106" s="60">
        <f>'Batting Data'!L106/'Batting Data'!J106</f>
        <v>4.7636496885305975E-2</v>
      </c>
      <c r="G106" s="60">
        <f>'Batting Data'!M106/'Batting Data'!J106</f>
        <v>4.5804323928178821E-3</v>
      </c>
      <c r="H106" s="60">
        <f>'Batting Data'!N106/'Batting Data'!J106</f>
        <v>2.2718944668376696E-2</v>
      </c>
      <c r="I106" s="60">
        <f>'Batting Data'!O106/'Batting Data'!J106</f>
        <v>7.4569439355075123E-2</v>
      </c>
      <c r="J106" s="60">
        <f>'Batting Data'!P106/'Batting Data'!J106</f>
        <v>1.31916452913155E-2</v>
      </c>
      <c r="K106" s="60">
        <f>'Batting Data'!Q106/'Batting Data'!J106</f>
        <v>0.66892634664712347</v>
      </c>
      <c r="L106" s="2" t="str">
        <f t="shared" si="3"/>
        <v>2003 Los Angeles Dodgers</v>
      </c>
      <c r="M106" s="58">
        <f>'Pitching Data'!Q106/'Pitching Data'!P106</f>
        <v>0.14914180969838362</v>
      </c>
      <c r="N106" s="58">
        <f>'Pitching Data'!R106/'Pitching Data'!P106</f>
        <v>3.4160973171138143E-2</v>
      </c>
      <c r="O106" s="58">
        <f>'Pitching Data'!S106/'Pitching Data'!P106</f>
        <v>4.49925012497917E-3</v>
      </c>
      <c r="P106" s="58">
        <f>'Pitching Data'!T106/'Pitching Data'!P106</f>
        <v>2.1163139476753873E-2</v>
      </c>
      <c r="Q106" s="58">
        <f>'Pitching Data'!U106/'Pitching Data'!P106</f>
        <v>8.7652057990334944E-2</v>
      </c>
      <c r="R106" s="58">
        <f>'Pitching Data'!V106/'Pitching Data'!P106</f>
        <v>6.6655557407098815E-3</v>
      </c>
      <c r="S106" s="58">
        <f>'Pitching Data'!W106/'Pitching Data'!P106</f>
        <v>0.69671721379770035</v>
      </c>
    </row>
    <row r="107" spans="2:19" x14ac:dyDescent="0.5">
      <c r="B107" s="2">
        <v>2003</v>
      </c>
      <c r="C107" s="2" t="s">
        <v>68</v>
      </c>
      <c r="D107" s="2" t="str">
        <f t="shared" si="2"/>
        <v>2003 Milwaukee Brewers</v>
      </c>
      <c r="E107" s="60">
        <f>'Batting Data'!K107/'Batting Data'!J107</f>
        <v>0.16888968997837059</v>
      </c>
      <c r="F107" s="60">
        <f>'Batting Data'!L107/'Batting Data'!J107</f>
        <v>4.7945205479452052E-2</v>
      </c>
      <c r="G107" s="60">
        <f>'Batting Data'!M107/'Batting Data'!J107</f>
        <v>4.3258832011535686E-3</v>
      </c>
      <c r="H107" s="60">
        <f>'Batting Data'!N107/'Batting Data'!J107</f>
        <v>3.5328046142754144E-2</v>
      </c>
      <c r="I107" s="60">
        <f>'Batting Data'!O107/'Batting Data'!J107</f>
        <v>9.8594087959625085E-2</v>
      </c>
      <c r="J107" s="60">
        <f>'Batting Data'!P107/'Batting Data'!J107</f>
        <v>1.2797404470079307E-2</v>
      </c>
      <c r="K107" s="60">
        <f>'Batting Data'!Q107/'Batting Data'!J107</f>
        <v>0.63211968276856523</v>
      </c>
      <c r="L107" s="2" t="str">
        <f t="shared" si="3"/>
        <v>2003 Milwaukee Brewers</v>
      </c>
      <c r="M107" s="58">
        <f>'Pitching Data'!Q107/'Pitching Data'!P107</f>
        <v>0.15853847344790215</v>
      </c>
      <c r="N107" s="58">
        <f>'Pitching Data'!R107/'Pitching Data'!P107</f>
        <v>4.7066109304845949E-2</v>
      </c>
      <c r="O107" s="58">
        <f>'Pitching Data'!S107/'Pitching Data'!P107</f>
        <v>6.657377302988079E-3</v>
      </c>
      <c r="P107" s="58">
        <f>'Pitching Data'!T107/'Pitching Data'!P107</f>
        <v>3.3906177426846262E-2</v>
      </c>
      <c r="Q107" s="58">
        <f>'Pitching Data'!U107/'Pitching Data'!P107</f>
        <v>8.9023068586468496E-2</v>
      </c>
      <c r="R107" s="58">
        <f>'Pitching Data'!V107/'Pitching Data'!P107</f>
        <v>9.4441864065644837E-3</v>
      </c>
      <c r="S107" s="58">
        <f>'Pitching Data'!W107/'Pitching Data'!P107</f>
        <v>0.65536460752438463</v>
      </c>
    </row>
    <row r="108" spans="2:19" x14ac:dyDescent="0.5">
      <c r="B108" s="2">
        <v>2003</v>
      </c>
      <c r="C108" s="2" t="s">
        <v>70</v>
      </c>
      <c r="D108" s="2" t="str">
        <f t="shared" si="2"/>
        <v>2003 Minnesota Twins</v>
      </c>
      <c r="E108" s="60">
        <f>'Batting Data'!K108/'Batting Data'!J108</f>
        <v>0.18549955791335102</v>
      </c>
      <c r="F108" s="60">
        <f>'Batting Data'!L108/'Batting Data'!J108</f>
        <v>5.6233421750663128E-2</v>
      </c>
      <c r="G108" s="60">
        <f>'Batting Data'!M108/'Batting Data'!J108</f>
        <v>7.9575596816976128E-3</v>
      </c>
      <c r="H108" s="60">
        <f>'Batting Data'!N108/'Batting Data'!J108</f>
        <v>2.7409372236958444E-2</v>
      </c>
      <c r="I108" s="60">
        <f>'Batting Data'!O108/'Batting Data'!J108</f>
        <v>9.0539345711759506E-2</v>
      </c>
      <c r="J108" s="60">
        <f>'Batting Data'!P108/'Batting Data'!J108</f>
        <v>1.1140583554376658E-2</v>
      </c>
      <c r="K108" s="60">
        <f>'Batting Data'!Q108/'Batting Data'!J108</f>
        <v>0.62122015915119366</v>
      </c>
      <c r="L108" s="2" t="str">
        <f t="shared" si="3"/>
        <v>2003 Minnesota Twins</v>
      </c>
      <c r="M108" s="58">
        <f>'Pitching Data'!Q108/'Pitching Data'!P108</f>
        <v>0.16218379763048352</v>
      </c>
      <c r="N108" s="58">
        <f>'Pitching Data'!R108/'Pitching Data'!P108</f>
        <v>4.8350944604546912E-2</v>
      </c>
      <c r="O108" s="58">
        <f>'Pitching Data'!S108/'Pitching Data'!P108</f>
        <v>3.8424591738712775E-3</v>
      </c>
      <c r="P108" s="58">
        <f>'Pitching Data'!T108/'Pitching Data'!P108</f>
        <v>2.9939161063080373E-2</v>
      </c>
      <c r="Q108" s="58">
        <f>'Pitching Data'!U108/'Pitching Data'!P108</f>
        <v>6.43611911623439E-2</v>
      </c>
      <c r="R108" s="58">
        <f>'Pitching Data'!V108/'Pitching Data'!P108</f>
        <v>8.0051232788984957E-3</v>
      </c>
      <c r="S108" s="58">
        <f>'Pitching Data'!W108/'Pitching Data'!P108</f>
        <v>0.68331732308677551</v>
      </c>
    </row>
    <row r="109" spans="2:19" x14ac:dyDescent="0.5">
      <c r="B109" s="2">
        <v>2003</v>
      </c>
      <c r="C109" s="2" t="s">
        <v>72</v>
      </c>
      <c r="D109" s="2" t="str">
        <f t="shared" si="2"/>
        <v>2003 Montreal Expos</v>
      </c>
      <c r="E109" s="60">
        <f>'Batting Data'!K109/'Batting Data'!J109</f>
        <v>0.17307338605848813</v>
      </c>
      <c r="F109" s="60">
        <f>'Batting Data'!L109/'Batting Data'!J109</f>
        <v>5.4073937833363984E-2</v>
      </c>
      <c r="G109" s="60">
        <f>'Batting Data'!M109/'Batting Data'!J109</f>
        <v>4.5981239654221077E-3</v>
      </c>
      <c r="H109" s="60">
        <f>'Batting Data'!N109/'Batting Data'!J109</f>
        <v>2.6485194040831342E-2</v>
      </c>
      <c r="I109" s="60">
        <f>'Batting Data'!O109/'Batting Data'!J109</f>
        <v>9.6008828398013613E-2</v>
      </c>
      <c r="J109" s="60">
        <f>'Batting Data'!P109/'Batting Data'!J109</f>
        <v>8.2766231377597935E-3</v>
      </c>
      <c r="K109" s="60">
        <f>'Batting Data'!Q109/'Batting Data'!J109</f>
        <v>0.63748390656612097</v>
      </c>
      <c r="L109" s="2" t="str">
        <f t="shared" si="3"/>
        <v>2003 Montreal Expos</v>
      </c>
      <c r="M109" s="58">
        <f>'Pitching Data'!Q109/'Pitching Data'!P109</f>
        <v>0.1571868416788203</v>
      </c>
      <c r="N109" s="58">
        <f>'Pitching Data'!R109/'Pitching Data'!P109</f>
        <v>4.7318100794036623E-2</v>
      </c>
      <c r="O109" s="58">
        <f>'Pitching Data'!S109/'Pitching Data'!P109</f>
        <v>3.889158969372873E-3</v>
      </c>
      <c r="P109" s="58">
        <f>'Pitching Data'!T109/'Pitching Data'!P109</f>
        <v>2.9330740560687085E-2</v>
      </c>
      <c r="Q109" s="58">
        <f>'Pitching Data'!U109/'Pitching Data'!P109</f>
        <v>7.5028358450818344E-2</v>
      </c>
      <c r="R109" s="58">
        <f>'Pitching Data'!V109/'Pitching Data'!P109</f>
        <v>1.1505428617728084E-2</v>
      </c>
      <c r="S109" s="58">
        <f>'Pitching Data'!W109/'Pitching Data'!P109</f>
        <v>0.6757413709285367</v>
      </c>
    </row>
    <row r="110" spans="2:19" x14ac:dyDescent="0.5">
      <c r="B110" s="2">
        <v>2003</v>
      </c>
      <c r="C110" s="2" t="s">
        <v>76</v>
      </c>
      <c r="D110" s="2" t="str">
        <f t="shared" si="2"/>
        <v>2003 New York Mets</v>
      </c>
      <c r="E110" s="60">
        <f>'Batting Data'!K110/'Batting Data'!J110</f>
        <v>0.16981838607002434</v>
      </c>
      <c r="F110" s="60">
        <f>'Batting Data'!L110/'Batting Data'!J110</f>
        <v>4.9054484178992698E-2</v>
      </c>
      <c r="G110" s="60">
        <f>'Batting Data'!M110/'Batting Data'!J110</f>
        <v>4.4935405354802468E-3</v>
      </c>
      <c r="H110" s="60">
        <f>'Batting Data'!N110/'Batting Data'!J110</f>
        <v>2.3216626099981277E-2</v>
      </c>
      <c r="I110" s="60">
        <f>'Batting Data'!O110/'Batting Data'!J110</f>
        <v>9.1555888410410041E-2</v>
      </c>
      <c r="J110" s="60">
        <f>'Batting Data'!P110/'Batting Data'!J110</f>
        <v>1.0110466204830556E-2</v>
      </c>
      <c r="K110" s="60">
        <f>'Batting Data'!Q110/'Batting Data'!J110</f>
        <v>0.65175060850028088</v>
      </c>
      <c r="L110" s="2" t="str">
        <f t="shared" si="3"/>
        <v>2003 New York Mets</v>
      </c>
      <c r="M110" s="58">
        <f>'Pitching Data'!Q110/'Pitching Data'!P110</f>
        <v>0.15651192778852352</v>
      </c>
      <c r="N110" s="58">
        <f>'Pitching Data'!R110/'Pitching Data'!P110</f>
        <v>5.1096067053513862E-2</v>
      </c>
      <c r="O110" s="58">
        <f>'Pitching Data'!S110/'Pitching Data'!P110</f>
        <v>6.6086395873629919E-3</v>
      </c>
      <c r="P110" s="58">
        <f>'Pitching Data'!T110/'Pitching Data'!P110</f>
        <v>2.7079303675048357E-2</v>
      </c>
      <c r="Q110" s="58">
        <f>'Pitching Data'!U110/'Pitching Data'!P110</f>
        <v>9.2843326885880081E-2</v>
      </c>
      <c r="R110" s="58">
        <f>'Pitching Data'!V110/'Pitching Data'!P110</f>
        <v>7.2533849129593807E-3</v>
      </c>
      <c r="S110" s="58">
        <f>'Pitching Data'!W110/'Pitching Data'!P110</f>
        <v>0.65860735009671179</v>
      </c>
    </row>
    <row r="111" spans="2:19" x14ac:dyDescent="0.5">
      <c r="B111" s="2">
        <v>2003</v>
      </c>
      <c r="C111" s="2" t="s">
        <v>74</v>
      </c>
      <c r="D111" s="2" t="str">
        <f t="shared" si="2"/>
        <v>2003 New York Yankees</v>
      </c>
      <c r="E111" s="60">
        <f>'Batting Data'!K111/'Batting Data'!J111</f>
        <v>0.17305976806422838</v>
      </c>
      <c r="F111" s="60">
        <f>'Batting Data'!L111/'Batting Data'!J111</f>
        <v>5.4237288135593219E-2</v>
      </c>
      <c r="G111" s="60">
        <f>'Batting Data'!M111/'Batting Data'!J111</f>
        <v>2.4977698483496878E-3</v>
      </c>
      <c r="H111" s="60">
        <f>'Batting Data'!N111/'Batting Data'!J111</f>
        <v>4.1034790365744873E-2</v>
      </c>
      <c r="I111" s="60">
        <f>'Batting Data'!O111/'Batting Data'!J111</f>
        <v>0.12203389830508475</v>
      </c>
      <c r="J111" s="60">
        <f>'Batting Data'!P111/'Batting Data'!J111</f>
        <v>1.4451382694023194E-2</v>
      </c>
      <c r="K111" s="60">
        <f>'Batting Data'!Q111/'Batting Data'!J111</f>
        <v>0.59268510258697593</v>
      </c>
      <c r="L111" s="2" t="str">
        <f t="shared" si="3"/>
        <v>2003 New York Yankees</v>
      </c>
      <c r="M111" s="58">
        <f>'Pitching Data'!Q111/'Pitching Data'!P111</f>
        <v>0.16411660492832986</v>
      </c>
      <c r="N111" s="58">
        <f>'Pitching Data'!R111/'Pitching Data'!P111</f>
        <v>5.2021259462071187E-2</v>
      </c>
      <c r="O111" s="58">
        <f>'Pitching Data'!S111/'Pitching Data'!P111</f>
        <v>4.0264132710581416E-3</v>
      </c>
      <c r="P111" s="58">
        <f>'Pitching Data'!T111/'Pitching Data'!P111</f>
        <v>2.3353196972137221E-2</v>
      </c>
      <c r="Q111" s="58">
        <f>'Pitching Data'!U111/'Pitching Data'!P111</f>
        <v>6.0396199065872118E-2</v>
      </c>
      <c r="R111" s="58">
        <f>'Pitching Data'!V111/'Pitching Data'!P111</f>
        <v>7.8917700112739568E-3</v>
      </c>
      <c r="S111" s="58">
        <f>'Pitching Data'!W111/'Pitching Data'!P111</f>
        <v>0.68819455628925752</v>
      </c>
    </row>
    <row r="112" spans="2:19" x14ac:dyDescent="0.5">
      <c r="B112" s="2">
        <v>2003</v>
      </c>
      <c r="C112" s="2" t="s">
        <v>78</v>
      </c>
      <c r="D112" s="2" t="str">
        <f t="shared" si="2"/>
        <v>2003 Oakland Athletics</v>
      </c>
      <c r="E112" s="60">
        <f>'Batting Data'!K112/'Batting Data'!J112</f>
        <v>0.1602692377660542</v>
      </c>
      <c r="F112" s="60">
        <f>'Batting Data'!L112/'Batting Data'!J112</f>
        <v>5.7667818810260139E-2</v>
      </c>
      <c r="G112" s="60">
        <f>'Batting Data'!M112/'Batting Data'!J112</f>
        <v>4.3660178279061306E-3</v>
      </c>
      <c r="H112" s="60">
        <f>'Batting Data'!N112/'Batting Data'!J112</f>
        <v>3.2017464071311626E-2</v>
      </c>
      <c r="I112" s="60">
        <f>'Batting Data'!O112/'Batting Data'!J112</f>
        <v>0.10114607967982536</v>
      </c>
      <c r="J112" s="60">
        <f>'Batting Data'!P112/'Batting Data'!J112</f>
        <v>1.0733127160269237E-2</v>
      </c>
      <c r="K112" s="60">
        <f>'Batting Data'!Q112/'Batting Data'!J112</f>
        <v>0.63380025468437329</v>
      </c>
      <c r="L112" s="2" t="str">
        <f t="shared" si="3"/>
        <v>2003 Oakland Athletics</v>
      </c>
      <c r="M112" s="58">
        <f>'Pitching Data'!Q112/'Pitching Data'!P112</f>
        <v>0.15268180322474498</v>
      </c>
      <c r="N112" s="58">
        <f>'Pitching Data'!R112/'Pitching Data'!P112</f>
        <v>4.0802895689371503E-2</v>
      </c>
      <c r="O112" s="58">
        <f>'Pitching Data'!S112/'Pitching Data'!P112</f>
        <v>3.290556103981573E-3</v>
      </c>
      <c r="P112" s="58">
        <f>'Pitching Data'!T112/'Pitching Data'!P112</f>
        <v>2.303389272787101E-2</v>
      </c>
      <c r="Q112" s="58">
        <f>'Pitching Data'!U112/'Pitching Data'!P112</f>
        <v>8.2099374794340249E-2</v>
      </c>
      <c r="R112" s="58">
        <f>'Pitching Data'!V112/'Pitching Data'!P112</f>
        <v>8.8845014807502464E-3</v>
      </c>
      <c r="S112" s="58">
        <f>'Pitching Data'!W112/'Pitching Data'!P112</f>
        <v>0.68920697597894043</v>
      </c>
    </row>
    <row r="113" spans="2:19" x14ac:dyDescent="0.5">
      <c r="B113" s="2">
        <v>2003</v>
      </c>
      <c r="C113" s="2" t="s">
        <v>80</v>
      </c>
      <c r="D113" s="2" t="str">
        <f t="shared" si="2"/>
        <v>2003 Philadelphia Phillies</v>
      </c>
      <c r="E113" s="60">
        <f>'Batting Data'!K113/'Batting Data'!J113</f>
        <v>0.16777918094894462</v>
      </c>
      <c r="F113" s="60">
        <f>'Batting Data'!L113/'Batting Data'!J113</f>
        <v>5.8632509471405379E-2</v>
      </c>
      <c r="G113" s="60">
        <f>'Batting Data'!M113/'Batting Data'!J113</f>
        <v>4.8710084791629086E-3</v>
      </c>
      <c r="H113" s="60">
        <f>'Batting Data'!N113/'Batting Data'!J113</f>
        <v>2.994768176077936E-2</v>
      </c>
      <c r="I113" s="60">
        <f>'Batting Data'!O113/'Batting Data'!J113</f>
        <v>0.11744542666426123</v>
      </c>
      <c r="J113" s="60">
        <f>'Batting Data'!P113/'Batting Data'!J113</f>
        <v>9.9224246797762952E-3</v>
      </c>
      <c r="K113" s="60">
        <f>'Batting Data'!Q113/'Batting Data'!J113</f>
        <v>0.61140176799567025</v>
      </c>
      <c r="L113" s="2" t="str">
        <f t="shared" si="3"/>
        <v>2003 Philadelphia Phillies</v>
      </c>
      <c r="M113" s="58">
        <f>'Pitching Data'!Q113/'Pitching Data'!P113</f>
        <v>0.14463276836158193</v>
      </c>
      <c r="N113" s="58">
        <f>'Pitching Data'!R113/'Pitching Data'!P113</f>
        <v>5.0847457627118647E-2</v>
      </c>
      <c r="O113" s="58">
        <f>'Pitching Data'!S113/'Pitching Data'!P113</f>
        <v>5.3268765133171912E-3</v>
      </c>
      <c r="P113" s="58">
        <f>'Pitching Data'!T113/'Pitching Data'!P113</f>
        <v>2.2921711057304277E-2</v>
      </c>
      <c r="Q113" s="58">
        <f>'Pitching Data'!U113/'Pitching Data'!P113</f>
        <v>8.6521388216303466E-2</v>
      </c>
      <c r="R113" s="58">
        <f>'Pitching Data'!V113/'Pitching Data'!P113</f>
        <v>1.2429378531073447E-2</v>
      </c>
      <c r="S113" s="58">
        <f>'Pitching Data'!W113/'Pitching Data'!P113</f>
        <v>0.67732041969330103</v>
      </c>
    </row>
    <row r="114" spans="2:19" x14ac:dyDescent="0.5">
      <c r="B114" s="2">
        <v>2003</v>
      </c>
      <c r="C114" s="2" t="s">
        <v>82</v>
      </c>
      <c r="D114" s="2" t="str">
        <f t="shared" si="2"/>
        <v>2003 Pittsburgh Pirates</v>
      </c>
      <c r="E114" s="60">
        <f>'Batting Data'!K114/'Batting Data'!J114</f>
        <v>0.18079197276473749</v>
      </c>
      <c r="F114" s="60">
        <f>'Batting Data'!L114/'Batting Data'!J114</f>
        <v>4.927432359792152E-2</v>
      </c>
      <c r="G114" s="60">
        <f>'Batting Data'!M114/'Batting Data'!J114</f>
        <v>8.0630711342053393E-3</v>
      </c>
      <c r="H114" s="60">
        <f>'Batting Data'!N114/'Batting Data'!J114</f>
        <v>2.9206235441677119E-2</v>
      </c>
      <c r="I114" s="60">
        <f>'Batting Data'!O114/'Batting Data'!J114</f>
        <v>9.4785880666547209E-2</v>
      </c>
      <c r="J114" s="60">
        <f>'Batting Data'!P114/'Batting Data'!J114</f>
        <v>1.5588604192796989E-2</v>
      </c>
      <c r="K114" s="60">
        <f>'Batting Data'!Q114/'Batting Data'!J114</f>
        <v>0.62228991220211427</v>
      </c>
      <c r="L114" s="2" t="str">
        <f t="shared" si="3"/>
        <v>2003 Pittsburgh Pirates</v>
      </c>
      <c r="M114" s="58">
        <f>'Pitching Data'!Q114/'Pitching Data'!P114</f>
        <v>0.16224376291117115</v>
      </c>
      <c r="N114" s="58">
        <f>'Pitching Data'!R114/'Pitching Data'!P114</f>
        <v>4.7830923248053395E-2</v>
      </c>
      <c r="O114" s="58">
        <f>'Pitching Data'!S114/'Pitching Data'!P114</f>
        <v>4.2904814873669156E-3</v>
      </c>
      <c r="P114" s="58">
        <f>'Pitching Data'!T114/'Pitching Data'!P114</f>
        <v>2.8285396472270775E-2</v>
      </c>
      <c r="Q114" s="58">
        <f>'Pitching Data'!U114/'Pitching Data'!P114</f>
        <v>7.9771174320673766E-2</v>
      </c>
      <c r="R114" s="58">
        <f>'Pitching Data'!V114/'Pitching Data'!P114</f>
        <v>9.6933100270141428E-3</v>
      </c>
      <c r="S114" s="58">
        <f>'Pitching Data'!W114/'Pitching Data'!P114</f>
        <v>0.66788495153344984</v>
      </c>
    </row>
    <row r="115" spans="2:19" x14ac:dyDescent="0.5">
      <c r="B115" s="2">
        <v>2003</v>
      </c>
      <c r="C115" s="2" t="s">
        <v>84</v>
      </c>
      <c r="D115" s="2" t="str">
        <f t="shared" si="2"/>
        <v>2003 San Diego Padres</v>
      </c>
      <c r="E115" s="60">
        <f>'Batting Data'!K115/'Batting Data'!J115</f>
        <v>0.18531911046826977</v>
      </c>
      <c r="F115" s="60">
        <f>'Batting Data'!L115/'Batting Data'!J115</f>
        <v>4.6465376966190561E-2</v>
      </c>
      <c r="G115" s="60">
        <f>'Batting Data'!M115/'Batting Data'!J115</f>
        <v>5.7855722292532996E-3</v>
      </c>
      <c r="H115" s="60">
        <f>'Batting Data'!N115/'Batting Data'!J115</f>
        <v>2.3142288917013198E-2</v>
      </c>
      <c r="I115" s="60">
        <f>'Batting Data'!O115/'Batting Data'!J115</f>
        <v>0.10215150967275358</v>
      </c>
      <c r="J115" s="60">
        <f>'Batting Data'!P115/'Batting Data'!J115</f>
        <v>1.030555053335744E-2</v>
      </c>
      <c r="K115" s="60">
        <f>'Batting Data'!Q115/'Batting Data'!J115</f>
        <v>0.6268305912131622</v>
      </c>
      <c r="L115" s="2" t="str">
        <f t="shared" si="3"/>
        <v>2003 San Diego Padres</v>
      </c>
      <c r="M115" s="58">
        <f>'Pitching Data'!Q115/'Pitching Data'!P115</f>
        <v>0.15135649690623512</v>
      </c>
      <c r="N115" s="58">
        <f>'Pitching Data'!R115/'Pitching Data'!P115</f>
        <v>4.1091543709344758E-2</v>
      </c>
      <c r="O115" s="58">
        <f>'Pitching Data'!S115/'Pitching Data'!P115</f>
        <v>5.8702205299063937E-3</v>
      </c>
      <c r="P115" s="58">
        <f>'Pitching Data'!T115/'Pitching Data'!P115</f>
        <v>3.3000158654608917E-2</v>
      </c>
      <c r="Q115" s="58">
        <f>'Pitching Data'!U115/'Pitching Data'!P115</f>
        <v>9.6937966047913687E-2</v>
      </c>
      <c r="R115" s="58">
        <f>'Pitching Data'!V115/'Pitching Data'!P115</f>
        <v>9.8365857528161186E-3</v>
      </c>
      <c r="S115" s="58">
        <f>'Pitching Data'!W115/'Pitching Data'!P115</f>
        <v>0.66190702839917503</v>
      </c>
    </row>
    <row r="116" spans="2:19" x14ac:dyDescent="0.5">
      <c r="B116" s="2">
        <v>2003</v>
      </c>
      <c r="C116" s="2" t="s">
        <v>86</v>
      </c>
      <c r="D116" s="2" t="str">
        <f t="shared" si="2"/>
        <v>2003 Seattle Mariners</v>
      </c>
      <c r="E116" s="60">
        <f>'Batting Data'!K116/'Batting Data'!J116</f>
        <v>0.18827549001978061</v>
      </c>
      <c r="F116" s="60">
        <f>'Batting Data'!L116/'Batting Data'!J116</f>
        <v>5.214889408379788E-2</v>
      </c>
      <c r="G116" s="60">
        <f>'Batting Data'!M116/'Batting Data'!J116</f>
        <v>5.9341844991907932E-3</v>
      </c>
      <c r="H116" s="60">
        <f>'Batting Data'!N116/'Batting Data'!J116</f>
        <v>2.499550440568243E-2</v>
      </c>
      <c r="I116" s="60">
        <f>'Batting Data'!O116/'Batting Data'!J116</f>
        <v>0.10537673080381227</v>
      </c>
      <c r="J116" s="60">
        <f>'Batting Data'!P116/'Batting Data'!J116</f>
        <v>9.5306599532458194E-3</v>
      </c>
      <c r="K116" s="60">
        <f>'Batting Data'!Q116/'Batting Data'!J116</f>
        <v>0.61373853623449015</v>
      </c>
      <c r="L116" s="2" t="str">
        <f t="shared" si="3"/>
        <v>2003 Seattle Mariners</v>
      </c>
      <c r="M116" s="58">
        <f>'Pitching Data'!Q116/'Pitching Data'!P116</f>
        <v>0.15485477178423238</v>
      </c>
      <c r="N116" s="58">
        <f>'Pitching Data'!R116/'Pitching Data'!P116</f>
        <v>3.6514522821576766E-2</v>
      </c>
      <c r="O116" s="58">
        <f>'Pitching Data'!S116/'Pitching Data'!P116</f>
        <v>2.3236514522821578E-3</v>
      </c>
      <c r="P116" s="58">
        <f>'Pitching Data'!T116/'Pitching Data'!P116</f>
        <v>2.8713692946058092E-2</v>
      </c>
      <c r="Q116" s="58">
        <f>'Pitching Data'!U116/'Pitching Data'!P116</f>
        <v>7.7344398340248963E-2</v>
      </c>
      <c r="R116" s="58">
        <f>'Pitching Data'!V116/'Pitching Data'!P116</f>
        <v>8.9626556016597515E-3</v>
      </c>
      <c r="S116" s="58">
        <f>'Pitching Data'!W116/'Pitching Data'!P116</f>
        <v>0.6912863070539419</v>
      </c>
    </row>
    <row r="117" spans="2:19" x14ac:dyDescent="0.5">
      <c r="B117" s="2">
        <v>2003</v>
      </c>
      <c r="C117" s="2" t="s">
        <v>88</v>
      </c>
      <c r="D117" s="2" t="str">
        <f t="shared" si="2"/>
        <v>2003 San Francisco Giants</v>
      </c>
      <c r="E117" s="60">
        <f>'Batting Data'!K117/'Batting Data'!J117</f>
        <v>0.17412023460410558</v>
      </c>
      <c r="F117" s="60">
        <f>'Batting Data'!L117/'Batting Data'!J117</f>
        <v>5.1502932551319651E-2</v>
      </c>
      <c r="G117" s="60">
        <f>'Batting Data'!M117/'Batting Data'!J117</f>
        <v>5.3152492668621697E-3</v>
      </c>
      <c r="H117" s="60">
        <f>'Batting Data'!N117/'Batting Data'!J117</f>
        <v>3.2991202346041054E-2</v>
      </c>
      <c r="I117" s="60">
        <f>'Batting Data'!O117/'Batting Data'!J117</f>
        <v>0.10868768328445748</v>
      </c>
      <c r="J117" s="60">
        <f>'Batting Data'!P117/'Batting Data'!J117</f>
        <v>7.331378299120235E-3</v>
      </c>
      <c r="K117" s="60">
        <f>'Batting Data'!Q117/'Batting Data'!J117</f>
        <v>0.62005131964809379</v>
      </c>
      <c r="L117" s="2" t="str">
        <f t="shared" si="3"/>
        <v>2003 San Francisco Giants</v>
      </c>
      <c r="M117" s="58">
        <f>'Pitching Data'!Q117/'Pitching Data'!P117</f>
        <v>0.151559934318555</v>
      </c>
      <c r="N117" s="58">
        <f>'Pitching Data'!R117/'Pitching Data'!P117</f>
        <v>4.2528735632183907E-2</v>
      </c>
      <c r="O117" s="58">
        <f>'Pitching Data'!S117/'Pitching Data'!P117</f>
        <v>5.0903119868637107E-3</v>
      </c>
      <c r="P117" s="58">
        <f>'Pitching Data'!T117/'Pitching Data'!P117</f>
        <v>2.233169129720854E-2</v>
      </c>
      <c r="Q117" s="58">
        <f>'Pitching Data'!U117/'Pitching Data'!P117</f>
        <v>8.9655172413793102E-2</v>
      </c>
      <c r="R117" s="58">
        <f>'Pitching Data'!V117/'Pitching Data'!P117</f>
        <v>7.060755336617406E-3</v>
      </c>
      <c r="S117" s="58">
        <f>'Pitching Data'!W117/'Pitching Data'!P117</f>
        <v>0.68177339901477829</v>
      </c>
    </row>
    <row r="118" spans="2:19" x14ac:dyDescent="0.5">
      <c r="B118" s="2">
        <v>2003</v>
      </c>
      <c r="C118" s="2" t="s">
        <v>90</v>
      </c>
      <c r="D118" s="2" t="str">
        <f t="shared" si="2"/>
        <v>2003 St. Louis Cardinals</v>
      </c>
      <c r="E118" s="60">
        <f>'Batting Data'!K118/'Batting Data'!J118</f>
        <v>0.17806770098730607</v>
      </c>
      <c r="F118" s="60">
        <f>'Batting Data'!L118/'Batting Data'!J118</f>
        <v>6.0296191819464037E-2</v>
      </c>
      <c r="G118" s="60">
        <f>'Batting Data'!M118/'Batting Data'!J118</f>
        <v>5.6417489421720732E-3</v>
      </c>
      <c r="H118" s="60">
        <f>'Batting Data'!N118/'Batting Data'!J118</f>
        <v>3.4555712270803951E-2</v>
      </c>
      <c r="I118" s="60">
        <f>'Batting Data'!O118/'Batting Data'!J118</f>
        <v>0.10225669957686882</v>
      </c>
      <c r="J118" s="60">
        <f>'Batting Data'!P118/'Batting Data'!J118</f>
        <v>1.2870239774330043E-2</v>
      </c>
      <c r="K118" s="60">
        <f>'Batting Data'!Q118/'Batting Data'!J118</f>
        <v>0.60631170662905498</v>
      </c>
      <c r="L118" s="2" t="str">
        <f t="shared" si="3"/>
        <v>2003 St. Louis Cardinals</v>
      </c>
      <c r="M118" s="58">
        <f>'Pitching Data'!Q118/'Pitching Data'!P118</f>
        <v>0.152</v>
      </c>
      <c r="N118" s="58">
        <f>'Pitching Data'!R118/'Pitching Data'!P118</f>
        <v>5.2549019607843139E-2</v>
      </c>
      <c r="O118" s="58">
        <f>'Pitching Data'!S118/'Pitching Data'!P118</f>
        <v>4.7058823529411761E-3</v>
      </c>
      <c r="P118" s="58">
        <f>'Pitching Data'!T118/'Pitching Data'!P118</f>
        <v>3.2941176470588238E-2</v>
      </c>
      <c r="Q118" s="58">
        <f>'Pitching Data'!U118/'Pitching Data'!P118</f>
        <v>7.9686274509803923E-2</v>
      </c>
      <c r="R118" s="58">
        <f>'Pitching Data'!V118/'Pitching Data'!P118</f>
        <v>1.019607843137255E-2</v>
      </c>
      <c r="S118" s="58">
        <f>'Pitching Data'!W118/'Pitching Data'!P118</f>
        <v>0.667921568627451</v>
      </c>
    </row>
    <row r="119" spans="2:19" x14ac:dyDescent="0.5">
      <c r="B119" s="2">
        <v>2003</v>
      </c>
      <c r="C119" s="2" t="s">
        <v>92</v>
      </c>
      <c r="D119" s="2" t="str">
        <f t="shared" si="2"/>
        <v>2003 Tampa Bay Devil Rays</v>
      </c>
      <c r="E119" s="60">
        <f>'Batting Data'!K119/'Batting Data'!J119</f>
        <v>0.18181818181818182</v>
      </c>
      <c r="F119" s="60">
        <f>'Batting Data'!L119/'Batting Data'!J119</f>
        <v>5.2706048814998234E-2</v>
      </c>
      <c r="G119" s="60">
        <f>'Batting Data'!M119/'Batting Data'!J119</f>
        <v>6.7209055535903785E-3</v>
      </c>
      <c r="H119" s="60">
        <f>'Batting Data'!N119/'Batting Data'!J119</f>
        <v>2.4230633180049522E-2</v>
      </c>
      <c r="I119" s="60">
        <f>'Batting Data'!O119/'Batting Data'!J119</f>
        <v>7.4283692960735767E-2</v>
      </c>
      <c r="J119" s="60">
        <f>'Batting Data'!P119/'Batting Data'!J119</f>
        <v>9.9044923947647686E-3</v>
      </c>
      <c r="K119" s="60">
        <f>'Batting Data'!Q119/'Batting Data'!J119</f>
        <v>0.65033604527767952</v>
      </c>
      <c r="L119" s="2" t="str">
        <f t="shared" si="3"/>
        <v>2003 Tampa Bay Devil Rays</v>
      </c>
      <c r="M119" s="58">
        <f>'Pitching Data'!Q119/'Pitching Data'!P119</f>
        <v>0.14321766561514196</v>
      </c>
      <c r="N119" s="58">
        <f>'Pitching Data'!R119/'Pitching Data'!P119</f>
        <v>5.0315457413249214E-2</v>
      </c>
      <c r="O119" s="58">
        <f>'Pitching Data'!S119/'Pitching Data'!P119</f>
        <v>4.8895899053627758E-3</v>
      </c>
      <c r="P119" s="58">
        <f>'Pitching Data'!T119/'Pitching Data'!P119</f>
        <v>3.0914826498422712E-2</v>
      </c>
      <c r="Q119" s="58">
        <f>'Pitching Data'!U119/'Pitching Data'!P119</f>
        <v>0.10078864353312303</v>
      </c>
      <c r="R119" s="58">
        <f>'Pitching Data'!V119/'Pitching Data'!P119</f>
        <v>1.498422712933754E-2</v>
      </c>
      <c r="S119" s="58">
        <f>'Pitching Data'!W119/'Pitching Data'!P119</f>
        <v>0.65488958990536272</v>
      </c>
    </row>
    <row r="120" spans="2:19" x14ac:dyDescent="0.5">
      <c r="B120" s="2">
        <v>2003</v>
      </c>
      <c r="C120" s="2" t="s">
        <v>94</v>
      </c>
      <c r="D120" s="2" t="str">
        <f t="shared" si="2"/>
        <v>2003 Texas Rangers</v>
      </c>
      <c r="E120" s="60">
        <f>'Batting Data'!K120/'Batting Data'!J120</f>
        <v>0.16896186440677965</v>
      </c>
      <c r="F120" s="60">
        <f>'Batting Data'!L120/'Batting Data'!J120</f>
        <v>4.8375706214689264E-2</v>
      </c>
      <c r="G120" s="60">
        <f>'Batting Data'!M120/'Batting Data'!J120</f>
        <v>6.3559322033898309E-3</v>
      </c>
      <c r="H120" s="60">
        <f>'Batting Data'!N120/'Batting Data'!J120</f>
        <v>4.2196327683615822E-2</v>
      </c>
      <c r="I120" s="60">
        <f>'Batting Data'!O120/'Batting Data'!J120</f>
        <v>8.6158192090395477E-2</v>
      </c>
      <c r="J120" s="60">
        <f>'Batting Data'!P120/'Batting Data'!J120</f>
        <v>1.3241525423728813E-2</v>
      </c>
      <c r="K120" s="60">
        <f>'Batting Data'!Q120/'Batting Data'!J120</f>
        <v>0.63471045197740117</v>
      </c>
      <c r="L120" s="2" t="str">
        <f t="shared" si="3"/>
        <v>2003 Texas Rangers</v>
      </c>
      <c r="M120" s="58">
        <f>'Pitching Data'!Q120/'Pitching Data'!P120</f>
        <v>0.16045532512084829</v>
      </c>
      <c r="N120" s="58">
        <f>'Pitching Data'!R120/'Pitching Data'!P120</f>
        <v>5.473257445813192E-2</v>
      </c>
      <c r="O120" s="58">
        <f>'Pitching Data'!S120/'Pitching Data'!P120</f>
        <v>5.7695306408857006E-3</v>
      </c>
      <c r="P120" s="58">
        <f>'Pitching Data'!T120/'Pitching Data'!P120</f>
        <v>3.2434118197411509E-2</v>
      </c>
      <c r="Q120" s="58">
        <f>'Pitching Data'!U120/'Pitching Data'!P120</f>
        <v>9.4027756120380473E-2</v>
      </c>
      <c r="R120" s="58">
        <f>'Pitching Data'!V120/'Pitching Data'!P120</f>
        <v>9.82379541556214E-3</v>
      </c>
      <c r="S120" s="58">
        <f>'Pitching Data'!W120/'Pitching Data'!P120</f>
        <v>0.64275690004677999</v>
      </c>
    </row>
    <row r="121" spans="2:19" x14ac:dyDescent="0.5">
      <c r="B121" s="2">
        <v>2003</v>
      </c>
      <c r="C121" s="2" t="s">
        <v>96</v>
      </c>
      <c r="D121" s="2" t="str">
        <f t="shared" si="2"/>
        <v>2003 Toronto Blue Jays</v>
      </c>
      <c r="E121" s="60">
        <f>'Batting Data'!K121/'Batting Data'!J121</f>
        <v>0.17664723547076489</v>
      </c>
      <c r="F121" s="60">
        <f>'Batting Data'!L121/'Batting Data'!J121</f>
        <v>6.3063063063063057E-2</v>
      </c>
      <c r="G121" s="60">
        <f>'Batting Data'!M121/'Batting Data'!J121</f>
        <v>5.8293587705352413E-3</v>
      </c>
      <c r="H121" s="60">
        <f>'Batting Data'!N121/'Batting Data'!J121</f>
        <v>3.3562974739445327E-2</v>
      </c>
      <c r="I121" s="60">
        <f>'Batting Data'!O121/'Batting Data'!J121</f>
        <v>9.6449390567037621E-2</v>
      </c>
      <c r="J121" s="60">
        <f>'Batting Data'!P121/'Batting Data'!J121</f>
        <v>1.5898251192368838E-2</v>
      </c>
      <c r="K121" s="60">
        <f>'Batting Data'!Q121/'Batting Data'!J121</f>
        <v>0.60854972619678505</v>
      </c>
      <c r="L121" s="2" t="str">
        <f t="shared" si="3"/>
        <v>2003 Toronto Blue Jays</v>
      </c>
      <c r="M121" s="58">
        <f>'Pitching Data'!Q121/'Pitching Data'!P121</f>
        <v>0.1649122807017544</v>
      </c>
      <c r="N121" s="58">
        <f>'Pitching Data'!R121/'Pitching Data'!P121</f>
        <v>4.784688995215311E-2</v>
      </c>
      <c r="O121" s="58">
        <f>'Pitching Data'!S121/'Pitching Data'!P121</f>
        <v>6.6985645933014355E-3</v>
      </c>
      <c r="P121" s="58">
        <f>'Pitching Data'!T121/'Pitching Data'!P121</f>
        <v>2.9346092503987242E-2</v>
      </c>
      <c r="Q121" s="58">
        <f>'Pitching Data'!U121/'Pitching Data'!P121</f>
        <v>7.73524720893142E-2</v>
      </c>
      <c r="R121" s="58">
        <f>'Pitching Data'!V121/'Pitching Data'!P121</f>
        <v>9.0909090909090905E-3</v>
      </c>
      <c r="S121" s="58">
        <f>'Pitching Data'!W121/'Pitching Data'!P121</f>
        <v>0.66475279106858054</v>
      </c>
    </row>
    <row r="122" spans="2:19" x14ac:dyDescent="0.5">
      <c r="B122" s="2">
        <v>2004</v>
      </c>
      <c r="C122" s="2" t="s">
        <v>36</v>
      </c>
      <c r="D122" s="2" t="str">
        <f t="shared" si="2"/>
        <v>2004 Anaheim Angels</v>
      </c>
      <c r="E122" s="60">
        <f>'Batting Data'!K122/'Batting Data'!J122</f>
        <v>0.19947136563876652</v>
      </c>
      <c r="F122" s="60">
        <f>'Batting Data'!L122/'Batting Data'!J122</f>
        <v>4.7929515418502204E-2</v>
      </c>
      <c r="G122" s="60">
        <f>'Batting Data'!M122/'Batting Data'!J122</f>
        <v>6.5198237885462553E-3</v>
      </c>
      <c r="H122" s="60">
        <f>'Batting Data'!N122/'Batting Data'!J122</f>
        <v>2.8546255506607929E-2</v>
      </c>
      <c r="I122" s="60">
        <f>'Batting Data'!O122/'Batting Data'!J122</f>
        <v>7.9295154185022032E-2</v>
      </c>
      <c r="J122" s="60">
        <f>'Batting Data'!P122/'Batting Data'!J122</f>
        <v>1.2863436123348018E-2</v>
      </c>
      <c r="K122" s="60">
        <f>'Batting Data'!Q122/'Batting Data'!J122</f>
        <v>0.62537444933920705</v>
      </c>
      <c r="L122" s="2" t="str">
        <f t="shared" si="3"/>
        <v>2004 Anaheim Angels</v>
      </c>
      <c r="M122" s="58">
        <f>'Pitching Data'!Q122/'Pitching Data'!P122</f>
        <v>0.15770092859430035</v>
      </c>
      <c r="N122" s="58">
        <f>'Pitching Data'!R122/'Pitching Data'!P122</f>
        <v>4.7710534742235029E-2</v>
      </c>
      <c r="O122" s="58">
        <f>'Pitching Data'!S122/'Pitching Data'!P122</f>
        <v>3.6823567082933076E-3</v>
      </c>
      <c r="P122" s="58">
        <f>'Pitching Data'!T122/'Pitching Data'!P122</f>
        <v>2.7217419148254884E-2</v>
      </c>
      <c r="Q122" s="58">
        <f>'Pitching Data'!U122/'Pitching Data'!P122</f>
        <v>8.0371437720140895E-2</v>
      </c>
      <c r="R122" s="58">
        <f>'Pitching Data'!V122/'Pitching Data'!P122</f>
        <v>7.0445084854306754E-3</v>
      </c>
      <c r="S122" s="58">
        <f>'Pitching Data'!W122/'Pitching Data'!P122</f>
        <v>0.67627281460134481</v>
      </c>
    </row>
    <row r="123" spans="2:19" x14ac:dyDescent="0.5">
      <c r="B123" s="2">
        <v>2004</v>
      </c>
      <c r="C123" s="2" t="s">
        <v>39</v>
      </c>
      <c r="D123" s="2" t="str">
        <f t="shared" si="2"/>
        <v>2004 Arizona Diamondbacks</v>
      </c>
      <c r="E123" s="60">
        <f>'Batting Data'!K123/'Batting Data'!J123</f>
        <v>0.1682900432900433</v>
      </c>
      <c r="F123" s="60">
        <f>'Batting Data'!L123/'Batting Data'!J123</f>
        <v>5.3210678210678208E-2</v>
      </c>
      <c r="G123" s="60">
        <f>'Batting Data'!M123/'Batting Data'!J123</f>
        <v>6.854256854256854E-3</v>
      </c>
      <c r="H123" s="60">
        <f>'Batting Data'!N123/'Batting Data'!J123</f>
        <v>2.4350649350649352E-2</v>
      </c>
      <c r="I123" s="60">
        <f>'Batting Data'!O123/'Batting Data'!J123</f>
        <v>7.9545454545454544E-2</v>
      </c>
      <c r="J123" s="60">
        <f>'Batting Data'!P123/'Batting Data'!J123</f>
        <v>6.313131313131313E-3</v>
      </c>
      <c r="K123" s="60">
        <f>'Batting Data'!Q123/'Batting Data'!J123</f>
        <v>0.66143578643578649</v>
      </c>
      <c r="L123" s="2" t="str">
        <f t="shared" si="3"/>
        <v>2004 Arizona Diamondbacks</v>
      </c>
      <c r="M123" s="58">
        <f>'Pitching Data'!Q123/'Pitching Data'!P123</f>
        <v>0.14864443751947648</v>
      </c>
      <c r="N123" s="58">
        <f>'Pitching Data'!R123/'Pitching Data'!P123</f>
        <v>4.5029604238080397E-2</v>
      </c>
      <c r="O123" s="58">
        <f>'Pitching Data'!S123/'Pitching Data'!P123</f>
        <v>6.2324711748208165E-3</v>
      </c>
      <c r="P123" s="58">
        <f>'Pitching Data'!T123/'Pitching Data'!P123</f>
        <v>3.0694920535992522E-2</v>
      </c>
      <c r="Q123" s="58">
        <f>'Pitching Data'!U123/'Pitching Data'!P123</f>
        <v>0.10408226861950763</v>
      </c>
      <c r="R123" s="58">
        <f>'Pitching Data'!V123/'Pitching Data'!P123</f>
        <v>1.1685883452789031E-2</v>
      </c>
      <c r="S123" s="58">
        <f>'Pitching Data'!W123/'Pitching Data'!P123</f>
        <v>0.65363041445933312</v>
      </c>
    </row>
    <row r="124" spans="2:19" x14ac:dyDescent="0.5">
      <c r="B124" s="2">
        <v>2004</v>
      </c>
      <c r="C124" s="2" t="s">
        <v>41</v>
      </c>
      <c r="D124" s="2" t="str">
        <f t="shared" si="2"/>
        <v>2004 Atlanta Braves</v>
      </c>
      <c r="E124" s="60">
        <f>'Batting Data'!K124/'Batting Data'!J124</f>
        <v>0.17666068222621184</v>
      </c>
      <c r="F124" s="60">
        <f>'Batting Data'!L124/'Batting Data'!J124</f>
        <v>5.4578096947935369E-2</v>
      </c>
      <c r="G124" s="60">
        <f>'Batting Data'!M124/'Batting Data'!J124</f>
        <v>6.6427289048473972E-3</v>
      </c>
      <c r="H124" s="60">
        <f>'Batting Data'!N124/'Batting Data'!J124</f>
        <v>3.1956912028725311E-2</v>
      </c>
      <c r="I124" s="60">
        <f>'Batting Data'!O124/'Batting Data'!J124</f>
        <v>0.10538599640933573</v>
      </c>
      <c r="J124" s="60">
        <f>'Batting Data'!P124/'Batting Data'!J124</f>
        <v>1.059245960502693E-2</v>
      </c>
      <c r="K124" s="60">
        <f>'Batting Data'!Q124/'Batting Data'!J124</f>
        <v>0.6141831238779174</v>
      </c>
      <c r="L124" s="2" t="str">
        <f t="shared" si="3"/>
        <v>2004 Atlanta Braves</v>
      </c>
      <c r="M124" s="58">
        <f>'Pitching Data'!Q124/'Pitching Data'!P124</f>
        <v>0.16950788034737857</v>
      </c>
      <c r="N124" s="58">
        <f>'Pitching Data'!R124/'Pitching Data'!P124</f>
        <v>4.0205853972338369E-2</v>
      </c>
      <c r="O124" s="58">
        <f>'Pitching Data'!S124/'Pitching Data'!P124</f>
        <v>2.7339980701190092E-3</v>
      </c>
      <c r="P124" s="58">
        <f>'Pitching Data'!T124/'Pitching Data'!P124</f>
        <v>2.4766806046960438E-2</v>
      </c>
      <c r="Q124" s="58">
        <f>'Pitching Data'!U124/'Pitching Data'!P124</f>
        <v>8.4110646510131878E-2</v>
      </c>
      <c r="R124" s="58">
        <f>'Pitching Data'!V124/'Pitching Data'!P124</f>
        <v>4.3422322290125439E-3</v>
      </c>
      <c r="S124" s="58">
        <f>'Pitching Data'!W124/'Pitching Data'!P124</f>
        <v>0.67433258282405917</v>
      </c>
    </row>
    <row r="125" spans="2:19" x14ac:dyDescent="0.5">
      <c r="B125" s="2">
        <v>2004</v>
      </c>
      <c r="C125" s="2" t="s">
        <v>44</v>
      </c>
      <c r="D125" s="2" t="str">
        <f t="shared" si="2"/>
        <v>2004 Baltimore Orioles</v>
      </c>
      <c r="E125" s="60">
        <f>'Batting Data'!K125/'Batting Data'!J125</f>
        <v>0.19316596931659694</v>
      </c>
      <c r="F125" s="60">
        <f>'Batting Data'!L125/'Batting Data'!J125</f>
        <v>5.5613668061366806E-2</v>
      </c>
      <c r="G125" s="60">
        <f>'Batting Data'!M125/'Batting Data'!J125</f>
        <v>3.1380753138075313E-3</v>
      </c>
      <c r="H125" s="60">
        <f>'Batting Data'!N125/'Batting Data'!J125</f>
        <v>2.9463040446304045E-2</v>
      </c>
      <c r="I125" s="60">
        <f>'Batting Data'!O125/'Batting Data'!J125</f>
        <v>9.2050209205020925E-2</v>
      </c>
      <c r="J125" s="60">
        <f>'Batting Data'!P125/'Batting Data'!J125</f>
        <v>9.9372384937238493E-3</v>
      </c>
      <c r="K125" s="60">
        <f>'Batting Data'!Q125/'Batting Data'!J125</f>
        <v>0.61663179916317989</v>
      </c>
      <c r="L125" s="2" t="str">
        <f t="shared" si="3"/>
        <v>2004 Baltimore Orioles</v>
      </c>
      <c r="M125" s="58">
        <f>'Pitching Data'!Q125/'Pitching Data'!P125</f>
        <v>0.16225421891933736</v>
      </c>
      <c r="N125" s="58">
        <f>'Pitching Data'!R125/'Pitching Data'!P125</f>
        <v>3.9170150178046134E-2</v>
      </c>
      <c r="O125" s="58">
        <f>'Pitching Data'!S125/'Pitching Data'!P125</f>
        <v>4.3350363833410746E-3</v>
      </c>
      <c r="P125" s="58">
        <f>'Pitching Data'!T125/'Pitching Data'!P125</f>
        <v>2.4616813748258245E-2</v>
      </c>
      <c r="Q125" s="58">
        <f>'Pitching Data'!U125/'Pitching Data'!P125</f>
        <v>0.10636321411983279</v>
      </c>
      <c r="R125" s="58">
        <f>'Pitching Data'!V125/'Pitching Data'!P125</f>
        <v>9.5990091345409499E-3</v>
      </c>
      <c r="S125" s="58">
        <f>'Pitching Data'!W125/'Pitching Data'!P125</f>
        <v>0.65366155751664345</v>
      </c>
    </row>
    <row r="126" spans="2:19" x14ac:dyDescent="0.5">
      <c r="B126" s="2">
        <v>2004</v>
      </c>
      <c r="C126" s="2" t="s">
        <v>46</v>
      </c>
      <c r="D126" s="2" t="str">
        <f t="shared" si="2"/>
        <v>2004 Boston Red Sox</v>
      </c>
      <c r="E126" s="60">
        <f>'Batting Data'!K126/'Batting Data'!J126</f>
        <v>0.17360139860139859</v>
      </c>
      <c r="F126" s="60">
        <f>'Batting Data'!L126/'Batting Data'!J126</f>
        <v>6.5209790209790217E-2</v>
      </c>
      <c r="G126" s="60">
        <f>'Batting Data'!M126/'Batting Data'!J126</f>
        <v>4.370629370629371E-3</v>
      </c>
      <c r="H126" s="60">
        <f>'Batting Data'!N126/'Batting Data'!J126</f>
        <v>3.8811188811188814E-2</v>
      </c>
      <c r="I126" s="60">
        <f>'Batting Data'!O126/'Batting Data'!J126</f>
        <v>0.11520979020979021</v>
      </c>
      <c r="J126" s="60">
        <f>'Batting Data'!P126/'Batting Data'!J126</f>
        <v>1.2062937062937063E-2</v>
      </c>
      <c r="K126" s="60">
        <f>'Batting Data'!Q126/'Batting Data'!J126</f>
        <v>0.59073426573426568</v>
      </c>
      <c r="L126" s="2" t="str">
        <f t="shared" si="3"/>
        <v>2004 Boston Red Sox</v>
      </c>
      <c r="M126" s="58">
        <f>'Pitching Data'!Q126/'Pitching Data'!P126</f>
        <v>0.14818386370941819</v>
      </c>
      <c r="N126" s="58">
        <f>'Pitching Data'!R126/'Pitching Data'!P126</f>
        <v>5.1108968177434912E-2</v>
      </c>
      <c r="O126" s="58">
        <f>'Pitching Data'!S126/'Pitching Data'!P126</f>
        <v>4.9823207971713274E-3</v>
      </c>
      <c r="P126" s="58">
        <f>'Pitching Data'!T126/'Pitching Data'!P126</f>
        <v>2.5554484088717456E-2</v>
      </c>
      <c r="Q126" s="58">
        <f>'Pitching Data'!U126/'Pitching Data'!P126</f>
        <v>7.1841851494696241E-2</v>
      </c>
      <c r="R126" s="58">
        <f>'Pitching Data'!V126/'Pitching Data'!P126</f>
        <v>1.4786242365798778E-2</v>
      </c>
      <c r="S126" s="58">
        <f>'Pitching Data'!W126/'Pitching Data'!P126</f>
        <v>0.6835422693667631</v>
      </c>
    </row>
    <row r="127" spans="2:19" x14ac:dyDescent="0.5">
      <c r="B127" s="2">
        <v>2004</v>
      </c>
      <c r="C127" s="2" t="s">
        <v>50</v>
      </c>
      <c r="D127" s="2" t="str">
        <f t="shared" si="2"/>
        <v>2004 Chicago Cubs</v>
      </c>
      <c r="E127" s="60">
        <f>'Batting Data'!K127/'Batting Data'!J127</f>
        <v>0.16631130063965885</v>
      </c>
      <c r="F127" s="60">
        <f>'Batting Data'!L127/'Batting Data'!J127</f>
        <v>5.4726368159203981E-2</v>
      </c>
      <c r="G127" s="60">
        <f>'Batting Data'!M127/'Batting Data'!J127</f>
        <v>5.1528073916133621E-3</v>
      </c>
      <c r="H127" s="60">
        <f>'Batting Data'!N127/'Batting Data'!J127</f>
        <v>4.1755508173418623E-2</v>
      </c>
      <c r="I127" s="60">
        <f>'Batting Data'!O127/'Batting Data'!J127</f>
        <v>8.6886993603411511E-2</v>
      </c>
      <c r="J127" s="60">
        <f>'Batting Data'!P127/'Batting Data'!J127</f>
        <v>6.7519545131485429E-3</v>
      </c>
      <c r="K127" s="60">
        <f>'Batting Data'!Q127/'Batting Data'!J127</f>
        <v>0.63841506751954513</v>
      </c>
      <c r="L127" s="2" t="str">
        <f t="shared" si="3"/>
        <v>2004 Chicago Cubs</v>
      </c>
      <c r="M127" s="58">
        <f>'Pitching Data'!Q127/'Pitching Data'!P127</f>
        <v>0.14659853082082402</v>
      </c>
      <c r="N127" s="58">
        <f>'Pitching Data'!R127/'Pitching Data'!P127</f>
        <v>3.9124880229958477E-2</v>
      </c>
      <c r="O127" s="58">
        <f>'Pitching Data'!S127/'Pitching Data'!P127</f>
        <v>4.9504950495049506E-3</v>
      </c>
      <c r="P127" s="58">
        <f>'Pitching Data'!T127/'Pitching Data'!P127</f>
        <v>2.6988182689236667E-2</v>
      </c>
      <c r="Q127" s="58">
        <f>'Pitching Data'!U127/'Pitching Data'!P127</f>
        <v>8.7032896838070903E-2</v>
      </c>
      <c r="R127" s="58">
        <f>'Pitching Data'!V127/'Pitching Data'!P127</f>
        <v>1.2136697540721815E-2</v>
      </c>
      <c r="S127" s="58">
        <f>'Pitching Data'!W127/'Pitching Data'!P127</f>
        <v>0.68316831683168322</v>
      </c>
    </row>
    <row r="128" spans="2:19" x14ac:dyDescent="0.5">
      <c r="B128" s="2">
        <v>2004</v>
      </c>
      <c r="C128" s="2" t="s">
        <v>48</v>
      </c>
      <c r="D128" s="2" t="str">
        <f t="shared" si="2"/>
        <v>2004 Chicago White Sox</v>
      </c>
      <c r="E128" s="60">
        <f>'Batting Data'!K128/'Batting Data'!J128</f>
        <v>0.16913624864474161</v>
      </c>
      <c r="F128" s="60">
        <f>'Batting Data'!L128/'Batting Data'!J128</f>
        <v>5.1319118178532706E-2</v>
      </c>
      <c r="G128" s="60">
        <f>'Batting Data'!M128/'Batting Data'!J128</f>
        <v>3.4333212865919767E-3</v>
      </c>
      <c r="H128" s="60">
        <f>'Batting Data'!N128/'Batting Data'!J128</f>
        <v>4.3729671123960971E-2</v>
      </c>
      <c r="I128" s="60">
        <f>'Batting Data'!O128/'Batting Data'!J128</f>
        <v>9.0169859053126133E-2</v>
      </c>
      <c r="J128" s="60">
        <f>'Batting Data'!P128/'Batting Data'!J128</f>
        <v>1.1384170581857608E-2</v>
      </c>
      <c r="K128" s="60">
        <f>'Batting Data'!Q128/'Batting Data'!J128</f>
        <v>0.63082761113118901</v>
      </c>
      <c r="L128" s="2" t="str">
        <f t="shared" si="3"/>
        <v>2004 Chicago White Sox</v>
      </c>
      <c r="M128" s="58">
        <f>'Pitching Data'!Q128/'Pitching Data'!P128</f>
        <v>0.15850702859912749</v>
      </c>
      <c r="N128" s="58">
        <f>'Pitching Data'!R128/'Pitching Data'!P128</f>
        <v>4.459524963645177E-2</v>
      </c>
      <c r="O128" s="58">
        <f>'Pitching Data'!S128/'Pitching Data'!P128</f>
        <v>3.8778477944740671E-3</v>
      </c>
      <c r="P128" s="58">
        <f>'Pitching Data'!T128/'Pitching Data'!P128</f>
        <v>3.619324608175796E-2</v>
      </c>
      <c r="Q128" s="58">
        <f>'Pitching Data'!U128/'Pitching Data'!P128</f>
        <v>8.515107448699305E-2</v>
      </c>
      <c r="R128" s="58">
        <f>'Pitching Data'!V128/'Pitching Data'!P128</f>
        <v>7.7556955889481341E-3</v>
      </c>
      <c r="S128" s="58">
        <f>'Pitching Data'!W128/'Pitching Data'!P128</f>
        <v>0.66391985781224749</v>
      </c>
    </row>
    <row r="129" spans="2:19" x14ac:dyDescent="0.5">
      <c r="B129" s="2">
        <v>2004</v>
      </c>
      <c r="C129" s="2" t="s">
        <v>52</v>
      </c>
      <c r="D129" s="2" t="str">
        <f t="shared" si="2"/>
        <v>2004 Cincinnati Reds</v>
      </c>
      <c r="E129" s="60">
        <f>'Batting Data'!K129/'Batting Data'!J129</f>
        <v>0.15784704603117072</v>
      </c>
      <c r="F129" s="60">
        <f>'Batting Data'!L129/'Batting Data'!J129</f>
        <v>5.2011598405219281E-2</v>
      </c>
      <c r="G129" s="60">
        <f>'Batting Data'!M129/'Batting Data'!J129</f>
        <v>5.0743022834360274E-3</v>
      </c>
      <c r="H129" s="60">
        <f>'Batting Data'!N129/'Batting Data'!J129</f>
        <v>3.5157665820949618E-2</v>
      </c>
      <c r="I129" s="60">
        <f>'Batting Data'!O129/'Batting Data'!J129</f>
        <v>0.10855382384922073</v>
      </c>
      <c r="J129" s="60">
        <f>'Batting Data'!P129/'Batting Data'!J129</f>
        <v>1.4679231605654222E-2</v>
      </c>
      <c r="K129" s="60">
        <f>'Batting Data'!Q129/'Batting Data'!J129</f>
        <v>0.62667633200434936</v>
      </c>
      <c r="L129" s="2" t="str">
        <f t="shared" si="3"/>
        <v>2004 Cincinnati Reds</v>
      </c>
      <c r="M129" s="58">
        <f>'Pitching Data'!Q129/'Pitching Data'!P129</f>
        <v>0.14788404898465354</v>
      </c>
      <c r="N129" s="58">
        <f>'Pitching Data'!R129/'Pitching Data'!P129</f>
        <v>5.7820492946829949E-2</v>
      </c>
      <c r="O129" s="58">
        <f>'Pitching Data'!S129/'Pitching Data'!P129</f>
        <v>4.9604712447682527E-3</v>
      </c>
      <c r="P129" s="58">
        <f>'Pitching Data'!T129/'Pitching Data'!P129</f>
        <v>3.6583475430165865E-2</v>
      </c>
      <c r="Q129" s="58">
        <f>'Pitching Data'!U129/'Pitching Data'!P129</f>
        <v>8.8668423500232518E-2</v>
      </c>
      <c r="R129" s="58">
        <f>'Pitching Data'!V129/'Pitching Data'!P129</f>
        <v>8.3707952255464273E-3</v>
      </c>
      <c r="S129" s="58">
        <f>'Pitching Data'!W129/'Pitching Data'!P129</f>
        <v>0.6557122926678034</v>
      </c>
    </row>
    <row r="130" spans="2:19" x14ac:dyDescent="0.5">
      <c r="B130" s="2">
        <v>2004</v>
      </c>
      <c r="C130" s="2" t="s">
        <v>54</v>
      </c>
      <c r="D130" s="2" t="str">
        <f t="shared" si="2"/>
        <v>2004 Cleveland Indians</v>
      </c>
      <c r="E130" s="60">
        <f>'Batting Data'!K130/'Batting Data'!J130</f>
        <v>0.1774136715997181</v>
      </c>
      <c r="F130" s="60">
        <f>'Batting Data'!L130/'Batting Data'!J130</f>
        <v>6.0782241014799156E-2</v>
      </c>
      <c r="G130" s="60">
        <f>'Batting Data'!M130/'Batting Data'!J130</f>
        <v>5.1092318534179003E-3</v>
      </c>
      <c r="H130" s="60">
        <f>'Batting Data'!N130/'Batting Data'!J130</f>
        <v>3.2417195207892879E-2</v>
      </c>
      <c r="I130" s="60">
        <f>'Batting Data'!O130/'Batting Data'!J130</f>
        <v>0.10676532769556026</v>
      </c>
      <c r="J130" s="60">
        <f>'Batting Data'!P130/'Batting Data'!J130</f>
        <v>1.3742071881606765E-2</v>
      </c>
      <c r="K130" s="60">
        <f>'Batting Data'!Q130/'Batting Data'!J130</f>
        <v>0.60377026074700491</v>
      </c>
      <c r="L130" s="2" t="str">
        <f t="shared" si="3"/>
        <v>2004 Cleveland Indians</v>
      </c>
      <c r="M130" s="58">
        <f>'Pitching Data'!Q130/'Pitching Data'!P130</f>
        <v>0.15286821705426357</v>
      </c>
      <c r="N130" s="58">
        <f>'Pitching Data'!R130/'Pitching Data'!P130</f>
        <v>5.2403100775193799E-2</v>
      </c>
      <c r="O130" s="58">
        <f>'Pitching Data'!S130/'Pitching Data'!P130</f>
        <v>4.3410852713178291E-3</v>
      </c>
      <c r="P130" s="58">
        <f>'Pitching Data'!T130/'Pitching Data'!P130</f>
        <v>3.1162790697674417E-2</v>
      </c>
      <c r="Q130" s="58">
        <f>'Pitching Data'!U130/'Pitching Data'!P130</f>
        <v>8.9767441860465119E-2</v>
      </c>
      <c r="R130" s="58">
        <f>'Pitching Data'!V130/'Pitching Data'!P130</f>
        <v>9.612403100775194E-3</v>
      </c>
      <c r="S130" s="58">
        <f>'Pitching Data'!W130/'Pitching Data'!P130</f>
        <v>0.65984496124031011</v>
      </c>
    </row>
    <row r="131" spans="2:19" x14ac:dyDescent="0.5">
      <c r="B131" s="2">
        <v>2004</v>
      </c>
      <c r="C131" s="2" t="s">
        <v>56</v>
      </c>
      <c r="D131" s="2" t="str">
        <f t="shared" ref="D131:D194" si="4">$B131&amp;" "&amp;$C131</f>
        <v>2004 Colorado Rockies</v>
      </c>
      <c r="E131" s="60">
        <f>'Batting Data'!K131/'Batting Data'!J131</f>
        <v>0.17285278823740363</v>
      </c>
      <c r="F131" s="60">
        <f>'Batting Data'!L131/'Batting Data'!J131</f>
        <v>5.935090550475166E-2</v>
      </c>
      <c r="G131" s="60">
        <f>'Batting Data'!M131/'Batting Data'!J131</f>
        <v>6.096467634929173E-3</v>
      </c>
      <c r="H131" s="60">
        <f>'Batting Data'!N131/'Batting Data'!J131</f>
        <v>3.6220190066343916E-2</v>
      </c>
      <c r="I131" s="60">
        <f>'Batting Data'!O131/'Batting Data'!J131</f>
        <v>0.1018468710776403</v>
      </c>
      <c r="J131" s="60">
        <f>'Batting Data'!P131/'Batting Data'!J131</f>
        <v>9.6826250672404513E-3</v>
      </c>
      <c r="K131" s="60">
        <f>'Batting Data'!Q131/'Batting Data'!J131</f>
        <v>0.61395015241169082</v>
      </c>
      <c r="L131" s="2" t="str">
        <f t="shared" ref="L131:L194" si="5">$B131&amp;" "&amp;$C131</f>
        <v>2004 Colorado Rockies</v>
      </c>
      <c r="M131" s="58">
        <f>'Pitching Data'!Q131/'Pitching Data'!P131</f>
        <v>0.16174445294567713</v>
      </c>
      <c r="N131" s="58">
        <f>'Pitching Data'!R131/'Pitching Data'!P131</f>
        <v>5.1415455241009947E-2</v>
      </c>
      <c r="O131" s="58">
        <f>'Pitching Data'!S131/'Pitching Data'!P131</f>
        <v>6.579954093343535E-3</v>
      </c>
      <c r="P131" s="58">
        <f>'Pitching Data'!T131/'Pitching Data'!P131</f>
        <v>3.0298393267023719E-2</v>
      </c>
      <c r="Q131" s="58">
        <f>'Pitching Data'!U131/'Pitching Data'!P131</f>
        <v>0.10665646518745218</v>
      </c>
      <c r="R131" s="58">
        <f>'Pitching Data'!V131/'Pitching Data'!P131</f>
        <v>1.0864575363427697E-2</v>
      </c>
      <c r="S131" s="58">
        <f>'Pitching Data'!W131/'Pitching Data'!P131</f>
        <v>0.63244070390206575</v>
      </c>
    </row>
    <row r="132" spans="2:19" x14ac:dyDescent="0.5">
      <c r="B132" s="2">
        <v>2004</v>
      </c>
      <c r="C132" s="2" t="s">
        <v>58</v>
      </c>
      <c r="D132" s="2" t="str">
        <f t="shared" si="4"/>
        <v>2004 Detroit Tigers</v>
      </c>
      <c r="E132" s="60">
        <f>'Batting Data'!K132/'Batting Data'!J132</f>
        <v>0.17641828205584209</v>
      </c>
      <c r="F132" s="60">
        <f>'Batting Data'!L132/'Batting Data'!J132</f>
        <v>5.0506846878890274E-2</v>
      </c>
      <c r="G132" s="60">
        <f>'Batting Data'!M132/'Batting Data'!J132</f>
        <v>9.603414547394629E-3</v>
      </c>
      <c r="H132" s="60">
        <f>'Batting Data'!N132/'Batting Data'!J132</f>
        <v>3.5746043037524454E-2</v>
      </c>
      <c r="I132" s="60">
        <f>'Batting Data'!O132/'Batting Data'!J132</f>
        <v>9.2121643250933666E-2</v>
      </c>
      <c r="J132" s="60">
        <f>'Batting Data'!P132/'Batting Data'!J132</f>
        <v>8.892050506846879E-3</v>
      </c>
      <c r="K132" s="60">
        <f>'Batting Data'!Q132/'Batting Data'!J132</f>
        <v>0.62671171972256801</v>
      </c>
      <c r="L132" s="2" t="str">
        <f t="shared" si="5"/>
        <v>2004 Detroit Tigers</v>
      </c>
      <c r="M132" s="58">
        <f>'Pitching Data'!Q132/'Pitching Data'!P132</f>
        <v>0.16264294790343076</v>
      </c>
      <c r="N132" s="58">
        <f>'Pitching Data'!R132/'Pitching Data'!P132</f>
        <v>4.6219822109275728E-2</v>
      </c>
      <c r="O132" s="58">
        <f>'Pitching Data'!S132/'Pitching Data'!P132</f>
        <v>5.8767471410419315E-3</v>
      </c>
      <c r="P132" s="58">
        <f>'Pitching Data'!T132/'Pitching Data'!P132</f>
        <v>3.0177890724269376E-2</v>
      </c>
      <c r="Q132" s="58">
        <f>'Pitching Data'!U132/'Pitching Data'!P132</f>
        <v>8.4180432020330362E-2</v>
      </c>
      <c r="R132" s="58">
        <f>'Pitching Data'!V132/'Pitching Data'!P132</f>
        <v>8.5768742058449816E-3</v>
      </c>
      <c r="S132" s="58">
        <f>'Pitching Data'!W132/'Pitching Data'!P132</f>
        <v>0.66232528589580686</v>
      </c>
    </row>
    <row r="133" spans="2:19" x14ac:dyDescent="0.5">
      <c r="B133" s="2">
        <v>2004</v>
      </c>
      <c r="C133" s="2" t="s">
        <v>60</v>
      </c>
      <c r="D133" s="2" t="str">
        <f t="shared" si="4"/>
        <v>2004 Florida Marlins</v>
      </c>
      <c r="E133" s="60">
        <f>'Batting Data'!K133/'Batting Data'!J133</f>
        <v>0.18082391542107182</v>
      </c>
      <c r="F133" s="60">
        <f>'Batting Data'!L133/'Batting Data'!J133</f>
        <v>5.012759752096245E-2</v>
      </c>
      <c r="G133" s="60">
        <f>'Batting Data'!M133/'Batting Data'!J133</f>
        <v>5.8330295297119939E-3</v>
      </c>
      <c r="H133" s="60">
        <f>'Batting Data'!N133/'Batting Data'!J133</f>
        <v>2.6977761574917974E-2</v>
      </c>
      <c r="I133" s="60">
        <f>'Batting Data'!O133/'Batting Data'!J133</f>
        <v>9.0958804228946408E-2</v>
      </c>
      <c r="J133" s="60">
        <f>'Batting Data'!P133/'Batting Data'!J133</f>
        <v>1.0572366022602989E-2</v>
      </c>
      <c r="K133" s="60">
        <f>'Batting Data'!Q133/'Batting Data'!J133</f>
        <v>0.63470652570178632</v>
      </c>
      <c r="L133" s="2" t="str">
        <f t="shared" si="5"/>
        <v>2004 Florida Marlins</v>
      </c>
      <c r="M133" s="58">
        <f>'Pitching Data'!Q133/'Pitching Data'!P133</f>
        <v>0.14942716857610475</v>
      </c>
      <c r="N133" s="58">
        <f>'Pitching Data'!R133/'Pitching Data'!P133</f>
        <v>4.5826513911620292E-2</v>
      </c>
      <c r="O133" s="58">
        <f>'Pitching Data'!S133/'Pitching Data'!P133</f>
        <v>5.8919803600654668E-3</v>
      </c>
      <c r="P133" s="58">
        <f>'Pitching Data'!T133/'Pitching Data'!P133</f>
        <v>2.7168576104746319E-2</v>
      </c>
      <c r="Q133" s="58">
        <f>'Pitching Data'!U133/'Pitching Data'!P133</f>
        <v>8.3960720130932892E-2</v>
      </c>
      <c r="R133" s="58">
        <f>'Pitching Data'!V133/'Pitching Data'!P133</f>
        <v>8.3469721767594103E-3</v>
      </c>
      <c r="S133" s="58">
        <f>'Pitching Data'!W133/'Pitching Data'!P133</f>
        <v>0.67937806873977091</v>
      </c>
    </row>
    <row r="134" spans="2:19" x14ac:dyDescent="0.5">
      <c r="B134" s="2">
        <v>2004</v>
      </c>
      <c r="C134" s="2" t="s">
        <v>62</v>
      </c>
      <c r="D134" s="2" t="str">
        <f t="shared" si="4"/>
        <v>2004 Houston Astros</v>
      </c>
      <c r="E134" s="60">
        <f>'Batting Data'!K134/'Batting Data'!J134</f>
        <v>0.1720921726408193</v>
      </c>
      <c r="F134" s="60">
        <f>'Batting Data'!L134/'Batting Data'!J134</f>
        <v>5.3767373811265548E-2</v>
      </c>
      <c r="G134" s="60">
        <f>'Batting Data'!M134/'Batting Data'!J134</f>
        <v>6.5837600585223113E-3</v>
      </c>
      <c r="H134" s="60">
        <f>'Batting Data'!N134/'Batting Data'!J134</f>
        <v>3.4198975859546454E-2</v>
      </c>
      <c r="I134" s="60">
        <f>'Batting Data'!O134/'Batting Data'!J134</f>
        <v>0.10790051207022677</v>
      </c>
      <c r="J134" s="60">
        <f>'Batting Data'!P134/'Batting Data'!J134</f>
        <v>1.1155815654718361E-2</v>
      </c>
      <c r="K134" s="60">
        <f>'Batting Data'!Q134/'Batting Data'!J134</f>
        <v>0.61430138990490124</v>
      </c>
      <c r="L134" s="2" t="str">
        <f t="shared" si="5"/>
        <v>2004 Houston Astros</v>
      </c>
      <c r="M134" s="58">
        <f>'Pitching Data'!Q134/'Pitching Data'!P134</f>
        <v>0.1490082244799226</v>
      </c>
      <c r="N134" s="58">
        <f>'Pitching Data'!R134/'Pitching Data'!P134</f>
        <v>4.5637800354781488E-2</v>
      </c>
      <c r="O134" s="58">
        <f>'Pitching Data'!S134/'Pitching Data'!P134</f>
        <v>5.6442509272697948E-3</v>
      </c>
      <c r="P134" s="58">
        <f>'Pitching Data'!T134/'Pitching Data'!P134</f>
        <v>2.8059990324141266E-2</v>
      </c>
      <c r="Q134" s="58">
        <f>'Pitching Data'!U134/'Pitching Data'!P134</f>
        <v>8.4663763909046924E-2</v>
      </c>
      <c r="R134" s="58">
        <f>'Pitching Data'!V134/'Pitching Data'!P134</f>
        <v>1.0965973230124174E-2</v>
      </c>
      <c r="S134" s="58">
        <f>'Pitching Data'!W134/'Pitching Data'!P134</f>
        <v>0.67601999677471381</v>
      </c>
    </row>
    <row r="135" spans="2:19" x14ac:dyDescent="0.5">
      <c r="B135" s="2">
        <v>2004</v>
      </c>
      <c r="C135" s="2" t="s">
        <v>64</v>
      </c>
      <c r="D135" s="2" t="str">
        <f t="shared" si="4"/>
        <v>2004 Kansas City Royals</v>
      </c>
      <c r="E135" s="60">
        <f>'Batting Data'!K135/'Batting Data'!J135</f>
        <v>0.17912603828096785</v>
      </c>
      <c r="F135" s="60">
        <f>'Batting Data'!L135/'Batting Data'!J135</f>
        <v>4.7128927410617555E-2</v>
      </c>
      <c r="G135" s="60">
        <f>'Batting Data'!M135/'Batting Data'!J135</f>
        <v>5.236547490068617E-3</v>
      </c>
      <c r="H135" s="60">
        <f>'Batting Data'!N135/'Batting Data'!J135</f>
        <v>2.7085590465872156E-2</v>
      </c>
      <c r="I135" s="60">
        <f>'Batting Data'!O135/'Batting Data'!J135</f>
        <v>8.3243048031780426E-2</v>
      </c>
      <c r="J135" s="60">
        <f>'Batting Data'!P135/'Batting Data'!J135</f>
        <v>1.3723365836041893E-2</v>
      </c>
      <c r="K135" s="60">
        <f>'Batting Data'!Q135/'Batting Data'!J135</f>
        <v>0.64445648248465148</v>
      </c>
      <c r="L135" s="2" t="str">
        <f t="shared" si="5"/>
        <v>2004 Kansas City Royals</v>
      </c>
      <c r="M135" s="58">
        <f>'Pitching Data'!Q135/'Pitching Data'!P135</f>
        <v>0.16392405063291141</v>
      </c>
      <c r="N135" s="58">
        <f>'Pitching Data'!R135/'Pitching Data'!P135</f>
        <v>5.7120253164556961E-2</v>
      </c>
      <c r="O135" s="58">
        <f>'Pitching Data'!S135/'Pitching Data'!P135</f>
        <v>5.2215189873417722E-3</v>
      </c>
      <c r="P135" s="58">
        <f>'Pitching Data'!T135/'Pitching Data'!P135</f>
        <v>3.2911392405063293E-2</v>
      </c>
      <c r="Q135" s="58">
        <f>'Pitching Data'!U135/'Pitching Data'!P135</f>
        <v>8.1962025316455703E-2</v>
      </c>
      <c r="R135" s="58">
        <f>'Pitching Data'!V135/'Pitching Data'!P135</f>
        <v>8.8607594936708865E-3</v>
      </c>
      <c r="S135" s="58">
        <f>'Pitching Data'!W135/'Pitching Data'!P135</f>
        <v>0.65</v>
      </c>
    </row>
    <row r="136" spans="2:19" x14ac:dyDescent="0.5">
      <c r="B136" s="2">
        <v>2004</v>
      </c>
      <c r="C136" s="2" t="s">
        <v>66</v>
      </c>
      <c r="D136" s="2" t="str">
        <f t="shared" si="4"/>
        <v>2004 Los Angeles Dodgers</v>
      </c>
      <c r="E136" s="60">
        <f>'Batting Data'!K136/'Batting Data'!J136</f>
        <v>0.17881631180079394</v>
      </c>
      <c r="F136" s="60">
        <f>'Batting Data'!L136/'Batting Data'!J136</f>
        <v>4.0779501984843015E-2</v>
      </c>
      <c r="G136" s="60">
        <f>'Batting Data'!M136/'Batting Data'!J136</f>
        <v>5.4132082280765065E-3</v>
      </c>
      <c r="H136" s="60">
        <f>'Batting Data'!N136/'Batting Data'!J136</f>
        <v>3.6629375676651026E-2</v>
      </c>
      <c r="I136" s="60">
        <f>'Batting Data'!O136/'Batting Data'!J136</f>
        <v>9.6715987008300253E-2</v>
      </c>
      <c r="J136" s="60">
        <f>'Batting Data'!P136/'Batting Data'!J136</f>
        <v>1.1187297004691447E-2</v>
      </c>
      <c r="K136" s="60">
        <f>'Batting Data'!Q136/'Batting Data'!J136</f>
        <v>0.63045831829664378</v>
      </c>
      <c r="L136" s="2" t="str">
        <f t="shared" si="5"/>
        <v>2004 Los Angeles Dodgers</v>
      </c>
      <c r="M136" s="58">
        <f>'Pitching Data'!Q136/'Pitching Data'!P136</f>
        <v>0.15060926076360681</v>
      </c>
      <c r="N136" s="58">
        <f>'Pitching Data'!R136/'Pitching Data'!P136</f>
        <v>4.1429731925264016E-2</v>
      </c>
      <c r="O136" s="58">
        <f>'Pitching Data'!S136/'Pitching Data'!P136</f>
        <v>4.2242079610073108E-3</v>
      </c>
      <c r="P136" s="58">
        <f>'Pitching Data'!T136/'Pitching Data'!P136</f>
        <v>2.8919577579203899E-2</v>
      </c>
      <c r="Q136" s="58">
        <f>'Pitching Data'!U136/'Pitching Data'!P136</f>
        <v>8.4646628757108044E-2</v>
      </c>
      <c r="R136" s="58">
        <f>'Pitching Data'!V136/'Pitching Data'!P136</f>
        <v>8.7733549959382612E-3</v>
      </c>
      <c r="S136" s="58">
        <f>'Pitching Data'!W136/'Pitching Data'!P136</f>
        <v>0.68139723801787166</v>
      </c>
    </row>
    <row r="137" spans="2:19" x14ac:dyDescent="0.5">
      <c r="B137" s="2">
        <v>2004</v>
      </c>
      <c r="C137" s="2" t="s">
        <v>68</v>
      </c>
      <c r="D137" s="2" t="str">
        <f t="shared" si="4"/>
        <v>2004 Milwaukee Brewers</v>
      </c>
      <c r="E137" s="60">
        <f>'Batting Data'!K137/'Batting Data'!J137</f>
        <v>0.16341418931242022</v>
      </c>
      <c r="F137" s="60">
        <f>'Batting Data'!L137/'Batting Data'!J137</f>
        <v>5.3802662775852633E-2</v>
      </c>
      <c r="G137" s="60">
        <f>'Batting Data'!M137/'Batting Data'!J137</f>
        <v>5.8362210468721502E-3</v>
      </c>
      <c r="H137" s="60">
        <f>'Batting Data'!N137/'Batting Data'!J137</f>
        <v>2.4621557541491885E-2</v>
      </c>
      <c r="I137" s="60">
        <f>'Batting Data'!O137/'Batting Data'!J137</f>
        <v>9.8486230165967539E-2</v>
      </c>
      <c r="J137" s="60">
        <f>'Batting Data'!P137/'Batting Data'!J137</f>
        <v>1.2401969724603319E-2</v>
      </c>
      <c r="K137" s="60">
        <f>'Batting Data'!Q137/'Batting Data'!J137</f>
        <v>0.64143716943279228</v>
      </c>
      <c r="L137" s="2" t="str">
        <f t="shared" si="5"/>
        <v>2004 Milwaukee Brewers</v>
      </c>
      <c r="M137" s="58">
        <f>'Pitching Data'!Q137/'Pitching Data'!P137</f>
        <v>0.14829142488716957</v>
      </c>
      <c r="N137" s="58">
        <f>'Pitching Data'!R137/'Pitching Data'!P137</f>
        <v>5.238555770470664E-2</v>
      </c>
      <c r="O137" s="58">
        <f>'Pitching Data'!S137/'Pitching Data'!P137</f>
        <v>4.9967762733720182E-3</v>
      </c>
      <c r="P137" s="58">
        <f>'Pitching Data'!T137/'Pitching Data'!P137</f>
        <v>2.6434558349451968E-2</v>
      </c>
      <c r="Q137" s="58">
        <f>'Pitching Data'!U137/'Pitching Data'!P137</f>
        <v>7.6724693745970338E-2</v>
      </c>
      <c r="R137" s="58">
        <f>'Pitching Data'!V137/'Pitching Data'!P137</f>
        <v>8.2205029013539647E-3</v>
      </c>
      <c r="S137" s="58">
        <f>'Pitching Data'!W137/'Pitching Data'!P137</f>
        <v>0.68294648613797548</v>
      </c>
    </row>
    <row r="138" spans="2:19" x14ac:dyDescent="0.5">
      <c r="B138" s="2">
        <v>2004</v>
      </c>
      <c r="C138" s="2" t="s">
        <v>70</v>
      </c>
      <c r="D138" s="2" t="str">
        <f t="shared" si="4"/>
        <v>2004 Minnesota Twins</v>
      </c>
      <c r="E138" s="60">
        <f>'Batting Data'!K138/'Batting Data'!J138</f>
        <v>0.17232793882269251</v>
      </c>
      <c r="F138" s="60">
        <f>'Batting Data'!L138/'Batting Data'!J138</f>
        <v>5.5130713142450646E-2</v>
      </c>
      <c r="G138" s="60">
        <f>'Batting Data'!M138/'Batting Data'!J138</f>
        <v>4.2681842432865016E-3</v>
      </c>
      <c r="H138" s="60">
        <f>'Batting Data'!N138/'Batting Data'!J138</f>
        <v>3.3967632936155075E-2</v>
      </c>
      <c r="I138" s="60">
        <f>'Batting Data'!O138/'Batting Data'!J138</f>
        <v>9.1232438200248983E-2</v>
      </c>
      <c r="J138" s="60">
        <f>'Batting Data'!P138/'Batting Data'!J138</f>
        <v>1.1381824648764005E-2</v>
      </c>
      <c r="K138" s="60">
        <f>'Batting Data'!Q138/'Batting Data'!J138</f>
        <v>0.6316912680064023</v>
      </c>
      <c r="L138" s="2" t="str">
        <f t="shared" si="5"/>
        <v>2004 Minnesota Twins</v>
      </c>
      <c r="M138" s="58">
        <f>'Pitching Data'!Q138/'Pitching Data'!P138</f>
        <v>0.17323337055351731</v>
      </c>
      <c r="N138" s="58">
        <f>'Pitching Data'!R138/'Pitching Data'!P138</f>
        <v>3.9400223321103843E-2</v>
      </c>
      <c r="O138" s="58">
        <f>'Pitching Data'!S138/'Pitching Data'!P138</f>
        <v>3.6688467060137183E-3</v>
      </c>
      <c r="P138" s="58">
        <f>'Pitching Data'!T138/'Pitching Data'!P138</f>
        <v>2.6639017387143086E-2</v>
      </c>
      <c r="Q138" s="58">
        <f>'Pitching Data'!U138/'Pitching Data'!P138</f>
        <v>6.8750996969213593E-2</v>
      </c>
      <c r="R138" s="58">
        <f>'Pitching Data'!V138/'Pitching Data'!P138</f>
        <v>8.6138140054235132E-3</v>
      </c>
      <c r="S138" s="58">
        <f>'Pitching Data'!W138/'Pitching Data'!P138</f>
        <v>0.6796937310575849</v>
      </c>
    </row>
    <row r="139" spans="2:19" x14ac:dyDescent="0.5">
      <c r="B139" s="2">
        <v>2004</v>
      </c>
      <c r="C139" s="2" t="s">
        <v>72</v>
      </c>
      <c r="D139" s="2" t="str">
        <f t="shared" si="4"/>
        <v>2004 Montreal Expos</v>
      </c>
      <c r="E139" s="60">
        <f>'Batting Data'!K139/'Batting Data'!J139</f>
        <v>0.16569236390208258</v>
      </c>
      <c r="F139" s="60">
        <f>'Batting Data'!L139/'Batting Data'!J139</f>
        <v>5.0420168067226892E-2</v>
      </c>
      <c r="G139" s="60">
        <f>'Batting Data'!M139/'Batting Data'!J139</f>
        <v>4.9324077457069786E-3</v>
      </c>
      <c r="H139" s="60">
        <f>'Batting Data'!N139/'Batting Data'!J139</f>
        <v>2.7584947022287174E-2</v>
      </c>
      <c r="I139" s="60">
        <f>'Batting Data'!O139/'Batting Data'!J139</f>
        <v>9.0610157106320796E-2</v>
      </c>
      <c r="J139" s="60">
        <f>'Batting Data'!P139/'Batting Data'!J139</f>
        <v>6.3938618925831201E-3</v>
      </c>
      <c r="K139" s="60">
        <f>'Batting Data'!Q139/'Batting Data'!J139</f>
        <v>0.65436609426379244</v>
      </c>
      <c r="L139" s="2" t="str">
        <f t="shared" si="5"/>
        <v>2004 Montreal Expos</v>
      </c>
      <c r="M139" s="58">
        <f>'Pitching Data'!Q139/'Pitching Data'!P139</f>
        <v>0.15427302996670367</v>
      </c>
      <c r="N139" s="58">
        <f>'Pitching Data'!R139/'Pitching Data'!P139</f>
        <v>4.5029332487712063E-2</v>
      </c>
      <c r="O139" s="58">
        <f>'Pitching Data'!S139/'Pitching Data'!P139</f>
        <v>4.5980656413508797E-3</v>
      </c>
      <c r="P139" s="58">
        <f>'Pitching Data'!T139/'Pitching Data'!P139</f>
        <v>3.0283811637862694E-2</v>
      </c>
      <c r="Q139" s="58">
        <f>'Pitching Data'!U139/'Pitching Data'!P139</f>
        <v>9.2278420802283184E-2</v>
      </c>
      <c r="R139" s="58">
        <f>'Pitching Data'!V139/'Pitching Data'!P139</f>
        <v>1.2525765022990328E-2</v>
      </c>
      <c r="S139" s="58">
        <f>'Pitching Data'!W139/'Pitching Data'!P139</f>
        <v>0.66101157444109715</v>
      </c>
    </row>
    <row r="140" spans="2:19" x14ac:dyDescent="0.5">
      <c r="B140" s="2">
        <v>2004</v>
      </c>
      <c r="C140" s="2" t="s">
        <v>76</v>
      </c>
      <c r="D140" s="2" t="str">
        <f t="shared" si="4"/>
        <v>2004 New York Mets</v>
      </c>
      <c r="E140" s="60">
        <f>'Batting Data'!K140/'Batting Data'!J140</f>
        <v>0.15943600867678959</v>
      </c>
      <c r="F140" s="60">
        <f>'Batting Data'!L140/'Batting Data'!J140</f>
        <v>5.2241503976861892E-2</v>
      </c>
      <c r="G140" s="60">
        <f>'Batting Data'!M140/'Batting Data'!J140</f>
        <v>3.6153289949385392E-3</v>
      </c>
      <c r="H140" s="60">
        <f>'Batting Data'!N140/'Batting Data'!J140</f>
        <v>3.344179320318149E-2</v>
      </c>
      <c r="I140" s="60">
        <f>'Batting Data'!O140/'Batting Data'!J140</f>
        <v>9.2552422270426607E-2</v>
      </c>
      <c r="J140" s="60">
        <f>'Batting Data'!P140/'Batting Data'!J140</f>
        <v>1.1026753434562546E-2</v>
      </c>
      <c r="K140" s="60">
        <f>'Batting Data'!Q140/'Batting Data'!J140</f>
        <v>0.6476861894432393</v>
      </c>
      <c r="L140" s="2" t="str">
        <f t="shared" si="5"/>
        <v>2004 New York Mets</v>
      </c>
      <c r="M140" s="58">
        <f>'Pitching Data'!Q140/'Pitching Data'!P140</f>
        <v>0.15537659876835622</v>
      </c>
      <c r="N140" s="58">
        <f>'Pitching Data'!R140/'Pitching Data'!P140</f>
        <v>4.5476077688299386E-2</v>
      </c>
      <c r="O140" s="58">
        <f>'Pitching Data'!S140/'Pitching Data'!P140</f>
        <v>3.7896731406916154E-3</v>
      </c>
      <c r="P140" s="58">
        <f>'Pitching Data'!T140/'Pitching Data'!P140</f>
        <v>2.4632875414495499E-2</v>
      </c>
      <c r="Q140" s="58">
        <f>'Pitching Data'!U140/'Pitching Data'!P140</f>
        <v>9.3478604137059843E-2</v>
      </c>
      <c r="R140" s="58">
        <f>'Pitching Data'!V140/'Pitching Data'!P140</f>
        <v>7.7372493289120476E-3</v>
      </c>
      <c r="S140" s="58">
        <f>'Pitching Data'!W140/'Pitching Data'!P140</f>
        <v>0.66950892152218533</v>
      </c>
    </row>
    <row r="141" spans="2:19" x14ac:dyDescent="0.5">
      <c r="B141" s="2">
        <v>2004</v>
      </c>
      <c r="C141" s="2" t="s">
        <v>74</v>
      </c>
      <c r="D141" s="2" t="str">
        <f t="shared" si="4"/>
        <v>2004 New York Yankees</v>
      </c>
      <c r="E141" s="60">
        <f>'Batting Data'!K141/'Batting Data'!J141</f>
        <v>0.17007418129184007</v>
      </c>
      <c r="F141" s="60">
        <f>'Batting Data'!L141/'Batting Data'!J141</f>
        <v>5.0841324407454314E-2</v>
      </c>
      <c r="G141" s="60">
        <f>'Batting Data'!M141/'Batting Data'!J141</f>
        <v>3.6185996019540436E-3</v>
      </c>
      <c r="H141" s="60">
        <f>'Batting Data'!N141/'Batting Data'!J141</f>
        <v>4.378505518364393E-2</v>
      </c>
      <c r="I141" s="60">
        <f>'Batting Data'!O141/'Batting Data'!J141</f>
        <v>0.12122308666546047</v>
      </c>
      <c r="J141" s="60">
        <f>'Batting Data'!P141/'Batting Data'!J141</f>
        <v>1.4474398407816174E-2</v>
      </c>
      <c r="K141" s="60">
        <f>'Batting Data'!Q141/'Batting Data'!J141</f>
        <v>0.59598335444183104</v>
      </c>
      <c r="L141" s="2" t="str">
        <f t="shared" si="5"/>
        <v>2004 New York Yankees</v>
      </c>
      <c r="M141" s="58">
        <f>'Pitching Data'!Q141/'Pitching Data'!P141</f>
        <v>0.16314102564102564</v>
      </c>
      <c r="N141" s="58">
        <f>'Pitching Data'!R141/'Pitching Data'!P141</f>
        <v>4.8717948717948718E-2</v>
      </c>
      <c r="O141" s="58">
        <f>'Pitching Data'!S141/'Pitching Data'!P141</f>
        <v>4.4871794871794869E-3</v>
      </c>
      <c r="P141" s="58">
        <f>'Pitching Data'!T141/'Pitching Data'!P141</f>
        <v>2.9166666666666667E-2</v>
      </c>
      <c r="Q141" s="58">
        <f>'Pitching Data'!U141/'Pitching Data'!P141</f>
        <v>7.1314102564102561E-2</v>
      </c>
      <c r="R141" s="58">
        <f>'Pitching Data'!V141/'Pitching Data'!P141</f>
        <v>9.6153846153846159E-3</v>
      </c>
      <c r="S141" s="58">
        <f>'Pitching Data'!W141/'Pitching Data'!P141</f>
        <v>0.67355769230769236</v>
      </c>
    </row>
    <row r="142" spans="2:19" x14ac:dyDescent="0.5">
      <c r="B142" s="2">
        <v>2004</v>
      </c>
      <c r="C142" s="2" t="s">
        <v>78</v>
      </c>
      <c r="D142" s="2" t="str">
        <f t="shared" si="4"/>
        <v>2004 Oakland Athletics</v>
      </c>
      <c r="E142" s="60">
        <f>'Batting Data'!K142/'Batting Data'!J142</f>
        <v>0.17545391061452514</v>
      </c>
      <c r="F142" s="60">
        <f>'Batting Data'!L142/'Batting Data'!J142</f>
        <v>5.8659217877094973E-2</v>
      </c>
      <c r="G142" s="60">
        <f>'Batting Data'!M142/'Batting Data'!J142</f>
        <v>2.6187150837988825E-3</v>
      </c>
      <c r="H142" s="60">
        <f>'Batting Data'!N142/'Batting Data'!J142</f>
        <v>3.2995810055865923E-2</v>
      </c>
      <c r="I142" s="60">
        <f>'Batting Data'!O142/'Batting Data'!J142</f>
        <v>0.10614525139664804</v>
      </c>
      <c r="J142" s="60">
        <f>'Batting Data'!P142/'Batting Data'!J142</f>
        <v>9.6019553072625701E-3</v>
      </c>
      <c r="K142" s="60">
        <f>'Batting Data'!Q142/'Batting Data'!J142</f>
        <v>0.61452513966480449</v>
      </c>
      <c r="L142" s="2" t="str">
        <f t="shared" si="5"/>
        <v>2004 Oakland Athletics</v>
      </c>
      <c r="M142" s="58">
        <f>'Pitching Data'!Q142/'Pitching Data'!P142</f>
        <v>0.15666085854585776</v>
      </c>
      <c r="N142" s="58">
        <f>'Pitching Data'!R142/'Pitching Data'!P142</f>
        <v>4.6095358783462693E-2</v>
      </c>
      <c r="O142" s="58">
        <f>'Pitching Data'!S142/'Pitching Data'!P142</f>
        <v>3.4848724853476952E-3</v>
      </c>
      <c r="P142" s="58">
        <f>'Pitching Data'!T142/'Pitching Data'!P142</f>
        <v>2.5978140345319183E-2</v>
      </c>
      <c r="Q142" s="58">
        <f>'Pitching Data'!U142/'Pitching Data'!P142</f>
        <v>8.6171392364961186E-2</v>
      </c>
      <c r="R142" s="58">
        <f>'Pitching Data'!V142/'Pitching Data'!P142</f>
        <v>1.0771424045620148E-2</v>
      </c>
      <c r="S142" s="58">
        <f>'Pitching Data'!W142/'Pitching Data'!P142</f>
        <v>0.67083795342943131</v>
      </c>
    </row>
    <row r="143" spans="2:19" x14ac:dyDescent="0.5">
      <c r="B143" s="2">
        <v>2004</v>
      </c>
      <c r="C143" s="2" t="s">
        <v>80</v>
      </c>
      <c r="D143" s="2" t="str">
        <f t="shared" si="4"/>
        <v>2004 Philadelphia Phillies</v>
      </c>
      <c r="E143" s="60">
        <f>'Batting Data'!K143/'Batting Data'!J143</f>
        <v>0.17083111819953925</v>
      </c>
      <c r="F143" s="60">
        <f>'Batting Data'!L143/'Batting Data'!J143</f>
        <v>5.3694843168527379E-2</v>
      </c>
      <c r="G143" s="60">
        <f>'Batting Data'!M143/'Batting Data'!J143</f>
        <v>4.0758461811093386E-3</v>
      </c>
      <c r="H143" s="60">
        <f>'Batting Data'!N143/'Batting Data'!J143</f>
        <v>3.8100301258195995E-2</v>
      </c>
      <c r="I143" s="60">
        <f>'Batting Data'!O143/'Batting Data'!J143</f>
        <v>0.11430090377458799</v>
      </c>
      <c r="J143" s="60">
        <f>'Batting Data'!P143/'Batting Data'!J143</f>
        <v>1.0278220804536595E-2</v>
      </c>
      <c r="K143" s="60">
        <f>'Batting Data'!Q143/'Batting Data'!J143</f>
        <v>0.60871876661350344</v>
      </c>
      <c r="L143" s="2" t="str">
        <f t="shared" si="5"/>
        <v>2004 Philadelphia Phillies</v>
      </c>
      <c r="M143" s="58">
        <f>'Pitching Data'!Q143/'Pitching Data'!P143</f>
        <v>0.14584654407102093</v>
      </c>
      <c r="N143" s="58">
        <f>'Pitching Data'!R143/'Pitching Data'!P143</f>
        <v>5.0412175015852885E-2</v>
      </c>
      <c r="O143" s="58">
        <f>'Pitching Data'!S143/'Pitching Data'!P143</f>
        <v>5.7070386810399495E-3</v>
      </c>
      <c r="P143" s="58">
        <f>'Pitching Data'!T143/'Pitching Data'!P143</f>
        <v>3.3925174381737477E-2</v>
      </c>
      <c r="Q143" s="58">
        <f>'Pitching Data'!U143/'Pitching Data'!P143</f>
        <v>7.9581483830057073E-2</v>
      </c>
      <c r="R143" s="58">
        <f>'Pitching Data'!V143/'Pitching Data'!P143</f>
        <v>1.046290424857324E-2</v>
      </c>
      <c r="S143" s="58">
        <f>'Pitching Data'!W143/'Pitching Data'!P143</f>
        <v>0.67406467977171847</v>
      </c>
    </row>
    <row r="144" spans="2:19" x14ac:dyDescent="0.5">
      <c r="B144" s="2">
        <v>2004</v>
      </c>
      <c r="C144" s="2" t="s">
        <v>82</v>
      </c>
      <c r="D144" s="2" t="str">
        <f t="shared" si="4"/>
        <v>2004 Pittsburgh Pirates</v>
      </c>
      <c r="E144" s="60">
        <f>'Batting Data'!K144/'Batting Data'!J144</f>
        <v>0.1787342695604596</v>
      </c>
      <c r="F144" s="60">
        <f>'Batting Data'!L144/'Batting Data'!J144</f>
        <v>4.8695969359839504E-2</v>
      </c>
      <c r="G144" s="60">
        <f>'Batting Data'!M144/'Batting Data'!J144</f>
        <v>7.1128944008754334E-3</v>
      </c>
      <c r="H144" s="60">
        <f>'Batting Data'!N144/'Batting Data'!J144</f>
        <v>2.5898230895495165E-2</v>
      </c>
      <c r="I144" s="60">
        <f>'Batting Data'!O144/'Batting Data'!J144</f>
        <v>7.5688491701623201E-2</v>
      </c>
      <c r="J144" s="60">
        <f>'Batting Data'!P144/'Batting Data'!J144</f>
        <v>1.7326281232901697E-2</v>
      </c>
      <c r="K144" s="60">
        <f>'Batting Data'!Q144/'Batting Data'!J144</f>
        <v>0.64654386284880538</v>
      </c>
      <c r="L144" s="2" t="str">
        <f t="shared" si="5"/>
        <v>2004 Pittsburgh Pirates</v>
      </c>
      <c r="M144" s="58">
        <f>'Pitching Data'!Q144/'Pitching Data'!P144</f>
        <v>0.15701145715668871</v>
      </c>
      <c r="N144" s="58">
        <f>'Pitching Data'!R144/'Pitching Data'!P144</f>
        <v>4.7603679199612718E-2</v>
      </c>
      <c r="O144" s="58">
        <f>'Pitching Data'!S144/'Pitching Data'!P144</f>
        <v>5.4865257382604483E-3</v>
      </c>
      <c r="P144" s="58">
        <f>'Pitching Data'!T144/'Pitching Data'!P144</f>
        <v>2.4043892205906085E-2</v>
      </c>
      <c r="Q144" s="58">
        <f>'Pitching Data'!U144/'Pitching Data'!P144</f>
        <v>9.2948200742294665E-2</v>
      </c>
      <c r="R144" s="58">
        <f>'Pitching Data'!V144/'Pitching Data'!P144</f>
        <v>1.0166209456188478E-2</v>
      </c>
      <c r="S144" s="58">
        <f>'Pitching Data'!W144/'Pitching Data'!P144</f>
        <v>0.66274003550104887</v>
      </c>
    </row>
    <row r="145" spans="2:19" x14ac:dyDescent="0.5">
      <c r="B145" s="2">
        <v>2004</v>
      </c>
      <c r="C145" s="2" t="s">
        <v>84</v>
      </c>
      <c r="D145" s="2" t="str">
        <f t="shared" si="4"/>
        <v>2004 San Diego Padres</v>
      </c>
      <c r="E145" s="60">
        <f>'Batting Data'!K145/'Batting Data'!J145</f>
        <v>0.18769065135474611</v>
      </c>
      <c r="F145" s="60">
        <f>'Batting Data'!L145/'Batting Data'!J145</f>
        <v>5.4548717028530418E-2</v>
      </c>
      <c r="G145" s="60">
        <f>'Batting Data'!M145/'Batting Data'!J145</f>
        <v>5.7419702135295177E-3</v>
      </c>
      <c r="H145" s="60">
        <f>'Batting Data'!N145/'Batting Data'!J145</f>
        <v>2.4941683115018841E-2</v>
      </c>
      <c r="I145" s="60">
        <f>'Batting Data'!O145/'Batting Data'!J145</f>
        <v>0.10156109815180334</v>
      </c>
      <c r="J145" s="60">
        <f>'Batting Data'!P145/'Batting Data'!J145</f>
        <v>1.0048447873676656E-2</v>
      </c>
      <c r="K145" s="60">
        <f>'Batting Data'!Q145/'Batting Data'!J145</f>
        <v>0.61546743226269518</v>
      </c>
      <c r="L145" s="2" t="str">
        <f t="shared" si="5"/>
        <v>2004 San Diego Padres</v>
      </c>
      <c r="M145" s="58">
        <f>'Pitching Data'!Q145/'Pitching Data'!P145</f>
        <v>0.15191524042379789</v>
      </c>
      <c r="N145" s="58">
        <f>'Pitching Data'!R145/'Pitching Data'!P145</f>
        <v>5.020374898125509E-2</v>
      </c>
      <c r="O145" s="58">
        <f>'Pitching Data'!S145/'Pitching Data'!P145</f>
        <v>5.8679706601466996E-3</v>
      </c>
      <c r="P145" s="58">
        <f>'Pitching Data'!T145/'Pitching Data'!P145</f>
        <v>2.9991850040749796E-2</v>
      </c>
      <c r="Q145" s="58">
        <f>'Pitching Data'!U145/'Pitching Data'!P145</f>
        <v>6.8785656071719645E-2</v>
      </c>
      <c r="R145" s="58">
        <f>'Pitching Data'!V145/'Pitching Data'!P145</f>
        <v>7.8239608801955983E-3</v>
      </c>
      <c r="S145" s="58">
        <f>'Pitching Data'!W145/'Pitching Data'!P145</f>
        <v>0.68541157294213528</v>
      </c>
    </row>
    <row r="146" spans="2:19" x14ac:dyDescent="0.5">
      <c r="B146" s="2">
        <v>2004</v>
      </c>
      <c r="C146" s="2" t="s">
        <v>86</v>
      </c>
      <c r="D146" s="2" t="str">
        <f t="shared" si="4"/>
        <v>2004 Seattle Mariners</v>
      </c>
      <c r="E146" s="60">
        <f>'Batting Data'!K146/'Batting Data'!J146</f>
        <v>0.19433764418035651</v>
      </c>
      <c r="F146" s="60">
        <f>'Batting Data'!L146/'Batting Data'!J146</f>
        <v>4.8234882908074102E-2</v>
      </c>
      <c r="G146" s="60">
        <f>'Batting Data'!M146/'Batting Data'!J146</f>
        <v>3.495281370150297E-3</v>
      </c>
      <c r="H146" s="60">
        <f>'Batting Data'!N146/'Batting Data'!J146</f>
        <v>2.3767913317022021E-2</v>
      </c>
      <c r="I146" s="60">
        <f>'Batting Data'!O146/'Batting Data'!J146</f>
        <v>8.5983921705697311E-2</v>
      </c>
      <c r="J146" s="60">
        <f>'Batting Data'!P146/'Batting Data'!J146</f>
        <v>9.4372596994058023E-3</v>
      </c>
      <c r="K146" s="60">
        <f>'Batting Data'!Q146/'Batting Data'!J146</f>
        <v>0.63474309681929397</v>
      </c>
      <c r="L146" s="2" t="str">
        <f t="shared" si="5"/>
        <v>2004 Seattle Mariners</v>
      </c>
      <c r="M146" s="58">
        <f>'Pitching Data'!Q146/'Pitching Data'!P146</f>
        <v>0.14853654719048365</v>
      </c>
      <c r="N146" s="58">
        <f>'Pitching Data'!R146/'Pitching Data'!P146</f>
        <v>4.9616528408201598E-2</v>
      </c>
      <c r="O146" s="58">
        <f>'Pitching Data'!S146/'Pitching Data'!P146</f>
        <v>3.1303803412114574E-3</v>
      </c>
      <c r="P146" s="58">
        <f>'Pitching Data'!T146/'Pitching Data'!P146</f>
        <v>3.3182031616841447E-2</v>
      </c>
      <c r="Q146" s="58">
        <f>'Pitching Data'!U146/'Pitching Data'!P146</f>
        <v>8.99984348098294E-2</v>
      </c>
      <c r="R146" s="58">
        <f>'Pitching Data'!V146/'Pitching Data'!P146</f>
        <v>1.1269369228361246E-2</v>
      </c>
      <c r="S146" s="58">
        <f>'Pitching Data'!W146/'Pitching Data'!P146</f>
        <v>0.66426670840507118</v>
      </c>
    </row>
    <row r="147" spans="2:19" x14ac:dyDescent="0.5">
      <c r="B147" s="2">
        <v>2004</v>
      </c>
      <c r="C147" s="2" t="s">
        <v>88</v>
      </c>
      <c r="D147" s="2" t="str">
        <f t="shared" si="4"/>
        <v>2004 San Francisco Giants</v>
      </c>
      <c r="E147" s="60">
        <f>'Batting Data'!K147/'Batting Data'!J147</f>
        <v>0.17490082942661378</v>
      </c>
      <c r="F147" s="60">
        <f>'Batting Data'!L147/'Batting Data'!J147</f>
        <v>5.6617381896862606E-2</v>
      </c>
      <c r="G147" s="60">
        <f>'Batting Data'!M147/'Batting Data'!J147</f>
        <v>5.9502344031734586E-3</v>
      </c>
      <c r="H147" s="60">
        <f>'Batting Data'!N147/'Batting Data'!J147</f>
        <v>3.2996754417598272E-2</v>
      </c>
      <c r="I147" s="60">
        <f>'Batting Data'!O147/'Batting Data'!J147</f>
        <v>0.1271186440677966</v>
      </c>
      <c r="J147" s="60">
        <f>'Batting Data'!P147/'Batting Data'!J147</f>
        <v>1.2982329606923909E-2</v>
      </c>
      <c r="K147" s="60">
        <f>'Batting Data'!Q147/'Batting Data'!J147</f>
        <v>0.58943382618103135</v>
      </c>
      <c r="L147" s="2" t="str">
        <f t="shared" si="5"/>
        <v>2004 San Francisco Giants</v>
      </c>
      <c r="M147" s="58">
        <f>'Pitching Data'!Q147/'Pitching Data'!P147</f>
        <v>0.15234931181775035</v>
      </c>
      <c r="N147" s="58">
        <f>'Pitching Data'!R147/'Pitching Data'!P147</f>
        <v>4.9042872963138744E-2</v>
      </c>
      <c r="O147" s="58">
        <f>'Pitching Data'!S147/'Pitching Data'!P147</f>
        <v>7.4355323524758739E-3</v>
      </c>
      <c r="P147" s="58">
        <f>'Pitching Data'!T147/'Pitching Data'!P147</f>
        <v>2.5470653377630121E-2</v>
      </c>
      <c r="Q147" s="58">
        <f>'Pitching Data'!U147/'Pitching Data'!P147</f>
        <v>8.6695143173548483E-2</v>
      </c>
      <c r="R147" s="58">
        <f>'Pitching Data'!V147/'Pitching Data'!P147</f>
        <v>7.4355323524758739E-3</v>
      </c>
      <c r="S147" s="58">
        <f>'Pitching Data'!W147/'Pitching Data'!P147</f>
        <v>0.6715709539629805</v>
      </c>
    </row>
    <row r="148" spans="2:19" x14ac:dyDescent="0.5">
      <c r="B148" s="2">
        <v>2004</v>
      </c>
      <c r="C148" s="2" t="s">
        <v>90</v>
      </c>
      <c r="D148" s="2" t="str">
        <f t="shared" si="4"/>
        <v>2004 St. Louis Cardinals</v>
      </c>
      <c r="E148" s="60">
        <f>'Batting Data'!K148/'Batting Data'!J148</f>
        <v>0.17767776777677768</v>
      </c>
      <c r="F148" s="60">
        <f>'Batting Data'!L148/'Batting Data'!J148</f>
        <v>5.7425742574257428E-2</v>
      </c>
      <c r="G148" s="60">
        <f>'Batting Data'!M148/'Batting Data'!J148</f>
        <v>4.3204320432043202E-3</v>
      </c>
      <c r="H148" s="60">
        <f>'Batting Data'!N148/'Batting Data'!J148</f>
        <v>3.8523852385238526E-2</v>
      </c>
      <c r="I148" s="60">
        <f>'Batting Data'!O148/'Batting Data'!J148</f>
        <v>9.864986498649865E-2</v>
      </c>
      <c r="J148" s="60">
        <f>'Batting Data'!P148/'Batting Data'!J148</f>
        <v>9.1809180918091815E-3</v>
      </c>
      <c r="K148" s="60">
        <f>'Batting Data'!Q148/'Batting Data'!J148</f>
        <v>0.6142214221422142</v>
      </c>
      <c r="L148" s="2" t="str">
        <f t="shared" si="5"/>
        <v>2004 St. Louis Cardinals</v>
      </c>
      <c r="M148" s="58">
        <f>'Pitching Data'!Q148/'Pitching Data'!P148</f>
        <v>0.14826343381389254</v>
      </c>
      <c r="N148" s="58">
        <f>'Pitching Data'!R148/'Pitching Data'!P148</f>
        <v>4.669069462647444E-2</v>
      </c>
      <c r="O148" s="58">
        <f>'Pitching Data'!S148/'Pitching Data'!P148</f>
        <v>3.1127129750982961E-3</v>
      </c>
      <c r="P148" s="58">
        <f>'Pitching Data'!T148/'Pitching Data'!P148</f>
        <v>2.7686762778505899E-2</v>
      </c>
      <c r="Q148" s="58">
        <f>'Pitching Data'!U148/'Pitching Data'!P148</f>
        <v>7.2083879423328959E-2</v>
      </c>
      <c r="R148" s="58">
        <f>'Pitching Data'!V148/'Pitching Data'!P148</f>
        <v>1.0976408912188729E-2</v>
      </c>
      <c r="S148" s="58">
        <f>'Pitching Data'!W148/'Pitching Data'!P148</f>
        <v>0.69118610747051112</v>
      </c>
    </row>
    <row r="149" spans="2:19" x14ac:dyDescent="0.5">
      <c r="B149" s="2">
        <v>2004</v>
      </c>
      <c r="C149" s="2" t="s">
        <v>92</v>
      </c>
      <c r="D149" s="2" t="str">
        <f t="shared" si="4"/>
        <v>2004 Tampa Bay Devil Rays</v>
      </c>
      <c r="E149" s="60">
        <f>'Batting Data'!K149/'Batting Data'!J149</f>
        <v>0.1727156666058727</v>
      </c>
      <c r="F149" s="60">
        <f>'Batting Data'!L149/'Batting Data'!J149</f>
        <v>5.0702170344701807E-2</v>
      </c>
      <c r="G149" s="60">
        <f>'Batting Data'!M149/'Batting Data'!J149</f>
        <v>8.3895677548787156E-3</v>
      </c>
      <c r="H149" s="60">
        <f>'Batting Data'!N149/'Batting Data'!J149</f>
        <v>2.6445376618639431E-2</v>
      </c>
      <c r="I149" s="60">
        <f>'Batting Data'!O149/'Batting Data'!J149</f>
        <v>8.5537114718219953E-2</v>
      </c>
      <c r="J149" s="60">
        <f>'Batting Data'!P149/'Batting Data'!J149</f>
        <v>1.0031004924311509E-2</v>
      </c>
      <c r="K149" s="60">
        <f>'Batting Data'!Q149/'Batting Data'!J149</f>
        <v>0.64617909903337589</v>
      </c>
      <c r="L149" s="2" t="str">
        <f t="shared" si="5"/>
        <v>2004 Tampa Bay Devil Rays</v>
      </c>
      <c r="M149" s="58">
        <f>'Pitching Data'!Q149/'Pitching Data'!P149</f>
        <v>0.14630250758664751</v>
      </c>
      <c r="N149" s="58">
        <f>'Pitching Data'!R149/'Pitching Data'!P149</f>
        <v>5.174892189746047E-2</v>
      </c>
      <c r="O149" s="58">
        <f>'Pitching Data'!S149/'Pitching Data'!P149</f>
        <v>4.3124101581217059E-3</v>
      </c>
      <c r="P149" s="58">
        <f>'Pitching Data'!T149/'Pitching Data'!P149</f>
        <v>3.0666027791087687E-2</v>
      </c>
      <c r="Q149" s="58">
        <f>'Pitching Data'!U149/'Pitching Data'!P149</f>
        <v>9.2636958952244053E-2</v>
      </c>
      <c r="R149" s="58">
        <f>'Pitching Data'!V149/'Pitching Data'!P149</f>
        <v>1.4853857211308098E-2</v>
      </c>
      <c r="S149" s="58">
        <f>'Pitching Data'!W149/'Pitching Data'!P149</f>
        <v>0.65947931640313051</v>
      </c>
    </row>
    <row r="150" spans="2:19" x14ac:dyDescent="0.5">
      <c r="B150" s="2">
        <v>2004</v>
      </c>
      <c r="C150" s="2" t="s">
        <v>94</v>
      </c>
      <c r="D150" s="2" t="str">
        <f t="shared" si="4"/>
        <v>2004 Texas Rangers</v>
      </c>
      <c r="E150" s="60">
        <f>'Batting Data'!K150/'Batting Data'!J150</f>
        <v>0.16170970614425645</v>
      </c>
      <c r="F150" s="60">
        <f>'Batting Data'!L150/'Batting Data'!J150</f>
        <v>5.752448797862867E-2</v>
      </c>
      <c r="G150" s="60">
        <f>'Batting Data'!M150/'Batting Data'!J150</f>
        <v>6.0552092609082817E-3</v>
      </c>
      <c r="H150" s="60">
        <f>'Batting Data'!N150/'Batting Data'!J150</f>
        <v>4.0427426536064112E-2</v>
      </c>
      <c r="I150" s="60">
        <f>'Batting Data'!O150/'Batting Data'!J150</f>
        <v>8.9047195013357075E-2</v>
      </c>
      <c r="J150" s="60">
        <f>'Batting Data'!P150/'Batting Data'!J150</f>
        <v>1.0863757791629564E-2</v>
      </c>
      <c r="K150" s="60">
        <f>'Batting Data'!Q150/'Batting Data'!J150</f>
        <v>0.6343722172751558</v>
      </c>
      <c r="L150" s="2" t="str">
        <f t="shared" si="5"/>
        <v>2004 Texas Rangers</v>
      </c>
      <c r="M150" s="58">
        <f>'Pitching Data'!Q150/'Pitching Data'!P150</f>
        <v>0.16390858944050432</v>
      </c>
      <c r="N150" s="58">
        <f>'Pitching Data'!R150/'Pitching Data'!P150</f>
        <v>4.475965327029157E-2</v>
      </c>
      <c r="O150" s="58">
        <f>'Pitching Data'!S150/'Pitching Data'!P150</f>
        <v>4.7281323877068557E-3</v>
      </c>
      <c r="P150" s="58">
        <f>'Pitching Data'!T150/'Pitching Data'!P150</f>
        <v>2.8684003152088258E-2</v>
      </c>
      <c r="Q150" s="58">
        <f>'Pitching Data'!U150/'Pitching Data'!P150</f>
        <v>8.6209613869188337E-2</v>
      </c>
      <c r="R150" s="58">
        <f>'Pitching Data'!V150/'Pitching Data'!P150</f>
        <v>1.276595744680851E-2</v>
      </c>
      <c r="S150" s="58">
        <f>'Pitching Data'!W150/'Pitching Data'!P150</f>
        <v>0.65894405043341209</v>
      </c>
    </row>
    <row r="151" spans="2:19" x14ac:dyDescent="0.5">
      <c r="B151" s="2">
        <v>2004</v>
      </c>
      <c r="C151" s="2" t="s">
        <v>96</v>
      </c>
      <c r="D151" s="2" t="str">
        <f t="shared" si="4"/>
        <v>2004 Toronto Blue Jays</v>
      </c>
      <c r="E151" s="60">
        <f>'Batting Data'!K151/'Batting Data'!J151</f>
        <v>0.17519435906707648</v>
      </c>
      <c r="F151" s="60">
        <f>'Batting Data'!L151/'Batting Data'!J151</f>
        <v>5.2431748327608024E-2</v>
      </c>
      <c r="G151" s="60">
        <f>'Batting Data'!M151/'Batting Data'!J151</f>
        <v>6.1471704935816308E-3</v>
      </c>
      <c r="H151" s="60">
        <f>'Batting Data'!N151/'Batting Data'!J151</f>
        <v>2.6215874163804012E-2</v>
      </c>
      <c r="I151" s="60">
        <f>'Batting Data'!O151/'Batting Data'!J151</f>
        <v>9.2749954800216958E-2</v>
      </c>
      <c r="J151" s="60">
        <f>'Batting Data'!P151/'Batting Data'!J151</f>
        <v>1.2836738383655759E-2</v>
      </c>
      <c r="K151" s="60">
        <f>'Batting Data'!Q151/'Batting Data'!J151</f>
        <v>0.63442415476405711</v>
      </c>
      <c r="L151" s="2" t="str">
        <f t="shared" si="5"/>
        <v>2004 Toronto Blue Jays</v>
      </c>
      <c r="M151" s="58">
        <f>'Pitching Data'!Q151/'Pitching Data'!P151</f>
        <v>0.15968794777901607</v>
      </c>
      <c r="N151" s="58">
        <f>'Pitching Data'!R151/'Pitching Data'!P151</f>
        <v>4.6648622830759434E-2</v>
      </c>
      <c r="O151" s="58">
        <f>'Pitching Data'!S151/'Pitching Data'!P151</f>
        <v>4.4578888711988536E-3</v>
      </c>
      <c r="P151" s="58">
        <f>'Pitching Data'!T151/'Pitching Data'!P151</f>
        <v>2.881706734596402E-2</v>
      </c>
      <c r="Q151" s="58">
        <f>'Pitching Data'!U151/'Pitching Data'!P151</f>
        <v>9.6799872631746539E-2</v>
      </c>
      <c r="R151" s="58">
        <f>'Pitching Data'!V151/'Pitching Data'!P151</f>
        <v>9.2341983760547679E-3</v>
      </c>
      <c r="S151" s="58">
        <f>'Pitching Data'!W151/'Pitching Data'!P151</f>
        <v>0.65435440216526031</v>
      </c>
    </row>
    <row r="152" spans="2:19" x14ac:dyDescent="0.5">
      <c r="B152" s="2">
        <v>2005</v>
      </c>
      <c r="C152" s="2" t="s">
        <v>36</v>
      </c>
      <c r="D152" s="2" t="str">
        <f t="shared" si="4"/>
        <v>2005 Anaheim Angels</v>
      </c>
      <c r="E152" s="60">
        <f>'Batting Data'!K152/'Batting Data'!J152</f>
        <v>0.1893669985775249</v>
      </c>
      <c r="F152" s="60">
        <f>'Batting Data'!L152/'Batting Data'!J152</f>
        <v>4.9431009957325744E-2</v>
      </c>
      <c r="G152" s="60">
        <f>'Batting Data'!M152/'Batting Data'!J152</f>
        <v>5.3342816500711234E-3</v>
      </c>
      <c r="H152" s="60">
        <f>'Batting Data'!N152/'Batting Data'!J152</f>
        <v>2.6137980085348508E-2</v>
      </c>
      <c r="I152" s="60">
        <f>'Batting Data'!O152/'Batting Data'!J152</f>
        <v>7.9480796586059749E-2</v>
      </c>
      <c r="J152" s="60">
        <f>'Batting Data'!P152/'Batting Data'!J152</f>
        <v>5.1564722617354194E-3</v>
      </c>
      <c r="K152" s="60">
        <f>'Batting Data'!Q152/'Batting Data'!J152</f>
        <v>0.64509246088193462</v>
      </c>
      <c r="L152" s="2" t="str">
        <f t="shared" si="5"/>
        <v>2005 Anaheim Angels</v>
      </c>
      <c r="M152" s="58">
        <f>'Pitching Data'!Q152/'Pitching Data'!P152</f>
        <v>0.15345891523221825</v>
      </c>
      <c r="N152" s="58">
        <f>'Pitching Data'!R152/'Pitching Data'!P152</f>
        <v>4.6281260149399157E-2</v>
      </c>
      <c r="O152" s="58">
        <f>'Pitching Data'!S152/'Pitching Data'!P152</f>
        <v>5.0341019811627153E-3</v>
      </c>
      <c r="P152" s="58">
        <f>'Pitching Data'!T152/'Pitching Data'!P152</f>
        <v>2.5657681065280935E-2</v>
      </c>
      <c r="Q152" s="58">
        <f>'Pitching Data'!U152/'Pitching Data'!P152</f>
        <v>7.1938941214680086E-2</v>
      </c>
      <c r="R152" s="58">
        <f>'Pitching Data'!V152/'Pitching Data'!P152</f>
        <v>7.7947385514777522E-3</v>
      </c>
      <c r="S152" s="58">
        <f>'Pitching Data'!W152/'Pitching Data'!P152</f>
        <v>0.68983436180578106</v>
      </c>
    </row>
    <row r="153" spans="2:19" x14ac:dyDescent="0.5">
      <c r="B153" s="2">
        <v>2005</v>
      </c>
      <c r="C153" s="2" t="s">
        <v>39</v>
      </c>
      <c r="D153" s="2" t="str">
        <f t="shared" si="4"/>
        <v>2005 Arizona Diamondbacks</v>
      </c>
      <c r="E153" s="60">
        <f>'Batting Data'!K153/'Batting Data'!J153</f>
        <v>0.16396396396396395</v>
      </c>
      <c r="F153" s="60">
        <f>'Batting Data'!L153/'Batting Data'!J153</f>
        <v>5.2432432432432431E-2</v>
      </c>
      <c r="G153" s="60">
        <f>'Batting Data'!M153/'Batting Data'!J153</f>
        <v>4.8648648648648646E-3</v>
      </c>
      <c r="H153" s="60">
        <f>'Batting Data'!N153/'Batting Data'!J153</f>
        <v>3.4414414414414417E-2</v>
      </c>
      <c r="I153" s="60">
        <f>'Batting Data'!O153/'Batting Data'!J153</f>
        <v>0.10918918918918918</v>
      </c>
      <c r="J153" s="60">
        <f>'Batting Data'!P153/'Batting Data'!J153</f>
        <v>9.9099099099099093E-3</v>
      </c>
      <c r="K153" s="60">
        <f>'Batting Data'!Q153/'Batting Data'!J153</f>
        <v>0.62522522522522528</v>
      </c>
      <c r="L153" s="2" t="str">
        <f t="shared" si="5"/>
        <v>2005 Arizona Diamondbacks</v>
      </c>
      <c r="M153" s="58">
        <f>'Pitching Data'!Q153/'Pitching Data'!P153</f>
        <v>0.15698219306466729</v>
      </c>
      <c r="N153" s="58">
        <f>'Pitching Data'!R153/'Pitching Data'!P153</f>
        <v>5.3264604810996562E-2</v>
      </c>
      <c r="O153" s="58">
        <f>'Pitching Data'!S153/'Pitching Data'!P153</f>
        <v>6.404248672289909E-3</v>
      </c>
      <c r="P153" s="58">
        <f>'Pitching Data'!T153/'Pitching Data'!P153</f>
        <v>3.0146829115901282E-2</v>
      </c>
      <c r="Q153" s="58">
        <f>'Pitching Data'!U153/'Pitching Data'!P153</f>
        <v>8.3880037488284917E-2</v>
      </c>
      <c r="R153" s="58">
        <f>'Pitching Data'!V153/'Pitching Data'!P153</f>
        <v>9.6844736019993747E-3</v>
      </c>
      <c r="S153" s="58">
        <f>'Pitching Data'!W153/'Pitching Data'!P153</f>
        <v>0.65963761324586068</v>
      </c>
    </row>
    <row r="154" spans="2:19" x14ac:dyDescent="0.5">
      <c r="B154" s="2">
        <v>2005</v>
      </c>
      <c r="C154" s="2" t="s">
        <v>41</v>
      </c>
      <c r="D154" s="2" t="str">
        <f t="shared" si="4"/>
        <v>2005 Atlanta Braves</v>
      </c>
      <c r="E154" s="60">
        <f>'Batting Data'!K154/'Batting Data'!J154</f>
        <v>0.16842872767043382</v>
      </c>
      <c r="F154" s="60">
        <f>'Batting Data'!L154/'Batting Data'!J154</f>
        <v>5.6142909223477942E-2</v>
      </c>
      <c r="G154" s="60">
        <f>'Batting Data'!M154/'Batting Data'!J154</f>
        <v>6.7444403937294934E-3</v>
      </c>
      <c r="H154" s="60">
        <f>'Batting Data'!N154/'Batting Data'!J154</f>
        <v>3.3539919795843968E-2</v>
      </c>
      <c r="I154" s="60">
        <f>'Batting Data'!O154/'Batting Data'!J154</f>
        <v>9.7338680277068906E-2</v>
      </c>
      <c r="J154" s="60">
        <f>'Batting Data'!P154/'Batting Data'!J154</f>
        <v>8.2026977761574926E-3</v>
      </c>
      <c r="K154" s="60">
        <f>'Batting Data'!Q154/'Batting Data'!J154</f>
        <v>0.62960262486328833</v>
      </c>
      <c r="L154" s="2" t="str">
        <f t="shared" si="5"/>
        <v>2005 Atlanta Braves</v>
      </c>
      <c r="M154" s="58">
        <f>'Pitching Data'!Q154/'Pitching Data'!P154</f>
        <v>0.16731328806983511</v>
      </c>
      <c r="N154" s="58">
        <f>'Pitching Data'!R154/'Pitching Data'!P154</f>
        <v>4.6071774975751698E-2</v>
      </c>
      <c r="O154" s="58">
        <f>'Pitching Data'!S154/'Pitching Data'!P154</f>
        <v>3.5564177174264469E-3</v>
      </c>
      <c r="P154" s="58">
        <f>'Pitching Data'!T154/'Pitching Data'!P154</f>
        <v>2.3440025864856127E-2</v>
      </c>
      <c r="Q154" s="58">
        <f>'Pitching Data'!U154/'Pitching Data'!P154</f>
        <v>8.4060782411897836E-2</v>
      </c>
      <c r="R154" s="58">
        <f>'Pitching Data'!V154/'Pitching Data'!P154</f>
        <v>5.1729712253475594E-3</v>
      </c>
      <c r="S154" s="58">
        <f>'Pitching Data'!W154/'Pitching Data'!P154</f>
        <v>0.67038473973488522</v>
      </c>
    </row>
    <row r="155" spans="2:19" x14ac:dyDescent="0.5">
      <c r="B155" s="2">
        <v>2005</v>
      </c>
      <c r="C155" s="2" t="s">
        <v>44</v>
      </c>
      <c r="D155" s="2" t="str">
        <f t="shared" si="4"/>
        <v>2005 Baltimore Orioles</v>
      </c>
      <c r="E155" s="60">
        <f>'Batting Data'!K155/'Batting Data'!J155</f>
        <v>0.17654476670870115</v>
      </c>
      <c r="F155" s="60">
        <f>'Batting Data'!L155/'Batting Data'!J155</f>
        <v>5.3323725454872996E-2</v>
      </c>
      <c r="G155" s="60">
        <f>'Batting Data'!M155/'Batting Data'!J155</f>
        <v>4.8639884705458476E-3</v>
      </c>
      <c r="H155" s="60">
        <f>'Batting Data'!N155/'Batting Data'!J155</f>
        <v>3.4047919293820936E-2</v>
      </c>
      <c r="I155" s="60">
        <f>'Batting Data'!O155/'Batting Data'!J155</f>
        <v>8.0526031345703478E-2</v>
      </c>
      <c r="J155" s="60">
        <f>'Batting Data'!P155/'Batting Data'!J155</f>
        <v>9.7279769410916952E-3</v>
      </c>
      <c r="K155" s="60">
        <f>'Batting Data'!Q155/'Batting Data'!J155</f>
        <v>0.64096559178526391</v>
      </c>
      <c r="L155" s="2" t="str">
        <f t="shared" si="5"/>
        <v>2005 Baltimore Orioles</v>
      </c>
      <c r="M155" s="58">
        <f>'Pitching Data'!Q155/'Pitching Data'!P155</f>
        <v>0.15956424223005447</v>
      </c>
      <c r="N155" s="58">
        <f>'Pitching Data'!R155/'Pitching Data'!P155</f>
        <v>4.1653316244793334E-2</v>
      </c>
      <c r="O155" s="58">
        <f>'Pitching Data'!S155/'Pitching Data'!P155</f>
        <v>3.5245113745594361E-3</v>
      </c>
      <c r="P155" s="58">
        <f>'Pitching Data'!T155/'Pitching Data'!P155</f>
        <v>2.8836911246395387E-2</v>
      </c>
      <c r="Q155" s="58">
        <f>'Pitching Data'!U155/'Pitching Data'!P155</f>
        <v>9.2918936238385139E-2</v>
      </c>
      <c r="R155" s="58">
        <f>'Pitching Data'!V155/'Pitching Data'!P155</f>
        <v>8.3306632489586665E-3</v>
      </c>
      <c r="S155" s="58">
        <f>'Pitching Data'!W155/'Pitching Data'!P155</f>
        <v>0.66517141941685354</v>
      </c>
    </row>
    <row r="156" spans="2:19" x14ac:dyDescent="0.5">
      <c r="B156" s="2">
        <v>2005</v>
      </c>
      <c r="C156" s="2" t="s">
        <v>46</v>
      </c>
      <c r="D156" s="2" t="str">
        <f t="shared" si="4"/>
        <v>2005 Boston Red Sox</v>
      </c>
      <c r="E156" s="60">
        <f>'Batting Data'!K156/'Batting Data'!J156</f>
        <v>0.18130110202630642</v>
      </c>
      <c r="F156" s="60">
        <f>'Batting Data'!L156/'Batting Data'!J156</f>
        <v>6.0255954496978313E-2</v>
      </c>
      <c r="G156" s="60">
        <f>'Batting Data'!M156/'Batting Data'!J156</f>
        <v>3.7326697476004265E-3</v>
      </c>
      <c r="H156" s="60">
        <f>'Batting Data'!N156/'Batting Data'!J156</f>
        <v>3.5371489512975474E-2</v>
      </c>
      <c r="I156" s="60">
        <f>'Batting Data'!O156/'Batting Data'!J156</f>
        <v>0.11606825453252755</v>
      </c>
      <c r="J156" s="60">
        <f>'Batting Data'!P156/'Batting Data'!J156</f>
        <v>8.3540703874866694E-3</v>
      </c>
      <c r="K156" s="60">
        <f>'Batting Data'!Q156/'Batting Data'!J156</f>
        <v>0.59491645929612513</v>
      </c>
      <c r="L156" s="2" t="str">
        <f t="shared" si="5"/>
        <v>2005 Boston Red Sox</v>
      </c>
      <c r="M156" s="58">
        <f>'Pitching Data'!Q156/'Pitching Data'!P156</f>
        <v>0.159145656014132</v>
      </c>
      <c r="N156" s="58">
        <f>'Pitching Data'!R156/'Pitching Data'!P156</f>
        <v>5.6849205074674801E-2</v>
      </c>
      <c r="O156" s="58">
        <f>'Pitching Data'!S156/'Pitching Data'!P156</f>
        <v>6.5842299662758957E-3</v>
      </c>
      <c r="P156" s="58">
        <f>'Pitching Data'!T156/'Pitching Data'!P156</f>
        <v>2.6336919865103583E-2</v>
      </c>
      <c r="Q156" s="58">
        <f>'Pitching Data'!U156/'Pitching Data'!P156</f>
        <v>7.0660028906375461E-2</v>
      </c>
      <c r="R156" s="58">
        <f>'Pitching Data'!V156/'Pitching Data'!P156</f>
        <v>1.4292596756062309E-2</v>
      </c>
      <c r="S156" s="58">
        <f>'Pitching Data'!W156/'Pitching Data'!P156</f>
        <v>0.66613136341737589</v>
      </c>
    </row>
    <row r="157" spans="2:19" x14ac:dyDescent="0.5">
      <c r="B157" s="2">
        <v>2005</v>
      </c>
      <c r="C157" s="2" t="s">
        <v>50</v>
      </c>
      <c r="D157" s="2" t="str">
        <f t="shared" si="4"/>
        <v>2005 Chicago Cubs</v>
      </c>
      <c r="E157" s="60">
        <f>'Batting Data'!K157/'Batting Data'!J157</f>
        <v>0.1729942693409742</v>
      </c>
      <c r="F157" s="60">
        <f>'Batting Data'!L157/'Batting Data'!J157</f>
        <v>5.784383954154728E-2</v>
      </c>
      <c r="G157" s="60">
        <f>'Batting Data'!M157/'Batting Data'!J157</f>
        <v>4.1189111747850999E-3</v>
      </c>
      <c r="H157" s="60">
        <f>'Batting Data'!N157/'Batting Data'!J157</f>
        <v>3.4742120343839542E-2</v>
      </c>
      <c r="I157" s="60">
        <f>'Batting Data'!O157/'Batting Data'!J157</f>
        <v>7.5035816618911177E-2</v>
      </c>
      <c r="J157" s="60">
        <f>'Batting Data'!P157/'Batting Data'!J157</f>
        <v>8.9541547277936957E-3</v>
      </c>
      <c r="K157" s="60">
        <f>'Batting Data'!Q157/'Batting Data'!J157</f>
        <v>0.646310888252149</v>
      </c>
      <c r="L157" s="2" t="str">
        <f t="shared" si="5"/>
        <v>2005 Chicago Cubs</v>
      </c>
      <c r="M157" s="58">
        <f>'Pitching Data'!Q157/'Pitching Data'!P157</f>
        <v>0.14454324979789815</v>
      </c>
      <c r="N157" s="58">
        <f>'Pitching Data'!R157/'Pitching Data'!P157</f>
        <v>4.1713823767178658E-2</v>
      </c>
      <c r="O157" s="58">
        <f>'Pitching Data'!S157/'Pitching Data'!P157</f>
        <v>3.0719482619240095E-3</v>
      </c>
      <c r="P157" s="58">
        <f>'Pitching Data'!T157/'Pitching Data'!P157</f>
        <v>3.0072756669361357E-2</v>
      </c>
      <c r="Q157" s="58">
        <f>'Pitching Data'!U157/'Pitching Data'!P157</f>
        <v>9.3128536782538393E-2</v>
      </c>
      <c r="R157" s="58">
        <f>'Pitching Data'!V157/'Pitching Data'!P157</f>
        <v>8.0840743734842367E-3</v>
      </c>
      <c r="S157" s="58">
        <f>'Pitching Data'!W157/'Pitching Data'!P157</f>
        <v>0.67938561034761524</v>
      </c>
    </row>
    <row r="158" spans="2:19" x14ac:dyDescent="0.5">
      <c r="B158" s="2">
        <v>2005</v>
      </c>
      <c r="C158" s="2" t="s">
        <v>48</v>
      </c>
      <c r="D158" s="2" t="str">
        <f t="shared" si="4"/>
        <v>2005 Chicago White Sox</v>
      </c>
      <c r="E158" s="60">
        <f>'Batting Data'!K158/'Batting Data'!J158</f>
        <v>0.1761620546210888</v>
      </c>
      <c r="F158" s="60">
        <f>'Batting Data'!L158/'Batting Data'!J158</f>
        <v>4.5758726713691446E-2</v>
      </c>
      <c r="G158" s="60">
        <f>'Batting Data'!M158/'Batting Data'!J158</f>
        <v>4.1598842466992227E-3</v>
      </c>
      <c r="H158" s="60">
        <f>'Batting Data'!N158/'Batting Data'!J158</f>
        <v>3.6172906493036713E-2</v>
      </c>
      <c r="I158" s="60">
        <f>'Batting Data'!O158/'Batting Data'!J158</f>
        <v>7.8676071622354862E-2</v>
      </c>
      <c r="J158" s="60">
        <f>'Batting Data'!P158/'Batting Data'!J158</f>
        <v>1.4288298064749502E-2</v>
      </c>
      <c r="K158" s="60">
        <f>'Batting Data'!Q158/'Batting Data'!J158</f>
        <v>0.64478205823837942</v>
      </c>
      <c r="L158" s="2" t="str">
        <f t="shared" si="5"/>
        <v>2005 Chicago White Sox</v>
      </c>
      <c r="M158" s="58">
        <f>'Pitching Data'!Q158/'Pitching Data'!P158</f>
        <v>0.14961139896373057</v>
      </c>
      <c r="N158" s="58">
        <f>'Pitching Data'!R158/'Pitching Data'!P158</f>
        <v>4.5012953367875648E-2</v>
      </c>
      <c r="O158" s="58">
        <f>'Pitching Data'!S158/'Pitching Data'!P158</f>
        <v>3.7240932642487044E-3</v>
      </c>
      <c r="P158" s="58">
        <f>'Pitching Data'!T158/'Pitching Data'!P158</f>
        <v>2.7040155440414507E-2</v>
      </c>
      <c r="Q158" s="58">
        <f>'Pitching Data'!U158/'Pitching Data'!P158</f>
        <v>7.4319948186528498E-2</v>
      </c>
      <c r="R158" s="58">
        <f>'Pitching Data'!V158/'Pitching Data'!P158</f>
        <v>8.4196891191709849E-3</v>
      </c>
      <c r="S158" s="58">
        <f>'Pitching Data'!W158/'Pitching Data'!P158</f>
        <v>0.6918717616580311</v>
      </c>
    </row>
    <row r="159" spans="2:19" x14ac:dyDescent="0.5">
      <c r="B159" s="2">
        <v>2005</v>
      </c>
      <c r="C159" s="2" t="s">
        <v>52</v>
      </c>
      <c r="D159" s="2" t="str">
        <f t="shared" si="4"/>
        <v>2005 Cincinnati Reds</v>
      </c>
      <c r="E159" s="60">
        <f>'Batting Data'!K159/'Batting Data'!J159</f>
        <v>0.15831087151841869</v>
      </c>
      <c r="F159" s="60">
        <f>'Batting Data'!L159/'Batting Data'!J159</f>
        <v>6.0197663971248878E-2</v>
      </c>
      <c r="G159" s="60">
        <f>'Batting Data'!M159/'Batting Data'!J159</f>
        <v>2.6954177897574125E-3</v>
      </c>
      <c r="H159" s="60">
        <f>'Batting Data'!N159/'Batting Data'!J159</f>
        <v>3.9892183288409704E-2</v>
      </c>
      <c r="I159" s="60">
        <f>'Batting Data'!O159/'Batting Data'!J159</f>
        <v>0.10979335130278527</v>
      </c>
      <c r="J159" s="60">
        <f>'Batting Data'!P159/'Batting Data'!J159</f>
        <v>1.1141060197663972E-2</v>
      </c>
      <c r="K159" s="60">
        <f>'Batting Data'!Q159/'Batting Data'!J159</f>
        <v>0.61796945193171604</v>
      </c>
      <c r="L159" s="2" t="str">
        <f t="shared" si="5"/>
        <v>2005 Cincinnati Reds</v>
      </c>
      <c r="M159" s="58">
        <f>'Pitching Data'!Q159/'Pitching Data'!P159</f>
        <v>0.1614819446615601</v>
      </c>
      <c r="N159" s="58">
        <f>'Pitching Data'!R159/'Pitching Data'!P159</f>
        <v>5.7214319212130688E-2</v>
      </c>
      <c r="O159" s="58">
        <f>'Pitching Data'!S159/'Pitching Data'!P159</f>
        <v>6.0966077848991712E-3</v>
      </c>
      <c r="P159" s="58">
        <f>'Pitching Data'!T159/'Pitching Data'!P159</f>
        <v>3.4234797561356889E-2</v>
      </c>
      <c r="Q159" s="58">
        <f>'Pitching Data'!U159/'Pitching Data'!P159</f>
        <v>7.6911052055651088E-2</v>
      </c>
      <c r="R159" s="58">
        <f>'Pitching Data'!V159/'Pitching Data'!P159</f>
        <v>1.2505862122870096E-2</v>
      </c>
      <c r="S159" s="58">
        <f>'Pitching Data'!W159/'Pitching Data'!P159</f>
        <v>0.65155541660153193</v>
      </c>
    </row>
    <row r="160" spans="2:19" x14ac:dyDescent="0.5">
      <c r="B160" s="2">
        <v>2005</v>
      </c>
      <c r="C160" s="2" t="s">
        <v>54</v>
      </c>
      <c r="D160" s="2" t="str">
        <f t="shared" si="4"/>
        <v>2005 Cleveland Indians</v>
      </c>
      <c r="E160" s="60">
        <f>'Batting Data'!K160/'Batting Data'!J160</f>
        <v>0.16901408450704225</v>
      </c>
      <c r="F160" s="60">
        <f>'Batting Data'!L160/'Batting Data'!J160</f>
        <v>6.0082011053663752E-2</v>
      </c>
      <c r="G160" s="60">
        <f>'Batting Data'!M160/'Batting Data'!J160</f>
        <v>5.3485469780709576E-3</v>
      </c>
      <c r="H160" s="60">
        <f>'Batting Data'!N160/'Batting Data'!J160</f>
        <v>3.6904974148689609E-2</v>
      </c>
      <c r="I160" s="60">
        <f>'Batting Data'!O160/'Batting Data'!J160</f>
        <v>8.9677304332323057E-2</v>
      </c>
      <c r="J160" s="60">
        <f>'Batting Data'!P160/'Batting Data'!J160</f>
        <v>9.6273845605277224E-3</v>
      </c>
      <c r="K160" s="60">
        <f>'Batting Data'!Q160/'Batting Data'!J160</f>
        <v>0.62934569441968269</v>
      </c>
      <c r="L160" s="2" t="str">
        <f t="shared" si="5"/>
        <v>2005 Cleveland Indians</v>
      </c>
      <c r="M160" s="58">
        <f>'Pitching Data'!Q160/'Pitching Data'!P160</f>
        <v>0.15244708994708994</v>
      </c>
      <c r="N160" s="58">
        <f>'Pitching Data'!R160/'Pitching Data'!P160</f>
        <v>4.4477513227513227E-2</v>
      </c>
      <c r="O160" s="58">
        <f>'Pitching Data'!S160/'Pitching Data'!P160</f>
        <v>2.48015873015873E-3</v>
      </c>
      <c r="P160" s="58">
        <f>'Pitching Data'!T160/'Pitching Data'!P160</f>
        <v>2.5958994708994709E-2</v>
      </c>
      <c r="Q160" s="58">
        <f>'Pitching Data'!U160/'Pitching Data'!P160</f>
        <v>6.8287037037037035E-2</v>
      </c>
      <c r="R160" s="58">
        <f>'Pitching Data'!V160/'Pitching Data'!P160</f>
        <v>6.7791005291005287E-3</v>
      </c>
      <c r="S160" s="58">
        <f>'Pitching Data'!W160/'Pitching Data'!P160</f>
        <v>0.69957010582010581</v>
      </c>
    </row>
    <row r="161" spans="2:19" x14ac:dyDescent="0.5">
      <c r="B161" s="2">
        <v>2005</v>
      </c>
      <c r="C161" s="2" t="s">
        <v>56</v>
      </c>
      <c r="D161" s="2" t="str">
        <f t="shared" si="4"/>
        <v>2005 Colorado Rockies</v>
      </c>
      <c r="E161" s="60">
        <f>'Batting Data'!K161/'Batting Data'!J161</f>
        <v>0.18278599783471672</v>
      </c>
      <c r="F161" s="60">
        <f>'Batting Data'!L161/'Batting Data'!J161</f>
        <v>5.0523276795380732E-2</v>
      </c>
      <c r="G161" s="60">
        <f>'Batting Data'!M161/'Batting Data'!J161</f>
        <v>6.1349693251533744E-3</v>
      </c>
      <c r="H161" s="60">
        <f>'Batting Data'!N161/'Batting Data'!J161</f>
        <v>2.7066041140382534E-2</v>
      </c>
      <c r="I161" s="60">
        <f>'Batting Data'!O161/'Batting Data'!J161</f>
        <v>9.1844099603031401E-2</v>
      </c>
      <c r="J161" s="60">
        <f>'Batting Data'!P161/'Batting Data'!J161</f>
        <v>1.154817755322988E-2</v>
      </c>
      <c r="K161" s="60">
        <f>'Batting Data'!Q161/'Batting Data'!J161</f>
        <v>0.63009743774810534</v>
      </c>
      <c r="L161" s="2" t="str">
        <f t="shared" si="5"/>
        <v>2005 Colorado Rockies</v>
      </c>
      <c r="M161" s="58">
        <f>'Pitching Data'!Q161/'Pitching Data'!P161</f>
        <v>0.16225528582615506</v>
      </c>
      <c r="N161" s="58">
        <f>'Pitching Data'!R161/'Pitching Data'!P161</f>
        <v>5.5912294440093969E-2</v>
      </c>
      <c r="O161" s="58">
        <f>'Pitching Data'!S161/'Pitching Data'!P161</f>
        <v>5.0117462803445575E-3</v>
      </c>
      <c r="P161" s="58">
        <f>'Pitching Data'!T161/'Pitching Data'!P161</f>
        <v>2.7407987470634301E-2</v>
      </c>
      <c r="Q161" s="58">
        <f>'Pitching Data'!U161/'Pitching Data'!P161</f>
        <v>9.4596711041503523E-2</v>
      </c>
      <c r="R161" s="58">
        <f>'Pitching Data'!V161/'Pitching Data'!P161</f>
        <v>1.3155833985904464E-2</v>
      </c>
      <c r="S161" s="58">
        <f>'Pitching Data'!W161/'Pitching Data'!P161</f>
        <v>0.64166014095536417</v>
      </c>
    </row>
    <row r="162" spans="2:19" x14ac:dyDescent="0.5">
      <c r="B162" s="2">
        <v>2005</v>
      </c>
      <c r="C162" s="2" t="s">
        <v>58</v>
      </c>
      <c r="D162" s="2" t="str">
        <f t="shared" si="4"/>
        <v>2005 Detroit Tigers</v>
      </c>
      <c r="E162" s="60">
        <f>'Batting Data'!K162/'Batting Data'!J162</f>
        <v>0.18297036772581221</v>
      </c>
      <c r="F162" s="60">
        <f>'Batting Data'!L162/'Batting Data'!J162</f>
        <v>5.0517672259907179E-2</v>
      </c>
      <c r="G162" s="60">
        <f>'Batting Data'!M162/'Batting Data'!J162</f>
        <v>8.0328454123527303E-3</v>
      </c>
      <c r="H162" s="60">
        <f>'Batting Data'!N162/'Batting Data'!J162</f>
        <v>2.9989289539450195E-2</v>
      </c>
      <c r="I162" s="60">
        <f>'Batting Data'!O162/'Batting Data'!J162</f>
        <v>6.8546947518743309E-2</v>
      </c>
      <c r="J162" s="60">
        <f>'Batting Data'!P162/'Batting Data'!J162</f>
        <v>9.4609068189932168E-3</v>
      </c>
      <c r="K162" s="60">
        <f>'Batting Data'!Q162/'Batting Data'!J162</f>
        <v>0.65048197072474112</v>
      </c>
      <c r="L162" s="2" t="str">
        <f t="shared" si="5"/>
        <v>2005 Detroit Tigers</v>
      </c>
      <c r="M162" s="58">
        <f>'Pitching Data'!Q162/'Pitching Data'!P162</f>
        <v>0.16582505294021826</v>
      </c>
      <c r="N162" s="58">
        <f>'Pitching Data'!R162/'Pitching Data'!P162</f>
        <v>4.2026388662648642E-2</v>
      </c>
      <c r="O162" s="58">
        <f>'Pitching Data'!S162/'Pitching Data'!P162</f>
        <v>5.7012542759407071E-3</v>
      </c>
      <c r="P162" s="58">
        <f>'Pitching Data'!T162/'Pitching Data'!P162</f>
        <v>3.1438345007330185E-2</v>
      </c>
      <c r="Q162" s="58">
        <f>'Pitching Data'!U162/'Pitching Data'!P162</f>
        <v>7.509366346310474E-2</v>
      </c>
      <c r="R162" s="58">
        <f>'Pitching Data'!V162/'Pitching Data'!P162</f>
        <v>8.307541944942173E-3</v>
      </c>
      <c r="S162" s="58">
        <f>'Pitching Data'!W162/'Pitching Data'!P162</f>
        <v>0.67160775370581527</v>
      </c>
    </row>
    <row r="163" spans="2:19" x14ac:dyDescent="0.5">
      <c r="B163" s="2">
        <v>2005</v>
      </c>
      <c r="C163" s="2" t="s">
        <v>60</v>
      </c>
      <c r="D163" s="2" t="str">
        <f t="shared" si="4"/>
        <v>2005 Florida Marlins</v>
      </c>
      <c r="E163" s="60">
        <f>'Batting Data'!K163/'Batting Data'!J163</f>
        <v>0.18774990912395492</v>
      </c>
      <c r="F163" s="60">
        <f>'Batting Data'!L163/'Batting Data'!J163</f>
        <v>5.5616139585605233E-2</v>
      </c>
      <c r="G163" s="60">
        <f>'Batting Data'!M163/'Batting Data'!J163</f>
        <v>5.8160668847691745E-3</v>
      </c>
      <c r="H163" s="60">
        <f>'Batting Data'!N163/'Batting Data'!J163</f>
        <v>2.3264267539076698E-2</v>
      </c>
      <c r="I163" s="60">
        <f>'Batting Data'!O163/'Batting Data'!J163</f>
        <v>9.3057070156306793E-2</v>
      </c>
      <c r="J163" s="60">
        <f>'Batting Data'!P163/'Batting Data'!J163</f>
        <v>1.2177390039985459E-2</v>
      </c>
      <c r="K163" s="60">
        <f>'Batting Data'!Q163/'Batting Data'!J163</f>
        <v>0.62231915667030169</v>
      </c>
      <c r="L163" s="2" t="str">
        <f t="shared" si="5"/>
        <v>2005 Florida Marlins</v>
      </c>
      <c r="M163" s="58">
        <f>'Pitching Data'!Q163/'Pitching Data'!P163</f>
        <v>0.15891597177677999</v>
      </c>
      <c r="N163" s="58">
        <f>'Pitching Data'!R163/'Pitching Data'!P163</f>
        <v>4.9069916613213596E-2</v>
      </c>
      <c r="O163" s="58">
        <f>'Pitching Data'!S163/'Pitching Data'!P163</f>
        <v>7.3765234124438745E-3</v>
      </c>
      <c r="P163" s="58">
        <f>'Pitching Data'!T163/'Pitching Data'!P163</f>
        <v>1.8601667735728029E-2</v>
      </c>
      <c r="Q163" s="58">
        <f>'Pitching Data'!U163/'Pitching Data'!P163</f>
        <v>9.0282232200128293E-2</v>
      </c>
      <c r="R163" s="58">
        <f>'Pitching Data'!V163/'Pitching Data'!P163</f>
        <v>1.0423348300192431E-2</v>
      </c>
      <c r="S163" s="58">
        <f>'Pitching Data'!W163/'Pitching Data'!P163</f>
        <v>0.66533033996151381</v>
      </c>
    </row>
    <row r="164" spans="2:19" x14ac:dyDescent="0.5">
      <c r="B164" s="2">
        <v>2005</v>
      </c>
      <c r="C164" s="2" t="s">
        <v>62</v>
      </c>
      <c r="D164" s="2" t="str">
        <f t="shared" si="4"/>
        <v>2005 Houston Astros</v>
      </c>
      <c r="E164" s="60">
        <f>'Batting Data'!K164/'Batting Data'!J164</f>
        <v>0.16953496887586963</v>
      </c>
      <c r="F164" s="60">
        <f>'Batting Data'!L164/'Batting Data'!J164</f>
        <v>5.1446356645917249E-2</v>
      </c>
      <c r="G164" s="60">
        <f>'Batting Data'!M164/'Batting Data'!J164</f>
        <v>5.8586598315635294E-3</v>
      </c>
      <c r="H164" s="60">
        <f>'Batting Data'!N164/'Batting Data'!J164</f>
        <v>2.947638227755401E-2</v>
      </c>
      <c r="I164" s="60">
        <f>'Batting Data'!O164/'Batting Data'!J164</f>
        <v>8.8062980593189302E-2</v>
      </c>
      <c r="J164" s="60">
        <f>'Batting Data'!P164/'Batting Data'!J164</f>
        <v>1.3181984621017943E-2</v>
      </c>
      <c r="K164" s="60">
        <f>'Batting Data'!Q164/'Batting Data'!J164</f>
        <v>0.64243866715488829</v>
      </c>
      <c r="L164" s="2" t="str">
        <f t="shared" si="5"/>
        <v>2005 Houston Astros</v>
      </c>
      <c r="M164" s="58">
        <f>'Pitching Data'!Q164/'Pitching Data'!P164</f>
        <v>0.1485970446621285</v>
      </c>
      <c r="N164" s="58">
        <f>'Pitching Data'!R164/'Pitching Data'!P164</f>
        <v>4.3001826332392495E-2</v>
      </c>
      <c r="O164" s="58">
        <f>'Pitching Data'!S164/'Pitching Data'!P164</f>
        <v>4.4828158724887933E-3</v>
      </c>
      <c r="P164" s="58">
        <f>'Pitching Data'!T164/'Pitching Data'!P164</f>
        <v>2.5734683712435664E-2</v>
      </c>
      <c r="Q164" s="58">
        <f>'Pitching Data'!U164/'Pitching Data'!P164</f>
        <v>7.3053295699817361E-2</v>
      </c>
      <c r="R164" s="58">
        <f>'Pitching Data'!V164/'Pitching Data'!P164</f>
        <v>9.7957828324755098E-3</v>
      </c>
      <c r="S164" s="58">
        <f>'Pitching Data'!W164/'Pitching Data'!P164</f>
        <v>0.69533455088826168</v>
      </c>
    </row>
    <row r="165" spans="2:19" x14ac:dyDescent="0.5">
      <c r="B165" s="2">
        <v>2005</v>
      </c>
      <c r="C165" s="2" t="s">
        <v>64</v>
      </c>
      <c r="D165" s="2" t="str">
        <f t="shared" si="4"/>
        <v>2005 Kansas City Royals</v>
      </c>
      <c r="E165" s="60">
        <f>'Batting Data'!K165/'Batting Data'!J165</f>
        <v>0.18099218608031983</v>
      </c>
      <c r="F165" s="60">
        <f>'Batting Data'!L165/'Batting Data'!J165</f>
        <v>5.2516809013265491E-2</v>
      </c>
      <c r="G165" s="60">
        <f>'Batting Data'!M165/'Batting Data'!J165</f>
        <v>6.1784481192077049E-3</v>
      </c>
      <c r="H165" s="60">
        <f>'Batting Data'!N165/'Batting Data'!J165</f>
        <v>2.2896601853534437E-2</v>
      </c>
      <c r="I165" s="60">
        <f>'Batting Data'!O165/'Batting Data'!J165</f>
        <v>7.7048882427766668E-2</v>
      </c>
      <c r="J165" s="60">
        <f>'Batting Data'!P165/'Batting Data'!J165</f>
        <v>1.1448300926767218E-2</v>
      </c>
      <c r="K165" s="60">
        <f>'Batting Data'!Q165/'Batting Data'!J165</f>
        <v>0.64891877157913869</v>
      </c>
      <c r="L165" s="2" t="str">
        <f t="shared" si="5"/>
        <v>2005 Kansas City Royals</v>
      </c>
      <c r="M165" s="58">
        <f>'Pitching Data'!Q165/'Pitching Data'!P165</f>
        <v>0.16844583987441131</v>
      </c>
      <c r="N165" s="58">
        <f>'Pitching Data'!R165/'Pitching Data'!P165</f>
        <v>5.4474097331240187E-2</v>
      </c>
      <c r="O165" s="58">
        <f>'Pitching Data'!S165/'Pitching Data'!P165</f>
        <v>6.5934065934065934E-3</v>
      </c>
      <c r="P165" s="58">
        <f>'Pitching Data'!T165/'Pitching Data'!P165</f>
        <v>2.7943485086342229E-2</v>
      </c>
      <c r="Q165" s="58">
        <f>'Pitching Data'!U165/'Pitching Data'!P165</f>
        <v>9.1051805337519623E-2</v>
      </c>
      <c r="R165" s="58">
        <f>'Pitching Data'!V165/'Pitching Data'!P165</f>
        <v>1.1616954474097331E-2</v>
      </c>
      <c r="S165" s="58">
        <f>'Pitching Data'!W165/'Pitching Data'!P165</f>
        <v>0.63987441130298273</v>
      </c>
    </row>
    <row r="166" spans="2:19" x14ac:dyDescent="0.5">
      <c r="B166" s="2">
        <v>2005</v>
      </c>
      <c r="C166" s="2" t="s">
        <v>66</v>
      </c>
      <c r="D166" s="2" t="str">
        <f t="shared" si="4"/>
        <v>2005 Los Angeles Dodgers</v>
      </c>
      <c r="E166" s="60">
        <f>'Batting Data'!K166/'Batting Data'!J166</f>
        <v>0.16933554205779497</v>
      </c>
      <c r="F166" s="60">
        <f>'Batting Data'!L166/'Batting Data'!J166</f>
        <v>5.2273145591754097E-2</v>
      </c>
      <c r="G166" s="60">
        <f>'Batting Data'!M166/'Batting Data'!J166</f>
        <v>3.865267807840972E-3</v>
      </c>
      <c r="H166" s="60">
        <f>'Batting Data'!N166/'Batting Data'!J166</f>
        <v>2.7424995398490706E-2</v>
      </c>
      <c r="I166" s="60">
        <f>'Batting Data'!O166/'Batting Data'!J166</f>
        <v>9.9576661144855513E-2</v>
      </c>
      <c r="J166" s="60">
        <f>'Batting Data'!P166/'Batting Data'!J166</f>
        <v>1.233204491073072E-2</v>
      </c>
      <c r="K166" s="60">
        <f>'Batting Data'!Q166/'Batting Data'!J166</f>
        <v>0.63519234308853301</v>
      </c>
      <c r="L166" s="2" t="str">
        <f t="shared" si="5"/>
        <v>2005 Los Angeles Dodgers</v>
      </c>
      <c r="M166" s="58">
        <f>'Pitching Data'!Q166/'Pitching Data'!P166</f>
        <v>0.15180762309831505</v>
      </c>
      <c r="N166" s="58">
        <f>'Pitching Data'!R166/'Pitching Data'!P166</f>
        <v>4.7603468018975956E-2</v>
      </c>
      <c r="O166" s="58">
        <f>'Pitching Data'!S166/'Pitching Data'!P166</f>
        <v>5.3983314248323248E-3</v>
      </c>
      <c r="P166" s="58">
        <f>'Pitching Data'!T166/'Pitching Data'!P166</f>
        <v>2.9772615736954031E-2</v>
      </c>
      <c r="Q166" s="58">
        <f>'Pitching Data'!U166/'Pitching Data'!P166</f>
        <v>7.7048912154424998E-2</v>
      </c>
      <c r="R166" s="58">
        <f>'Pitching Data'!V166/'Pitching Data'!P166</f>
        <v>1.046949124815966E-2</v>
      </c>
      <c r="S166" s="58">
        <f>'Pitching Data'!W166/'Pitching Data'!P166</f>
        <v>0.67789955831833792</v>
      </c>
    </row>
    <row r="167" spans="2:19" x14ac:dyDescent="0.5">
      <c r="B167" s="2">
        <v>2005</v>
      </c>
      <c r="C167" s="2" t="s">
        <v>68</v>
      </c>
      <c r="D167" s="2" t="str">
        <f t="shared" si="4"/>
        <v>2005 Milwaukee Brewers</v>
      </c>
      <c r="E167" s="60">
        <f>'Batting Data'!K167/'Batting Data'!J167</f>
        <v>0.16372980910425844</v>
      </c>
      <c r="F167" s="60">
        <f>'Batting Data'!L167/'Batting Data'!J167</f>
        <v>6.0022026431718063E-2</v>
      </c>
      <c r="G167" s="60">
        <f>'Batting Data'!M167/'Batting Data'!J167</f>
        <v>3.4875183553597653E-3</v>
      </c>
      <c r="H167" s="60">
        <f>'Batting Data'!N167/'Batting Data'!J167</f>
        <v>3.2121879588839941E-2</v>
      </c>
      <c r="I167" s="60">
        <f>'Batting Data'!O167/'Batting Data'!J167</f>
        <v>9.7466960352422902E-2</v>
      </c>
      <c r="J167" s="60">
        <f>'Batting Data'!P167/'Batting Data'!J167</f>
        <v>1.3399412628487518E-2</v>
      </c>
      <c r="K167" s="60">
        <f>'Batting Data'!Q167/'Batting Data'!J167</f>
        <v>0.62977239353891334</v>
      </c>
      <c r="L167" s="2" t="str">
        <f t="shared" si="5"/>
        <v>2005 Milwaukee Brewers</v>
      </c>
      <c r="M167" s="58">
        <f>'Pitching Data'!Q167/'Pitching Data'!P167</f>
        <v>0.14223582474226804</v>
      </c>
      <c r="N167" s="58">
        <f>'Pitching Data'!R167/'Pitching Data'!P167</f>
        <v>4.8324742268041239E-2</v>
      </c>
      <c r="O167" s="58">
        <f>'Pitching Data'!S167/'Pitching Data'!P167</f>
        <v>4.8324742268041239E-3</v>
      </c>
      <c r="P167" s="58">
        <f>'Pitching Data'!T167/'Pitching Data'!P167</f>
        <v>2.7222938144329897E-2</v>
      </c>
      <c r="Q167" s="58">
        <f>'Pitching Data'!U167/'Pitching Data'!P167</f>
        <v>9.165592783505154E-2</v>
      </c>
      <c r="R167" s="58">
        <f>'Pitching Data'!V167/'Pitching Data'!P167</f>
        <v>7.2487113402061858E-3</v>
      </c>
      <c r="S167" s="58">
        <f>'Pitching Data'!W167/'Pitching Data'!P167</f>
        <v>0.678479381443299</v>
      </c>
    </row>
    <row r="168" spans="2:19" x14ac:dyDescent="0.5">
      <c r="B168" s="2">
        <v>2005</v>
      </c>
      <c r="C168" s="2" t="s">
        <v>70</v>
      </c>
      <c r="D168" s="2" t="str">
        <f t="shared" si="4"/>
        <v>2005 Minnesota Twins</v>
      </c>
      <c r="E168" s="60">
        <f>'Batting Data'!K168/'Batting Data'!J168</f>
        <v>0.18080517613227895</v>
      </c>
      <c r="F168" s="60">
        <f>'Batting Data'!L168/'Batting Data'!J168</f>
        <v>4.834651329978433E-2</v>
      </c>
      <c r="G168" s="60">
        <f>'Batting Data'!M168/'Batting Data'!J168</f>
        <v>5.7512580877066861E-3</v>
      </c>
      <c r="H168" s="60">
        <f>'Batting Data'!N168/'Batting Data'!J168</f>
        <v>2.4083393242271746E-2</v>
      </c>
      <c r="I168" s="60">
        <f>'Batting Data'!O168/'Batting Data'!J168</f>
        <v>8.7167505391804456E-2</v>
      </c>
      <c r="J168" s="60">
        <f>'Batting Data'!P168/'Batting Data'!J168</f>
        <v>1.0603882099209202E-2</v>
      </c>
      <c r="K168" s="60">
        <f>'Batting Data'!Q168/'Batting Data'!J168</f>
        <v>0.64324227174694459</v>
      </c>
      <c r="L168" s="2" t="str">
        <f t="shared" si="5"/>
        <v>2005 Minnesota Twins</v>
      </c>
      <c r="M168" s="58">
        <f>'Pitching Data'!Q168/'Pitching Data'!P168</f>
        <v>0.16534914361001318</v>
      </c>
      <c r="N168" s="58">
        <f>'Pitching Data'!R168/'Pitching Data'!P168</f>
        <v>4.2325428194993416E-2</v>
      </c>
      <c r="O168" s="58">
        <f>'Pitching Data'!S168/'Pitching Data'!P168</f>
        <v>4.61133069828722E-3</v>
      </c>
      <c r="P168" s="58">
        <f>'Pitching Data'!T168/'Pitching Data'!P168</f>
        <v>2.7832674571805008E-2</v>
      </c>
      <c r="Q168" s="58">
        <f>'Pitching Data'!U168/'Pitching Data'!P168</f>
        <v>5.731225296442688E-2</v>
      </c>
      <c r="R168" s="58">
        <f>'Pitching Data'!V168/'Pitching Data'!P168</f>
        <v>7.0816864295125161E-3</v>
      </c>
      <c r="S168" s="58">
        <f>'Pitching Data'!W168/'Pitching Data'!P168</f>
        <v>0.69548748353096179</v>
      </c>
    </row>
    <row r="169" spans="2:19" x14ac:dyDescent="0.5">
      <c r="B169" s="2">
        <v>2005</v>
      </c>
      <c r="C169" s="2" t="s">
        <v>76</v>
      </c>
      <c r="D169" s="2" t="str">
        <f t="shared" si="4"/>
        <v>2005 New York Mets</v>
      </c>
      <c r="E169" s="60">
        <f>'Batting Data'!K169/'Batting Data'!J169</f>
        <v>0.16984559491371481</v>
      </c>
      <c r="F169" s="60">
        <f>'Batting Data'!L169/'Batting Data'!J169</f>
        <v>5.0681198910081743E-2</v>
      </c>
      <c r="G169" s="60">
        <f>'Batting Data'!M169/'Batting Data'!J169</f>
        <v>5.812897366030881E-3</v>
      </c>
      <c r="H169" s="60">
        <f>'Batting Data'!N169/'Batting Data'!J169</f>
        <v>3.1789282470481378E-2</v>
      </c>
      <c r="I169" s="60">
        <f>'Batting Data'!O169/'Batting Data'!J169</f>
        <v>8.8283378746594005E-2</v>
      </c>
      <c r="J169" s="60">
        <f>'Batting Data'!P169/'Batting Data'!J169</f>
        <v>8.7193460490463219E-3</v>
      </c>
      <c r="K169" s="60">
        <f>'Batting Data'!Q169/'Batting Data'!J169</f>
        <v>0.64486830154405084</v>
      </c>
      <c r="L169" s="2" t="str">
        <f t="shared" si="5"/>
        <v>2005 New York Mets</v>
      </c>
      <c r="M169" s="58">
        <f>'Pitching Data'!Q169/'Pitching Data'!P169</f>
        <v>0.15634700212383598</v>
      </c>
      <c r="N169" s="58">
        <f>'Pitching Data'!R169/'Pitching Data'!P169</f>
        <v>4.5254043456951477E-2</v>
      </c>
      <c r="O169" s="58">
        <f>'Pitching Data'!S169/'Pitching Data'!P169</f>
        <v>3.4308119588302567E-3</v>
      </c>
      <c r="P169" s="58">
        <f>'Pitching Data'!T169/'Pitching Data'!P169</f>
        <v>2.2055219735337365E-2</v>
      </c>
      <c r="Q169" s="58">
        <f>'Pitching Data'!U169/'Pitching Data'!P169</f>
        <v>8.0215651037412183E-2</v>
      </c>
      <c r="R169" s="58">
        <f>'Pitching Data'!V169/'Pitching Data'!P169</f>
        <v>9.1488318902140167E-3</v>
      </c>
      <c r="S169" s="58">
        <f>'Pitching Data'!W169/'Pitching Data'!P169</f>
        <v>0.68354843979741875</v>
      </c>
    </row>
    <row r="170" spans="2:19" x14ac:dyDescent="0.5">
      <c r="B170" s="2">
        <v>2005</v>
      </c>
      <c r="C170" s="2" t="s">
        <v>74</v>
      </c>
      <c r="D170" s="2" t="str">
        <f t="shared" si="4"/>
        <v>2005 New York Yankees</v>
      </c>
      <c r="E170" s="60">
        <f>'Batting Data'!K170/'Batting Data'!J170</f>
        <v>0.18634423897581792</v>
      </c>
      <c r="F170" s="60">
        <f>'Batting Data'!L170/'Batting Data'!J170</f>
        <v>4.6052631578947366E-2</v>
      </c>
      <c r="G170" s="60">
        <f>'Batting Data'!M170/'Batting Data'!J170</f>
        <v>2.8449502133712661E-3</v>
      </c>
      <c r="H170" s="60">
        <f>'Batting Data'!N170/'Batting Data'!J170</f>
        <v>4.0718349928876248E-2</v>
      </c>
      <c r="I170" s="60">
        <f>'Batting Data'!O170/'Batting Data'!J170</f>
        <v>0.11326458036984353</v>
      </c>
      <c r="J170" s="60">
        <f>'Batting Data'!P170/'Batting Data'!J170</f>
        <v>1.2980085348506401E-2</v>
      </c>
      <c r="K170" s="60">
        <f>'Batting Data'!Q170/'Batting Data'!J170</f>
        <v>0.59779516358463725</v>
      </c>
      <c r="L170" s="2" t="str">
        <f t="shared" si="5"/>
        <v>2005 New York Yankees</v>
      </c>
      <c r="M170" s="58">
        <f>'Pitching Data'!Q170/'Pitching Data'!P170</f>
        <v>0.16256874797800064</v>
      </c>
      <c r="N170" s="58">
        <f>'Pitching Data'!R170/'Pitching Data'!P170</f>
        <v>4.7719184729860885E-2</v>
      </c>
      <c r="O170" s="58">
        <f>'Pitching Data'!S170/'Pitching Data'!P170</f>
        <v>5.0145583953413132E-3</v>
      </c>
      <c r="P170" s="58">
        <f>'Pitching Data'!T170/'Pitching Data'!P170</f>
        <v>2.6528631510837918E-2</v>
      </c>
      <c r="Q170" s="58">
        <f>'Pitching Data'!U170/'Pitching Data'!P170</f>
        <v>7.4894856033646068E-2</v>
      </c>
      <c r="R170" s="58">
        <f>'Pitching Data'!V170/'Pitching Data'!P170</f>
        <v>1.3587835651892591E-2</v>
      </c>
      <c r="S170" s="58">
        <f>'Pitching Data'!W170/'Pitching Data'!P170</f>
        <v>0.6696861857004206</v>
      </c>
    </row>
    <row r="171" spans="2:19" x14ac:dyDescent="0.5">
      <c r="B171" s="2">
        <v>2005</v>
      </c>
      <c r="C171" s="2" t="s">
        <v>78</v>
      </c>
      <c r="D171" s="2" t="str">
        <f t="shared" si="4"/>
        <v>2005 Oakland Athletics</v>
      </c>
      <c r="E171" s="60">
        <f>'Batting Data'!K171/'Batting Data'!J171</f>
        <v>0.17611515905455838</v>
      </c>
      <c r="F171" s="60">
        <f>'Batting Data'!L171/'Batting Data'!J171</f>
        <v>5.5091523014039454E-2</v>
      </c>
      <c r="G171" s="60">
        <f>'Batting Data'!M171/'Batting Data'!J171</f>
        <v>3.5542918073573839E-3</v>
      </c>
      <c r="H171" s="60">
        <f>'Batting Data'!N171/'Batting Data'!J171</f>
        <v>2.7545761507019727E-2</v>
      </c>
      <c r="I171" s="60">
        <f>'Batting Data'!O171/'Batting Data'!J171</f>
        <v>9.5432735027545762E-2</v>
      </c>
      <c r="J171" s="60">
        <f>'Batting Data'!P171/'Batting Data'!J171</f>
        <v>9.2411586991291983E-3</v>
      </c>
      <c r="K171" s="60">
        <f>'Batting Data'!Q171/'Batting Data'!J171</f>
        <v>0.6330193708903501</v>
      </c>
      <c r="L171" s="2" t="str">
        <f t="shared" si="5"/>
        <v>2005 Oakland Athletics</v>
      </c>
      <c r="M171" s="58">
        <f>'Pitching Data'!Q171/'Pitching Data'!P171</f>
        <v>0.14490131578947368</v>
      </c>
      <c r="N171" s="58">
        <f>'Pitching Data'!R171/'Pitching Data'!P171</f>
        <v>4.2269736842105263E-2</v>
      </c>
      <c r="O171" s="58">
        <f>'Pitching Data'!S171/'Pitching Data'!P171</f>
        <v>3.7828947368421053E-3</v>
      </c>
      <c r="P171" s="58">
        <f>'Pitching Data'!T171/'Pitching Data'!P171</f>
        <v>2.5328947368421052E-2</v>
      </c>
      <c r="Q171" s="58">
        <f>'Pitching Data'!U171/'Pitching Data'!P171</f>
        <v>8.2894736842105257E-2</v>
      </c>
      <c r="R171" s="58">
        <f>'Pitching Data'!V171/'Pitching Data'!P171</f>
        <v>9.8684210526315784E-3</v>
      </c>
      <c r="S171" s="58">
        <f>'Pitching Data'!W171/'Pitching Data'!P171</f>
        <v>0.69095394736842108</v>
      </c>
    </row>
    <row r="172" spans="2:19" x14ac:dyDescent="0.5">
      <c r="B172" s="2">
        <v>2005</v>
      </c>
      <c r="C172" s="2" t="s">
        <v>80</v>
      </c>
      <c r="D172" s="2" t="str">
        <f t="shared" si="4"/>
        <v>2005 Philadelphia Phillies</v>
      </c>
      <c r="E172" s="60">
        <f>'Batting Data'!K172/'Batting Data'!J172</f>
        <v>0.18224467701190905</v>
      </c>
      <c r="F172" s="60">
        <f>'Batting Data'!L172/'Batting Data'!J172</f>
        <v>5.0884157343919163E-2</v>
      </c>
      <c r="G172" s="60">
        <f>'Batting Data'!M172/'Batting Data'!J172</f>
        <v>6.3154095994225916E-3</v>
      </c>
      <c r="H172" s="60">
        <f>'Batting Data'!N172/'Batting Data'!J172</f>
        <v>3.0133525802959221E-2</v>
      </c>
      <c r="I172" s="60">
        <f>'Batting Data'!O172/'Batting Data'!J172</f>
        <v>0.11530133525802959</v>
      </c>
      <c r="J172" s="60">
        <f>'Batting Data'!P172/'Batting Data'!J172</f>
        <v>1.0104655359076146E-2</v>
      </c>
      <c r="K172" s="60">
        <f>'Batting Data'!Q172/'Batting Data'!J172</f>
        <v>0.6050162396246842</v>
      </c>
      <c r="L172" s="2" t="str">
        <f t="shared" si="5"/>
        <v>2005 Philadelphia Phillies</v>
      </c>
      <c r="M172" s="58">
        <f>'Pitching Data'!Q172/'Pitching Data'!P172</f>
        <v>0.13776760908645203</v>
      </c>
      <c r="N172" s="58">
        <f>'Pitching Data'!R172/'Pitching Data'!P172</f>
        <v>5.2132701421800945E-2</v>
      </c>
      <c r="O172" s="58">
        <f>'Pitching Data'!S172/'Pitching Data'!P172</f>
        <v>4.5759110965844091E-3</v>
      </c>
      <c r="P172" s="58">
        <f>'Pitching Data'!T172/'Pitching Data'!P172</f>
        <v>3.0887399901944761E-2</v>
      </c>
      <c r="Q172" s="58">
        <f>'Pitching Data'!U172/'Pitching Data'!P172</f>
        <v>7.9588168001307399E-2</v>
      </c>
      <c r="R172" s="58">
        <f>'Pitching Data'!V172/'Pitching Data'!P172</f>
        <v>1.1766628534074196E-2</v>
      </c>
      <c r="S172" s="58">
        <f>'Pitching Data'!W172/'Pitching Data'!P172</f>
        <v>0.68328158195783628</v>
      </c>
    </row>
    <row r="173" spans="2:19" x14ac:dyDescent="0.5">
      <c r="B173" s="2">
        <v>2005</v>
      </c>
      <c r="C173" s="2" t="s">
        <v>82</v>
      </c>
      <c r="D173" s="2" t="str">
        <f t="shared" si="4"/>
        <v>2005 Pittsburgh Pirates</v>
      </c>
      <c r="E173" s="60">
        <f>'Batting Data'!K173/'Batting Data'!J173</f>
        <v>0.17513009151265027</v>
      </c>
      <c r="F173" s="60">
        <f>'Batting Data'!L173/'Batting Data'!J173</f>
        <v>5.2395478198456844E-2</v>
      </c>
      <c r="G173" s="60">
        <f>'Batting Data'!M173/'Batting Data'!J173</f>
        <v>6.8185896285663022E-3</v>
      </c>
      <c r="H173" s="60">
        <f>'Batting Data'!N173/'Batting Data'!J173</f>
        <v>2.4941683115018841E-2</v>
      </c>
      <c r="I173" s="60">
        <f>'Batting Data'!O173/'Batting Data'!J173</f>
        <v>8.4514624080387582E-2</v>
      </c>
      <c r="J173" s="60">
        <f>'Batting Data'!P173/'Batting Data'!J173</f>
        <v>1.2919432980441414E-2</v>
      </c>
      <c r="K173" s="60">
        <f>'Batting Data'!Q173/'Batting Data'!J173</f>
        <v>0.6432801004844787</v>
      </c>
      <c r="L173" s="2" t="str">
        <f t="shared" si="5"/>
        <v>2005 Pittsburgh Pirates</v>
      </c>
      <c r="M173" s="58">
        <f>'Pitching Data'!Q173/'Pitching Data'!P173</f>
        <v>0.15086206896551724</v>
      </c>
      <c r="N173" s="58">
        <f>'Pitching Data'!R173/'Pitching Data'!P173</f>
        <v>5.1404853128991061E-2</v>
      </c>
      <c r="O173" s="58">
        <f>'Pitching Data'!S173/'Pitching Data'!P173</f>
        <v>4.3103448275862068E-3</v>
      </c>
      <c r="P173" s="58">
        <f>'Pitching Data'!T173/'Pitching Data'!P173</f>
        <v>2.5862068965517241E-2</v>
      </c>
      <c r="Q173" s="58">
        <f>'Pitching Data'!U173/'Pitching Data'!P173</f>
        <v>9.7701149425287362E-2</v>
      </c>
      <c r="R173" s="58">
        <f>'Pitching Data'!V173/'Pitching Data'!P173</f>
        <v>1.0376756066411238E-2</v>
      </c>
      <c r="S173" s="58">
        <f>'Pitching Data'!W173/'Pitching Data'!P173</f>
        <v>0.65948275862068961</v>
      </c>
    </row>
    <row r="174" spans="2:19" x14ac:dyDescent="0.5">
      <c r="B174" s="2">
        <v>2005</v>
      </c>
      <c r="C174" s="2" t="s">
        <v>84</v>
      </c>
      <c r="D174" s="2" t="str">
        <f t="shared" si="4"/>
        <v>2005 San Diego Padres</v>
      </c>
      <c r="E174" s="60">
        <f>'Batting Data'!K174/'Batting Data'!J174</f>
        <v>0.17775354416575789</v>
      </c>
      <c r="F174" s="60">
        <f>'Batting Data'!L174/'Batting Data'!J174</f>
        <v>4.8891312250090878E-2</v>
      </c>
      <c r="G174" s="60">
        <f>'Batting Data'!M174/'Batting Data'!J174</f>
        <v>7.0883315158124316E-3</v>
      </c>
      <c r="H174" s="60">
        <f>'Batting Data'!N174/'Batting Data'!J174</f>
        <v>2.3627771719374774E-2</v>
      </c>
      <c r="I174" s="60">
        <f>'Batting Data'!O174/'Batting Data'!J174</f>
        <v>0.10905125408942203</v>
      </c>
      <c r="J174" s="60">
        <f>'Batting Data'!P174/'Batting Data'!J174</f>
        <v>8.9058524173027988E-3</v>
      </c>
      <c r="K174" s="60">
        <f>'Batting Data'!Q174/'Batting Data'!J174</f>
        <v>0.62468193384223913</v>
      </c>
      <c r="L174" s="2" t="str">
        <f t="shared" si="5"/>
        <v>2005 San Diego Padres</v>
      </c>
      <c r="M174" s="58">
        <f>'Pitching Data'!Q174/'Pitching Data'!P174</f>
        <v>0.15128738205661282</v>
      </c>
      <c r="N174" s="58">
        <f>'Pitching Data'!R174/'Pitching Data'!P174</f>
        <v>5.0855589317127782E-2</v>
      </c>
      <c r="O174" s="58">
        <f>'Pitching Data'!S174/'Pitching Data'!P174</f>
        <v>6.7167759475451781E-3</v>
      </c>
      <c r="P174" s="58">
        <f>'Pitching Data'!T174/'Pitching Data'!P174</f>
        <v>2.3348792579561812E-2</v>
      </c>
      <c r="Q174" s="58">
        <f>'Pitching Data'!U174/'Pitching Data'!P174</f>
        <v>8.0441388133695821E-2</v>
      </c>
      <c r="R174" s="58">
        <f>'Pitching Data'!V174/'Pitching Data'!P174</f>
        <v>7.3564688949304333E-3</v>
      </c>
      <c r="S174" s="58">
        <f>'Pitching Data'!W174/'Pitching Data'!P174</f>
        <v>0.67999360307052614</v>
      </c>
    </row>
    <row r="175" spans="2:19" x14ac:dyDescent="0.5">
      <c r="B175" s="2">
        <v>2005</v>
      </c>
      <c r="C175" s="2" t="s">
        <v>86</v>
      </c>
      <c r="D175" s="2" t="str">
        <f t="shared" si="4"/>
        <v>2005 Seattle Mariners</v>
      </c>
      <c r="E175" s="60">
        <f>'Batting Data'!K175/'Batting Data'!J175</f>
        <v>0.17341565280552024</v>
      </c>
      <c r="F175" s="60">
        <f>'Batting Data'!L175/'Batting Data'!J175</f>
        <v>5.2478663519157434E-2</v>
      </c>
      <c r="G175" s="60">
        <f>'Batting Data'!M175/'Batting Data'!J175</f>
        <v>6.1739604140185218E-3</v>
      </c>
      <c r="H175" s="60">
        <f>'Batting Data'!N175/'Batting Data'!J175</f>
        <v>2.3606319230070821E-2</v>
      </c>
      <c r="I175" s="60">
        <f>'Batting Data'!O175/'Batting Data'!J175</f>
        <v>8.4619575086253854E-2</v>
      </c>
      <c r="J175" s="60">
        <f>'Batting Data'!P175/'Batting Data'!J175</f>
        <v>8.7161794080261486E-3</v>
      </c>
      <c r="K175" s="60">
        <f>'Batting Data'!Q175/'Batting Data'!J175</f>
        <v>0.65098964953695293</v>
      </c>
      <c r="L175" s="2" t="str">
        <f t="shared" si="5"/>
        <v>2005 Seattle Mariners</v>
      </c>
      <c r="M175" s="58">
        <f>'Pitching Data'!Q175/'Pitching Data'!P175</f>
        <v>0.16445236552171094</v>
      </c>
      <c r="N175" s="58">
        <f>'Pitching Data'!R175/'Pitching Data'!P175</f>
        <v>4.3259883344134803E-2</v>
      </c>
      <c r="O175" s="58">
        <f>'Pitching Data'!S175/'Pitching Data'!P175</f>
        <v>3.5644847699287103E-3</v>
      </c>
      <c r="P175" s="58">
        <f>'Pitching Data'!T175/'Pitching Data'!P175</f>
        <v>2.900194426441996E-2</v>
      </c>
      <c r="Q175" s="58">
        <f>'Pitching Data'!U175/'Pitching Data'!P175</f>
        <v>8.0362929358392746E-2</v>
      </c>
      <c r="R175" s="58">
        <f>'Pitching Data'!V175/'Pitching Data'!P175</f>
        <v>9.2352559948152956E-3</v>
      </c>
      <c r="S175" s="58">
        <f>'Pitching Data'!W175/'Pitching Data'!P175</f>
        <v>0.67012313674659751</v>
      </c>
    </row>
    <row r="176" spans="2:19" x14ac:dyDescent="0.5">
      <c r="B176" s="2">
        <v>2005</v>
      </c>
      <c r="C176" s="2" t="s">
        <v>88</v>
      </c>
      <c r="D176" s="2" t="str">
        <f t="shared" si="4"/>
        <v>2005 San Francisco Giants</v>
      </c>
      <c r="E176" s="60">
        <f>'Batting Data'!K176/'Batting Data'!J176</f>
        <v>0.17832295862321493</v>
      </c>
      <c r="F176" s="60">
        <f>'Batting Data'!L176/'Batting Data'!J176</f>
        <v>5.4741852801171734E-2</v>
      </c>
      <c r="G176" s="60">
        <f>'Batting Data'!M176/'Batting Data'!J176</f>
        <v>4.7601611131453678E-3</v>
      </c>
      <c r="H176" s="60">
        <f>'Batting Data'!N176/'Batting Data'!J176</f>
        <v>2.3434639326254118E-2</v>
      </c>
      <c r="I176" s="60">
        <f>'Batting Data'!O176/'Batting Data'!J176</f>
        <v>7.8908824606371289E-2</v>
      </c>
      <c r="J176" s="60">
        <f>'Batting Data'!P176/'Batting Data'!J176</f>
        <v>8.9710728670816548E-3</v>
      </c>
      <c r="K176" s="60">
        <f>'Batting Data'!Q176/'Batting Data'!J176</f>
        <v>0.65086049066276086</v>
      </c>
      <c r="L176" s="2" t="str">
        <f t="shared" si="5"/>
        <v>2005 San Francisco Giants</v>
      </c>
      <c r="M176" s="58">
        <f>'Pitching Data'!Q176/'Pitching Data'!P176</f>
        <v>0.15557324840764331</v>
      </c>
      <c r="N176" s="58">
        <f>'Pitching Data'!R176/'Pitching Data'!P176</f>
        <v>4.5859872611464965E-2</v>
      </c>
      <c r="O176" s="58">
        <f>'Pitching Data'!S176/'Pitching Data'!P176</f>
        <v>6.369426751592357E-3</v>
      </c>
      <c r="P176" s="58">
        <f>'Pitching Data'!T176/'Pitching Data'!P176</f>
        <v>2.4044585987261148E-2</v>
      </c>
      <c r="Q176" s="58">
        <f>'Pitching Data'!U176/'Pitching Data'!P176</f>
        <v>9.4267515923566886E-2</v>
      </c>
      <c r="R176" s="58">
        <f>'Pitching Data'!V176/'Pitching Data'!P176</f>
        <v>6.6878980891719748E-3</v>
      </c>
      <c r="S176" s="58">
        <f>'Pitching Data'!W176/'Pitching Data'!P176</f>
        <v>0.66719745222929938</v>
      </c>
    </row>
    <row r="177" spans="2:19" x14ac:dyDescent="0.5">
      <c r="B177" s="2">
        <v>2005</v>
      </c>
      <c r="C177" s="2" t="s">
        <v>90</v>
      </c>
      <c r="D177" s="2" t="str">
        <f t="shared" si="4"/>
        <v>2005 St. Louis Cardinals</v>
      </c>
      <c r="E177" s="60">
        <f>'Batting Data'!K177/'Batting Data'!J177</f>
        <v>0.18255687973997833</v>
      </c>
      <c r="F177" s="60">
        <f>'Batting Data'!L177/'Batting Data'!J177</f>
        <v>5.1823763091368727E-2</v>
      </c>
      <c r="G177" s="60">
        <f>'Batting Data'!M177/'Batting Data'!J177</f>
        <v>4.6948356807511738E-3</v>
      </c>
      <c r="H177" s="60">
        <f>'Batting Data'!N177/'Batting Data'!J177</f>
        <v>3.0697002527988442E-2</v>
      </c>
      <c r="I177" s="60">
        <f>'Batting Data'!O177/'Batting Data'!J177</f>
        <v>9.6424702058504869E-2</v>
      </c>
      <c r="J177" s="60">
        <f>'Batting Data'!P177/'Batting Data'!J177</f>
        <v>1.119537739256049E-2</v>
      </c>
      <c r="K177" s="60">
        <f>'Batting Data'!Q177/'Batting Data'!J177</f>
        <v>0.622607439508848</v>
      </c>
      <c r="L177" s="2" t="str">
        <f t="shared" si="5"/>
        <v>2005 St. Louis Cardinals</v>
      </c>
      <c r="M177" s="58">
        <f>'Pitching Data'!Q177/'Pitching Data'!P177</f>
        <v>0.15842566561931537</v>
      </c>
      <c r="N177" s="58">
        <f>'Pitching Data'!R177/'Pitching Data'!P177</f>
        <v>4.4154126012898962E-2</v>
      </c>
      <c r="O177" s="58">
        <f>'Pitching Data'!S177/'Pitching Data'!P177</f>
        <v>3.4727964279808168E-3</v>
      </c>
      <c r="P177" s="58">
        <f>'Pitching Data'!T177/'Pitching Data'!P177</f>
        <v>2.5301802546717381E-2</v>
      </c>
      <c r="Q177" s="58">
        <f>'Pitching Data'!U177/'Pitching Data'!P177</f>
        <v>7.3259467504547704E-2</v>
      </c>
      <c r="R177" s="58">
        <f>'Pitching Data'!V177/'Pitching Data'!P177</f>
        <v>9.9222755085166207E-3</v>
      </c>
      <c r="S177" s="58">
        <f>'Pitching Data'!W177/'Pitching Data'!P177</f>
        <v>0.6854638663800231</v>
      </c>
    </row>
    <row r="178" spans="2:19" x14ac:dyDescent="0.5">
      <c r="B178" s="2">
        <v>2005</v>
      </c>
      <c r="C178" s="2" t="s">
        <v>92</v>
      </c>
      <c r="D178" s="2" t="str">
        <f t="shared" si="4"/>
        <v>2005 Tampa Bay Devil Rays</v>
      </c>
      <c r="E178" s="60">
        <f>'Batting Data'!K178/'Batting Data'!J178</f>
        <v>0.18605907780979827</v>
      </c>
      <c r="F178" s="60">
        <f>'Batting Data'!L178/'Batting Data'!J178</f>
        <v>5.2053314121037461E-2</v>
      </c>
      <c r="G178" s="60">
        <f>'Batting Data'!M178/'Batting Data'!J178</f>
        <v>7.2046109510086453E-3</v>
      </c>
      <c r="H178" s="60">
        <f>'Batting Data'!N178/'Batting Data'!J178</f>
        <v>2.8278097982708934E-2</v>
      </c>
      <c r="I178" s="60">
        <f>'Batting Data'!O178/'Batting Data'!J178</f>
        <v>7.4207492795389046E-2</v>
      </c>
      <c r="J178" s="60">
        <f>'Batting Data'!P178/'Batting Data'!J178</f>
        <v>1.2427953890489913E-2</v>
      </c>
      <c r="K178" s="60">
        <f>'Batting Data'!Q178/'Batting Data'!J178</f>
        <v>0.63976945244956773</v>
      </c>
      <c r="L178" s="2" t="str">
        <f t="shared" si="5"/>
        <v>2005 Tampa Bay Devil Rays</v>
      </c>
      <c r="M178" s="58">
        <f>'Pitching Data'!Q178/'Pitching Data'!P178</f>
        <v>0.15977443609022557</v>
      </c>
      <c r="N178" s="58">
        <f>'Pitching Data'!R178/'Pitching Data'!P178</f>
        <v>4.9342105263157895E-2</v>
      </c>
      <c r="O178" s="58">
        <f>'Pitching Data'!S178/'Pitching Data'!P178</f>
        <v>6.4223057644110272E-3</v>
      </c>
      <c r="P178" s="58">
        <f>'Pitching Data'!T178/'Pitching Data'!P178</f>
        <v>3.038847117794486E-2</v>
      </c>
      <c r="Q178" s="58">
        <f>'Pitching Data'!U178/'Pitching Data'!P178</f>
        <v>9.6334586466165412E-2</v>
      </c>
      <c r="R178" s="58">
        <f>'Pitching Data'!V178/'Pitching Data'!P178</f>
        <v>1.0025062656641603E-2</v>
      </c>
      <c r="S178" s="58">
        <f>'Pitching Data'!W178/'Pitching Data'!P178</f>
        <v>0.64771303258145363</v>
      </c>
    </row>
    <row r="179" spans="2:19" x14ac:dyDescent="0.5">
      <c r="B179" s="2">
        <v>2005</v>
      </c>
      <c r="C179" s="2" t="s">
        <v>94</v>
      </c>
      <c r="D179" s="2" t="str">
        <f t="shared" si="4"/>
        <v>2005 Texas Rangers</v>
      </c>
      <c r="E179" s="60">
        <f>'Batting Data'!K179/'Batting Data'!J179</f>
        <v>0.16235129461161651</v>
      </c>
      <c r="F179" s="60">
        <f>'Batting Data'!L179/'Batting Data'!J179</f>
        <v>5.4408677396780965E-2</v>
      </c>
      <c r="G179" s="60">
        <f>'Batting Data'!M179/'Batting Data'!J179</f>
        <v>5.0734779566130161E-3</v>
      </c>
      <c r="H179" s="60">
        <f>'Batting Data'!N179/'Batting Data'!J179</f>
        <v>4.5486354093771872E-2</v>
      </c>
      <c r="I179" s="60">
        <f>'Batting Data'!O179/'Batting Data'!J179</f>
        <v>8.6599020293911824E-2</v>
      </c>
      <c r="J179" s="60">
        <f>'Batting Data'!P179/'Batting Data'!J179</f>
        <v>8.3974807557732675E-3</v>
      </c>
      <c r="K179" s="60">
        <f>'Batting Data'!Q179/'Batting Data'!J179</f>
        <v>0.63768369489153254</v>
      </c>
      <c r="L179" s="2" t="str">
        <f t="shared" si="5"/>
        <v>2005 Texas Rangers</v>
      </c>
      <c r="M179" s="58">
        <f>'Pitching Data'!Q179/'Pitching Data'!P179</f>
        <v>0.16951812902213154</v>
      </c>
      <c r="N179" s="58">
        <f>'Pitching Data'!R179/'Pitching Data'!P179</f>
        <v>5.1012399937215507E-2</v>
      </c>
      <c r="O179" s="58">
        <f>'Pitching Data'!S179/'Pitching Data'!P179</f>
        <v>3.9240307644011927E-3</v>
      </c>
      <c r="P179" s="58">
        <f>'Pitching Data'!T179/'Pitching Data'!P179</f>
        <v>2.4956835661591587E-2</v>
      </c>
      <c r="Q179" s="58">
        <f>'Pitching Data'!U179/'Pitching Data'!P179</f>
        <v>8.193376236069691E-2</v>
      </c>
      <c r="R179" s="58">
        <f>'Pitching Data'!V179/'Pitching Data'!P179</f>
        <v>9.4176738345628629E-3</v>
      </c>
      <c r="S179" s="58">
        <f>'Pitching Data'!W179/'Pitching Data'!P179</f>
        <v>0.65923716841940039</v>
      </c>
    </row>
    <row r="180" spans="2:19" x14ac:dyDescent="0.5">
      <c r="B180" s="2">
        <v>2005</v>
      </c>
      <c r="C180" s="2" t="s">
        <v>96</v>
      </c>
      <c r="D180" s="2" t="str">
        <f t="shared" si="4"/>
        <v>2005 Toronto Blue Jays</v>
      </c>
      <c r="E180" s="60">
        <f>'Batting Data'!K180/'Batting Data'!J180</f>
        <v>0.17882099982082064</v>
      </c>
      <c r="F180" s="60">
        <f>'Batting Data'!L180/'Batting Data'!J180</f>
        <v>5.5008063071134206E-2</v>
      </c>
      <c r="G180" s="60">
        <f>'Batting Data'!M180/'Batting Data'!J180</f>
        <v>6.9879949829779612E-3</v>
      </c>
      <c r="H180" s="60">
        <f>'Batting Data'!N180/'Batting Data'!J180</f>
        <v>2.4368392761153913E-2</v>
      </c>
      <c r="I180" s="60">
        <f>'Batting Data'!O180/'Batting Data'!J180</f>
        <v>8.7081168249417668E-2</v>
      </c>
      <c r="J180" s="60">
        <f>'Batting Data'!P180/'Batting Data'!J180</f>
        <v>1.5946962909872783E-2</v>
      </c>
      <c r="K180" s="60">
        <f>'Batting Data'!Q180/'Batting Data'!J180</f>
        <v>0.63178641820462278</v>
      </c>
      <c r="L180" s="2" t="str">
        <f t="shared" si="5"/>
        <v>2005 Toronto Blue Jays</v>
      </c>
      <c r="M180" s="58">
        <f>'Pitching Data'!Q180/'Pitching Data'!P180</f>
        <v>0.16331495296788842</v>
      </c>
      <c r="N180" s="58">
        <f>'Pitching Data'!R180/'Pitching Data'!P180</f>
        <v>4.2653259811871555E-2</v>
      </c>
      <c r="O180" s="58">
        <f>'Pitching Data'!S180/'Pitching Data'!P180</f>
        <v>3.2435939020434641E-3</v>
      </c>
      <c r="P180" s="58">
        <f>'Pitching Data'!T180/'Pitching Data'!P180</f>
        <v>3.0003243593902044E-2</v>
      </c>
      <c r="Q180" s="58">
        <f>'Pitching Data'!U180/'Pitching Data'!P180</f>
        <v>7.2007784625364904E-2</v>
      </c>
      <c r="R180" s="58">
        <f>'Pitching Data'!V180/'Pitching Data'!P180</f>
        <v>1.1028219266947779E-2</v>
      </c>
      <c r="S180" s="58">
        <f>'Pitching Data'!W180/'Pitching Data'!P180</f>
        <v>0.67774894583198186</v>
      </c>
    </row>
    <row r="181" spans="2:19" x14ac:dyDescent="0.5">
      <c r="B181" s="2">
        <v>2005</v>
      </c>
      <c r="C181" s="2" t="s">
        <v>100</v>
      </c>
      <c r="D181" s="2" t="str">
        <f t="shared" si="4"/>
        <v>2005 Washington Nationals</v>
      </c>
      <c r="E181" s="60">
        <f>'Batting Data'!K181/'Batting Data'!J181</f>
        <v>0.16715812753409509</v>
      </c>
      <c r="F181" s="60">
        <f>'Batting Data'!L181/'Batting Data'!J181</f>
        <v>5.7316623663840764E-2</v>
      </c>
      <c r="G181" s="60">
        <f>'Batting Data'!M181/'Batting Data'!J181</f>
        <v>5.8975304091411721E-3</v>
      </c>
      <c r="H181" s="60">
        <f>'Batting Data'!N181/'Batting Data'!J181</f>
        <v>2.156284555842241E-2</v>
      </c>
      <c r="I181" s="60">
        <f>'Batting Data'!O181/'Batting Data'!J181</f>
        <v>9.0490232215259855E-2</v>
      </c>
      <c r="J181" s="60">
        <f>'Batting Data'!P181/'Batting Data'!J181</f>
        <v>1.6402506450423886E-2</v>
      </c>
      <c r="K181" s="60">
        <f>'Batting Data'!Q181/'Batting Data'!J181</f>
        <v>0.6411721341688168</v>
      </c>
      <c r="L181" s="2" t="str">
        <f t="shared" si="5"/>
        <v>2005 Washington Nationals</v>
      </c>
      <c r="M181" s="58">
        <f>'Pitching Data'!Q181/'Pitching Data'!P181</f>
        <v>0.16162901686286987</v>
      </c>
      <c r="N181" s="58">
        <f>'Pitching Data'!R181/'Pitching Data'!P181</f>
        <v>4.438434616608336E-2</v>
      </c>
      <c r="O181" s="58">
        <f>'Pitching Data'!S181/'Pitching Data'!P181</f>
        <v>3.3407572383073497E-3</v>
      </c>
      <c r="P181" s="58">
        <f>'Pitching Data'!T181/'Pitching Data'!P181</f>
        <v>2.2271714922048998E-2</v>
      </c>
      <c r="Q181" s="58">
        <f>'Pitching Data'!U181/'Pitching Data'!P181</f>
        <v>8.5746102449888645E-2</v>
      </c>
      <c r="R181" s="58">
        <f>'Pitching Data'!V181/'Pitching Data'!P181</f>
        <v>1.145402481705377E-2</v>
      </c>
      <c r="S181" s="58">
        <f>'Pitching Data'!W181/'Pitching Data'!P181</f>
        <v>0.67117403754374805</v>
      </c>
    </row>
    <row r="182" spans="2:19" x14ac:dyDescent="0.5">
      <c r="B182" s="2">
        <v>2006</v>
      </c>
      <c r="C182" s="2" t="s">
        <v>36</v>
      </c>
      <c r="D182" s="2" t="str">
        <f t="shared" si="4"/>
        <v>2006 Anaheim Angels</v>
      </c>
      <c r="E182" s="60">
        <f>'Batting Data'!K182/'Batting Data'!J182</f>
        <v>0.18577286503833126</v>
      </c>
      <c r="F182" s="60">
        <f>'Batting Data'!L182/'Batting Data'!J182</f>
        <v>5.5090033874130862E-2</v>
      </c>
      <c r="G182" s="60">
        <f>'Batting Data'!M182/'Batting Data'!J182</f>
        <v>5.1702620788019252E-3</v>
      </c>
      <c r="H182" s="60">
        <f>'Batting Data'!N182/'Batting Data'!J182</f>
        <v>2.8347298983776074E-2</v>
      </c>
      <c r="I182" s="60">
        <f>'Batting Data'!O182/'Batting Data'!J182</f>
        <v>8.6646461044749504E-2</v>
      </c>
      <c r="J182" s="60">
        <f>'Batting Data'!P182/'Batting Data'!J182</f>
        <v>7.4879657692993404E-3</v>
      </c>
      <c r="K182" s="60">
        <f>'Batting Data'!Q182/'Batting Data'!J182</f>
        <v>0.63148511321091105</v>
      </c>
      <c r="L182" s="2" t="str">
        <f t="shared" si="5"/>
        <v>2006 Anaheim Angels</v>
      </c>
      <c r="M182" s="58">
        <f>'Pitching Data'!Q182/'Pitching Data'!P182</f>
        <v>0.151081476662872</v>
      </c>
      <c r="N182" s="58">
        <f>'Pitching Data'!R182/'Pitching Data'!P182</f>
        <v>4.8788420881444139E-2</v>
      </c>
      <c r="O182" s="58">
        <f>'Pitching Data'!S182/'Pitching Data'!P182</f>
        <v>3.7404456009107172E-3</v>
      </c>
      <c r="P182" s="58">
        <f>'Pitching Data'!T182/'Pitching Data'!P182</f>
        <v>2.569523499756058E-2</v>
      </c>
      <c r="Q182" s="58">
        <f>'Pitching Data'!U182/'Pitching Data'!P182</f>
        <v>7.6597820783867301E-2</v>
      </c>
      <c r="R182" s="58">
        <f>'Pitching Data'!V182/'Pitching Data'!P182</f>
        <v>8.1314034802406898E-3</v>
      </c>
      <c r="S182" s="58">
        <f>'Pitching Data'!W182/'Pitching Data'!P182</f>
        <v>0.68596519759310459</v>
      </c>
    </row>
    <row r="183" spans="2:19" x14ac:dyDescent="0.5">
      <c r="B183" s="2">
        <v>2006</v>
      </c>
      <c r="C183" s="2" t="s">
        <v>39</v>
      </c>
      <c r="D183" s="2" t="str">
        <f t="shared" si="4"/>
        <v>2006 Arizona Diamondbacks</v>
      </c>
      <c r="E183" s="60">
        <f>'Batting Data'!K183/'Batting Data'!J183</f>
        <v>0.17307351638618246</v>
      </c>
      <c r="F183" s="60">
        <f>'Batting Data'!L183/'Batting Data'!J183</f>
        <v>5.8635961027457925E-2</v>
      </c>
      <c r="G183" s="60">
        <f>'Batting Data'!M183/'Batting Data'!J183</f>
        <v>6.731620903454384E-3</v>
      </c>
      <c r="H183" s="60">
        <f>'Batting Data'!N183/'Batting Data'!J183</f>
        <v>2.8343666961913198E-2</v>
      </c>
      <c r="I183" s="60">
        <f>'Batting Data'!O183/'Batting Data'!J183</f>
        <v>8.9282550930026572E-2</v>
      </c>
      <c r="J183" s="60">
        <f>'Batting Data'!P183/'Batting Data'!J183</f>
        <v>1.1868910540301151E-2</v>
      </c>
      <c r="K183" s="60">
        <f>'Batting Data'!Q183/'Batting Data'!J183</f>
        <v>0.63206377325066432</v>
      </c>
      <c r="L183" s="2" t="str">
        <f t="shared" si="5"/>
        <v>2006 Arizona Diamondbacks</v>
      </c>
      <c r="M183" s="58">
        <f>'Pitching Data'!Q183/'Pitching Data'!P183</f>
        <v>0.15155338274720076</v>
      </c>
      <c r="N183" s="58">
        <f>'Pitching Data'!R183/'Pitching Data'!P183</f>
        <v>5.1253745466014827E-2</v>
      </c>
      <c r="O183" s="58">
        <f>'Pitching Data'!S183/'Pitching Data'!P183</f>
        <v>7.727487777953004E-3</v>
      </c>
      <c r="P183" s="58">
        <f>'Pitching Data'!T183/'Pitching Data'!P183</f>
        <v>2.6494243810124586E-2</v>
      </c>
      <c r="Q183" s="58">
        <f>'Pitching Data'!U183/'Pitching Data'!P183</f>
        <v>8.4529254060873679E-2</v>
      </c>
      <c r="R183" s="58">
        <f>'Pitching Data'!V183/'Pitching Data'!P183</f>
        <v>9.6199337643904752E-3</v>
      </c>
      <c r="S183" s="58">
        <f>'Pitching Data'!W183/'Pitching Data'!P183</f>
        <v>0.66882195237344266</v>
      </c>
    </row>
    <row r="184" spans="2:19" x14ac:dyDescent="0.5">
      <c r="B184" s="2">
        <v>2006</v>
      </c>
      <c r="C184" s="2" t="s">
        <v>41</v>
      </c>
      <c r="D184" s="2" t="str">
        <f t="shared" si="4"/>
        <v>2006 Atlanta Braves</v>
      </c>
      <c r="E184" s="60">
        <f>'Batting Data'!K184/'Batting Data'!J184</f>
        <v>0.17015941250223893</v>
      </c>
      <c r="F184" s="60">
        <f>'Batting Data'!L184/'Batting Data'!J184</f>
        <v>5.5883933369156369E-2</v>
      </c>
      <c r="G184" s="60">
        <f>'Batting Data'!M184/'Batting Data'!J184</f>
        <v>4.6569944474296977E-3</v>
      </c>
      <c r="H184" s="60">
        <f>'Batting Data'!N184/'Batting Data'!J184</f>
        <v>3.9763567974207416E-2</v>
      </c>
      <c r="I184" s="60">
        <f>'Batting Data'!O184/'Batting Data'!J184</f>
        <v>9.421457997492387E-2</v>
      </c>
      <c r="J184" s="60">
        <f>'Batting Data'!P184/'Batting Data'!J184</f>
        <v>9.3139888948593954E-3</v>
      </c>
      <c r="K184" s="60">
        <f>'Batting Data'!Q184/'Batting Data'!J184</f>
        <v>0.6260075228371843</v>
      </c>
      <c r="L184" s="2" t="str">
        <f t="shared" si="5"/>
        <v>2006 Atlanta Braves</v>
      </c>
      <c r="M184" s="58">
        <f>'Pitching Data'!Q184/'Pitching Data'!P184</f>
        <v>0.15842519685039369</v>
      </c>
      <c r="N184" s="58">
        <f>'Pitching Data'!R184/'Pitching Data'!P184</f>
        <v>4.7874015748031497E-2</v>
      </c>
      <c r="O184" s="58">
        <f>'Pitching Data'!S184/'Pitching Data'!P184</f>
        <v>5.6692913385826774E-3</v>
      </c>
      <c r="P184" s="58">
        <f>'Pitching Data'!T184/'Pitching Data'!P184</f>
        <v>2.8818897637795274E-2</v>
      </c>
      <c r="Q184" s="58">
        <f>'Pitching Data'!U184/'Pitching Data'!P184</f>
        <v>9.0078740157480311E-2</v>
      </c>
      <c r="R184" s="58">
        <f>'Pitching Data'!V184/'Pitching Data'!P184</f>
        <v>8.6614173228346455E-3</v>
      </c>
      <c r="S184" s="58">
        <f>'Pitching Data'!W184/'Pitching Data'!P184</f>
        <v>0.66047244094488189</v>
      </c>
    </row>
    <row r="185" spans="2:19" x14ac:dyDescent="0.5">
      <c r="B185" s="2">
        <v>2006</v>
      </c>
      <c r="C185" s="2" t="s">
        <v>44</v>
      </c>
      <c r="D185" s="2" t="str">
        <f t="shared" si="4"/>
        <v>2006 Baltimore Orioles</v>
      </c>
      <c r="E185" s="60">
        <f>'Batting Data'!K185/'Batting Data'!J185</f>
        <v>0.19322638146167559</v>
      </c>
      <c r="F185" s="60">
        <f>'Batting Data'!L185/'Batting Data'!J185</f>
        <v>5.1336898395721926E-2</v>
      </c>
      <c r="G185" s="60">
        <f>'Batting Data'!M185/'Batting Data'!J185</f>
        <v>3.5650623885918001E-3</v>
      </c>
      <c r="H185" s="60">
        <f>'Batting Data'!N185/'Batting Data'!J185</f>
        <v>2.9233511586452762E-2</v>
      </c>
      <c r="I185" s="60">
        <f>'Batting Data'!O185/'Batting Data'!J185</f>
        <v>8.4491978609625665E-2</v>
      </c>
      <c r="J185" s="60">
        <f>'Batting Data'!P185/'Batting Data'!J185</f>
        <v>1.3012477718360071E-2</v>
      </c>
      <c r="K185" s="60">
        <f>'Batting Data'!Q185/'Batting Data'!J185</f>
        <v>0.62513368983957218</v>
      </c>
      <c r="L185" s="2" t="str">
        <f t="shared" si="5"/>
        <v>2006 Baltimore Orioles</v>
      </c>
      <c r="M185" s="58">
        <f>'Pitching Data'!Q185/'Pitching Data'!P185</f>
        <v>0.16579737632369212</v>
      </c>
      <c r="N185" s="58">
        <f>'Pitching Data'!R185/'Pitching Data'!P185</f>
        <v>4.5203097834676784E-2</v>
      </c>
      <c r="O185" s="58">
        <f>'Pitching Data'!S185/'Pitching Data'!P185</f>
        <v>4.4254781096886358E-3</v>
      </c>
      <c r="P185" s="58">
        <f>'Pitching Data'!T185/'Pitching Data'!P185</f>
        <v>3.4139402560455195E-2</v>
      </c>
      <c r="Q185" s="58">
        <f>'Pitching Data'!U185/'Pitching Data'!P185</f>
        <v>9.6886360044254785E-2</v>
      </c>
      <c r="R185" s="58">
        <f>'Pitching Data'!V185/'Pitching Data'!P185</f>
        <v>7.5865339023233761E-3</v>
      </c>
      <c r="S185" s="58">
        <f>'Pitching Data'!W185/'Pitching Data'!P185</f>
        <v>0.64596175122490906</v>
      </c>
    </row>
    <row r="186" spans="2:19" x14ac:dyDescent="0.5">
      <c r="B186" s="2">
        <v>2006</v>
      </c>
      <c r="C186" s="2" t="s">
        <v>46</v>
      </c>
      <c r="D186" s="2" t="str">
        <f t="shared" si="4"/>
        <v>2006 Boston Red Sox</v>
      </c>
      <c r="E186" s="60">
        <f>'Batting Data'!K186/'Batting Data'!J186</f>
        <v>0.17351841964762413</v>
      </c>
      <c r="F186" s="60">
        <f>'Batting Data'!L186/'Batting Data'!J186</f>
        <v>5.819540843566471E-2</v>
      </c>
      <c r="G186" s="60">
        <f>'Batting Data'!M186/'Batting Data'!J186</f>
        <v>2.8474817583199856E-3</v>
      </c>
      <c r="H186" s="60">
        <f>'Batting Data'!N186/'Batting Data'!J186</f>
        <v>3.4169781099839827E-2</v>
      </c>
      <c r="I186" s="60">
        <f>'Batting Data'!O186/'Batting Data'!J186</f>
        <v>0.1195942338494394</v>
      </c>
      <c r="J186" s="60">
        <f>'Batting Data'!P186/'Batting Data'!J186</f>
        <v>1.1745862253069941E-2</v>
      </c>
      <c r="K186" s="60">
        <f>'Batting Data'!Q186/'Batting Data'!J186</f>
        <v>0.59992881295604195</v>
      </c>
      <c r="L186" s="2" t="str">
        <f t="shared" si="5"/>
        <v>2006 Boston Red Sox</v>
      </c>
      <c r="M186" s="58">
        <f>'Pitching Data'!Q186/'Pitching Data'!P186</f>
        <v>0.16099809281627464</v>
      </c>
      <c r="N186" s="58">
        <f>'Pitching Data'!R186/'Pitching Data'!P186</f>
        <v>5.5308328035600762E-2</v>
      </c>
      <c r="O186" s="58">
        <f>'Pitching Data'!S186/'Pitching Data'!P186</f>
        <v>4.4500953591862687E-3</v>
      </c>
      <c r="P186" s="58">
        <f>'Pitching Data'!T186/'Pitching Data'!P186</f>
        <v>2.8766687857596947E-2</v>
      </c>
      <c r="Q186" s="58">
        <f>'Pitching Data'!U186/'Pitching Data'!P186</f>
        <v>8.0896376350921811E-2</v>
      </c>
      <c r="R186" s="58">
        <f>'Pitching Data'!V186/'Pitching Data'!P186</f>
        <v>1.0807374443738081E-2</v>
      </c>
      <c r="S186" s="58">
        <f>'Pitching Data'!W186/'Pitching Data'!P186</f>
        <v>0.65877304513668145</v>
      </c>
    </row>
    <row r="187" spans="2:19" x14ac:dyDescent="0.5">
      <c r="B187" s="2">
        <v>2006</v>
      </c>
      <c r="C187" s="2" t="s">
        <v>50</v>
      </c>
      <c r="D187" s="2" t="str">
        <f t="shared" si="4"/>
        <v>2006 Chicago Cubs</v>
      </c>
      <c r="E187" s="60">
        <f>'Batting Data'!K187/'Batting Data'!J187</f>
        <v>0.18131376409522104</v>
      </c>
      <c r="F187" s="60">
        <f>'Batting Data'!L187/'Batting Data'!J187</f>
        <v>4.8505459101485592E-2</v>
      </c>
      <c r="G187" s="60">
        <f>'Batting Data'!M187/'Batting Data'!J187</f>
        <v>8.2333989618757833E-3</v>
      </c>
      <c r="H187" s="60">
        <f>'Batting Data'!N187/'Batting Data'!J187</f>
        <v>2.9711831036334346E-2</v>
      </c>
      <c r="I187" s="60">
        <f>'Batting Data'!O187/'Batting Data'!J187</f>
        <v>7.0699838911759447E-2</v>
      </c>
      <c r="J187" s="60">
        <f>'Batting Data'!P187/'Batting Data'!J187</f>
        <v>7.6964381600143185E-3</v>
      </c>
      <c r="K187" s="60">
        <f>'Batting Data'!Q187/'Batting Data'!J187</f>
        <v>0.65383926973330941</v>
      </c>
      <c r="L187" s="2" t="str">
        <f t="shared" si="5"/>
        <v>2006 Chicago Cubs</v>
      </c>
      <c r="M187" s="58">
        <f>'Pitching Data'!Q187/'Pitching Data'!P187</f>
        <v>0.13792020106817468</v>
      </c>
      <c r="N187" s="58">
        <f>'Pitching Data'!R187/'Pitching Data'!P187</f>
        <v>4.3355325164938736E-2</v>
      </c>
      <c r="O187" s="58">
        <f>'Pitching Data'!S187/'Pitching Data'!P187</f>
        <v>5.0267043669494187E-3</v>
      </c>
      <c r="P187" s="58">
        <f>'Pitching Data'!T187/'Pitching Data'!P187</f>
        <v>3.2987747408105561E-2</v>
      </c>
      <c r="Q187" s="58">
        <f>'Pitching Data'!U187/'Pitching Data'!P187</f>
        <v>0.10791705937794534</v>
      </c>
      <c r="R187" s="58">
        <f>'Pitching Data'!V187/'Pitching Data'!P187</f>
        <v>1.0524662268300346E-2</v>
      </c>
      <c r="S187" s="58">
        <f>'Pitching Data'!W187/'Pitching Data'!P187</f>
        <v>0.66226830034558593</v>
      </c>
    </row>
    <row r="188" spans="2:19" x14ac:dyDescent="0.5">
      <c r="B188" s="2">
        <v>2006</v>
      </c>
      <c r="C188" s="2" t="s">
        <v>48</v>
      </c>
      <c r="D188" s="2" t="str">
        <f t="shared" si="4"/>
        <v>2006 Chicago White Sox</v>
      </c>
      <c r="E188" s="60">
        <f>'Batting Data'!K188/'Batting Data'!J188</f>
        <v>0.18366625419833835</v>
      </c>
      <c r="F188" s="60">
        <f>'Batting Data'!L188/'Batting Data'!J188</f>
        <v>5.1440692946791586E-2</v>
      </c>
      <c r="G188" s="60">
        <f>'Batting Data'!M188/'Batting Data'!J188</f>
        <v>3.5354428142124802E-3</v>
      </c>
      <c r="H188" s="60">
        <f>'Batting Data'!N188/'Batting Data'!J188</f>
        <v>4.1718225207707266E-2</v>
      </c>
      <c r="I188" s="60">
        <f>'Batting Data'!O188/'Batting Data'!J188</f>
        <v>8.8739614636733244E-2</v>
      </c>
      <c r="J188" s="60">
        <f>'Batting Data'!P188/'Batting Data'!J188</f>
        <v>1.0252784161216192E-2</v>
      </c>
      <c r="K188" s="60">
        <f>'Batting Data'!Q188/'Batting Data'!J188</f>
        <v>0.6206469860350009</v>
      </c>
      <c r="L188" s="2" t="str">
        <f t="shared" si="5"/>
        <v>2006 Chicago White Sox</v>
      </c>
      <c r="M188" s="58">
        <f>'Pitching Data'!Q188/'Pitching Data'!P188</f>
        <v>0.16158536585365854</v>
      </c>
      <c r="N188" s="58">
        <f>'Pitching Data'!R188/'Pitching Data'!P188</f>
        <v>4.7496790757381259E-2</v>
      </c>
      <c r="O188" s="58">
        <f>'Pitching Data'!S188/'Pitching Data'!P188</f>
        <v>4.9743260590500646E-3</v>
      </c>
      <c r="P188" s="58">
        <f>'Pitching Data'!T188/'Pitching Data'!P188</f>
        <v>3.2092426187419767E-2</v>
      </c>
      <c r="Q188" s="58">
        <f>'Pitching Data'!U188/'Pitching Data'!P188</f>
        <v>6.9480102695763796E-2</v>
      </c>
      <c r="R188" s="58">
        <f>'Pitching Data'!V188/'Pitching Data'!P188</f>
        <v>9.3068035943517334E-3</v>
      </c>
      <c r="S188" s="58">
        <f>'Pitching Data'!W188/'Pitching Data'!P188</f>
        <v>0.67506418485237485</v>
      </c>
    </row>
    <row r="189" spans="2:19" x14ac:dyDescent="0.5">
      <c r="B189" s="2">
        <v>2006</v>
      </c>
      <c r="C189" s="2" t="s">
        <v>52</v>
      </c>
      <c r="D189" s="2" t="str">
        <f t="shared" si="4"/>
        <v>2006 Cincinnati Reds</v>
      </c>
      <c r="E189" s="60">
        <f>'Batting Data'!K189/'Batting Data'!J189</f>
        <v>0.16300997280145058</v>
      </c>
      <c r="F189" s="60">
        <f>'Batting Data'!L189/'Batting Data'!J189</f>
        <v>5.2765185856754306E-2</v>
      </c>
      <c r="G189" s="60">
        <f>'Batting Data'!M189/'Batting Data'!J189</f>
        <v>2.1758839528558476E-3</v>
      </c>
      <c r="H189" s="60">
        <f>'Batting Data'!N189/'Batting Data'!J189</f>
        <v>3.9347234814143248E-2</v>
      </c>
      <c r="I189" s="60">
        <f>'Batting Data'!O189/'Batting Data'!J189</f>
        <v>0.11133272892112421</v>
      </c>
      <c r="J189" s="60">
        <f>'Batting Data'!P189/'Batting Data'!J189</f>
        <v>1.0698096101541252E-2</v>
      </c>
      <c r="K189" s="60">
        <f>'Batting Data'!Q189/'Batting Data'!J189</f>
        <v>0.62067089755213056</v>
      </c>
      <c r="L189" s="2" t="str">
        <f t="shared" si="5"/>
        <v>2006 Cincinnati Reds</v>
      </c>
      <c r="M189" s="58">
        <f>'Pitching Data'!Q189/'Pitching Data'!P189</f>
        <v>0.15951891122012976</v>
      </c>
      <c r="N189" s="58">
        <f>'Pitching Data'!R189/'Pitching Data'!P189</f>
        <v>5.2539958854249093E-2</v>
      </c>
      <c r="O189" s="58">
        <f>'Pitching Data'!S189/'Pitching Data'!P189</f>
        <v>3.6398164266497864E-3</v>
      </c>
      <c r="P189" s="58">
        <f>'Pitching Data'!T189/'Pitching Data'!P189</f>
        <v>3.3707865168539325E-2</v>
      </c>
      <c r="Q189" s="58">
        <f>'Pitching Data'!U189/'Pitching Data'!P189</f>
        <v>7.3429340085456554E-2</v>
      </c>
      <c r="R189" s="58">
        <f>'Pitching Data'!V189/'Pitching Data'!P189</f>
        <v>9.4951732869124859E-3</v>
      </c>
      <c r="S189" s="58">
        <f>'Pitching Data'!W189/'Pitching Data'!P189</f>
        <v>0.66766893495806301</v>
      </c>
    </row>
    <row r="190" spans="2:19" x14ac:dyDescent="0.5">
      <c r="B190" s="2">
        <v>2006</v>
      </c>
      <c r="C190" s="2" t="s">
        <v>54</v>
      </c>
      <c r="D190" s="2" t="str">
        <f t="shared" si="4"/>
        <v>2006 Cleveland Indians</v>
      </c>
      <c r="E190" s="60">
        <f>'Batting Data'!K190/'Batting Data'!J190</f>
        <v>0.17832354511478909</v>
      </c>
      <c r="F190" s="60">
        <f>'Batting Data'!L190/'Batting Data'!J190</f>
        <v>6.2466631073144686E-2</v>
      </c>
      <c r="G190" s="60">
        <f>'Batting Data'!M190/'Batting Data'!J190</f>
        <v>4.8051254671649763E-3</v>
      </c>
      <c r="H190" s="60">
        <f>'Batting Data'!N190/'Batting Data'!J190</f>
        <v>3.4881651539419828E-2</v>
      </c>
      <c r="I190" s="60">
        <f>'Batting Data'!O190/'Batting Data'!J190</f>
        <v>9.8949991101619506E-2</v>
      </c>
      <c r="J190" s="60">
        <f>'Batting Data'!P190/'Batting Data'!J190</f>
        <v>9.6102509343299527E-3</v>
      </c>
      <c r="K190" s="60">
        <f>'Batting Data'!Q190/'Batting Data'!J190</f>
        <v>0.61096280476953191</v>
      </c>
      <c r="L190" s="2" t="str">
        <f t="shared" si="5"/>
        <v>2006 Cleveland Indians</v>
      </c>
      <c r="M190" s="58">
        <f>'Pitching Data'!Q190/'Pitching Data'!P190</f>
        <v>0.17786752827140551</v>
      </c>
      <c r="N190" s="58">
        <f>'Pitching Data'!R190/'Pitching Data'!P190</f>
        <v>4.7334410339256866E-2</v>
      </c>
      <c r="O190" s="58">
        <f>'Pitching Data'!S190/'Pitching Data'!P190</f>
        <v>3.715670436187399E-3</v>
      </c>
      <c r="P190" s="58">
        <f>'Pitching Data'!T190/'Pitching Data'!P190</f>
        <v>2.6817447495961228E-2</v>
      </c>
      <c r="Q190" s="58">
        <f>'Pitching Data'!U190/'Pitching Data'!P190</f>
        <v>6.9305331179321486E-2</v>
      </c>
      <c r="R190" s="58">
        <f>'Pitching Data'!V190/'Pitching Data'!P190</f>
        <v>8.2390953150242325E-3</v>
      </c>
      <c r="S190" s="58">
        <f>'Pitching Data'!W190/'Pitching Data'!P190</f>
        <v>0.66672051696284329</v>
      </c>
    </row>
    <row r="191" spans="2:19" x14ac:dyDescent="0.5">
      <c r="B191" s="2">
        <v>2006</v>
      </c>
      <c r="C191" s="2" t="s">
        <v>56</v>
      </c>
      <c r="D191" s="2" t="str">
        <f t="shared" si="4"/>
        <v>2006 Colorado Rockies</v>
      </c>
      <c r="E191" s="60">
        <f>'Batting Data'!K191/'Batting Data'!J191</f>
        <v>0.17403811578568859</v>
      </c>
      <c r="F191" s="60">
        <f>'Batting Data'!L191/'Batting Data'!J191</f>
        <v>5.8432218626393383E-2</v>
      </c>
      <c r="G191" s="60">
        <f>'Batting Data'!M191/'Batting Data'!J191</f>
        <v>9.7087378640776691E-3</v>
      </c>
      <c r="H191" s="60">
        <f>'Batting Data'!N191/'Batting Data'!J191</f>
        <v>2.822725638259619E-2</v>
      </c>
      <c r="I191" s="60">
        <f>'Batting Data'!O191/'Batting Data'!J191</f>
        <v>0.10086299892125135</v>
      </c>
      <c r="J191" s="60">
        <f>'Batting Data'!P191/'Batting Data'!J191</f>
        <v>1.0787486515641856E-2</v>
      </c>
      <c r="K191" s="60">
        <f>'Batting Data'!Q191/'Batting Data'!J191</f>
        <v>0.61794318590435093</v>
      </c>
      <c r="L191" s="2" t="str">
        <f t="shared" si="5"/>
        <v>2006 Colorado Rockies</v>
      </c>
      <c r="M191" s="58">
        <f>'Pitching Data'!Q191/'Pitching Data'!P191</f>
        <v>0.15954415954415954</v>
      </c>
      <c r="N191" s="58">
        <f>'Pitching Data'!R191/'Pitching Data'!P191</f>
        <v>5.2389996834441281E-2</v>
      </c>
      <c r="O191" s="58">
        <f>'Pitching Data'!S191/'Pitching Data'!P191</f>
        <v>8.70528648306426E-3</v>
      </c>
      <c r="P191" s="58">
        <f>'Pitching Data'!T191/'Pitching Data'!P191</f>
        <v>2.4533080088635643E-2</v>
      </c>
      <c r="Q191" s="58">
        <f>'Pitching Data'!U191/'Pitching Data'!P191</f>
        <v>8.7527698638809756E-2</v>
      </c>
      <c r="R191" s="58">
        <f>'Pitching Data'!V191/'Pitching Data'!P191</f>
        <v>1.0446343779677113E-2</v>
      </c>
      <c r="S191" s="58">
        <f>'Pitching Data'!W191/'Pitching Data'!P191</f>
        <v>0.65685343463121237</v>
      </c>
    </row>
    <row r="192" spans="2:19" x14ac:dyDescent="0.5">
      <c r="B192" s="2">
        <v>2006</v>
      </c>
      <c r="C192" s="2" t="s">
        <v>58</v>
      </c>
      <c r="D192" s="2" t="str">
        <f t="shared" si="4"/>
        <v>2006 Detroit Tigers</v>
      </c>
      <c r="E192" s="60">
        <f>'Batting Data'!K192/'Batting Data'!J192</f>
        <v>0.17919177596596952</v>
      </c>
      <c r="F192" s="60">
        <f>'Batting Data'!L192/'Batting Data'!J192</f>
        <v>5.2109181141439205E-2</v>
      </c>
      <c r="G192" s="60">
        <f>'Batting Data'!M192/'Batting Data'!J192</f>
        <v>7.0896845090393477E-3</v>
      </c>
      <c r="H192" s="60">
        <f>'Batting Data'!N192/'Batting Data'!J192</f>
        <v>3.5980148883374689E-2</v>
      </c>
      <c r="I192" s="60">
        <f>'Batting Data'!O192/'Batting Data'!J192</f>
        <v>7.6214108472172984E-2</v>
      </c>
      <c r="J192" s="60">
        <f>'Batting Data'!P192/'Batting Data'!J192</f>
        <v>7.9758950726692666E-3</v>
      </c>
      <c r="K192" s="60">
        <f>'Batting Data'!Q192/'Batting Data'!J192</f>
        <v>0.64143920595533499</v>
      </c>
      <c r="L192" s="2" t="str">
        <f t="shared" si="5"/>
        <v>2006 Detroit Tigers</v>
      </c>
      <c r="M192" s="58">
        <f>'Pitching Data'!Q192/'Pitching Data'!P192</f>
        <v>0.15606183889340927</v>
      </c>
      <c r="N192" s="58">
        <f>'Pitching Data'!R192/'Pitching Data'!P192</f>
        <v>4.2799023596419856E-2</v>
      </c>
      <c r="O192" s="58">
        <f>'Pitching Data'!S192/'Pitching Data'!P192</f>
        <v>6.1838893409275836E-3</v>
      </c>
      <c r="P192" s="58">
        <f>'Pitching Data'!T192/'Pitching Data'!P192</f>
        <v>2.6037428803905614E-2</v>
      </c>
      <c r="Q192" s="58">
        <f>'Pitching Data'!U192/'Pitching Data'!P192</f>
        <v>7.957689178193654E-2</v>
      </c>
      <c r="R192" s="58">
        <f>'Pitching Data'!V192/'Pitching Data'!P192</f>
        <v>8.6248982912937346E-3</v>
      </c>
      <c r="S192" s="58">
        <f>'Pitching Data'!W192/'Pitching Data'!P192</f>
        <v>0.68071602929210739</v>
      </c>
    </row>
    <row r="193" spans="2:19" x14ac:dyDescent="0.5">
      <c r="B193" s="2">
        <v>2006</v>
      </c>
      <c r="C193" s="2" t="s">
        <v>60</v>
      </c>
      <c r="D193" s="2" t="str">
        <f t="shared" si="4"/>
        <v>2006 Florida Marlins</v>
      </c>
      <c r="E193" s="60">
        <f>'Batting Data'!K193/'Batting Data'!J193</f>
        <v>0.16739367502726282</v>
      </c>
      <c r="F193" s="60">
        <f>'Batting Data'!L193/'Batting Data'!J193</f>
        <v>5.6161395856052343E-2</v>
      </c>
      <c r="G193" s="60">
        <f>'Batting Data'!M193/'Batting Data'!J193</f>
        <v>7.6335877862595417E-3</v>
      </c>
      <c r="H193" s="60">
        <f>'Batting Data'!N193/'Batting Data'!J193</f>
        <v>3.3078880407124679E-2</v>
      </c>
      <c r="I193" s="60">
        <f>'Batting Data'!O193/'Batting Data'!J193</f>
        <v>9.0330788804071249E-2</v>
      </c>
      <c r="J193" s="60">
        <f>'Batting Data'!P193/'Batting Data'!J193</f>
        <v>1.3449654671028717E-2</v>
      </c>
      <c r="K193" s="60">
        <f>'Batting Data'!Q193/'Batting Data'!J193</f>
        <v>0.63195201744820062</v>
      </c>
      <c r="L193" s="2" t="str">
        <f t="shared" si="5"/>
        <v>2006 Florida Marlins</v>
      </c>
      <c r="M193" s="58">
        <f>'Pitching Data'!Q193/'Pitching Data'!P193</f>
        <v>0.15633937082936131</v>
      </c>
      <c r="N193" s="58">
        <f>'Pitching Data'!R193/'Pitching Data'!P193</f>
        <v>4.2580235144582139E-2</v>
      </c>
      <c r="O193" s="58">
        <f>'Pitching Data'!S193/'Pitching Data'!P193</f>
        <v>7.4674292977438828E-3</v>
      </c>
      <c r="P193" s="58">
        <f>'Pitching Data'!T193/'Pitching Data'!P193</f>
        <v>2.6374324753733715E-2</v>
      </c>
      <c r="Q193" s="58">
        <f>'Pitching Data'!U193/'Pitching Data'!P193</f>
        <v>9.8824277089291382E-2</v>
      </c>
      <c r="R193" s="58">
        <f>'Pitching Data'!V193/'Pitching Data'!P193</f>
        <v>1.1757229107086114E-2</v>
      </c>
      <c r="S193" s="58">
        <f>'Pitching Data'!W193/'Pitching Data'!P193</f>
        <v>0.65665713377820145</v>
      </c>
    </row>
    <row r="194" spans="2:19" x14ac:dyDescent="0.5">
      <c r="B194" s="2">
        <v>2006</v>
      </c>
      <c r="C194" s="2" t="s">
        <v>62</v>
      </c>
      <c r="D194" s="2" t="str">
        <f t="shared" si="4"/>
        <v>2006 Houston Astros</v>
      </c>
      <c r="E194" s="60">
        <f>'Batting Data'!K194/'Batting Data'!J194</f>
        <v>0.1686288715812353</v>
      </c>
      <c r="F194" s="60">
        <f>'Batting Data'!L194/'Batting Data'!J194</f>
        <v>4.9809817062126428E-2</v>
      </c>
      <c r="G194" s="60">
        <f>'Batting Data'!M194/'Batting Data'!J194</f>
        <v>4.8904184024633219E-3</v>
      </c>
      <c r="H194" s="60">
        <f>'Batting Data'!N194/'Batting Data'!J194</f>
        <v>3.151602970476363E-2</v>
      </c>
      <c r="I194" s="60">
        <f>'Batting Data'!O194/'Batting Data'!J194</f>
        <v>0.10595906538670531</v>
      </c>
      <c r="J194" s="60">
        <f>'Batting Data'!P194/'Batting Data'!J194</f>
        <v>1.3222242347400832E-2</v>
      </c>
      <c r="K194" s="60">
        <f>'Batting Data'!Q194/'Batting Data'!J194</f>
        <v>0.6259735555153052</v>
      </c>
      <c r="L194" s="2" t="str">
        <f t="shared" si="5"/>
        <v>2006 Houston Astros</v>
      </c>
      <c r="M194" s="58">
        <f>'Pitching Data'!Q194/'Pitching Data'!P194</f>
        <v>0.1437530149541727</v>
      </c>
      <c r="N194" s="58">
        <f>'Pitching Data'!R194/'Pitching Data'!P194</f>
        <v>5.1616015436565361E-2</v>
      </c>
      <c r="O194" s="58">
        <f>'Pitching Data'!S194/'Pitching Data'!P194</f>
        <v>4.5023315645602189E-3</v>
      </c>
      <c r="P194" s="58">
        <f>'Pitching Data'!T194/'Pitching Data'!P194</f>
        <v>2.926515516964142E-2</v>
      </c>
      <c r="Q194" s="58">
        <f>'Pitching Data'!U194/'Pitching Data'!P194</f>
        <v>7.7182826821032322E-2</v>
      </c>
      <c r="R194" s="58">
        <f>'Pitching Data'!V194/'Pitching Data'!P194</f>
        <v>8.6830680173661367E-3</v>
      </c>
      <c r="S194" s="58">
        <f>'Pitching Data'!W194/'Pitching Data'!P194</f>
        <v>0.68499758803666189</v>
      </c>
    </row>
    <row r="195" spans="2:19" x14ac:dyDescent="0.5">
      <c r="B195" s="2">
        <v>2006</v>
      </c>
      <c r="C195" s="2" t="s">
        <v>64</v>
      </c>
      <c r="D195" s="2" t="str">
        <f t="shared" ref="D195:D258" si="6">$B195&amp;" "&amp;$C195</f>
        <v>2006 Kansas City Royals</v>
      </c>
      <c r="E195" s="60">
        <f>'Batting Data'!K195/'Batting Data'!J195</f>
        <v>0.18232241903739488</v>
      </c>
      <c r="F195" s="60">
        <f>'Batting Data'!L195/'Batting Data'!J195</f>
        <v>5.9939166219359456E-2</v>
      </c>
      <c r="G195" s="60">
        <f>'Batting Data'!M195/'Batting Data'!J195</f>
        <v>6.6201467167650739E-3</v>
      </c>
      <c r="H195" s="60">
        <f>'Batting Data'!N195/'Batting Data'!J195</f>
        <v>2.2186437645374844E-2</v>
      </c>
      <c r="I195" s="60">
        <f>'Batting Data'!O195/'Batting Data'!J195</f>
        <v>8.480944712828771E-2</v>
      </c>
      <c r="J195" s="60">
        <f>'Batting Data'!P195/'Batting Data'!J195</f>
        <v>1.1451064591161209E-2</v>
      </c>
      <c r="K195" s="60">
        <f>'Batting Data'!Q195/'Batting Data'!J195</f>
        <v>0.63267131866165682</v>
      </c>
      <c r="L195" s="2" t="str">
        <f t="shared" ref="L195:L258" si="7">$B195&amp;" "&amp;$C195</f>
        <v>2006 Kansas City Royals</v>
      </c>
      <c r="M195" s="58">
        <f>'Pitching Data'!Q195/'Pitching Data'!P195</f>
        <v>0.16583773702207025</v>
      </c>
      <c r="N195" s="58">
        <f>'Pitching Data'!R195/'Pitching Data'!P195</f>
        <v>5.2999689151383277E-2</v>
      </c>
      <c r="O195" s="58">
        <f>'Pitching Data'!S195/'Pitching Data'!P195</f>
        <v>4.1964563257693502E-3</v>
      </c>
      <c r="P195" s="58">
        <f>'Pitching Data'!T195/'Pitching Data'!P195</f>
        <v>3.3105377681069317E-2</v>
      </c>
      <c r="Q195" s="58">
        <f>'Pitching Data'!U195/'Pitching Data'!P195</f>
        <v>9.9005284426484305E-2</v>
      </c>
      <c r="R195" s="58">
        <f>'Pitching Data'!V195/'Pitching Data'!P195</f>
        <v>9.3254585017096669E-3</v>
      </c>
      <c r="S195" s="58">
        <f>'Pitching Data'!W195/'Pitching Data'!P195</f>
        <v>0.63552999689151379</v>
      </c>
    </row>
    <row r="196" spans="2:19" x14ac:dyDescent="0.5">
      <c r="B196" s="2">
        <v>2006</v>
      </c>
      <c r="C196" s="2" t="s">
        <v>66</v>
      </c>
      <c r="D196" s="2" t="str">
        <f t="shared" si="6"/>
        <v>2006 Los Angeles Dodgers</v>
      </c>
      <c r="E196" s="60">
        <f>'Batting Data'!K196/'Batting Data'!J196</f>
        <v>0.18372423596304194</v>
      </c>
      <c r="F196" s="60">
        <f>'Batting Data'!L196/'Batting Data'!J196</f>
        <v>5.454868514570007E-2</v>
      </c>
      <c r="G196" s="60">
        <f>'Batting Data'!M196/'Batting Data'!J196</f>
        <v>1.0305614783226724E-2</v>
      </c>
      <c r="H196" s="60">
        <f>'Batting Data'!N196/'Batting Data'!J196</f>
        <v>2.7185501066098083E-2</v>
      </c>
      <c r="I196" s="60">
        <f>'Batting Data'!O196/'Batting Data'!J196</f>
        <v>0.10678749111584933</v>
      </c>
      <c r="J196" s="60">
        <f>'Batting Data'!P196/'Batting Data'!J196</f>
        <v>9.0618336886993597E-3</v>
      </c>
      <c r="K196" s="60">
        <f>'Batting Data'!Q196/'Batting Data'!J196</f>
        <v>0.60838663823738448</v>
      </c>
      <c r="L196" s="2" t="str">
        <f t="shared" si="7"/>
        <v>2006 Los Angeles Dodgers</v>
      </c>
      <c r="M196" s="58">
        <f>'Pitching Data'!Q196/'Pitching Data'!P196</f>
        <v>0.16202893941803148</v>
      </c>
      <c r="N196" s="58">
        <f>'Pitching Data'!R196/'Pitching Data'!P196</f>
        <v>5.1359516616314202E-2</v>
      </c>
      <c r="O196" s="58">
        <f>'Pitching Data'!S196/'Pitching Data'!P196</f>
        <v>4.7702337414533315E-3</v>
      </c>
      <c r="P196" s="58">
        <f>'Pitching Data'!T196/'Pitching Data'!P196</f>
        <v>2.4169184290030211E-2</v>
      </c>
      <c r="Q196" s="58">
        <f>'Pitching Data'!U196/'Pitching Data'!P196</f>
        <v>7.8231833359834635E-2</v>
      </c>
      <c r="R196" s="58">
        <f>'Pitching Data'!V196/'Pitching Data'!P196</f>
        <v>6.5193194466528857E-3</v>
      </c>
      <c r="S196" s="58">
        <f>'Pitching Data'!W196/'Pitching Data'!P196</f>
        <v>0.67292097312768329</v>
      </c>
    </row>
    <row r="197" spans="2:19" x14ac:dyDescent="0.5">
      <c r="B197" s="2">
        <v>2006</v>
      </c>
      <c r="C197" s="2" t="s">
        <v>68</v>
      </c>
      <c r="D197" s="2" t="str">
        <f t="shared" si="6"/>
        <v>2006 Milwaukee Brewers</v>
      </c>
      <c r="E197" s="60">
        <f>'Batting Data'!K197/'Batting Data'!J197</f>
        <v>0.16547027424995397</v>
      </c>
      <c r="F197" s="60">
        <f>'Batting Data'!L197/'Batting Data'!J197</f>
        <v>5.5402171912387263E-2</v>
      </c>
      <c r="G197" s="60">
        <f>'Batting Data'!M197/'Batting Data'!J197</f>
        <v>3.681207436039021E-3</v>
      </c>
      <c r="H197" s="60">
        <f>'Batting Data'!N197/'Batting Data'!J197</f>
        <v>3.3130866924351188E-2</v>
      </c>
      <c r="I197" s="60">
        <f>'Batting Data'!O197/'Batting Data'!J197</f>
        <v>9.2398306644579417E-2</v>
      </c>
      <c r="J197" s="60">
        <f>'Batting Data'!P197/'Batting Data'!J197</f>
        <v>1.5092950487759986E-2</v>
      </c>
      <c r="K197" s="60">
        <f>'Batting Data'!Q197/'Batting Data'!J197</f>
        <v>0.63482422234492919</v>
      </c>
      <c r="L197" s="2" t="str">
        <f t="shared" si="7"/>
        <v>2006 Milwaukee Brewers</v>
      </c>
      <c r="M197" s="58">
        <f>'Pitching Data'!Q197/'Pitching Data'!P197</f>
        <v>0.14331723027375201</v>
      </c>
      <c r="N197" s="58">
        <f>'Pitching Data'!R197/'Pitching Data'!P197</f>
        <v>5.7165861513687598E-2</v>
      </c>
      <c r="O197" s="58">
        <f>'Pitching Data'!S197/'Pitching Data'!P197</f>
        <v>5.1529790660225444E-3</v>
      </c>
      <c r="P197" s="58">
        <f>'Pitching Data'!T197/'Pitching Data'!P197</f>
        <v>2.8502415458937197E-2</v>
      </c>
      <c r="Q197" s="58">
        <f>'Pitching Data'!U197/'Pitching Data'!P197</f>
        <v>8.2769726247987119E-2</v>
      </c>
      <c r="R197" s="58">
        <f>'Pitching Data'!V197/'Pitching Data'!P197</f>
        <v>1.1916264090177134E-2</v>
      </c>
      <c r="S197" s="58">
        <f>'Pitching Data'!W197/'Pitching Data'!P197</f>
        <v>0.67117552334943642</v>
      </c>
    </row>
    <row r="198" spans="2:19" x14ac:dyDescent="0.5">
      <c r="B198" s="2">
        <v>2006</v>
      </c>
      <c r="C198" s="2" t="s">
        <v>70</v>
      </c>
      <c r="D198" s="2" t="str">
        <f t="shared" si="6"/>
        <v>2006 Minnesota Twins</v>
      </c>
      <c r="E198" s="60">
        <f>'Batting Data'!K198/'Batting Data'!J198</f>
        <v>0.20635487325955015</v>
      </c>
      <c r="F198" s="60">
        <f>'Batting Data'!L198/'Batting Data'!J198</f>
        <v>4.9089610853266692E-2</v>
      </c>
      <c r="G198" s="60">
        <f>'Batting Data'!M198/'Batting Data'!J198</f>
        <v>6.0692609782220632E-3</v>
      </c>
      <c r="H198" s="60">
        <f>'Batting Data'!N198/'Batting Data'!J198</f>
        <v>2.5526597643698679E-2</v>
      </c>
      <c r="I198" s="60">
        <f>'Batting Data'!O198/'Batting Data'!J198</f>
        <v>8.7468761156729746E-2</v>
      </c>
      <c r="J198" s="60">
        <f>'Batting Data'!P198/'Batting Data'!J198</f>
        <v>8.9253837915030353E-3</v>
      </c>
      <c r="K198" s="60">
        <f>'Batting Data'!Q198/'Batting Data'!J198</f>
        <v>0.61656551231702961</v>
      </c>
      <c r="L198" s="2" t="str">
        <f t="shared" si="7"/>
        <v>2006 Minnesota Twins</v>
      </c>
      <c r="M198" s="58">
        <f>'Pitching Data'!Q198/'Pitching Data'!P198</f>
        <v>0.16567754698318496</v>
      </c>
      <c r="N198" s="58">
        <f>'Pitching Data'!R198/'Pitching Data'!P198</f>
        <v>4.6158918562479397E-2</v>
      </c>
      <c r="O198" s="58">
        <f>'Pitching Data'!S198/'Pitching Data'!P198</f>
        <v>3.7916254533465216E-3</v>
      </c>
      <c r="P198" s="58">
        <f>'Pitching Data'!T198/'Pitching Data'!P198</f>
        <v>3.0003297065611605E-2</v>
      </c>
      <c r="Q198" s="58">
        <f>'Pitching Data'!U198/'Pitching Data'!P198</f>
        <v>5.8687767886580942E-2</v>
      </c>
      <c r="R198" s="58">
        <f>'Pitching Data'!V198/'Pitching Data'!P198</f>
        <v>5.9347181008902079E-3</v>
      </c>
      <c r="S198" s="58">
        <f>'Pitching Data'!W198/'Pitching Data'!P198</f>
        <v>0.68974612594790641</v>
      </c>
    </row>
    <row r="199" spans="2:19" x14ac:dyDescent="0.5">
      <c r="B199" s="2">
        <v>2006</v>
      </c>
      <c r="C199" s="2" t="s">
        <v>76</v>
      </c>
      <c r="D199" s="2" t="str">
        <f t="shared" si="6"/>
        <v>2006 New York Mets</v>
      </c>
      <c r="E199" s="60">
        <f>'Batting Data'!K199/'Batting Data'!J199</f>
        <v>0.16282835552356964</v>
      </c>
      <c r="F199" s="60">
        <f>'Batting Data'!L199/'Batting Data'!J199</f>
        <v>5.8114429650953578E-2</v>
      </c>
      <c r="G199" s="60">
        <f>'Batting Data'!M199/'Batting Data'!J199</f>
        <v>7.3767542281396184E-3</v>
      </c>
      <c r="H199" s="60">
        <f>'Batting Data'!N199/'Batting Data'!J199</f>
        <v>3.5984166966534725E-2</v>
      </c>
      <c r="I199" s="60">
        <f>'Batting Data'!O199/'Batting Data'!J199</f>
        <v>9.8416696653472469E-2</v>
      </c>
      <c r="J199" s="60">
        <f>'Batting Data'!P199/'Batting Data'!J199</f>
        <v>1.1155091759625764E-2</v>
      </c>
      <c r="K199" s="60">
        <f>'Batting Data'!Q199/'Batting Data'!J199</f>
        <v>0.62612450521770424</v>
      </c>
      <c r="L199" s="2" t="str">
        <f t="shared" si="7"/>
        <v>2006 New York Mets</v>
      </c>
      <c r="M199" s="58">
        <f>'Pitching Data'!Q199/'Pitching Data'!P199</f>
        <v>0.14903846153846154</v>
      </c>
      <c r="N199" s="58">
        <f>'Pitching Data'!R199/'Pitching Data'!P199</f>
        <v>4.3910256410256407E-2</v>
      </c>
      <c r="O199" s="58">
        <f>'Pitching Data'!S199/'Pitching Data'!P199</f>
        <v>2.8846153846153848E-3</v>
      </c>
      <c r="P199" s="58">
        <f>'Pitching Data'!T199/'Pitching Data'!P199</f>
        <v>2.8846153846153848E-2</v>
      </c>
      <c r="Q199" s="58">
        <f>'Pitching Data'!U199/'Pitching Data'!P199</f>
        <v>8.445512820512821E-2</v>
      </c>
      <c r="R199" s="58">
        <f>'Pitching Data'!V199/'Pitching Data'!P199</f>
        <v>9.9358974358974353E-3</v>
      </c>
      <c r="S199" s="58">
        <f>'Pitching Data'!W199/'Pitching Data'!P199</f>
        <v>0.6809294871794872</v>
      </c>
    </row>
    <row r="200" spans="2:19" x14ac:dyDescent="0.5">
      <c r="B200" s="2">
        <v>2006</v>
      </c>
      <c r="C200" s="2" t="s">
        <v>74</v>
      </c>
      <c r="D200" s="2" t="str">
        <f t="shared" si="6"/>
        <v>2006 New York Yankees</v>
      </c>
      <c r="E200" s="60">
        <f>'Batting Data'!K200/'Batting Data'!J200</f>
        <v>0.18580782162449125</v>
      </c>
      <c r="F200" s="60">
        <f>'Batting Data'!L200/'Batting Data'!J200</f>
        <v>5.7865864448770128E-2</v>
      </c>
      <c r="G200" s="60">
        <f>'Batting Data'!M200/'Batting Data'!J200</f>
        <v>3.7161564324898247E-3</v>
      </c>
      <c r="H200" s="60">
        <f>'Batting Data'!N200/'Batting Data'!J200</f>
        <v>3.7161564324898248E-2</v>
      </c>
      <c r="I200" s="60">
        <f>'Batting Data'!O200/'Batting Data'!J200</f>
        <v>0.11484692974694745</v>
      </c>
      <c r="J200" s="60">
        <f>'Batting Data'!P200/'Batting Data'!J200</f>
        <v>1.2741107768536541E-2</v>
      </c>
      <c r="K200" s="60">
        <f>'Batting Data'!Q200/'Batting Data'!J200</f>
        <v>0.58786055565386652</v>
      </c>
      <c r="L200" s="2" t="str">
        <f t="shared" si="7"/>
        <v>2006 New York Yankees</v>
      </c>
      <c r="M200" s="58">
        <f>'Pitching Data'!Q200/'Pitching Data'!P200</f>
        <v>0.1572003218020917</v>
      </c>
      <c r="N200" s="58">
        <f>'Pitching Data'!R200/'Pitching Data'!P200</f>
        <v>4.7304907481898632E-2</v>
      </c>
      <c r="O200" s="58">
        <f>'Pitching Data'!S200/'Pitching Data'!P200</f>
        <v>3.5398230088495575E-3</v>
      </c>
      <c r="P200" s="58">
        <f>'Pitching Data'!T200/'Pitching Data'!P200</f>
        <v>2.7353177795655673E-2</v>
      </c>
      <c r="Q200" s="58">
        <f>'Pitching Data'!U200/'Pitching Data'!P200</f>
        <v>7.9806918744971839E-2</v>
      </c>
      <c r="R200" s="58">
        <f>'Pitching Data'!V200/'Pitching Data'!P200</f>
        <v>9.4931617055510863E-3</v>
      </c>
      <c r="S200" s="58">
        <f>'Pitching Data'!W200/'Pitching Data'!P200</f>
        <v>0.67530168946098146</v>
      </c>
    </row>
    <row r="201" spans="2:19" x14ac:dyDescent="0.5">
      <c r="B201" s="2">
        <v>2006</v>
      </c>
      <c r="C201" s="2" t="s">
        <v>78</v>
      </c>
      <c r="D201" s="2" t="str">
        <f t="shared" si="6"/>
        <v>2006 Oakland Athletics</v>
      </c>
      <c r="E201" s="60">
        <f>'Batting Data'!K201/'Batting Data'!J201</f>
        <v>0.17563636363636365</v>
      </c>
      <c r="F201" s="60">
        <f>'Batting Data'!L201/'Batting Data'!J201</f>
        <v>4.8363636363636366E-2</v>
      </c>
      <c r="G201" s="60">
        <f>'Batting Data'!M201/'Batting Data'!J201</f>
        <v>4.0000000000000001E-3</v>
      </c>
      <c r="H201" s="60">
        <f>'Batting Data'!N201/'Batting Data'!J201</f>
        <v>3.1818181818181815E-2</v>
      </c>
      <c r="I201" s="60">
        <f>'Batting Data'!O201/'Batting Data'!J201</f>
        <v>0.11818181818181818</v>
      </c>
      <c r="J201" s="60">
        <f>'Batting Data'!P201/'Batting Data'!J201</f>
        <v>9.0909090909090905E-3</v>
      </c>
      <c r="K201" s="60">
        <f>'Batting Data'!Q201/'Batting Data'!J201</f>
        <v>0.61290909090909096</v>
      </c>
      <c r="L201" s="2" t="str">
        <f t="shared" si="7"/>
        <v>2006 Oakland Athletics</v>
      </c>
      <c r="M201" s="58">
        <f>'Pitching Data'!Q201/'Pitching Data'!P201</f>
        <v>0.16563146997929606</v>
      </c>
      <c r="N201" s="58">
        <f>'Pitching Data'!R201/'Pitching Data'!P201</f>
        <v>4.602643733078516E-2</v>
      </c>
      <c r="O201" s="58">
        <f>'Pitching Data'!S201/'Pitching Data'!P201</f>
        <v>5.4148749800923711E-3</v>
      </c>
      <c r="P201" s="58">
        <f>'Pitching Data'!T201/'Pitching Data'!P201</f>
        <v>2.5800286669851888E-2</v>
      </c>
      <c r="Q201" s="58">
        <f>'Pitching Data'!U201/'Pitching Data'!P201</f>
        <v>8.4249084249084255E-2</v>
      </c>
      <c r="R201" s="58">
        <f>'Pitching Data'!V201/'Pitching Data'!P201</f>
        <v>8.759356585443542E-3</v>
      </c>
      <c r="S201" s="58">
        <f>'Pitching Data'!W201/'Pitching Data'!P201</f>
        <v>0.66411849020544678</v>
      </c>
    </row>
    <row r="202" spans="2:19" x14ac:dyDescent="0.5">
      <c r="B202" s="2">
        <v>2006</v>
      </c>
      <c r="C202" s="2" t="s">
        <v>80</v>
      </c>
      <c r="D202" s="2" t="str">
        <f t="shared" si="6"/>
        <v>2006 Philadelphia Phillies</v>
      </c>
      <c r="E202" s="60">
        <f>'Batting Data'!K202/'Batting Data'!J202</f>
        <v>0.17003692632319325</v>
      </c>
      <c r="F202" s="60">
        <f>'Batting Data'!L202/'Batting Data'!J202</f>
        <v>5.169685247054686E-2</v>
      </c>
      <c r="G202" s="60">
        <f>'Batting Data'!M202/'Batting Data'!J202</f>
        <v>7.2094250043959907E-3</v>
      </c>
      <c r="H202" s="60">
        <f>'Batting Data'!N202/'Batting Data'!J202</f>
        <v>3.7981360998769122E-2</v>
      </c>
      <c r="I202" s="60">
        <f>'Batting Data'!O202/'Batting Data'!J202</f>
        <v>0.11007561104272903</v>
      </c>
      <c r="J202" s="60">
        <f>'Batting Data'!P202/'Batting Data'!J202</f>
        <v>1.6704765254088271E-2</v>
      </c>
      <c r="K202" s="60">
        <f>'Batting Data'!Q202/'Batting Data'!J202</f>
        <v>0.60629505890627744</v>
      </c>
      <c r="L202" s="2" t="str">
        <f t="shared" si="7"/>
        <v>2006 Philadelphia Phillies</v>
      </c>
      <c r="M202" s="58">
        <f>'Pitching Data'!Q202/'Pitching Data'!P202</f>
        <v>0.15315739868049011</v>
      </c>
      <c r="N202" s="58">
        <f>'Pitching Data'!R202/'Pitching Data'!P202</f>
        <v>5.2623311341501729E-2</v>
      </c>
      <c r="O202" s="58">
        <f>'Pitching Data'!S202/'Pitching Data'!P202</f>
        <v>6.2833804586867733E-3</v>
      </c>
      <c r="P202" s="58">
        <f>'Pitching Data'!T202/'Pitching Data'!P202</f>
        <v>3.314483191957273E-2</v>
      </c>
      <c r="Q202" s="58">
        <f>'Pitching Data'!U202/'Pitching Data'!P202</f>
        <v>8.0427269871190699E-2</v>
      </c>
      <c r="R202" s="58">
        <f>'Pitching Data'!V202/'Pitching Data'!P202</f>
        <v>9.7392397109644993E-3</v>
      </c>
      <c r="S202" s="58">
        <f>'Pitching Data'!W202/'Pitching Data'!P202</f>
        <v>0.66462456801759351</v>
      </c>
    </row>
    <row r="203" spans="2:19" x14ac:dyDescent="0.5">
      <c r="B203" s="2">
        <v>2006</v>
      </c>
      <c r="C203" s="2" t="s">
        <v>82</v>
      </c>
      <c r="D203" s="2" t="str">
        <f t="shared" si="6"/>
        <v>2006 Pittsburgh Pirates</v>
      </c>
      <c r="E203" s="60">
        <f>'Batting Data'!K203/'Batting Data'!J203</f>
        <v>0.18315940985966175</v>
      </c>
      <c r="F203" s="60">
        <f>'Batting Data'!L203/'Batting Data'!J203</f>
        <v>5.1457358762144655E-2</v>
      </c>
      <c r="G203" s="60">
        <f>'Batting Data'!M203/'Batting Data'!J203</f>
        <v>3.0586541921554518E-3</v>
      </c>
      <c r="H203" s="60">
        <f>'Batting Data'!N203/'Batting Data'!J203</f>
        <v>2.536883771140698E-2</v>
      </c>
      <c r="I203" s="60">
        <f>'Batting Data'!O203/'Batting Data'!J203</f>
        <v>8.2583663188197196E-2</v>
      </c>
      <c r="J203" s="60">
        <f>'Batting Data'!P203/'Batting Data'!J203</f>
        <v>1.6012954300107952E-2</v>
      </c>
      <c r="K203" s="60">
        <f>'Batting Data'!Q203/'Batting Data'!J203</f>
        <v>0.63835912198632605</v>
      </c>
      <c r="L203" s="2" t="str">
        <f t="shared" si="7"/>
        <v>2006 Pittsburgh Pirates</v>
      </c>
      <c r="M203" s="58">
        <f>'Pitching Data'!Q203/'Pitching Data'!P203</f>
        <v>0.16650928548945546</v>
      </c>
      <c r="N203" s="58">
        <f>'Pitching Data'!R203/'Pitching Data'!P203</f>
        <v>4.7214353163361665E-2</v>
      </c>
      <c r="O203" s="58">
        <f>'Pitching Data'!S203/'Pitching Data'!P203</f>
        <v>4.8788164935473716E-3</v>
      </c>
      <c r="P203" s="58">
        <f>'Pitching Data'!T203/'Pitching Data'!P203</f>
        <v>2.4551463644948063E-2</v>
      </c>
      <c r="Q203" s="58">
        <f>'Pitching Data'!U203/'Pitching Data'!P203</f>
        <v>9.7576329870947429E-2</v>
      </c>
      <c r="R203" s="58">
        <f>'Pitching Data'!V203/'Pitching Data'!P203</f>
        <v>1.1016682404784388E-2</v>
      </c>
      <c r="S203" s="58">
        <f>'Pitching Data'!W203/'Pitching Data'!P203</f>
        <v>0.64825306893295565</v>
      </c>
    </row>
    <row r="204" spans="2:19" x14ac:dyDescent="0.5">
      <c r="B204" s="2">
        <v>2006</v>
      </c>
      <c r="C204" s="2" t="s">
        <v>84</v>
      </c>
      <c r="D204" s="2" t="str">
        <f t="shared" si="6"/>
        <v>2006 San Diego Padres</v>
      </c>
      <c r="E204" s="60">
        <f>'Batting Data'!K204/'Batting Data'!J204</f>
        <v>0.17360114777618366</v>
      </c>
      <c r="F204" s="60">
        <f>'Batting Data'!L204/'Batting Data'!J204</f>
        <v>5.3443328550932569E-2</v>
      </c>
      <c r="G204" s="60">
        <f>'Batting Data'!M204/'Batting Data'!J204</f>
        <v>6.8149210903873745E-3</v>
      </c>
      <c r="H204" s="60">
        <f>'Batting Data'!N204/'Batting Data'!J204</f>
        <v>2.8873744619799139E-2</v>
      </c>
      <c r="I204" s="60">
        <f>'Batting Data'!O204/'Batting Data'!J204</f>
        <v>0.10114777618364419</v>
      </c>
      <c r="J204" s="60">
        <f>'Batting Data'!P204/'Batting Data'!J204</f>
        <v>7.1736011477761836E-3</v>
      </c>
      <c r="K204" s="60">
        <f>'Batting Data'!Q204/'Batting Data'!J204</f>
        <v>0.62894548063127687</v>
      </c>
      <c r="L204" s="2" t="str">
        <f t="shared" si="7"/>
        <v>2006 San Diego Padres</v>
      </c>
      <c r="M204" s="58">
        <f>'Pitching Data'!Q204/'Pitching Data'!P204</f>
        <v>0.14736842105263157</v>
      </c>
      <c r="N204" s="58">
        <f>'Pitching Data'!R204/'Pitching Data'!P204</f>
        <v>4.2753036437246962E-2</v>
      </c>
      <c r="O204" s="58">
        <f>'Pitching Data'!S204/'Pitching Data'!P204</f>
        <v>5.6680161943319842E-3</v>
      </c>
      <c r="P204" s="58">
        <f>'Pitching Data'!T204/'Pitching Data'!P204</f>
        <v>2.8502024291497976E-2</v>
      </c>
      <c r="Q204" s="58">
        <f>'Pitching Data'!U204/'Pitching Data'!P204</f>
        <v>7.5789473684210532E-2</v>
      </c>
      <c r="R204" s="58">
        <f>'Pitching Data'!V204/'Pitching Data'!P204</f>
        <v>8.0971659919028341E-3</v>
      </c>
      <c r="S204" s="58">
        <f>'Pitching Data'!W204/'Pitching Data'!P204</f>
        <v>0.69182186234817811</v>
      </c>
    </row>
    <row r="205" spans="2:19" x14ac:dyDescent="0.5">
      <c r="B205" s="2">
        <v>2006</v>
      </c>
      <c r="C205" s="2" t="s">
        <v>86</v>
      </c>
      <c r="D205" s="2" t="str">
        <f t="shared" si="6"/>
        <v>2006 Seattle Mariners</v>
      </c>
      <c r="E205" s="60">
        <f>'Batting Data'!K205/'Batting Data'!J205</f>
        <v>0.18694885361552027</v>
      </c>
      <c r="F205" s="60">
        <f>'Batting Data'!L205/'Batting Data'!J205</f>
        <v>4.6913580246913583E-2</v>
      </c>
      <c r="G205" s="60">
        <f>'Batting Data'!M205/'Batting Data'!J205</f>
        <v>7.4074074074074077E-3</v>
      </c>
      <c r="H205" s="60">
        <f>'Batting Data'!N205/'Batting Data'!J205</f>
        <v>3.0335097001763667E-2</v>
      </c>
      <c r="I205" s="60">
        <f>'Batting Data'!O205/'Batting Data'!J205</f>
        <v>7.1252204585537923E-2</v>
      </c>
      <c r="J205" s="60">
        <f>'Batting Data'!P205/'Batting Data'!J205</f>
        <v>1.1111111111111112E-2</v>
      </c>
      <c r="K205" s="60">
        <f>'Batting Data'!Q205/'Batting Data'!J205</f>
        <v>0.64603174603174607</v>
      </c>
      <c r="L205" s="2" t="str">
        <f t="shared" si="7"/>
        <v>2006 Seattle Mariners</v>
      </c>
      <c r="M205" s="58">
        <f>'Pitching Data'!Q205/'Pitching Data'!P205</f>
        <v>0.1536383857642199</v>
      </c>
      <c r="N205" s="58">
        <f>'Pitching Data'!R205/'Pitching Data'!P205</f>
        <v>5.1954242135367014E-2</v>
      </c>
      <c r="O205" s="58">
        <f>'Pitching Data'!S205/'Pitching Data'!P205</f>
        <v>3.6542739116619E-3</v>
      </c>
      <c r="P205" s="58">
        <f>'Pitching Data'!T205/'Pitching Data'!P205</f>
        <v>2.9075309818875118E-2</v>
      </c>
      <c r="Q205" s="58">
        <f>'Pitching Data'!U205/'Pitching Data'!P205</f>
        <v>8.8973625675246262E-2</v>
      </c>
      <c r="R205" s="58">
        <f>'Pitching Data'!V205/'Pitching Data'!P205</f>
        <v>8.4207181442643789E-3</v>
      </c>
      <c r="S205" s="58">
        <f>'Pitching Data'!W205/'Pitching Data'!P205</f>
        <v>0.66428344455036548</v>
      </c>
    </row>
    <row r="206" spans="2:19" x14ac:dyDescent="0.5">
      <c r="B206" s="2">
        <v>2006</v>
      </c>
      <c r="C206" s="2" t="s">
        <v>88</v>
      </c>
      <c r="D206" s="2" t="str">
        <f t="shared" si="6"/>
        <v>2006 San Francisco Giants</v>
      </c>
      <c r="E206" s="60">
        <f>'Batting Data'!K206/'Batting Data'!J206</f>
        <v>0.16557017543859648</v>
      </c>
      <c r="F206" s="60">
        <f>'Batting Data'!L206/'Batting Data'!J206</f>
        <v>5.4276315789473686E-2</v>
      </c>
      <c r="G206" s="60">
        <f>'Batting Data'!M206/'Batting Data'!J206</f>
        <v>9.5029239766081866E-3</v>
      </c>
      <c r="H206" s="60">
        <f>'Batting Data'!N206/'Batting Data'!J206</f>
        <v>2.9788011695906433E-2</v>
      </c>
      <c r="I206" s="60">
        <f>'Batting Data'!O206/'Batting Data'!J206</f>
        <v>9.0277777777777776E-2</v>
      </c>
      <c r="J206" s="60">
        <f>'Batting Data'!P206/'Batting Data'!J206</f>
        <v>9.6856725146198825E-3</v>
      </c>
      <c r="K206" s="60">
        <f>'Batting Data'!Q206/'Batting Data'!J206</f>
        <v>0.64089912280701755</v>
      </c>
      <c r="L206" s="2" t="str">
        <f t="shared" si="7"/>
        <v>2006 San Francisco Giants</v>
      </c>
      <c r="M206" s="58">
        <f>'Pitching Data'!Q206/'Pitching Data'!P206</f>
        <v>0.1502008032128514</v>
      </c>
      <c r="N206" s="58">
        <f>'Pitching Data'!R206/'Pitching Data'!P206</f>
        <v>4.6104417670682733E-2</v>
      </c>
      <c r="O206" s="58">
        <f>'Pitching Data'!S206/'Pitching Data'!P206</f>
        <v>7.5502008032128512E-3</v>
      </c>
      <c r="P206" s="58">
        <f>'Pitching Data'!T206/'Pitching Data'!P206</f>
        <v>2.457831325301205E-2</v>
      </c>
      <c r="Q206" s="58">
        <f>'Pitching Data'!U206/'Pitching Data'!P206</f>
        <v>9.3815261044176701E-2</v>
      </c>
      <c r="R206" s="58">
        <f>'Pitching Data'!V206/'Pitching Data'!P206</f>
        <v>1.1244979919678716E-2</v>
      </c>
      <c r="S206" s="58">
        <f>'Pitching Data'!W206/'Pitching Data'!P206</f>
        <v>0.6665060240963856</v>
      </c>
    </row>
    <row r="207" spans="2:19" x14ac:dyDescent="0.5">
      <c r="B207" s="2">
        <v>2006</v>
      </c>
      <c r="C207" s="2" t="s">
        <v>90</v>
      </c>
      <c r="D207" s="2" t="str">
        <f t="shared" si="6"/>
        <v>2006 St. Louis Cardinals</v>
      </c>
      <c r="E207" s="60">
        <f>'Batting Data'!K207/'Batting Data'!J207</f>
        <v>0.17765302426657009</v>
      </c>
      <c r="F207" s="60">
        <f>'Batting Data'!L207/'Batting Data'!J207</f>
        <v>5.2879391524809853E-2</v>
      </c>
      <c r="G207" s="60">
        <f>'Batting Data'!M207/'Batting Data'!J207</f>
        <v>4.8895327779789931E-3</v>
      </c>
      <c r="H207" s="60">
        <f>'Batting Data'!N207/'Batting Data'!J207</f>
        <v>3.3321260412893877E-2</v>
      </c>
      <c r="I207" s="60">
        <f>'Batting Data'!O207/'Batting Data'!J207</f>
        <v>9.6160811300253529E-2</v>
      </c>
      <c r="J207" s="60">
        <f>'Batting Data'!P207/'Batting Data'!J207</f>
        <v>1.1046722202100689E-2</v>
      </c>
      <c r="K207" s="60">
        <f>'Batting Data'!Q207/'Batting Data'!J207</f>
        <v>0.62404925751539297</v>
      </c>
      <c r="L207" s="2" t="str">
        <f t="shared" si="7"/>
        <v>2006 St. Louis Cardinals</v>
      </c>
      <c r="M207" s="58">
        <f>'Pitching Data'!Q207/'Pitching Data'!P207</f>
        <v>0.15138799225306648</v>
      </c>
      <c r="N207" s="58">
        <f>'Pitching Data'!R207/'Pitching Data'!P207</f>
        <v>5.0032278889606201E-2</v>
      </c>
      <c r="O207" s="58">
        <f>'Pitching Data'!S207/'Pitching Data'!P207</f>
        <v>5.4874112330535827E-3</v>
      </c>
      <c r="P207" s="58">
        <f>'Pitching Data'!T207/'Pitching Data'!P207</f>
        <v>3.1149128469980632E-2</v>
      </c>
      <c r="Q207" s="58">
        <f>'Pitching Data'!U207/'Pitching Data'!P207</f>
        <v>8.1342801807617812E-2</v>
      </c>
      <c r="R207" s="58">
        <f>'Pitching Data'!V207/'Pitching Data'!P207</f>
        <v>1.2911555842479019E-2</v>
      </c>
      <c r="S207" s="58">
        <f>'Pitching Data'!W207/'Pitching Data'!P207</f>
        <v>0.66768883150419622</v>
      </c>
    </row>
    <row r="208" spans="2:19" x14ac:dyDescent="0.5">
      <c r="B208" s="2">
        <v>2006</v>
      </c>
      <c r="C208" s="2" t="s">
        <v>92</v>
      </c>
      <c r="D208" s="2" t="str">
        <f t="shared" si="6"/>
        <v>2006 Tampa Bay Devil Rays</v>
      </c>
      <c r="E208" s="60">
        <f>'Batting Data'!K208/'Batting Data'!J208</f>
        <v>0.16532700036536355</v>
      </c>
      <c r="F208" s="60">
        <f>'Batting Data'!L208/'Batting Data'!J208</f>
        <v>4.8776032151991229E-2</v>
      </c>
      <c r="G208" s="60">
        <f>'Batting Data'!M208/'Batting Data'!J208</f>
        <v>6.0284983558640849E-3</v>
      </c>
      <c r="H208" s="60">
        <f>'Batting Data'!N208/'Batting Data'!J208</f>
        <v>3.4709535988308365E-2</v>
      </c>
      <c r="I208" s="60">
        <f>'Batting Data'!O208/'Batting Data'!J208</f>
        <v>8.0562659846547313E-2</v>
      </c>
      <c r="J208" s="60">
        <f>'Batting Data'!P208/'Batting Data'!J208</f>
        <v>8.5860431128973336E-3</v>
      </c>
      <c r="K208" s="60">
        <f>'Batting Data'!Q208/'Batting Data'!J208</f>
        <v>0.65601023017902815</v>
      </c>
      <c r="L208" s="2" t="str">
        <f t="shared" si="7"/>
        <v>2006 Tampa Bay Devil Rays</v>
      </c>
      <c r="M208" s="58">
        <f>'Pitching Data'!Q208/'Pitching Data'!P208</f>
        <v>0.16614370881706936</v>
      </c>
      <c r="N208" s="58">
        <f>'Pitching Data'!R208/'Pitching Data'!P208</f>
        <v>5.240037652965171E-2</v>
      </c>
      <c r="O208" s="58">
        <f>'Pitching Data'!S208/'Pitching Data'!P208</f>
        <v>4.2359585817383118E-3</v>
      </c>
      <c r="P208" s="58">
        <f>'Pitching Data'!T208/'Pitching Data'!P208</f>
        <v>2.8239723878255414E-2</v>
      </c>
      <c r="Q208" s="58">
        <f>'Pitching Data'!U208/'Pitching Data'!P208</f>
        <v>9.5073737056793228E-2</v>
      </c>
      <c r="R208" s="58">
        <f>'Pitching Data'!V208/'Pitching Data'!P208</f>
        <v>9.8839033573893936E-3</v>
      </c>
      <c r="S208" s="58">
        <f>'Pitching Data'!W208/'Pitching Data'!P208</f>
        <v>0.64402259177910259</v>
      </c>
    </row>
    <row r="209" spans="2:19" x14ac:dyDescent="0.5">
      <c r="B209" s="2">
        <v>2006</v>
      </c>
      <c r="C209" s="2" t="s">
        <v>94</v>
      </c>
      <c r="D209" s="2" t="str">
        <f t="shared" si="6"/>
        <v>2006 Texas Rangers</v>
      </c>
      <c r="E209" s="60">
        <f>'Batting Data'!K209/'Batting Data'!J209</f>
        <v>0.17812334334688107</v>
      </c>
      <c r="F209" s="60">
        <f>'Batting Data'!L209/'Batting Data'!J209</f>
        <v>6.3085350768687043E-2</v>
      </c>
      <c r="G209" s="60">
        <f>'Batting Data'!M209/'Batting Data'!J209</f>
        <v>4.0643223184308186E-3</v>
      </c>
      <c r="H209" s="60">
        <f>'Batting Data'!N209/'Batting Data'!J209</f>
        <v>3.2337868881427811E-2</v>
      </c>
      <c r="I209" s="60">
        <f>'Batting Data'!O209/'Batting Data'!J209</f>
        <v>8.9238381339459272E-2</v>
      </c>
      <c r="J209" s="60">
        <f>'Batting Data'!P209/'Batting Data'!J209</f>
        <v>7.0683866407492491E-3</v>
      </c>
      <c r="K209" s="60">
        <f>'Batting Data'!Q209/'Batting Data'!J209</f>
        <v>0.62608234670436469</v>
      </c>
      <c r="L209" s="2" t="str">
        <f t="shared" si="7"/>
        <v>2006 Texas Rangers</v>
      </c>
      <c r="M209" s="58">
        <f>'Pitching Data'!Q209/'Pitching Data'!P209</f>
        <v>0.17444284110950778</v>
      </c>
      <c r="N209" s="58">
        <f>'Pitching Data'!R209/'Pitching Data'!P209</f>
        <v>4.5374378707712042E-2</v>
      </c>
      <c r="O209" s="58">
        <f>'Pitching Data'!S209/'Pitching Data'!P209</f>
        <v>4.0083373416706751E-3</v>
      </c>
      <c r="P209" s="58">
        <f>'Pitching Data'!T209/'Pitching Data'!P209</f>
        <v>2.5974025974025976E-2</v>
      </c>
      <c r="Q209" s="58">
        <f>'Pitching Data'!U209/'Pitching Data'!P209</f>
        <v>7.9525412858746189E-2</v>
      </c>
      <c r="R209" s="58">
        <f>'Pitching Data'!V209/'Pitching Data'!P209</f>
        <v>1.0582010582010581E-2</v>
      </c>
      <c r="S209" s="58">
        <f>'Pitching Data'!W209/'Pitching Data'!P209</f>
        <v>0.66009299342632677</v>
      </c>
    </row>
    <row r="210" spans="2:19" x14ac:dyDescent="0.5">
      <c r="B210" s="2">
        <v>2006</v>
      </c>
      <c r="C210" s="2" t="s">
        <v>96</v>
      </c>
      <c r="D210" s="2" t="str">
        <f t="shared" si="6"/>
        <v>2006 Toronto Blue Jays</v>
      </c>
      <c r="E210" s="60">
        <f>'Batting Data'!K210/'Batting Data'!J210</f>
        <v>0.18173695496783418</v>
      </c>
      <c r="F210" s="60">
        <f>'Batting Data'!L210/'Batting Data'!J210</f>
        <v>6.2187276626161546E-2</v>
      </c>
      <c r="G210" s="60">
        <f>'Batting Data'!M210/'Batting Data'!J210</f>
        <v>4.8248749106504646E-3</v>
      </c>
      <c r="H210" s="60">
        <f>'Batting Data'!N210/'Batting Data'!J210</f>
        <v>3.5561115082201569E-2</v>
      </c>
      <c r="I210" s="60">
        <f>'Batting Data'!O210/'Batting Data'!J210</f>
        <v>9.1851322373123656E-2</v>
      </c>
      <c r="J210" s="60">
        <f>'Batting Data'!P210/'Batting Data'!J210</f>
        <v>1.1258041458184417E-2</v>
      </c>
      <c r="K210" s="60">
        <f>'Batting Data'!Q210/'Batting Data'!J210</f>
        <v>0.6125804145818442</v>
      </c>
      <c r="L210" s="2" t="str">
        <f t="shared" si="7"/>
        <v>2006 Toronto Blue Jays</v>
      </c>
      <c r="M210" s="58">
        <f>'Pitching Data'!Q210/'Pitching Data'!P210</f>
        <v>0.15444643147455697</v>
      </c>
      <c r="N210" s="58">
        <f>'Pitching Data'!R210/'Pitching Data'!P210</f>
        <v>4.7309380588522194E-2</v>
      </c>
      <c r="O210" s="58">
        <f>'Pitching Data'!S210/'Pitching Data'!P210</f>
        <v>3.4140790115428387E-3</v>
      </c>
      <c r="P210" s="58">
        <f>'Pitching Data'!T210/'Pitching Data'!P210</f>
        <v>3.0076410339782148E-2</v>
      </c>
      <c r="Q210" s="58">
        <f>'Pitching Data'!U210/'Pitching Data'!P210</f>
        <v>8.1937896277028119E-2</v>
      </c>
      <c r="R210" s="58">
        <f>'Pitching Data'!V210/'Pitching Data'!P210</f>
        <v>9.5919362705251185E-3</v>
      </c>
      <c r="S210" s="58">
        <f>'Pitching Data'!W210/'Pitching Data'!P210</f>
        <v>0.67322386603804263</v>
      </c>
    </row>
    <row r="211" spans="2:19" x14ac:dyDescent="0.5">
      <c r="B211" s="2">
        <v>2006</v>
      </c>
      <c r="C211" s="2" t="s">
        <v>100</v>
      </c>
      <c r="D211" s="2" t="str">
        <f t="shared" si="6"/>
        <v>2006 Washington Nationals</v>
      </c>
      <c r="E211" s="60">
        <f>'Batting Data'!K211/'Batting Data'!J211</f>
        <v>0.16906278434940855</v>
      </c>
      <c r="F211" s="60">
        <f>'Batting Data'!L211/'Batting Data'!J211</f>
        <v>5.8598726114649682E-2</v>
      </c>
      <c r="G211" s="60">
        <f>'Batting Data'!M211/'Batting Data'!J211</f>
        <v>4.0036396724294817E-3</v>
      </c>
      <c r="H211" s="60">
        <f>'Batting Data'!N211/'Batting Data'!J211</f>
        <v>2.9845313921747042E-2</v>
      </c>
      <c r="I211" s="60">
        <f>'Batting Data'!O211/'Batting Data'!J211</f>
        <v>0.10809827115559599</v>
      </c>
      <c r="J211" s="60">
        <f>'Batting Data'!P211/'Batting Data'!J211</f>
        <v>1.2556869881710645E-2</v>
      </c>
      <c r="K211" s="60">
        <f>'Batting Data'!Q211/'Batting Data'!J211</f>
        <v>0.61783439490445857</v>
      </c>
      <c r="L211" s="2" t="str">
        <f t="shared" si="7"/>
        <v>2006 Washington Nationals</v>
      </c>
      <c r="M211" s="58">
        <f>'Pitching Data'!Q211/'Pitching Data'!P211</f>
        <v>0.15488792029887921</v>
      </c>
      <c r="N211" s="58">
        <f>'Pitching Data'!R211/'Pitching Data'!P211</f>
        <v>4.747820672478207E-2</v>
      </c>
      <c r="O211" s="58">
        <f>'Pitching Data'!S211/'Pitching Data'!P211</f>
        <v>6.5379825653798258E-3</v>
      </c>
      <c r="P211" s="58">
        <f>'Pitching Data'!T211/'Pitching Data'!P211</f>
        <v>3.0043586550435864E-2</v>
      </c>
      <c r="Q211" s="58">
        <f>'Pitching Data'!U211/'Pitching Data'!P211</f>
        <v>9.0909090909090912E-2</v>
      </c>
      <c r="R211" s="58">
        <f>'Pitching Data'!V211/'Pitching Data'!P211</f>
        <v>1.4321295143212951E-2</v>
      </c>
      <c r="S211" s="58">
        <f>'Pitching Data'!W211/'Pitching Data'!P211</f>
        <v>0.65582191780821919</v>
      </c>
    </row>
    <row r="212" spans="2:19" x14ac:dyDescent="0.5">
      <c r="B212" s="2">
        <v>2007</v>
      </c>
      <c r="C212" s="2" t="s">
        <v>36</v>
      </c>
      <c r="D212" s="2" t="str">
        <f t="shared" si="6"/>
        <v>2007 Anaheim Angels</v>
      </c>
      <c r="E212" s="60">
        <f>'Batting Data'!K212/'Batting Data'!J212</f>
        <v>0.19949585884047533</v>
      </c>
      <c r="F212" s="60">
        <f>'Batting Data'!L212/'Batting Data'!J212</f>
        <v>5.8336334173568601E-2</v>
      </c>
      <c r="G212" s="60">
        <f>'Batting Data'!M212/'Batting Data'!J212</f>
        <v>4.1411595246669064E-3</v>
      </c>
      <c r="H212" s="60">
        <f>'Batting Data'!N212/'Batting Data'!J212</f>
        <v>2.2146200936262152E-2</v>
      </c>
      <c r="I212" s="60">
        <f>'Batting Data'!O212/'Batting Data'!J212</f>
        <v>9.1285559956787901E-2</v>
      </c>
      <c r="J212" s="60">
        <f>'Batting Data'!P212/'Batting Data'!J212</f>
        <v>7.2020165646380988E-3</v>
      </c>
      <c r="K212" s="60">
        <f>'Batting Data'!Q212/'Batting Data'!J212</f>
        <v>0.61739287000360099</v>
      </c>
      <c r="L212" s="2" t="str">
        <f t="shared" si="7"/>
        <v>2007 Anaheim Angels</v>
      </c>
      <c r="M212" s="58">
        <f>'Pitching Data'!Q212/'Pitching Data'!P212</f>
        <v>0.16328518097711411</v>
      </c>
      <c r="N212" s="58">
        <f>'Pitching Data'!R212/'Pitching Data'!P212</f>
        <v>4.6907969485473135E-2</v>
      </c>
      <c r="O212" s="58">
        <f>'Pitching Data'!S212/'Pitching Data'!P212</f>
        <v>5.5185846453497805E-3</v>
      </c>
      <c r="P212" s="58">
        <f>'Pitching Data'!T212/'Pitching Data'!P212</f>
        <v>2.4509008277876967E-2</v>
      </c>
      <c r="Q212" s="58">
        <f>'Pitching Data'!U212/'Pitching Data'!P212</f>
        <v>7.7422496347995459E-2</v>
      </c>
      <c r="R212" s="58">
        <f>'Pitching Data'!V212/'Pitching Data'!P212</f>
        <v>8.2778769680246708E-3</v>
      </c>
      <c r="S212" s="58">
        <f>'Pitching Data'!W212/'Pitching Data'!P212</f>
        <v>0.6740788832981659</v>
      </c>
    </row>
    <row r="213" spans="2:19" x14ac:dyDescent="0.5">
      <c r="B213" s="2">
        <v>2007</v>
      </c>
      <c r="C213" s="2" t="s">
        <v>39</v>
      </c>
      <c r="D213" s="2" t="str">
        <f t="shared" si="6"/>
        <v>2007 Arizona Diamondbacks</v>
      </c>
      <c r="E213" s="60">
        <f>'Batting Data'!K213/'Batting Data'!J213</f>
        <v>0.15802148944053354</v>
      </c>
      <c r="F213" s="60">
        <f>'Batting Data'!L213/'Batting Data'!J213</f>
        <v>5.2982586143015931E-2</v>
      </c>
      <c r="G213" s="60">
        <f>'Batting Data'!M213/'Batting Data'!J213</f>
        <v>7.4101519081141163E-3</v>
      </c>
      <c r="H213" s="60">
        <f>'Batting Data'!N213/'Batting Data'!J213</f>
        <v>3.1678399407187849E-2</v>
      </c>
      <c r="I213" s="60">
        <f>'Batting Data'!O213/'Batting Data'!J213</f>
        <v>9.8555020377917746E-2</v>
      </c>
      <c r="J213" s="60">
        <f>'Batting Data'!P213/'Batting Data'!J213</f>
        <v>1.0559466469062615E-2</v>
      </c>
      <c r="K213" s="60">
        <f>'Batting Data'!Q213/'Batting Data'!J213</f>
        <v>0.64079288625416819</v>
      </c>
      <c r="L213" s="2" t="str">
        <f t="shared" si="7"/>
        <v>2007 Arizona Diamondbacks</v>
      </c>
      <c r="M213" s="58">
        <f>'Pitching Data'!Q213/'Pitching Data'!P213</f>
        <v>0.15283140283140284</v>
      </c>
      <c r="N213" s="58">
        <f>'Pitching Data'!R213/'Pitching Data'!P213</f>
        <v>4.7136422136422135E-2</v>
      </c>
      <c r="O213" s="58">
        <f>'Pitching Data'!S213/'Pitching Data'!P213</f>
        <v>5.4697554697554695E-3</v>
      </c>
      <c r="P213" s="58">
        <f>'Pitching Data'!T213/'Pitching Data'!P213</f>
        <v>2.7187902187902187E-2</v>
      </c>
      <c r="Q213" s="58">
        <f>'Pitching Data'!U213/'Pitching Data'!P213</f>
        <v>8.7837837837837843E-2</v>
      </c>
      <c r="R213" s="58">
        <f>'Pitching Data'!V213/'Pitching Data'!P213</f>
        <v>9.813384813384814E-3</v>
      </c>
      <c r="S213" s="58">
        <f>'Pitching Data'!W213/'Pitching Data'!P213</f>
        <v>0.66972329472329473</v>
      </c>
    </row>
    <row r="214" spans="2:19" x14ac:dyDescent="0.5">
      <c r="B214" s="2">
        <v>2007</v>
      </c>
      <c r="C214" s="2" t="s">
        <v>41</v>
      </c>
      <c r="D214" s="2" t="str">
        <f t="shared" si="6"/>
        <v>2007 Atlanta Braves</v>
      </c>
      <c r="E214" s="60">
        <f>'Batting Data'!K214/'Batting Data'!J214</f>
        <v>0.18122692916153982</v>
      </c>
      <c r="F214" s="60">
        <f>'Batting Data'!L214/'Batting Data'!J214</f>
        <v>5.7655123923360869E-2</v>
      </c>
      <c r="G214" s="60">
        <f>'Batting Data'!M214/'Batting Data'!J214</f>
        <v>4.7460010546669009E-3</v>
      </c>
      <c r="H214" s="60">
        <f>'Batting Data'!N214/'Batting Data'!J214</f>
        <v>3.0936895763754614E-2</v>
      </c>
      <c r="I214" s="60">
        <f>'Batting Data'!O214/'Batting Data'!J214</f>
        <v>9.3865354192300937E-2</v>
      </c>
      <c r="J214" s="60">
        <f>'Batting Data'!P214/'Batting Data'!J214</f>
        <v>8.6131130251362285E-3</v>
      </c>
      <c r="K214" s="60">
        <f>'Batting Data'!Q214/'Batting Data'!J214</f>
        <v>0.62295658287924061</v>
      </c>
      <c r="L214" s="2" t="str">
        <f t="shared" si="7"/>
        <v>2007 Atlanta Braves</v>
      </c>
      <c r="M214" s="58">
        <f>'Pitching Data'!Q214/'Pitching Data'!P214</f>
        <v>0.15312150726488902</v>
      </c>
      <c r="N214" s="58">
        <f>'Pitching Data'!R214/'Pitching Data'!P214</f>
        <v>4.3429666294108257E-2</v>
      </c>
      <c r="O214" s="58">
        <f>'Pitching Data'!S214/'Pitching Data'!P214</f>
        <v>6.2270477406993451E-3</v>
      </c>
      <c r="P214" s="58">
        <f>'Pitching Data'!T214/'Pitching Data'!P214</f>
        <v>2.7462877215391986E-2</v>
      </c>
      <c r="Q214" s="58">
        <f>'Pitching Data'!U214/'Pitching Data'!P214</f>
        <v>8.5741657352706377E-2</v>
      </c>
      <c r="R214" s="58">
        <f>'Pitching Data'!V214/'Pitching Data'!P214</f>
        <v>6.7060514130608331E-3</v>
      </c>
      <c r="S214" s="58">
        <f>'Pitching Data'!W214/'Pitching Data'!P214</f>
        <v>0.67731119271914419</v>
      </c>
    </row>
    <row r="215" spans="2:19" x14ac:dyDescent="0.5">
      <c r="B215" s="2">
        <v>2007</v>
      </c>
      <c r="C215" s="2" t="s">
        <v>44</v>
      </c>
      <c r="D215" s="2" t="str">
        <f t="shared" si="6"/>
        <v>2007 Baltimore Orioles</v>
      </c>
      <c r="E215" s="60">
        <f>'Batting Data'!K215/'Batting Data'!J215</f>
        <v>0.18664535606464216</v>
      </c>
      <c r="F215" s="60">
        <f>'Batting Data'!L215/'Batting Data'!J215</f>
        <v>5.4342035162493342E-2</v>
      </c>
      <c r="G215" s="60">
        <f>'Batting Data'!M215/'Batting Data'!J215</f>
        <v>5.3276505061267982E-3</v>
      </c>
      <c r="H215" s="60">
        <f>'Batting Data'!N215/'Batting Data'!J215</f>
        <v>2.5217545729000177E-2</v>
      </c>
      <c r="I215" s="60">
        <f>'Batting Data'!O215/'Batting Data'!J215</f>
        <v>8.8794175102113307E-2</v>
      </c>
      <c r="J215" s="60">
        <f>'Batting Data'!P215/'Batting Data'!J215</f>
        <v>8.3466524595986503E-3</v>
      </c>
      <c r="K215" s="60">
        <f>'Batting Data'!Q215/'Batting Data'!J215</f>
        <v>0.63132658497602556</v>
      </c>
      <c r="L215" s="2" t="str">
        <f t="shared" si="7"/>
        <v>2007 Baltimore Orioles</v>
      </c>
      <c r="M215" s="58">
        <f>'Pitching Data'!Q215/'Pitching Data'!P215</f>
        <v>0.16048613275163603</v>
      </c>
      <c r="N215" s="58">
        <f>'Pitching Data'!R215/'Pitching Data'!P215</f>
        <v>4.4094733561857273E-2</v>
      </c>
      <c r="O215" s="58">
        <f>'Pitching Data'!S215/'Pitching Data'!P215</f>
        <v>2.648800249298847E-3</v>
      </c>
      <c r="P215" s="58">
        <f>'Pitching Data'!T215/'Pitching Data'!P215</f>
        <v>2.5085696478653788E-2</v>
      </c>
      <c r="Q215" s="58">
        <f>'Pitching Data'!U215/'Pitching Data'!P215</f>
        <v>0.10844499844188221</v>
      </c>
      <c r="R215" s="58">
        <f>'Pitching Data'!V215/'Pitching Data'!P215</f>
        <v>1.121844811467747E-2</v>
      </c>
      <c r="S215" s="58">
        <f>'Pitching Data'!W215/'Pitching Data'!P215</f>
        <v>0.64802119040199435</v>
      </c>
    </row>
    <row r="216" spans="2:19" x14ac:dyDescent="0.5">
      <c r="B216" s="2">
        <v>2007</v>
      </c>
      <c r="C216" s="2" t="s">
        <v>46</v>
      </c>
      <c r="D216" s="2" t="str">
        <f t="shared" si="6"/>
        <v>2007 Boston Red Sox</v>
      </c>
      <c r="E216" s="60">
        <f>'Batting Data'!K216/'Batting Data'!J216</f>
        <v>0.18035426731078905</v>
      </c>
      <c r="F216" s="60">
        <f>'Batting Data'!L216/'Batting Data'!J216</f>
        <v>6.298085525138665E-2</v>
      </c>
      <c r="G216" s="60">
        <f>'Batting Data'!M216/'Batting Data'!J216</f>
        <v>6.2623009482912868E-3</v>
      </c>
      <c r="H216" s="60">
        <f>'Batting Data'!N216/'Batting Data'!J216</f>
        <v>2.9701198783324386E-2</v>
      </c>
      <c r="I216" s="60">
        <f>'Batting Data'!O216/'Batting Data'!J216</f>
        <v>0.12327786723921989</v>
      </c>
      <c r="J216" s="60">
        <f>'Batting Data'!P216/'Batting Data'!J216</f>
        <v>1.1451064591161209E-2</v>
      </c>
      <c r="K216" s="60">
        <f>'Batting Data'!Q216/'Batting Data'!J216</f>
        <v>0.58597244587582753</v>
      </c>
      <c r="L216" s="2" t="str">
        <f t="shared" si="7"/>
        <v>2007 Boston Red Sox</v>
      </c>
      <c r="M216" s="58">
        <f>'Pitching Data'!Q216/'Pitching Data'!P216</f>
        <v>0.145610278372591</v>
      </c>
      <c r="N216" s="58">
        <f>'Pitching Data'!R216/'Pitching Data'!P216</f>
        <v>4.8591665294020751E-2</v>
      </c>
      <c r="O216" s="58">
        <f>'Pitching Data'!S216/'Pitching Data'!P216</f>
        <v>3.2943501894251359E-3</v>
      </c>
      <c r="P216" s="58">
        <f>'Pitching Data'!T216/'Pitching Data'!P216</f>
        <v>2.4872343930159777E-2</v>
      </c>
      <c r="Q216" s="58">
        <f>'Pitching Data'!U216/'Pitching Data'!P216</f>
        <v>7.9393839565145771E-2</v>
      </c>
      <c r="R216" s="58">
        <f>'Pitching Data'!V216/'Pitching Data'!P216</f>
        <v>1.021248558721792E-2</v>
      </c>
      <c r="S216" s="58">
        <f>'Pitching Data'!W216/'Pitching Data'!P216</f>
        <v>0.68802503706143958</v>
      </c>
    </row>
    <row r="217" spans="2:19" x14ac:dyDescent="0.5">
      <c r="B217" s="2">
        <v>2007</v>
      </c>
      <c r="C217" s="2" t="s">
        <v>50</v>
      </c>
      <c r="D217" s="2" t="str">
        <f t="shared" si="6"/>
        <v>2007 Chicago Cubs</v>
      </c>
      <c r="E217" s="60">
        <f>'Batting Data'!K217/'Batting Data'!J217</f>
        <v>0.17916002126528444</v>
      </c>
      <c r="F217" s="60">
        <f>'Batting Data'!L217/'Batting Data'!J217</f>
        <v>6.0251639199007619E-2</v>
      </c>
      <c r="G217" s="60">
        <f>'Batting Data'!M217/'Batting Data'!J217</f>
        <v>4.9618996987418037E-3</v>
      </c>
      <c r="H217" s="60">
        <f>'Batting Data'!N217/'Batting Data'!J217</f>
        <v>2.6758816232500444E-2</v>
      </c>
      <c r="I217" s="60">
        <f>'Batting Data'!O217/'Batting Data'!J217</f>
        <v>8.8605351763246507E-2</v>
      </c>
      <c r="J217" s="60">
        <f>'Batting Data'!P217/'Batting Data'!J217</f>
        <v>7.0884281410597202E-3</v>
      </c>
      <c r="K217" s="60">
        <f>'Batting Data'!Q217/'Batting Data'!J217</f>
        <v>0.6331738437001595</v>
      </c>
      <c r="L217" s="2" t="str">
        <f t="shared" si="7"/>
        <v>2007 Chicago Cubs</v>
      </c>
      <c r="M217" s="58">
        <f>'Pitching Data'!Q217/'Pitching Data'!P217</f>
        <v>0.13999353378596832</v>
      </c>
      <c r="N217" s="58">
        <f>'Pitching Data'!R217/'Pitching Data'!P217</f>
        <v>4.526349822179114E-2</v>
      </c>
      <c r="O217" s="58">
        <f>'Pitching Data'!S217/'Pitching Data'!P217</f>
        <v>4.6880051729712253E-3</v>
      </c>
      <c r="P217" s="58">
        <f>'Pitching Data'!T217/'Pitching Data'!P217</f>
        <v>2.667313288069835E-2</v>
      </c>
      <c r="Q217" s="58">
        <f>'Pitching Data'!U217/'Pitching Data'!P217</f>
        <v>9.2628516003879724E-2</v>
      </c>
      <c r="R217" s="58">
        <f>'Pitching Data'!V217/'Pitching Data'!P217</f>
        <v>9.5376656967345614E-3</v>
      </c>
      <c r="S217" s="58">
        <f>'Pitching Data'!W217/'Pitching Data'!P217</f>
        <v>0.68121564823795666</v>
      </c>
    </row>
    <row r="218" spans="2:19" x14ac:dyDescent="0.5">
      <c r="B218" s="2">
        <v>2007</v>
      </c>
      <c r="C218" s="2" t="s">
        <v>48</v>
      </c>
      <c r="D218" s="2" t="str">
        <f t="shared" si="6"/>
        <v>2007 Chicago White Sox</v>
      </c>
      <c r="E218" s="60">
        <f>'Batting Data'!K218/'Batting Data'!J218</f>
        <v>0.162102554677449</v>
      </c>
      <c r="F218" s="60">
        <f>'Batting Data'!L218/'Batting Data'!J218</f>
        <v>4.5763646388531518E-2</v>
      </c>
      <c r="G218" s="60">
        <f>'Batting Data'!M218/'Batting Data'!J218</f>
        <v>3.675794890645102E-3</v>
      </c>
      <c r="H218" s="60">
        <f>'Batting Data'!N218/'Batting Data'!J218</f>
        <v>3.4920051461128469E-2</v>
      </c>
      <c r="I218" s="60">
        <f>'Batting Data'!O218/'Batting Data'!J218</f>
        <v>9.7776144091159714E-2</v>
      </c>
      <c r="J218" s="60">
        <f>'Batting Data'!P218/'Batting Data'!J218</f>
        <v>9.5570667156772652E-3</v>
      </c>
      <c r="K218" s="60">
        <f>'Batting Data'!Q218/'Batting Data'!J218</f>
        <v>0.64620474177540899</v>
      </c>
      <c r="L218" s="2" t="str">
        <f t="shared" si="7"/>
        <v>2007 Chicago White Sox</v>
      </c>
      <c r="M218" s="58">
        <f>'Pitching Data'!Q218/'Pitching Data'!P218</f>
        <v>0.1666931511202924</v>
      </c>
      <c r="N218" s="58">
        <f>'Pitching Data'!R218/'Pitching Data'!P218</f>
        <v>4.7195296361036074E-2</v>
      </c>
      <c r="O218" s="58">
        <f>'Pitching Data'!S218/'Pitching Data'!P218</f>
        <v>5.7206419831558877E-3</v>
      </c>
      <c r="P218" s="58">
        <f>'Pitching Data'!T218/'Pitching Data'!P218</f>
        <v>2.7649769585253458E-2</v>
      </c>
      <c r="Q218" s="58">
        <f>'Pitching Data'!U218/'Pitching Data'!P218</f>
        <v>7.9294454155410768E-2</v>
      </c>
      <c r="R218" s="58">
        <f>'Pitching Data'!V218/'Pitching Data'!P218</f>
        <v>9.3754965835054823E-3</v>
      </c>
      <c r="S218" s="58">
        <f>'Pitching Data'!W218/'Pitching Data'!P218</f>
        <v>0.66407119021134597</v>
      </c>
    </row>
    <row r="219" spans="2:19" x14ac:dyDescent="0.5">
      <c r="B219" s="2">
        <v>2007</v>
      </c>
      <c r="C219" s="2" t="s">
        <v>52</v>
      </c>
      <c r="D219" s="2" t="str">
        <f t="shared" si="6"/>
        <v>2007 Cincinnati Reds</v>
      </c>
      <c r="E219" s="60">
        <f>'Batting Data'!K219/'Batting Data'!J219</f>
        <v>0.17406812912430891</v>
      </c>
      <c r="F219" s="60">
        <f>'Batting Data'!L219/'Batting Data'!J219</f>
        <v>5.2256108435883714E-2</v>
      </c>
      <c r="G219" s="60">
        <f>'Batting Data'!M219/'Batting Data'!J219</f>
        <v>4.1020153379703944E-3</v>
      </c>
      <c r="H219" s="60">
        <f>'Batting Data'!N219/'Batting Data'!J219</f>
        <v>3.6383092562867841E-2</v>
      </c>
      <c r="I219" s="60">
        <f>'Batting Data'!O219/'Batting Data'!J219</f>
        <v>9.5594792224005701E-2</v>
      </c>
      <c r="J219" s="60">
        <f>'Batting Data'!P219/'Batting Data'!J219</f>
        <v>1.1771000535045479E-2</v>
      </c>
      <c r="K219" s="60">
        <f>'Batting Data'!Q219/'Batting Data'!J219</f>
        <v>0.62582486177991792</v>
      </c>
      <c r="L219" s="2" t="str">
        <f t="shared" si="7"/>
        <v>2007 Cincinnati Reds</v>
      </c>
      <c r="M219" s="58">
        <f>'Pitching Data'!Q219/'Pitching Data'!P219</f>
        <v>0.16304689959080895</v>
      </c>
      <c r="N219" s="58">
        <f>'Pitching Data'!R219/'Pitching Data'!P219</f>
        <v>5.4296506137865914E-2</v>
      </c>
      <c r="O219" s="58">
        <f>'Pitching Data'!S219/'Pitching Data'!P219</f>
        <v>4.0919106074913444E-3</v>
      </c>
      <c r="P219" s="58">
        <f>'Pitching Data'!T219/'Pitching Data'!P219</f>
        <v>3.1161473087818695E-2</v>
      </c>
      <c r="Q219" s="58">
        <f>'Pitching Data'!U219/'Pitching Data'!P219</f>
        <v>7.5857727415801074E-2</v>
      </c>
      <c r="R219" s="58">
        <f>'Pitching Data'!V219/'Pitching Data'!P219</f>
        <v>1.1488825936418005E-2</v>
      </c>
      <c r="S219" s="58">
        <f>'Pitching Data'!W219/'Pitching Data'!P219</f>
        <v>0.66005665722379603</v>
      </c>
    </row>
    <row r="220" spans="2:19" x14ac:dyDescent="0.5">
      <c r="B220" s="2">
        <v>2007</v>
      </c>
      <c r="C220" s="2" t="s">
        <v>54</v>
      </c>
      <c r="D220" s="2" t="str">
        <f t="shared" si="6"/>
        <v>2007 Cleveland Indians</v>
      </c>
      <c r="E220" s="60">
        <f>'Batting Data'!K220/'Batting Data'!J220</f>
        <v>0.17737330478229835</v>
      </c>
      <c r="F220" s="60">
        <f>'Batting Data'!L220/'Batting Data'!J220</f>
        <v>5.4425410421127765E-2</v>
      </c>
      <c r="G220" s="60">
        <f>'Batting Data'!M220/'Batting Data'!J220</f>
        <v>4.8179871520342612E-3</v>
      </c>
      <c r="H220" s="60">
        <f>'Batting Data'!N220/'Batting Data'!J220</f>
        <v>3.1763026409707351E-2</v>
      </c>
      <c r="I220" s="60">
        <f>'Batting Data'!O220/'Batting Data'!J220</f>
        <v>0.1052819414703783</v>
      </c>
      <c r="J220" s="60">
        <f>'Batting Data'!P220/'Batting Data'!J220</f>
        <v>1.4275517487508922E-2</v>
      </c>
      <c r="K220" s="60">
        <f>'Batting Data'!Q220/'Batting Data'!J220</f>
        <v>0.61206281227694503</v>
      </c>
      <c r="L220" s="2" t="str">
        <f t="shared" si="7"/>
        <v>2007 Cleveland Indians</v>
      </c>
      <c r="M220" s="58">
        <f>'Pitching Data'!Q220/'Pitching Data'!P220</f>
        <v>0.16838543345149856</v>
      </c>
      <c r="N220" s="58">
        <f>'Pitching Data'!R220/'Pitching Data'!P220</f>
        <v>4.9307122139864649E-2</v>
      </c>
      <c r="O220" s="58">
        <f>'Pitching Data'!S220/'Pitching Data'!P220</f>
        <v>3.544956493715759E-3</v>
      </c>
      <c r="P220" s="58">
        <f>'Pitching Data'!T220/'Pitching Data'!P220</f>
        <v>2.35256203673864E-2</v>
      </c>
      <c r="Q220" s="58">
        <f>'Pitching Data'!U220/'Pitching Data'!P220</f>
        <v>6.6065098291975502E-2</v>
      </c>
      <c r="R220" s="58">
        <f>'Pitching Data'!V220/'Pitching Data'!P220</f>
        <v>9.0235256203673869E-3</v>
      </c>
      <c r="S220" s="58">
        <f>'Pitching Data'!W220/'Pitching Data'!P220</f>
        <v>0.68014824363519177</v>
      </c>
    </row>
    <row r="221" spans="2:19" x14ac:dyDescent="0.5">
      <c r="B221" s="2">
        <v>2007</v>
      </c>
      <c r="C221" s="2" t="s">
        <v>56</v>
      </c>
      <c r="D221" s="2" t="str">
        <f t="shared" si="6"/>
        <v>2007 Colorado Rockies</v>
      </c>
      <c r="E221" s="60">
        <f>'Batting Data'!K221/'Batting Data'!J221</f>
        <v>0.18819188191881919</v>
      </c>
      <c r="F221" s="60">
        <f>'Batting Data'!L221/'Batting Data'!J221</f>
        <v>5.4999121419785628E-2</v>
      </c>
      <c r="G221" s="60">
        <f>'Batting Data'!M221/'Batting Data'!J221</f>
        <v>6.3257775434897206E-3</v>
      </c>
      <c r="H221" s="60">
        <f>'Batting Data'!N221/'Batting Data'!J221</f>
        <v>3.0047443331576173E-2</v>
      </c>
      <c r="I221" s="60">
        <f>'Batting Data'!O221/'Batting Data'!J221</f>
        <v>0.1092953786680724</v>
      </c>
      <c r="J221" s="60">
        <f>'Batting Data'!P221/'Batting Data'!J221</f>
        <v>1.0191530486733439E-2</v>
      </c>
      <c r="K221" s="60">
        <f>'Batting Data'!Q221/'Batting Data'!J221</f>
        <v>0.60094886663152347</v>
      </c>
      <c r="L221" s="2" t="str">
        <f t="shared" si="7"/>
        <v>2007 Colorado Rockies</v>
      </c>
      <c r="M221" s="58">
        <f>'Pitching Data'!Q221/'Pitching Data'!P221</f>
        <v>0.15731765453678689</v>
      </c>
      <c r="N221" s="58">
        <f>'Pitching Data'!R221/'Pitching Data'!P221</f>
        <v>4.7354203082790404E-2</v>
      </c>
      <c r="O221" s="58">
        <f>'Pitching Data'!S221/'Pitching Data'!P221</f>
        <v>7.150802478944859E-3</v>
      </c>
      <c r="P221" s="58">
        <f>'Pitching Data'!T221/'Pitching Data'!P221</f>
        <v>2.6060702367710156E-2</v>
      </c>
      <c r="Q221" s="58">
        <f>'Pitching Data'!U221/'Pitching Data'!P221</f>
        <v>8.0088987764182426E-2</v>
      </c>
      <c r="R221" s="58">
        <f>'Pitching Data'!V221/'Pitching Data'!P221</f>
        <v>9.3754965835054823E-3</v>
      </c>
      <c r="S221" s="58">
        <f>'Pitching Data'!W221/'Pitching Data'!P221</f>
        <v>0.67265215318607974</v>
      </c>
    </row>
    <row r="222" spans="2:19" x14ac:dyDescent="0.5">
      <c r="B222" s="2">
        <v>2007</v>
      </c>
      <c r="C222" s="2" t="s">
        <v>58</v>
      </c>
      <c r="D222" s="2" t="str">
        <f t="shared" si="6"/>
        <v>2007 Detroit Tigers</v>
      </c>
      <c r="E222" s="60">
        <f>'Batting Data'!K222/'Batting Data'!J222</f>
        <v>0.18638179607434427</v>
      </c>
      <c r="F222" s="60">
        <f>'Batting Data'!L222/'Batting Data'!J222</f>
        <v>6.1142956400903246E-2</v>
      </c>
      <c r="G222" s="60">
        <f>'Batting Data'!M222/'Batting Data'!J222</f>
        <v>8.6850790342192109E-3</v>
      </c>
      <c r="H222" s="60">
        <f>'Batting Data'!N222/'Batting Data'!J222</f>
        <v>3.0745179781136008E-2</v>
      </c>
      <c r="I222" s="60">
        <f>'Batting Data'!O222/'Batting Data'!J222</f>
        <v>8.233454924439812E-2</v>
      </c>
      <c r="J222" s="60">
        <f>'Batting Data'!P222/'Batting Data'!J222</f>
        <v>9.7272885183255168E-3</v>
      </c>
      <c r="K222" s="60">
        <f>'Batting Data'!Q222/'Batting Data'!J222</f>
        <v>0.62098315094667367</v>
      </c>
      <c r="L222" s="2" t="str">
        <f t="shared" si="7"/>
        <v>2007 Detroit Tigers</v>
      </c>
      <c r="M222" s="58">
        <f>'Pitching Data'!Q222/'Pitching Data'!P222</f>
        <v>0.15602836879432624</v>
      </c>
      <c r="N222" s="58">
        <f>'Pitching Data'!R222/'Pitching Data'!P222</f>
        <v>4.5390070921985819E-2</v>
      </c>
      <c r="O222" s="58">
        <f>'Pitching Data'!S222/'Pitching Data'!P222</f>
        <v>7.2498029944838456E-3</v>
      </c>
      <c r="P222" s="58">
        <f>'Pitching Data'!T222/'Pitching Data'!P222</f>
        <v>2.7423167848699765E-2</v>
      </c>
      <c r="Q222" s="58">
        <f>'Pitching Data'!U222/'Pitching Data'!P222</f>
        <v>8.9204097714736016E-2</v>
      </c>
      <c r="R222" s="58">
        <f>'Pitching Data'!V222/'Pitching Data'!P222</f>
        <v>1.0717100078802206E-2</v>
      </c>
      <c r="S222" s="58">
        <f>'Pitching Data'!W222/'Pitching Data'!P222</f>
        <v>0.66398739164696607</v>
      </c>
    </row>
    <row r="223" spans="2:19" x14ac:dyDescent="0.5">
      <c r="B223" s="2">
        <v>2007</v>
      </c>
      <c r="C223" s="2" t="s">
        <v>60</v>
      </c>
      <c r="D223" s="2" t="str">
        <f t="shared" si="6"/>
        <v>2007 Florida Marlins</v>
      </c>
      <c r="E223" s="60">
        <f>'Batting Data'!K223/'Batting Data'!J223</f>
        <v>0.16438599609027901</v>
      </c>
      <c r="F223" s="60">
        <f>'Batting Data'!L223/'Batting Data'!J223</f>
        <v>6.0422960725075532E-2</v>
      </c>
      <c r="G223" s="60">
        <f>'Batting Data'!M223/'Batting Data'!J223</f>
        <v>6.7531544339790297E-3</v>
      </c>
      <c r="H223" s="60">
        <f>'Batting Data'!N223/'Batting Data'!J223</f>
        <v>3.5720632663941709E-2</v>
      </c>
      <c r="I223" s="60">
        <f>'Batting Data'!O223/'Batting Data'!J223</f>
        <v>9.2589301581659858E-2</v>
      </c>
      <c r="J223" s="60">
        <f>'Batting Data'!P223/'Batting Data'!J223</f>
        <v>1.4572596410165275E-2</v>
      </c>
      <c r="K223" s="60">
        <f>'Batting Data'!Q223/'Batting Data'!J223</f>
        <v>0.62555535809489959</v>
      </c>
      <c r="L223" s="2" t="str">
        <f t="shared" si="7"/>
        <v>2007 Florida Marlins</v>
      </c>
      <c r="M223" s="58">
        <f>'Pitching Data'!Q223/'Pitching Data'!P223</f>
        <v>0.16931540342298287</v>
      </c>
      <c r="N223" s="58">
        <f>'Pitching Data'!R223/'Pitching Data'!P223</f>
        <v>4.6149144254278726E-2</v>
      </c>
      <c r="O223" s="58">
        <f>'Pitching Data'!S223/'Pitching Data'!P223</f>
        <v>4.7371638141809292E-3</v>
      </c>
      <c r="P223" s="58">
        <f>'Pitching Data'!T223/'Pitching Data'!P223</f>
        <v>2.6894865525672371E-2</v>
      </c>
      <c r="Q223" s="58">
        <f>'Pitching Data'!U223/'Pitching Data'!P223</f>
        <v>0.10100855745721271</v>
      </c>
      <c r="R223" s="58">
        <f>'Pitching Data'!V223/'Pitching Data'!P223</f>
        <v>1.1613691931540342E-2</v>
      </c>
      <c r="S223" s="58">
        <f>'Pitching Data'!W223/'Pitching Data'!P223</f>
        <v>0.64028117359413206</v>
      </c>
    </row>
    <row r="224" spans="2:19" x14ac:dyDescent="0.5">
      <c r="B224" s="2">
        <v>2007</v>
      </c>
      <c r="C224" s="2" t="s">
        <v>62</v>
      </c>
      <c r="D224" s="2" t="str">
        <f t="shared" si="6"/>
        <v>2007 Houston Astros</v>
      </c>
      <c r="E224" s="60">
        <f>'Batting Data'!K224/'Batting Data'!J224</f>
        <v>0.17252453166815343</v>
      </c>
      <c r="F224" s="60">
        <f>'Batting Data'!L224/'Batting Data'!J224</f>
        <v>5.2274754683318464E-2</v>
      </c>
      <c r="G224" s="60">
        <f>'Batting Data'!M224/'Batting Data'!J224</f>
        <v>5.3523639607493305E-3</v>
      </c>
      <c r="H224" s="60">
        <f>'Batting Data'!N224/'Batting Data'!J224</f>
        <v>2.9794826048171276E-2</v>
      </c>
      <c r="I224" s="60">
        <f>'Batting Data'!O224/'Batting Data'!J224</f>
        <v>9.7591436217662794E-2</v>
      </c>
      <c r="J224" s="60">
        <f>'Batting Data'!P224/'Batting Data'!J224</f>
        <v>9.8126672613737739E-3</v>
      </c>
      <c r="K224" s="60">
        <f>'Batting Data'!Q224/'Batting Data'!J224</f>
        <v>0.63264942016057091</v>
      </c>
      <c r="L224" s="2" t="str">
        <f t="shared" si="7"/>
        <v>2007 Houston Astros</v>
      </c>
      <c r="M224" s="58">
        <f>'Pitching Data'!Q224/'Pitching Data'!P224</f>
        <v>0.15240766713417483</v>
      </c>
      <c r="N224" s="58">
        <f>'Pitching Data'!R224/'Pitching Data'!P224</f>
        <v>5.3763440860215055E-2</v>
      </c>
      <c r="O224" s="58">
        <f>'Pitching Data'!S224/'Pitching Data'!P224</f>
        <v>5.7659342371824841E-3</v>
      </c>
      <c r="P224" s="58">
        <f>'Pitching Data'!T224/'Pitching Data'!P224</f>
        <v>3.2102228455664641E-2</v>
      </c>
      <c r="Q224" s="58">
        <f>'Pitching Data'!U224/'Pitching Data'!P224</f>
        <v>7.9476390836839647E-2</v>
      </c>
      <c r="R224" s="58">
        <f>'Pitching Data'!V224/'Pitching Data'!P224</f>
        <v>9.8176718092566617E-3</v>
      </c>
      <c r="S224" s="58">
        <f>'Pitching Data'!W224/'Pitching Data'!P224</f>
        <v>0.66666666666666663</v>
      </c>
    </row>
    <row r="225" spans="2:19" x14ac:dyDescent="0.5">
      <c r="B225" s="2">
        <v>2007</v>
      </c>
      <c r="C225" s="2" t="s">
        <v>64</v>
      </c>
      <c r="D225" s="2" t="str">
        <f t="shared" si="6"/>
        <v>2007 Kansas City Royals</v>
      </c>
      <c r="E225" s="60">
        <f>'Batting Data'!K225/'Batting Data'!J225</f>
        <v>0.1805204192265992</v>
      </c>
      <c r="F225" s="60">
        <f>'Batting Data'!L225/'Batting Data'!J225</f>
        <v>5.4210336104083844E-2</v>
      </c>
      <c r="G225" s="60">
        <f>'Batting Data'!M225/'Batting Data'!J225</f>
        <v>8.312251535959523E-3</v>
      </c>
      <c r="H225" s="60">
        <f>'Batting Data'!N225/'Batting Data'!J225</f>
        <v>1.8431514275388507E-2</v>
      </c>
      <c r="I225" s="60">
        <f>'Batting Data'!O225/'Batting Data'!J225</f>
        <v>7.7340079508492948E-2</v>
      </c>
      <c r="J225" s="60">
        <f>'Batting Data'!P225/'Batting Data'!J225</f>
        <v>1.6082399710878208E-2</v>
      </c>
      <c r="K225" s="60">
        <f>'Batting Data'!Q225/'Batting Data'!J225</f>
        <v>0.64510299963859774</v>
      </c>
      <c r="L225" s="2" t="str">
        <f t="shared" si="7"/>
        <v>2007 Kansas City Royals</v>
      </c>
      <c r="M225" s="58">
        <f>'Pitching Data'!Q225/'Pitching Data'!P225</f>
        <v>0.15496561650407803</v>
      </c>
      <c r="N225" s="58">
        <f>'Pitching Data'!R225/'Pitching Data'!P225</f>
        <v>6.0770830001599233E-2</v>
      </c>
      <c r="O225" s="58">
        <f>'Pitching Data'!S225/'Pitching Data'!P225</f>
        <v>4.7976971053894134E-3</v>
      </c>
      <c r="P225" s="58">
        <f>'Pitching Data'!T225/'Pitching Data'!P225</f>
        <v>2.6867103790180712E-2</v>
      </c>
      <c r="Q225" s="58">
        <f>'Pitching Data'!U225/'Pitching Data'!P225</f>
        <v>8.3160083160083165E-2</v>
      </c>
      <c r="R225" s="58">
        <f>'Pitching Data'!V225/'Pitching Data'!P225</f>
        <v>6.5568527106988645E-3</v>
      </c>
      <c r="S225" s="58">
        <f>'Pitching Data'!W225/'Pitching Data'!P225</f>
        <v>0.66288181672797053</v>
      </c>
    </row>
    <row r="226" spans="2:19" x14ac:dyDescent="0.5">
      <c r="B226" s="2">
        <v>2007</v>
      </c>
      <c r="C226" s="2" t="s">
        <v>66</v>
      </c>
      <c r="D226" s="2" t="str">
        <f t="shared" si="6"/>
        <v>2007 Los Angeles Dodgers</v>
      </c>
      <c r="E226" s="60">
        <f>'Batting Data'!K226/'Batting Data'!J226</f>
        <v>0.19665122907018168</v>
      </c>
      <c r="F226" s="60">
        <f>'Batting Data'!L226/'Batting Data'!J226</f>
        <v>4.9162807267545419E-2</v>
      </c>
      <c r="G226" s="60">
        <f>'Batting Data'!M226/'Batting Data'!J226</f>
        <v>6.2344139650872821E-3</v>
      </c>
      <c r="H226" s="60">
        <f>'Batting Data'!N226/'Batting Data'!J226</f>
        <v>2.2978268614178839E-2</v>
      </c>
      <c r="I226" s="60">
        <f>'Batting Data'!O226/'Batting Data'!J226</f>
        <v>9.1022443890274321E-2</v>
      </c>
      <c r="J226" s="60">
        <f>'Batting Data'!P226/'Batting Data'!J226</f>
        <v>7.3031706448165304E-3</v>
      </c>
      <c r="K226" s="60">
        <f>'Batting Data'!Q226/'Batting Data'!J226</f>
        <v>0.62664766654791593</v>
      </c>
      <c r="L226" s="2" t="str">
        <f t="shared" si="7"/>
        <v>2007 Los Angeles Dodgers</v>
      </c>
      <c r="M226" s="58">
        <f>'Pitching Data'!Q226/'Pitching Data'!P226</f>
        <v>0.16074887023886378</v>
      </c>
      <c r="N226" s="58">
        <f>'Pitching Data'!R226/'Pitching Data'!P226</f>
        <v>4.5029051000645574E-2</v>
      </c>
      <c r="O226" s="58">
        <f>'Pitching Data'!S226/'Pitching Data'!P226</f>
        <v>3.5506778566817302E-3</v>
      </c>
      <c r="P226" s="58">
        <f>'Pitching Data'!T226/'Pitching Data'!P226</f>
        <v>2.3563589412524209E-2</v>
      </c>
      <c r="Q226" s="58">
        <f>'Pitching Data'!U226/'Pitching Data'!P226</f>
        <v>8.3602324080051652E-2</v>
      </c>
      <c r="R226" s="58">
        <f>'Pitching Data'!V226/'Pitching Data'!P226</f>
        <v>6.1329890251775338E-3</v>
      </c>
      <c r="S226" s="58">
        <f>'Pitching Data'!W226/'Pitching Data'!P226</f>
        <v>0.67737249838605551</v>
      </c>
    </row>
    <row r="227" spans="2:19" x14ac:dyDescent="0.5">
      <c r="B227" s="2">
        <v>2007</v>
      </c>
      <c r="C227" s="2" t="s">
        <v>68</v>
      </c>
      <c r="D227" s="2" t="str">
        <f t="shared" si="6"/>
        <v>2007 Milwaukee Brewers</v>
      </c>
      <c r="E227" s="60">
        <f>'Batting Data'!K227/'Batting Data'!J227</f>
        <v>0.15790421317969031</v>
      </c>
      <c r="F227" s="60">
        <f>'Batting Data'!L227/'Batting Data'!J227</f>
        <v>5.5815628375945267E-2</v>
      </c>
      <c r="G227" s="60">
        <f>'Batting Data'!M227/'Batting Data'!J227</f>
        <v>6.6618653222902417E-3</v>
      </c>
      <c r="H227" s="60">
        <f>'Batting Data'!N227/'Batting Data'!J227</f>
        <v>4.159164566078502E-2</v>
      </c>
      <c r="I227" s="60">
        <f>'Batting Data'!O227/'Batting Data'!J227</f>
        <v>9.0205257472092182E-2</v>
      </c>
      <c r="J227" s="60">
        <f>'Batting Data'!P227/'Batting Data'!J227</f>
        <v>1.3683831472812387E-2</v>
      </c>
      <c r="K227" s="60">
        <f>'Batting Data'!Q227/'Batting Data'!J227</f>
        <v>0.63413755851638454</v>
      </c>
      <c r="L227" s="2" t="str">
        <f t="shared" si="7"/>
        <v>2007 Milwaukee Brewers</v>
      </c>
      <c r="M227" s="58">
        <f>'Pitching Data'!Q227/'Pitching Data'!P227</f>
        <v>0.15990453460620524</v>
      </c>
      <c r="N227" s="58">
        <f>'Pitching Data'!R227/'Pitching Data'!P227</f>
        <v>5.1073985680190934E-2</v>
      </c>
      <c r="O227" s="58">
        <f>'Pitching Data'!S227/'Pitching Data'!P227</f>
        <v>4.1368337311058073E-3</v>
      </c>
      <c r="P227" s="58">
        <f>'Pitching Data'!T227/'Pitching Data'!P227</f>
        <v>2.5616547334924425E-2</v>
      </c>
      <c r="Q227" s="58">
        <f>'Pitching Data'!U227/'Pitching Data'!P227</f>
        <v>8.066825775656325E-2</v>
      </c>
      <c r="R227" s="58">
        <f>'Pitching Data'!V227/'Pitching Data'!P227</f>
        <v>8.2736674622116146E-3</v>
      </c>
      <c r="S227" s="58">
        <f>'Pitching Data'!W227/'Pitching Data'!P227</f>
        <v>0.67032617342879874</v>
      </c>
    </row>
    <row r="228" spans="2:19" x14ac:dyDescent="0.5">
      <c r="B228" s="2">
        <v>2007</v>
      </c>
      <c r="C228" s="2" t="s">
        <v>70</v>
      </c>
      <c r="D228" s="2" t="str">
        <f t="shared" si="6"/>
        <v>2007 Minnesota Twins</v>
      </c>
      <c r="E228" s="60">
        <f>'Batting Data'!K228/'Batting Data'!J228</f>
        <v>0.18706990220934444</v>
      </c>
      <c r="F228" s="60">
        <f>'Batting Data'!L228/'Batting Data'!J228</f>
        <v>4.9438609199565373E-2</v>
      </c>
      <c r="G228" s="60">
        <f>'Batting Data'!M228/'Batting Data'!J228</f>
        <v>6.5193770373053244E-3</v>
      </c>
      <c r="H228" s="60">
        <f>'Batting Data'!N228/'Batting Data'!J228</f>
        <v>2.1369069177834116E-2</v>
      </c>
      <c r="I228" s="60">
        <f>'Batting Data'!O228/'Batting Data'!J228</f>
        <v>9.2720028975009056E-2</v>
      </c>
      <c r="J228" s="60">
        <f>'Batting Data'!P228/'Batting Data'!J228</f>
        <v>8.6925027164070981E-3</v>
      </c>
      <c r="K228" s="60">
        <f>'Batting Data'!Q228/'Batting Data'!J228</f>
        <v>0.63419051068453458</v>
      </c>
      <c r="L228" s="2" t="str">
        <f t="shared" si="7"/>
        <v>2007 Minnesota Twins</v>
      </c>
      <c r="M228" s="58">
        <f>'Pitching Data'!Q228/'Pitching Data'!P228</f>
        <v>0.16240013044187185</v>
      </c>
      <c r="N228" s="58">
        <f>'Pitching Data'!R228/'Pitching Data'!P228</f>
        <v>4.8426544920919613E-2</v>
      </c>
      <c r="O228" s="58">
        <f>'Pitching Data'!S228/'Pitching Data'!P228</f>
        <v>4.402413174629056E-3</v>
      </c>
      <c r="P228" s="58">
        <f>'Pitching Data'!T228/'Pitching Data'!P228</f>
        <v>3.0164682863199087E-2</v>
      </c>
      <c r="Q228" s="58">
        <f>'Pitching Data'!U228/'Pitching Data'!P228</f>
        <v>6.8481982716451978E-2</v>
      </c>
      <c r="R228" s="58">
        <f>'Pitching Data'!V228/'Pitching Data'!P228</f>
        <v>8.3156693298548842E-3</v>
      </c>
      <c r="S228" s="58">
        <f>'Pitching Data'!W228/'Pitching Data'!P228</f>
        <v>0.67780857655307358</v>
      </c>
    </row>
    <row r="229" spans="2:19" x14ac:dyDescent="0.5">
      <c r="B229" s="2">
        <v>2007</v>
      </c>
      <c r="C229" s="2" t="s">
        <v>76</v>
      </c>
      <c r="D229" s="2" t="str">
        <f t="shared" si="6"/>
        <v>2007 New York Mets</v>
      </c>
      <c r="E229" s="60">
        <f>'Batting Data'!K229/'Batting Data'!J229</f>
        <v>0.1864406779661017</v>
      </c>
      <c r="F229" s="60">
        <f>'Batting Data'!L229/'Batting Data'!J229</f>
        <v>5.2453166815343441E-2</v>
      </c>
      <c r="G229" s="60">
        <f>'Batting Data'!M229/'Batting Data'!J229</f>
        <v>4.8171275646743976E-3</v>
      </c>
      <c r="H229" s="60">
        <f>'Batting Data'!N229/'Batting Data'!J229</f>
        <v>3.1578947368421054E-2</v>
      </c>
      <c r="I229" s="60">
        <f>'Batting Data'!O229/'Batting Data'!J229</f>
        <v>9.7948260481712762E-2</v>
      </c>
      <c r="J229" s="60">
        <f>'Batting Data'!P229/'Batting Data'!J229</f>
        <v>9.6342551293487951E-3</v>
      </c>
      <c r="K229" s="60">
        <f>'Batting Data'!Q229/'Batting Data'!J229</f>
        <v>0.61712756467439789</v>
      </c>
      <c r="L229" s="2" t="str">
        <f t="shared" si="7"/>
        <v>2007 New York Mets</v>
      </c>
      <c r="M229" s="58">
        <f>'Pitching Data'!Q229/'Pitching Data'!P229</f>
        <v>0.14635309073573813</v>
      </c>
      <c r="N229" s="58">
        <f>'Pitching Data'!R229/'Pitching Data'!P229</f>
        <v>4.7036389639281743E-2</v>
      </c>
      <c r="O229" s="58">
        <f>'Pitching Data'!S229/'Pitching Data'!P229</f>
        <v>5.243921817892897E-3</v>
      </c>
      <c r="P229" s="58">
        <f>'Pitching Data'!T229/'Pitching Data'!P229</f>
        <v>2.6219609089464486E-2</v>
      </c>
      <c r="Q229" s="58">
        <f>'Pitching Data'!U229/'Pitching Data'!P229</f>
        <v>9.0576831399968222E-2</v>
      </c>
      <c r="R229" s="58">
        <f>'Pitching Data'!V229/'Pitching Data'!P229</f>
        <v>9.6933100270141428E-3</v>
      </c>
      <c r="S229" s="58">
        <f>'Pitching Data'!W229/'Pitching Data'!P229</f>
        <v>0.67487684729064035</v>
      </c>
    </row>
    <row r="230" spans="2:19" x14ac:dyDescent="0.5">
      <c r="B230" s="2">
        <v>2007</v>
      </c>
      <c r="C230" s="2" t="s">
        <v>74</v>
      </c>
      <c r="D230" s="2" t="str">
        <f t="shared" si="6"/>
        <v>2007 New York Yankees</v>
      </c>
      <c r="E230" s="60">
        <f>'Batting Data'!K230/'Batting Data'!J230</f>
        <v>0.19188385516879483</v>
      </c>
      <c r="F230" s="60">
        <f>'Batting Data'!L230/'Batting Data'!J230</f>
        <v>5.7022914115795E-2</v>
      </c>
      <c r="G230" s="60">
        <f>'Batting Data'!M230/'Batting Data'!J230</f>
        <v>5.5973412629001223E-3</v>
      </c>
      <c r="H230" s="60">
        <f>'Batting Data'!N230/'Batting Data'!J230</f>
        <v>3.5158299807591394E-2</v>
      </c>
      <c r="I230" s="60">
        <f>'Batting Data'!O230/'Batting Data'!J230</f>
        <v>0.11142207451460556</v>
      </c>
      <c r="J230" s="60">
        <f>'Batting Data'!P230/'Batting Data'!J230</f>
        <v>1.3643519328319049E-2</v>
      </c>
      <c r="K230" s="60">
        <f>'Batting Data'!Q230/'Batting Data'!J230</f>
        <v>0.58527199580199407</v>
      </c>
      <c r="L230" s="2" t="str">
        <f t="shared" si="7"/>
        <v>2007 New York Yankees</v>
      </c>
      <c r="M230" s="58">
        <f>'Pitching Data'!Q230/'Pitching Data'!P230</f>
        <v>0.15757767913760304</v>
      </c>
      <c r="N230" s="58">
        <f>'Pitching Data'!R230/'Pitching Data'!P230</f>
        <v>5.1838934686112871E-2</v>
      </c>
      <c r="O230" s="58">
        <f>'Pitching Data'!S230/'Pitching Data'!P230</f>
        <v>4.2802790107799617E-3</v>
      </c>
      <c r="P230" s="58">
        <f>'Pitching Data'!T230/'Pitching Data'!P230</f>
        <v>2.3779327837666456E-2</v>
      </c>
      <c r="Q230" s="58">
        <f>'Pitching Data'!U230/'Pitching Data'!P230</f>
        <v>9.1629676601141408E-2</v>
      </c>
      <c r="R230" s="58">
        <f>'Pitching Data'!V230/'Pitching Data'!P230</f>
        <v>9.5117311350665819E-3</v>
      </c>
      <c r="S230" s="58">
        <f>'Pitching Data'!W230/'Pitching Data'!P230</f>
        <v>0.66138237159162971</v>
      </c>
    </row>
    <row r="231" spans="2:19" x14ac:dyDescent="0.5">
      <c r="B231" s="2">
        <v>2007</v>
      </c>
      <c r="C231" s="2" t="s">
        <v>78</v>
      </c>
      <c r="D231" s="2" t="str">
        <f t="shared" si="6"/>
        <v>2007 Oakland Athletics</v>
      </c>
      <c r="E231" s="60">
        <f>'Batting Data'!K231/'Batting Data'!J231</f>
        <v>0.1699838622915546</v>
      </c>
      <c r="F231" s="60">
        <f>'Batting Data'!L231/'Batting Data'!J231</f>
        <v>5.2895822126591358E-2</v>
      </c>
      <c r="G231" s="60">
        <f>'Batting Data'!M231/'Batting Data'!J231</f>
        <v>2.8689259458490228E-3</v>
      </c>
      <c r="H231" s="60">
        <f>'Batting Data'!N231/'Batting Data'!J231</f>
        <v>3.0661646046261429E-2</v>
      </c>
      <c r="I231" s="60">
        <f>'Batting Data'!O231/'Batting Data'!J231</f>
        <v>0.11906042675273444</v>
      </c>
      <c r="J231" s="60">
        <f>'Batting Data'!P231/'Batting Data'!J231</f>
        <v>8.7860857091626322E-3</v>
      </c>
      <c r="K231" s="60">
        <f>'Batting Data'!Q231/'Batting Data'!J231</f>
        <v>0.61574323112784646</v>
      </c>
      <c r="L231" s="2" t="str">
        <f t="shared" si="7"/>
        <v>2007 Oakland Athletics</v>
      </c>
      <c r="M231" s="58">
        <f>'Pitching Data'!Q231/'Pitching Data'!P231</f>
        <v>0.16055706739234832</v>
      </c>
      <c r="N231" s="58">
        <f>'Pitching Data'!R231/'Pitching Data'!P231</f>
        <v>4.514166800064031E-2</v>
      </c>
      <c r="O231" s="58">
        <f>'Pitching Data'!S231/'Pitching Data'!P231</f>
        <v>7.2034576596766448E-3</v>
      </c>
      <c r="P231" s="58">
        <f>'Pitching Data'!T231/'Pitching Data'!P231</f>
        <v>2.2090603489675044E-2</v>
      </c>
      <c r="Q231" s="58">
        <f>'Pitching Data'!U231/'Pitching Data'!P231</f>
        <v>8.484072354730271E-2</v>
      </c>
      <c r="R231" s="58">
        <f>'Pitching Data'!V231/'Pitching Data'!P231</f>
        <v>6.8833039859132385E-3</v>
      </c>
      <c r="S231" s="58">
        <f>'Pitching Data'!W231/'Pitching Data'!P231</f>
        <v>0.67328317592444376</v>
      </c>
    </row>
    <row r="232" spans="2:19" x14ac:dyDescent="0.5">
      <c r="B232" s="2">
        <v>2007</v>
      </c>
      <c r="C232" s="2" t="s">
        <v>80</v>
      </c>
      <c r="D232" s="2" t="str">
        <f t="shared" si="6"/>
        <v>2007 Philadelphia Phillies</v>
      </c>
      <c r="E232" s="60">
        <f>'Batting Data'!K232/'Batting Data'!J232</f>
        <v>0.1719409282700422</v>
      </c>
      <c r="F232" s="60">
        <f>'Batting Data'!L232/'Batting Data'!J232</f>
        <v>5.731364275668073E-2</v>
      </c>
      <c r="G232" s="60">
        <f>'Batting Data'!M232/'Batting Data'!J232</f>
        <v>7.2081575246132207E-3</v>
      </c>
      <c r="H232" s="60">
        <f>'Batting Data'!N232/'Batting Data'!J232</f>
        <v>3.7447257383966245E-2</v>
      </c>
      <c r="I232" s="60">
        <f>'Batting Data'!O232/'Batting Data'!J232</f>
        <v>0.11269338959212377</v>
      </c>
      <c r="J232" s="60">
        <f>'Batting Data'!P232/'Batting Data'!J232</f>
        <v>1.5822784810126583E-2</v>
      </c>
      <c r="K232" s="60">
        <f>'Batting Data'!Q232/'Batting Data'!J232</f>
        <v>0.59757383966244726</v>
      </c>
      <c r="L232" s="2" t="str">
        <f t="shared" si="7"/>
        <v>2007 Philadelphia Phillies</v>
      </c>
      <c r="M232" s="58">
        <f>'Pitching Data'!Q232/'Pitching Data'!P232</f>
        <v>0.15442443226311667</v>
      </c>
      <c r="N232" s="58">
        <f>'Pitching Data'!R232/'Pitching Data'!P232</f>
        <v>5.4032889584964758E-2</v>
      </c>
      <c r="O232" s="58">
        <f>'Pitching Data'!S232/'Pitching Data'!P232</f>
        <v>4.0720438527799534E-3</v>
      </c>
      <c r="P232" s="58">
        <f>'Pitching Data'!T232/'Pitching Data'!P232</f>
        <v>3.1010180109631951E-2</v>
      </c>
      <c r="Q232" s="58">
        <f>'Pitching Data'!U232/'Pitching Data'!P232</f>
        <v>8.7392325763508222E-2</v>
      </c>
      <c r="R232" s="58">
        <f>'Pitching Data'!V232/'Pitching Data'!P232</f>
        <v>1.1276429130775254E-2</v>
      </c>
      <c r="S232" s="58">
        <f>'Pitching Data'!W232/'Pitching Data'!P232</f>
        <v>0.65779169929522319</v>
      </c>
    </row>
    <row r="233" spans="2:19" x14ac:dyDescent="0.5">
      <c r="B233" s="2">
        <v>2007</v>
      </c>
      <c r="C233" s="2" t="s">
        <v>82</v>
      </c>
      <c r="D233" s="2" t="str">
        <f t="shared" si="6"/>
        <v>2007 Pittsburgh Pirates</v>
      </c>
      <c r="E233" s="60">
        <f>'Batting Data'!K233/'Batting Data'!J233</f>
        <v>0.17274196444604059</v>
      </c>
      <c r="F233" s="60">
        <f>'Batting Data'!L233/'Batting Data'!J233</f>
        <v>5.7820075417489673E-2</v>
      </c>
      <c r="G233" s="60">
        <f>'Batting Data'!M233/'Batting Data'!J233</f>
        <v>5.5665289998204342E-3</v>
      </c>
      <c r="H233" s="60">
        <f>'Batting Data'!N233/'Batting Data'!J233</f>
        <v>2.6575686837852396E-2</v>
      </c>
      <c r="I233" s="60">
        <f>'Batting Data'!O233/'Batting Data'!J233</f>
        <v>8.31388040940923E-2</v>
      </c>
      <c r="J233" s="60">
        <f>'Batting Data'!P233/'Batting Data'!J233</f>
        <v>1.2749147064104866E-2</v>
      </c>
      <c r="K233" s="60">
        <f>'Batting Data'!Q233/'Batting Data'!J233</f>
        <v>0.6414077931405997</v>
      </c>
      <c r="L233" s="2" t="str">
        <f t="shared" si="7"/>
        <v>2007 Pittsburgh Pirates</v>
      </c>
      <c r="M233" s="58">
        <f>'Pitching Data'!Q233/'Pitching Data'!P233</f>
        <v>0.17179165359272042</v>
      </c>
      <c r="N233" s="58">
        <f>'Pitching Data'!R233/'Pitching Data'!P233</f>
        <v>5.28710385942893E-2</v>
      </c>
      <c r="O233" s="58">
        <f>'Pitching Data'!S233/'Pitching Data'!P233</f>
        <v>3.2946344524631315E-3</v>
      </c>
      <c r="P233" s="58">
        <f>'Pitching Data'!T233/'Pitching Data'!P233</f>
        <v>2.7298399748980233E-2</v>
      </c>
      <c r="Q233" s="58">
        <f>'Pitching Data'!U233/'Pitching Data'!P233</f>
        <v>8.1267649827423905E-2</v>
      </c>
      <c r="R233" s="58">
        <f>'Pitching Data'!V233/'Pitching Data'!P233</f>
        <v>1.1923438970818953E-2</v>
      </c>
      <c r="S233" s="58">
        <f>'Pitching Data'!W233/'Pitching Data'!P233</f>
        <v>0.65155318481330404</v>
      </c>
    </row>
    <row r="234" spans="2:19" x14ac:dyDescent="0.5">
      <c r="B234" s="2">
        <v>2007</v>
      </c>
      <c r="C234" s="2" t="s">
        <v>84</v>
      </c>
      <c r="D234" s="2" t="str">
        <f t="shared" si="6"/>
        <v>2007 San Diego Padres</v>
      </c>
      <c r="E234" s="60">
        <f>'Batting Data'!K234/'Batting Data'!J234</f>
        <v>0.15751960085531005</v>
      </c>
      <c r="F234" s="60">
        <f>'Batting Data'!L234/'Batting Data'!J234</f>
        <v>5.737704918032787E-2</v>
      </c>
      <c r="G234" s="60">
        <f>'Batting Data'!M234/'Batting Data'!J234</f>
        <v>5.5238774055595156E-3</v>
      </c>
      <c r="H234" s="60">
        <f>'Batting Data'!N234/'Batting Data'!J234</f>
        <v>3.0470420527441196E-2</v>
      </c>
      <c r="I234" s="60">
        <f>'Batting Data'!O234/'Batting Data'!J234</f>
        <v>9.9251603706343547E-2</v>
      </c>
      <c r="J234" s="60">
        <f>'Batting Data'!P234/'Batting Data'!J234</f>
        <v>8.7312900926585883E-3</v>
      </c>
      <c r="K234" s="60">
        <f>'Batting Data'!Q234/'Batting Data'!J234</f>
        <v>0.64112615823235919</v>
      </c>
      <c r="L234" s="2" t="str">
        <f t="shared" si="7"/>
        <v>2007 San Diego Padres</v>
      </c>
      <c r="M234" s="58">
        <f>'Pitching Data'!Q234/'Pitching Data'!P234</f>
        <v>0.15653981451870802</v>
      </c>
      <c r="N234" s="58">
        <f>'Pitching Data'!R234/'Pitching Data'!P234</f>
        <v>4.3172369683402621E-2</v>
      </c>
      <c r="O234" s="58">
        <f>'Pitching Data'!S234/'Pitching Data'!P234</f>
        <v>6.0761112887751838E-3</v>
      </c>
      <c r="P234" s="58">
        <f>'Pitching Data'!T234/'Pitching Data'!P234</f>
        <v>1.9027822193795972E-2</v>
      </c>
      <c r="Q234" s="58">
        <f>'Pitching Data'!U234/'Pitching Data'!P234</f>
        <v>7.5791493444195709E-2</v>
      </c>
      <c r="R234" s="58">
        <f>'Pitching Data'!V234/'Pitching Data'!P234</f>
        <v>7.6750879437160217E-3</v>
      </c>
      <c r="S234" s="58">
        <f>'Pitching Data'!W234/'Pitching Data'!P234</f>
        <v>0.69171730092740646</v>
      </c>
    </row>
    <row r="235" spans="2:19" x14ac:dyDescent="0.5">
      <c r="B235" s="2">
        <v>2007</v>
      </c>
      <c r="C235" s="2" t="s">
        <v>86</v>
      </c>
      <c r="D235" s="2" t="str">
        <f t="shared" si="6"/>
        <v>2007 Seattle Mariners</v>
      </c>
      <c r="E235" s="60">
        <f>'Batting Data'!K235/'Batting Data'!J235</f>
        <v>0.20584095707248418</v>
      </c>
      <c r="F235" s="60">
        <f>'Batting Data'!L235/'Batting Data'!J235</f>
        <v>4.9964813511611542E-2</v>
      </c>
      <c r="G235" s="60">
        <f>'Batting Data'!M235/'Batting Data'!J235</f>
        <v>3.8705137227304713E-3</v>
      </c>
      <c r="H235" s="60">
        <f>'Batting Data'!N235/'Batting Data'!J235</f>
        <v>2.6917663617171007E-2</v>
      </c>
      <c r="I235" s="60">
        <f>'Batting Data'!O235/'Batting Data'!J235</f>
        <v>6.8437719915552434E-2</v>
      </c>
      <c r="J235" s="60">
        <f>'Batting Data'!P235/'Batting Data'!J235</f>
        <v>1.0907811400422239E-2</v>
      </c>
      <c r="K235" s="60">
        <f>'Batting Data'!Q235/'Batting Data'!J235</f>
        <v>0.63406052076002817</v>
      </c>
      <c r="L235" s="2" t="str">
        <f t="shared" si="7"/>
        <v>2007 Seattle Mariners</v>
      </c>
      <c r="M235" s="58">
        <f>'Pitching Data'!Q235/'Pitching Data'!P235</f>
        <v>0.16885791224457469</v>
      </c>
      <c r="N235" s="58">
        <f>'Pitching Data'!R235/'Pitching Data'!P235</f>
        <v>5.2431490575003958E-2</v>
      </c>
      <c r="O235" s="58">
        <f>'Pitching Data'!S235/'Pitching Data'!P235</f>
        <v>5.3857120228100741E-3</v>
      </c>
      <c r="P235" s="58">
        <f>'Pitching Data'!T235/'Pitching Data'!P235</f>
        <v>2.3285284333914146E-2</v>
      </c>
      <c r="Q235" s="58">
        <f>'Pitching Data'!U235/'Pitching Data'!P235</f>
        <v>8.6488198954538256E-2</v>
      </c>
      <c r="R235" s="58">
        <f>'Pitching Data'!V235/'Pitching Data'!P235</f>
        <v>9.8210042768889592E-3</v>
      </c>
      <c r="S235" s="58">
        <f>'Pitching Data'!W235/'Pitching Data'!P235</f>
        <v>0.65373039759226992</v>
      </c>
    </row>
    <row r="236" spans="2:19" x14ac:dyDescent="0.5">
      <c r="B236" s="2">
        <v>2007</v>
      </c>
      <c r="C236" s="2" t="s">
        <v>88</v>
      </c>
      <c r="D236" s="2" t="str">
        <f t="shared" si="6"/>
        <v>2007 San Francisco Giants</v>
      </c>
      <c r="E236" s="60">
        <f>'Batting Data'!K236/'Batting Data'!J236</f>
        <v>0.17551462621885158</v>
      </c>
      <c r="F236" s="60">
        <f>'Batting Data'!L236/'Batting Data'!J236</f>
        <v>4.8212351029252434E-2</v>
      </c>
      <c r="G236" s="60">
        <f>'Batting Data'!M236/'Batting Data'!J236</f>
        <v>6.6811123149151316E-3</v>
      </c>
      <c r="H236" s="60">
        <f>'Batting Data'!N236/'Batting Data'!J236</f>
        <v>2.3654749006861684E-2</v>
      </c>
      <c r="I236" s="60">
        <f>'Batting Data'!O236/'Batting Data'!J236</f>
        <v>9.6063560852293242E-2</v>
      </c>
      <c r="J236" s="60">
        <f>'Batting Data'!P236/'Batting Data'!J236</f>
        <v>7.0422535211267607E-3</v>
      </c>
      <c r="K236" s="60">
        <f>'Batting Data'!Q236/'Batting Data'!J236</f>
        <v>0.6428313470566992</v>
      </c>
      <c r="L236" s="2" t="str">
        <f t="shared" si="7"/>
        <v>2007 San Francisco Giants</v>
      </c>
      <c r="M236" s="58">
        <f>'Pitching Data'!Q236/'Pitching Data'!P236</f>
        <v>0.15050007937767901</v>
      </c>
      <c r="N236" s="58">
        <f>'Pitching Data'!R236/'Pitching Data'!P236</f>
        <v>5.0801714557866327E-2</v>
      </c>
      <c r="O236" s="58">
        <f>'Pitching Data'!S236/'Pitching Data'!P236</f>
        <v>6.508969677726623E-3</v>
      </c>
      <c r="P236" s="58">
        <f>'Pitching Data'!T236/'Pitching Data'!P236</f>
        <v>2.1114462613113193E-2</v>
      </c>
      <c r="Q236" s="58">
        <f>'Pitching Data'!U236/'Pitching Data'!P236</f>
        <v>9.4141927290046043E-2</v>
      </c>
      <c r="R236" s="58">
        <f>'Pitching Data'!V236/'Pitching Data'!P236</f>
        <v>7.4615018256866169E-3</v>
      </c>
      <c r="S236" s="58">
        <f>'Pitching Data'!W236/'Pitching Data'!P236</f>
        <v>0.66947134465788216</v>
      </c>
    </row>
    <row r="237" spans="2:19" x14ac:dyDescent="0.5">
      <c r="B237" s="2">
        <v>2007</v>
      </c>
      <c r="C237" s="2" t="s">
        <v>90</v>
      </c>
      <c r="D237" s="2" t="str">
        <f t="shared" si="6"/>
        <v>2007 St. Louis Cardinals</v>
      </c>
      <c r="E237" s="60">
        <f>'Batting Data'!K237/'Batting Data'!J237</f>
        <v>0.19533369506239825</v>
      </c>
      <c r="F237" s="60">
        <f>'Batting Data'!L237/'Batting Data'!J237</f>
        <v>5.0461204557786216E-2</v>
      </c>
      <c r="G237" s="60">
        <f>'Batting Data'!M237/'Batting Data'!J237</f>
        <v>2.3512389220473866E-3</v>
      </c>
      <c r="H237" s="60">
        <f>'Batting Data'!N237/'Batting Data'!J237</f>
        <v>2.5501899077590883E-2</v>
      </c>
      <c r="I237" s="60">
        <f>'Batting Data'!O237/'Batting Data'!J237</f>
        <v>9.1517453427382892E-2</v>
      </c>
      <c r="J237" s="60">
        <f>'Batting Data'!P237/'Batting Data'!J237</f>
        <v>9.7666847531199131E-3</v>
      </c>
      <c r="K237" s="60">
        <f>'Batting Data'!Q237/'Batting Data'!J237</f>
        <v>0.62506782419967444</v>
      </c>
      <c r="L237" s="2" t="str">
        <f t="shared" si="7"/>
        <v>2007 St. Louis Cardinals</v>
      </c>
      <c r="M237" s="58">
        <f>'Pitching Data'!Q237/'Pitching Data'!P237</f>
        <v>0.15740888110775109</v>
      </c>
      <c r="N237" s="58">
        <f>'Pitching Data'!R237/'Pitching Data'!P237</f>
        <v>5.0771924240012735E-2</v>
      </c>
      <c r="O237" s="58">
        <f>'Pitching Data'!S237/'Pitching Data'!P237</f>
        <v>6.0480662104090404E-3</v>
      </c>
      <c r="P237" s="58">
        <f>'Pitching Data'!T237/'Pitching Data'!P237</f>
        <v>2.6738819035492599E-2</v>
      </c>
      <c r="Q237" s="58">
        <f>'Pitching Data'!U237/'Pitching Data'!P237</f>
        <v>8.1012255292057939E-2</v>
      </c>
      <c r="R237" s="58">
        <f>'Pitching Data'!V237/'Pitching Data'!P237</f>
        <v>1.1618653509469999E-2</v>
      </c>
      <c r="S237" s="58">
        <f>'Pitching Data'!W237/'Pitching Data'!P237</f>
        <v>0.66640140060480657</v>
      </c>
    </row>
    <row r="238" spans="2:19" x14ac:dyDescent="0.5">
      <c r="B238" s="2">
        <v>2007</v>
      </c>
      <c r="C238" s="2" t="s">
        <v>92</v>
      </c>
      <c r="D238" s="2" t="str">
        <f t="shared" si="6"/>
        <v>2007 Tampa Bay Devil Rays</v>
      </c>
      <c r="E238" s="60">
        <f>'Batting Data'!K238/'Batting Data'!J238</f>
        <v>0.17629179331306991</v>
      </c>
      <c r="F238" s="60">
        <f>'Batting Data'!L238/'Batting Data'!J238</f>
        <v>5.2029322367244772E-2</v>
      </c>
      <c r="G238" s="60">
        <f>'Batting Data'!M238/'Batting Data'!J238</f>
        <v>6.4366172000715179E-3</v>
      </c>
      <c r="H238" s="60">
        <f>'Batting Data'!N238/'Batting Data'!J238</f>
        <v>3.3434650455927049E-2</v>
      </c>
      <c r="I238" s="60">
        <f>'Batting Data'!O238/'Batting Data'!J238</f>
        <v>9.7443232612193814E-2</v>
      </c>
      <c r="J238" s="60">
        <f>'Batting Data'!P238/'Batting Data'!J238</f>
        <v>9.4761308778830676E-3</v>
      </c>
      <c r="K238" s="60">
        <f>'Batting Data'!Q238/'Batting Data'!J238</f>
        <v>0.62488825317360985</v>
      </c>
      <c r="L238" s="2" t="str">
        <f t="shared" si="7"/>
        <v>2007 Tampa Bay Devil Rays</v>
      </c>
      <c r="M238" s="58">
        <f>'Pitching Data'!Q238/'Pitching Data'!P238</f>
        <v>0.16835858191472747</v>
      </c>
      <c r="N238" s="58">
        <f>'Pitching Data'!R238/'Pitching Data'!P238</f>
        <v>5.2163048570982355E-2</v>
      </c>
      <c r="O238" s="58">
        <f>'Pitching Data'!S238/'Pitching Data'!P238</f>
        <v>5.9347181008902079E-3</v>
      </c>
      <c r="P238" s="58">
        <f>'Pitching Data'!T238/'Pitching Data'!P238</f>
        <v>3.1079181633609246E-2</v>
      </c>
      <c r="Q238" s="58">
        <f>'Pitching Data'!U238/'Pitching Data'!P238</f>
        <v>8.8708417929095743E-2</v>
      </c>
      <c r="R238" s="58">
        <f>'Pitching Data'!V238/'Pitching Data'!P238</f>
        <v>9.8391379041074499E-3</v>
      </c>
      <c r="S238" s="58">
        <f>'Pitching Data'!W238/'Pitching Data'!P238</f>
        <v>0.64391691394658757</v>
      </c>
    </row>
    <row r="239" spans="2:19" x14ac:dyDescent="0.5">
      <c r="B239" s="2">
        <v>2007</v>
      </c>
      <c r="C239" s="2" t="s">
        <v>94</v>
      </c>
      <c r="D239" s="2" t="str">
        <f t="shared" si="6"/>
        <v>2007 Texas Rangers</v>
      </c>
      <c r="E239" s="60">
        <f>'Batting Data'!K239/'Batting Data'!J239</f>
        <v>0.17047704770477048</v>
      </c>
      <c r="F239" s="60">
        <f>'Batting Data'!L239/'Batting Data'!J239</f>
        <v>5.3645364536453646E-2</v>
      </c>
      <c r="G239" s="60">
        <f>'Batting Data'!M239/'Batting Data'!J239</f>
        <v>6.4806480648064808E-3</v>
      </c>
      <c r="H239" s="60">
        <f>'Batting Data'!N239/'Batting Data'!J239</f>
        <v>3.2223222322232223E-2</v>
      </c>
      <c r="I239" s="60">
        <f>'Batting Data'!O239/'Batting Data'!J239</f>
        <v>9.0549054905490547E-2</v>
      </c>
      <c r="J239" s="60">
        <f>'Batting Data'!P239/'Batting Data'!J239</f>
        <v>1.0081008100810081E-2</v>
      </c>
      <c r="K239" s="60">
        <f>'Batting Data'!Q239/'Batting Data'!J239</f>
        <v>0.63654365436543658</v>
      </c>
      <c r="L239" s="2" t="str">
        <f t="shared" si="7"/>
        <v>2007 Texas Rangers</v>
      </c>
      <c r="M239" s="58">
        <f>'Pitching Data'!Q239/'Pitching Data'!P239</f>
        <v>0.16137110658945061</v>
      </c>
      <c r="N239" s="58">
        <f>'Pitching Data'!R239/'Pitching Data'!P239</f>
        <v>4.9146971357019877E-2</v>
      </c>
      <c r="O239" s="58">
        <f>'Pitching Data'!S239/'Pitching Data'!P239</f>
        <v>3.9129754265143212E-3</v>
      </c>
      <c r="P239" s="58">
        <f>'Pitching Data'!T239/'Pitching Data'!P239</f>
        <v>2.4260447644388793E-2</v>
      </c>
      <c r="Q239" s="58">
        <f>'Pitching Data'!U239/'Pitching Data'!P239</f>
        <v>0.10455470339646267</v>
      </c>
      <c r="R239" s="58">
        <f>'Pitching Data'!V239/'Pitching Data'!P239</f>
        <v>1.0956331194240099E-2</v>
      </c>
      <c r="S239" s="58">
        <f>'Pitching Data'!W239/'Pitching Data'!P239</f>
        <v>0.64579746439192365</v>
      </c>
    </row>
    <row r="240" spans="2:19" x14ac:dyDescent="0.5">
      <c r="B240" s="2">
        <v>2007</v>
      </c>
      <c r="C240" s="2" t="s">
        <v>96</v>
      </c>
      <c r="D240" s="2" t="str">
        <f t="shared" si="6"/>
        <v>2007 Toronto Blue Jays</v>
      </c>
      <c r="E240" s="60">
        <f>'Batting Data'!K240/'Batting Data'!J240</f>
        <v>0.16275289017341041</v>
      </c>
      <c r="F240" s="60">
        <f>'Batting Data'!L240/'Batting Data'!J240</f>
        <v>6.2138728323699419E-2</v>
      </c>
      <c r="G240" s="60">
        <f>'Batting Data'!M240/'Batting Data'!J240</f>
        <v>4.335260115606936E-3</v>
      </c>
      <c r="H240" s="60">
        <f>'Batting Data'!N240/'Batting Data'!J240</f>
        <v>2.9804913294797689E-2</v>
      </c>
      <c r="I240" s="60">
        <f>'Batting Data'!O240/'Batting Data'!J240</f>
        <v>9.6278901734104042E-2</v>
      </c>
      <c r="J240" s="60">
        <f>'Batting Data'!P240/'Batting Data'!J240</f>
        <v>8.489884393063583E-3</v>
      </c>
      <c r="K240" s="60">
        <f>'Batting Data'!Q240/'Batting Data'!J240</f>
        <v>0.63619942196531787</v>
      </c>
      <c r="L240" s="2" t="str">
        <f t="shared" si="7"/>
        <v>2007 Toronto Blue Jays</v>
      </c>
      <c r="M240" s="58">
        <f>'Pitching Data'!Q240/'Pitching Data'!P240</f>
        <v>0.15553372626064177</v>
      </c>
      <c r="N240" s="58">
        <f>'Pitching Data'!R240/'Pitching Data'!P240</f>
        <v>4.1257367387033402E-2</v>
      </c>
      <c r="O240" s="58">
        <f>'Pitching Data'!S240/'Pitching Data'!P240</f>
        <v>3.929273084479371E-3</v>
      </c>
      <c r="P240" s="58">
        <f>'Pitching Data'!T240/'Pitching Data'!P240</f>
        <v>2.5703994760969219E-2</v>
      </c>
      <c r="Q240" s="58">
        <f>'Pitching Data'!U240/'Pitching Data'!P240</f>
        <v>7.8421741977734119E-2</v>
      </c>
      <c r="R240" s="58">
        <f>'Pitching Data'!V240/'Pitching Data'!P240</f>
        <v>9.0045841519318919E-3</v>
      </c>
      <c r="S240" s="58">
        <f>'Pitching Data'!W240/'Pitching Data'!P240</f>
        <v>0.68614931237721022</v>
      </c>
    </row>
    <row r="241" spans="2:19" x14ac:dyDescent="0.5">
      <c r="B241" s="2">
        <v>2007</v>
      </c>
      <c r="C241" s="2" t="s">
        <v>100</v>
      </c>
      <c r="D241" s="2" t="str">
        <f t="shared" si="6"/>
        <v>2007 Washington Nationals</v>
      </c>
      <c r="E241" s="60">
        <f>'Batting Data'!K241/'Batting Data'!J241</f>
        <v>0.17246376811594202</v>
      </c>
      <c r="F241" s="60">
        <f>'Batting Data'!L241/'Batting Data'!J241</f>
        <v>5.597826086956522E-2</v>
      </c>
      <c r="G241" s="60">
        <f>'Batting Data'!M241/'Batting Data'!J241</f>
        <v>5.6159420289855072E-3</v>
      </c>
      <c r="H241" s="60">
        <f>'Batting Data'!N241/'Batting Data'!J241</f>
        <v>2.2282608695652174E-2</v>
      </c>
      <c r="I241" s="60">
        <f>'Batting Data'!O241/'Batting Data'!J241</f>
        <v>9.492753623188406E-2</v>
      </c>
      <c r="J241" s="60">
        <f>'Batting Data'!P241/'Batting Data'!J241</f>
        <v>9.6014492753623195E-3</v>
      </c>
      <c r="K241" s="60">
        <f>'Batting Data'!Q241/'Batting Data'!J241</f>
        <v>0.63913043478260867</v>
      </c>
      <c r="L241" s="2" t="str">
        <f t="shared" si="7"/>
        <v>2007 Washington Nationals</v>
      </c>
      <c r="M241" s="58">
        <f>'Pitching Data'!Q241/'Pitching Data'!P241</f>
        <v>0.1560082109584715</v>
      </c>
      <c r="N241" s="58">
        <f>'Pitching Data'!R241/'Pitching Data'!P241</f>
        <v>4.7370914258645189E-2</v>
      </c>
      <c r="O241" s="58">
        <f>'Pitching Data'!S241/'Pitching Data'!P241</f>
        <v>4.2633822832780673E-3</v>
      </c>
      <c r="P241" s="58">
        <f>'Pitching Data'!T241/'Pitching Data'!P241</f>
        <v>2.9527869887888837E-2</v>
      </c>
      <c r="Q241" s="58">
        <f>'Pitching Data'!U241/'Pitching Data'!P241</f>
        <v>9.1583767566714033E-2</v>
      </c>
      <c r="R241" s="58">
        <f>'Pitching Data'!V241/'Pitching Data'!P241</f>
        <v>6.631927996210327E-3</v>
      </c>
      <c r="S241" s="58">
        <f>'Pitching Data'!W241/'Pitching Data'!P241</f>
        <v>0.66461392704879207</v>
      </c>
    </row>
    <row r="242" spans="2:19" x14ac:dyDescent="0.5">
      <c r="B242" s="2">
        <v>2008</v>
      </c>
      <c r="C242" s="2" t="s">
        <v>36</v>
      </c>
      <c r="D242" s="2" t="str">
        <f t="shared" si="6"/>
        <v>2008 Anaheim Angels</v>
      </c>
      <c r="E242" s="60">
        <f>'Batting Data'!K242/'Batting Data'!J242</f>
        <v>0.18555956678700361</v>
      </c>
      <c r="F242" s="60">
        <f>'Batting Data'!L242/'Batting Data'!J242</f>
        <v>4.9458483754512637E-2</v>
      </c>
      <c r="G242" s="60">
        <f>'Batting Data'!M242/'Batting Data'!J242</f>
        <v>4.5126353790613718E-3</v>
      </c>
      <c r="H242" s="60">
        <f>'Batting Data'!N242/'Batting Data'!J242</f>
        <v>2.8700361010830323E-2</v>
      </c>
      <c r="I242" s="60">
        <f>'Batting Data'!O242/'Batting Data'!J242</f>
        <v>8.6823104693140793E-2</v>
      </c>
      <c r="J242" s="60">
        <f>'Batting Data'!P242/'Batting Data'!J242</f>
        <v>9.3862815884476532E-3</v>
      </c>
      <c r="K242" s="60">
        <f>'Batting Data'!Q242/'Batting Data'!J242</f>
        <v>0.63555956678700365</v>
      </c>
      <c r="L242" s="2" t="str">
        <f t="shared" si="7"/>
        <v>2008 Anaheim Angels</v>
      </c>
      <c r="M242" s="58">
        <f>'Pitching Data'!Q242/'Pitching Data'!P242</f>
        <v>0.16149975653303036</v>
      </c>
      <c r="N242" s="58">
        <f>'Pitching Data'!R242/'Pitching Data'!P242</f>
        <v>4.4148677162798244E-2</v>
      </c>
      <c r="O242" s="58">
        <f>'Pitching Data'!S242/'Pitching Data'!P242</f>
        <v>4.5447167667586434E-3</v>
      </c>
      <c r="P242" s="58">
        <f>'Pitching Data'!T242/'Pitching Data'!P242</f>
        <v>2.5969810095763674E-2</v>
      </c>
      <c r="Q242" s="58">
        <f>'Pitching Data'!U242/'Pitching Data'!P242</f>
        <v>7.4176270086024995E-2</v>
      </c>
      <c r="R242" s="58">
        <f>'Pitching Data'!V242/'Pitching Data'!P242</f>
        <v>1.0225612725206947E-2</v>
      </c>
      <c r="S242" s="58">
        <f>'Pitching Data'!W242/'Pitching Data'!P242</f>
        <v>0.67943515663041709</v>
      </c>
    </row>
    <row r="243" spans="2:19" x14ac:dyDescent="0.5">
      <c r="B243" s="2">
        <v>2008</v>
      </c>
      <c r="C243" s="2" t="s">
        <v>39</v>
      </c>
      <c r="D243" s="2" t="str">
        <f t="shared" si="6"/>
        <v>2008 Arizona Diamondbacks</v>
      </c>
      <c r="E243" s="60">
        <f>'Batting Data'!K243/'Batting Data'!J243</f>
        <v>0.15363283416528009</v>
      </c>
      <c r="F243" s="60">
        <f>'Batting Data'!L243/'Batting Data'!J243</f>
        <v>5.8790904048807546E-2</v>
      </c>
      <c r="G243" s="60">
        <f>'Batting Data'!M243/'Batting Data'!J243</f>
        <v>8.6892216675910523E-3</v>
      </c>
      <c r="H243" s="60">
        <f>'Batting Data'!N243/'Batting Data'!J243</f>
        <v>2.9395452024403773E-2</v>
      </c>
      <c r="I243" s="60">
        <f>'Batting Data'!O243/'Batting Data'!J243</f>
        <v>0.10852283231650953</v>
      </c>
      <c r="J243" s="60">
        <f>'Batting Data'!P243/'Batting Data'!J243</f>
        <v>9.0589757811055643E-3</v>
      </c>
      <c r="K243" s="60">
        <f>'Batting Data'!Q243/'Batting Data'!J243</f>
        <v>0.63190977999630249</v>
      </c>
      <c r="L243" s="2" t="str">
        <f t="shared" si="7"/>
        <v>2008 Arizona Diamondbacks</v>
      </c>
      <c r="M243" s="58">
        <f>'Pitching Data'!Q243/'Pitching Data'!P243</f>
        <v>0.15525412649125675</v>
      </c>
      <c r="N243" s="58">
        <f>'Pitching Data'!R243/'Pitching Data'!P243</f>
        <v>4.5105409380617745E-2</v>
      </c>
      <c r="O243" s="58">
        <f>'Pitching Data'!S243/'Pitching Data'!P243</f>
        <v>4.9027618891975813E-3</v>
      </c>
      <c r="P243" s="58">
        <f>'Pitching Data'!T243/'Pitching Data'!P243</f>
        <v>2.4023533257068148E-2</v>
      </c>
      <c r="Q243" s="58">
        <f>'Pitching Data'!U243/'Pitching Data'!P243</f>
        <v>7.3704853734270312E-2</v>
      </c>
      <c r="R243" s="58">
        <f>'Pitching Data'!V243/'Pitching Data'!P243</f>
        <v>1.1112926948847851E-2</v>
      </c>
      <c r="S243" s="58">
        <f>'Pitching Data'!W243/'Pitching Data'!P243</f>
        <v>0.68589638829874167</v>
      </c>
    </row>
    <row r="244" spans="2:19" x14ac:dyDescent="0.5">
      <c r="B244" s="2">
        <v>2008</v>
      </c>
      <c r="C244" s="2" t="s">
        <v>41</v>
      </c>
      <c r="D244" s="2" t="str">
        <f t="shared" si="6"/>
        <v>2008 Atlanta Braves</v>
      </c>
      <c r="E244" s="60">
        <f>'Batting Data'!K244/'Batting Data'!J244</f>
        <v>0.18468950749464669</v>
      </c>
      <c r="F244" s="60">
        <f>'Batting Data'!L244/'Batting Data'!J244</f>
        <v>5.638829407566024E-2</v>
      </c>
      <c r="G244" s="60">
        <f>'Batting Data'!M244/'Batting Data'!J244</f>
        <v>5.8886509635974306E-3</v>
      </c>
      <c r="H244" s="60">
        <f>'Batting Data'!N244/'Batting Data'!J244</f>
        <v>2.3197715917201999E-2</v>
      </c>
      <c r="I244" s="60">
        <f>'Batting Data'!O244/'Batting Data'!J244</f>
        <v>0.11027837259100642</v>
      </c>
      <c r="J244" s="60">
        <f>'Batting Data'!P244/'Batting Data'!J244</f>
        <v>7.4946466809421844E-3</v>
      </c>
      <c r="K244" s="60">
        <f>'Batting Data'!Q244/'Batting Data'!J244</f>
        <v>0.61206281227694503</v>
      </c>
      <c r="L244" s="2" t="str">
        <f t="shared" si="7"/>
        <v>2008 Atlanta Braves</v>
      </c>
      <c r="M244" s="58">
        <f>'Pitching Data'!Q244/'Pitching Data'!P244</f>
        <v>0.14670083279948751</v>
      </c>
      <c r="N244" s="58">
        <f>'Pitching Data'!R244/'Pitching Data'!P244</f>
        <v>5.2049967969250481E-2</v>
      </c>
      <c r="O244" s="58">
        <f>'Pitching Data'!S244/'Pitching Data'!P244</f>
        <v>6.7264573991031393E-3</v>
      </c>
      <c r="P244" s="58">
        <f>'Pitching Data'!T244/'Pitching Data'!P244</f>
        <v>2.4983984625240232E-2</v>
      </c>
      <c r="Q244" s="58">
        <f>'Pitching Data'!U244/'Pitching Data'!P244</f>
        <v>9.3850096092248564E-2</v>
      </c>
      <c r="R244" s="58">
        <f>'Pitching Data'!V244/'Pitching Data'!P244</f>
        <v>6.7264573991031393E-3</v>
      </c>
      <c r="S244" s="58">
        <f>'Pitching Data'!W244/'Pitching Data'!P244</f>
        <v>0.66896220371556692</v>
      </c>
    </row>
    <row r="245" spans="2:19" x14ac:dyDescent="0.5">
      <c r="B245" s="2">
        <v>2008</v>
      </c>
      <c r="C245" s="2" t="s">
        <v>44</v>
      </c>
      <c r="D245" s="2" t="str">
        <f t="shared" si="6"/>
        <v>2008 Baltimore Orioles</v>
      </c>
      <c r="E245" s="60">
        <f>'Batting Data'!K245/'Batting Data'!J245</f>
        <v>0.17305270732146069</v>
      </c>
      <c r="F245" s="60">
        <f>'Batting Data'!L245/'Batting Data'!J245</f>
        <v>5.7924087066019071E-2</v>
      </c>
      <c r="G245" s="60">
        <f>'Batting Data'!M245/'Batting Data'!J245</f>
        <v>5.3966540744738263E-3</v>
      </c>
      <c r="H245" s="60">
        <f>'Batting Data'!N245/'Batting Data'!J245</f>
        <v>3.0940816693649936E-2</v>
      </c>
      <c r="I245" s="60">
        <f>'Batting Data'!O245/'Batting Data'!J245</f>
        <v>9.5880554056484976E-2</v>
      </c>
      <c r="J245" s="60">
        <f>'Batting Data'!P245/'Batting Data'!J245</f>
        <v>7.5553157042633568E-3</v>
      </c>
      <c r="K245" s="60">
        <f>'Batting Data'!Q245/'Batting Data'!J245</f>
        <v>0.62924986508364811</v>
      </c>
      <c r="L245" s="2" t="str">
        <f t="shared" si="7"/>
        <v>2008 Baltimore Orioles</v>
      </c>
      <c r="M245" s="58">
        <f>'Pitching Data'!Q245/'Pitching Data'!P245</f>
        <v>0.16401621453071405</v>
      </c>
      <c r="N245" s="58">
        <f>'Pitching Data'!R245/'Pitching Data'!P245</f>
        <v>4.349859681945744E-2</v>
      </c>
      <c r="O245" s="58">
        <f>'Pitching Data'!S245/'Pitching Data'!P245</f>
        <v>3.5859058309946992E-3</v>
      </c>
      <c r="P245" s="58">
        <f>'Pitching Data'!T245/'Pitching Data'!P245</f>
        <v>2.8687246647957593E-2</v>
      </c>
      <c r="Q245" s="58">
        <f>'Pitching Data'!U245/'Pitching Data'!P245</f>
        <v>0.10710944808231992</v>
      </c>
      <c r="R245" s="58">
        <f>'Pitching Data'!V245/'Pitching Data'!P245</f>
        <v>1.2472715933894606E-2</v>
      </c>
      <c r="S245" s="58">
        <f>'Pitching Data'!W245/'Pitching Data'!P245</f>
        <v>0.64062987215466172</v>
      </c>
    </row>
    <row r="246" spans="2:19" x14ac:dyDescent="0.5">
      <c r="B246" s="2">
        <v>2008</v>
      </c>
      <c r="C246" s="2" t="s">
        <v>46</v>
      </c>
      <c r="D246" s="2" t="str">
        <f t="shared" si="6"/>
        <v>2008 Boston Red Sox</v>
      </c>
      <c r="E246" s="60">
        <f>'Batting Data'!K246/'Batting Data'!J246</f>
        <v>0.17977126518942102</v>
      </c>
      <c r="F246" s="60">
        <f>'Batting Data'!L246/'Batting Data'!J246</f>
        <v>6.3080771979985698E-2</v>
      </c>
      <c r="G246" s="60">
        <f>'Batting Data'!M246/'Batting Data'!J246</f>
        <v>5.8970693352394564E-3</v>
      </c>
      <c r="H246" s="60">
        <f>'Batting Data'!N246/'Batting Data'!J246</f>
        <v>3.0914939242315941E-2</v>
      </c>
      <c r="I246" s="60">
        <f>'Batting Data'!O246/'Batting Data'!J246</f>
        <v>0.11543959971408149</v>
      </c>
      <c r="J246" s="60">
        <f>'Batting Data'!P246/'Batting Data'!J246</f>
        <v>1.2508934953538241E-2</v>
      </c>
      <c r="K246" s="60">
        <f>'Batting Data'!Q246/'Batting Data'!J246</f>
        <v>0.59238741958541818</v>
      </c>
      <c r="L246" s="2" t="str">
        <f t="shared" si="7"/>
        <v>2008 Boston Red Sox</v>
      </c>
      <c r="M246" s="58">
        <f>'Pitching Data'!Q246/'Pitching Data'!P246</f>
        <v>0.14789644012944983</v>
      </c>
      <c r="N246" s="58">
        <f>'Pitching Data'!R246/'Pitching Data'!P246</f>
        <v>4.6763754045307443E-2</v>
      </c>
      <c r="O246" s="58">
        <f>'Pitching Data'!S246/'Pitching Data'!P246</f>
        <v>3.0744336569579287E-3</v>
      </c>
      <c r="P246" s="58">
        <f>'Pitching Data'!T246/'Pitching Data'!P246</f>
        <v>2.378640776699029E-2</v>
      </c>
      <c r="Q246" s="58">
        <f>'Pitching Data'!U246/'Pitching Data'!P246</f>
        <v>8.8673139158576053E-2</v>
      </c>
      <c r="R246" s="58">
        <f>'Pitching Data'!V246/'Pitching Data'!P246</f>
        <v>1.1003236245954692E-2</v>
      </c>
      <c r="S246" s="58">
        <f>'Pitching Data'!W246/'Pitching Data'!P246</f>
        <v>0.67880258899676371</v>
      </c>
    </row>
    <row r="247" spans="2:19" x14ac:dyDescent="0.5">
      <c r="B247" s="2">
        <v>2008</v>
      </c>
      <c r="C247" s="2" t="s">
        <v>50</v>
      </c>
      <c r="D247" s="2" t="str">
        <f t="shared" si="6"/>
        <v>2008 Chicago Cubs</v>
      </c>
      <c r="E247" s="60">
        <f>'Batting Data'!K247/'Batting Data'!J247</f>
        <v>0.18217609162491052</v>
      </c>
      <c r="F247" s="60">
        <f>'Batting Data'!L247/'Batting Data'!J247</f>
        <v>5.8876163206871869E-2</v>
      </c>
      <c r="G247" s="60">
        <f>'Batting Data'!M247/'Batting Data'!J247</f>
        <v>3.7580529706513956E-3</v>
      </c>
      <c r="H247" s="60">
        <f>'Batting Data'!N247/'Batting Data'!J247</f>
        <v>3.2927702219040803E-2</v>
      </c>
      <c r="I247" s="60">
        <f>'Batting Data'!O247/'Batting Data'!J247</f>
        <v>0.11381531853972798</v>
      </c>
      <c r="J247" s="60">
        <f>'Batting Data'!P247/'Batting Data'!J247</f>
        <v>8.94774516821761E-3</v>
      </c>
      <c r="K247" s="60">
        <f>'Batting Data'!Q247/'Batting Data'!J247</f>
        <v>0.59949892627057977</v>
      </c>
      <c r="L247" s="2" t="str">
        <f t="shared" si="7"/>
        <v>2008 Chicago Cubs</v>
      </c>
      <c r="M247" s="58">
        <f>'Pitching Data'!Q247/'Pitching Data'!P247</f>
        <v>0.13674523732644495</v>
      </c>
      <c r="N247" s="58">
        <f>'Pitching Data'!R247/'Pitching Data'!P247</f>
        <v>4.5689376816273816E-2</v>
      </c>
      <c r="O247" s="58">
        <f>'Pitching Data'!S247/'Pitching Data'!P247</f>
        <v>6.2964158863416213E-3</v>
      </c>
      <c r="P247" s="58">
        <f>'Pitching Data'!T247/'Pitching Data'!P247</f>
        <v>2.5831449790119469E-2</v>
      </c>
      <c r="Q247" s="58">
        <f>'Pitching Data'!U247/'Pitching Data'!P247</f>
        <v>8.847271553115918E-2</v>
      </c>
      <c r="R247" s="58">
        <f>'Pitching Data'!V247/'Pitching Data'!P247</f>
        <v>1.0494026477236035E-2</v>
      </c>
      <c r="S247" s="58">
        <f>'Pitching Data'!W247/'Pitching Data'!P247</f>
        <v>0.68647077817242497</v>
      </c>
    </row>
    <row r="248" spans="2:19" x14ac:dyDescent="0.5">
      <c r="B248" s="2">
        <v>2008</v>
      </c>
      <c r="C248" s="2" t="s">
        <v>48</v>
      </c>
      <c r="D248" s="2" t="str">
        <f t="shared" si="6"/>
        <v>2008 Chicago White Sox</v>
      </c>
      <c r="E248" s="60">
        <f>'Batting Data'!K248/'Batting Data'!J248</f>
        <v>0.16459571402845308</v>
      </c>
      <c r="F248" s="60">
        <f>'Batting Data'!L248/'Batting Data'!J248</f>
        <v>5.3304520079236452E-2</v>
      </c>
      <c r="G248" s="60">
        <f>'Batting Data'!M248/'Batting Data'!J248</f>
        <v>2.3410768953718709E-3</v>
      </c>
      <c r="H248" s="60">
        <f>'Batting Data'!N248/'Batting Data'!J248</f>
        <v>4.2319466954799205E-2</v>
      </c>
      <c r="I248" s="60">
        <f>'Batting Data'!O248/'Batting Data'!J248</f>
        <v>9.7244732576985418E-2</v>
      </c>
      <c r="J248" s="60">
        <f>'Batting Data'!P248/'Batting Data'!J248</f>
        <v>1.1345218800648298E-2</v>
      </c>
      <c r="K248" s="60">
        <f>'Batting Data'!Q248/'Batting Data'!J248</f>
        <v>0.62884927066450569</v>
      </c>
      <c r="L248" s="2" t="str">
        <f t="shared" si="7"/>
        <v>2008 Chicago White Sox</v>
      </c>
      <c r="M248" s="58">
        <f>'Pitching Data'!Q248/'Pitching Data'!P248</f>
        <v>0.15599871341267288</v>
      </c>
      <c r="N248" s="58">
        <f>'Pitching Data'!R248/'Pitching Data'!P248</f>
        <v>5.0498552589256993E-2</v>
      </c>
      <c r="O248" s="58">
        <f>'Pitching Data'!S248/'Pitching Data'!P248</f>
        <v>4.9855258925699582E-3</v>
      </c>
      <c r="P248" s="58">
        <f>'Pitching Data'!T248/'Pitching Data'!P248</f>
        <v>2.5088452878739145E-2</v>
      </c>
      <c r="Q248" s="58">
        <f>'Pitching Data'!U248/'Pitching Data'!P248</f>
        <v>7.3978771309102603E-2</v>
      </c>
      <c r="R248" s="58">
        <f>'Pitching Data'!V248/'Pitching Data'!P248</f>
        <v>7.7195239626889674E-3</v>
      </c>
      <c r="S248" s="58">
        <f>'Pitching Data'!W248/'Pitching Data'!P248</f>
        <v>0.68173045995496939</v>
      </c>
    </row>
    <row r="249" spans="2:19" x14ac:dyDescent="0.5">
      <c r="B249" s="2">
        <v>2008</v>
      </c>
      <c r="C249" s="2" t="s">
        <v>52</v>
      </c>
      <c r="D249" s="2" t="str">
        <f t="shared" si="6"/>
        <v>2008 Cincinnati Reds</v>
      </c>
      <c r="E249" s="60">
        <f>'Batting Data'!K249/'Batting Data'!J249</f>
        <v>0.15937785910338517</v>
      </c>
      <c r="F249" s="60">
        <f>'Batting Data'!L249/'Batting Data'!J249</f>
        <v>4.9222323879231471E-2</v>
      </c>
      <c r="G249" s="60">
        <f>'Batting Data'!M249/'Batting Data'!J249</f>
        <v>4.391582799634035E-3</v>
      </c>
      <c r="H249" s="60">
        <f>'Batting Data'!N249/'Batting Data'!J249</f>
        <v>3.4217749313815188E-2</v>
      </c>
      <c r="I249" s="60">
        <f>'Batting Data'!O249/'Batting Data'!J249</f>
        <v>0.10247026532479414</v>
      </c>
      <c r="J249" s="60">
        <f>'Batting Data'!P249/'Batting Data'!J249</f>
        <v>9.1491308325709064E-3</v>
      </c>
      <c r="K249" s="60">
        <f>'Batting Data'!Q249/'Batting Data'!J249</f>
        <v>0.64117108874656903</v>
      </c>
      <c r="L249" s="2" t="str">
        <f t="shared" si="7"/>
        <v>2008 Cincinnati Reds</v>
      </c>
      <c r="M249" s="58">
        <f>'Pitching Data'!Q249/'Pitching Data'!P249</f>
        <v>0.15585642317380352</v>
      </c>
      <c r="N249" s="58">
        <f>'Pitching Data'!R249/'Pitching Data'!P249</f>
        <v>5.0692695214105792E-2</v>
      </c>
      <c r="O249" s="58">
        <f>'Pitching Data'!S249/'Pitching Data'!P249</f>
        <v>4.565491183879093E-3</v>
      </c>
      <c r="P249" s="58">
        <f>'Pitching Data'!T249/'Pitching Data'!P249</f>
        <v>3.1643576826196472E-2</v>
      </c>
      <c r="Q249" s="58">
        <f>'Pitching Data'!U249/'Pitching Data'!P249</f>
        <v>8.7688916876574305E-2</v>
      </c>
      <c r="R249" s="58">
        <f>'Pitching Data'!V249/'Pitching Data'!P249</f>
        <v>1.0547858942065492E-2</v>
      </c>
      <c r="S249" s="58">
        <f>'Pitching Data'!W249/'Pitching Data'!P249</f>
        <v>0.65900503778337527</v>
      </c>
    </row>
    <row r="250" spans="2:19" x14ac:dyDescent="0.5">
      <c r="B250" s="2">
        <v>2008</v>
      </c>
      <c r="C250" s="2" t="s">
        <v>54</v>
      </c>
      <c r="D250" s="2" t="str">
        <f t="shared" si="6"/>
        <v>2008 Cleveland Indians</v>
      </c>
      <c r="E250" s="60">
        <f>'Batting Data'!K250/'Batting Data'!J250</f>
        <v>0.16651632689879126</v>
      </c>
      <c r="F250" s="60">
        <f>'Batting Data'!L250/'Batting Data'!J250</f>
        <v>6.1158217571712067E-2</v>
      </c>
      <c r="G250" s="60">
        <f>'Batting Data'!M250/'Batting Data'!J250</f>
        <v>3.9689698719105179E-3</v>
      </c>
      <c r="H250" s="60">
        <f>'Batting Data'!N250/'Batting Data'!J250</f>
        <v>3.0849720368031752E-2</v>
      </c>
      <c r="I250" s="60">
        <f>'Batting Data'!O250/'Batting Data'!J250</f>
        <v>0.10102832401226773</v>
      </c>
      <c r="J250" s="60">
        <f>'Batting Data'!P250/'Batting Data'!J250</f>
        <v>1.8581995309399243E-2</v>
      </c>
      <c r="K250" s="60">
        <f>'Batting Data'!Q250/'Batting Data'!J250</f>
        <v>0.6178964459678874</v>
      </c>
      <c r="L250" s="2" t="str">
        <f t="shared" si="7"/>
        <v>2008 Cleveland Indians</v>
      </c>
      <c r="M250" s="58">
        <f>'Pitching Data'!Q250/'Pitching Data'!P250</f>
        <v>0.17018170019467879</v>
      </c>
      <c r="N250" s="58">
        <f>'Pitching Data'!R250/'Pitching Data'!P250</f>
        <v>4.7047371836469822E-2</v>
      </c>
      <c r="O250" s="58">
        <f>'Pitching Data'!S250/'Pitching Data'!P250</f>
        <v>3.4068786502271251E-3</v>
      </c>
      <c r="P250" s="58">
        <f>'Pitching Data'!T250/'Pitching Data'!P250</f>
        <v>2.7579493835171966E-2</v>
      </c>
      <c r="Q250" s="58">
        <f>'Pitching Data'!U250/'Pitching Data'!P250</f>
        <v>7.2031148604802073E-2</v>
      </c>
      <c r="R250" s="58">
        <f>'Pitching Data'!V250/'Pitching Data'!P250</f>
        <v>8.2738481505515906E-3</v>
      </c>
      <c r="S250" s="58">
        <f>'Pitching Data'!W250/'Pitching Data'!P250</f>
        <v>0.67147955872809861</v>
      </c>
    </row>
    <row r="251" spans="2:19" x14ac:dyDescent="0.5">
      <c r="B251" s="2">
        <v>2008</v>
      </c>
      <c r="C251" s="2" t="s">
        <v>56</v>
      </c>
      <c r="D251" s="2" t="str">
        <f t="shared" si="6"/>
        <v>2008 Colorado Rockies</v>
      </c>
      <c r="E251" s="60">
        <f>'Batting Data'!K251/'Batting Data'!J251</f>
        <v>0.17347489652690301</v>
      </c>
      <c r="F251" s="60">
        <f>'Batting Data'!L251/'Batting Data'!J251</f>
        <v>5.5785495771099515E-2</v>
      </c>
      <c r="G251" s="60">
        <f>'Batting Data'!M251/'Batting Data'!J251</f>
        <v>5.0386899406154404E-3</v>
      </c>
      <c r="H251" s="60">
        <f>'Batting Data'!N251/'Batting Data'!J251</f>
        <v>2.8792513946373943E-2</v>
      </c>
      <c r="I251" s="60">
        <f>'Batting Data'!O251/'Batting Data'!J251</f>
        <v>0.10257333093395717</v>
      </c>
      <c r="J251" s="60">
        <f>'Batting Data'!P251/'Batting Data'!J251</f>
        <v>1.0257333093395717E-2</v>
      </c>
      <c r="K251" s="60">
        <f>'Batting Data'!Q251/'Batting Data'!J251</f>
        <v>0.62407773978765524</v>
      </c>
      <c r="L251" s="2" t="str">
        <f t="shared" si="7"/>
        <v>2008 Colorado Rockies</v>
      </c>
      <c r="M251" s="58">
        <f>'Pitching Data'!Q251/'Pitching Data'!P251</f>
        <v>0.16061849163774061</v>
      </c>
      <c r="N251" s="58">
        <f>'Pitching Data'!R251/'Pitching Data'!P251</f>
        <v>5.2855790470179867E-2</v>
      </c>
      <c r="O251" s="58">
        <f>'Pitching Data'!S251/'Pitching Data'!P251</f>
        <v>7.2578100347112651E-3</v>
      </c>
      <c r="P251" s="58">
        <f>'Pitching Data'!T251/'Pitching Data'!P251</f>
        <v>2.335121489428842E-2</v>
      </c>
      <c r="Q251" s="58">
        <f>'Pitching Data'!U251/'Pitching Data'!P251</f>
        <v>8.8671505206689802E-2</v>
      </c>
      <c r="R251" s="58">
        <f>'Pitching Data'!V251/'Pitching Data'!P251</f>
        <v>8.3622593878195008E-3</v>
      </c>
      <c r="S251" s="58">
        <f>'Pitching Data'!W251/'Pitching Data'!P251</f>
        <v>0.65888292836857054</v>
      </c>
    </row>
    <row r="252" spans="2:19" x14ac:dyDescent="0.5">
      <c r="B252" s="2">
        <v>2008</v>
      </c>
      <c r="C252" s="2" t="s">
        <v>58</v>
      </c>
      <c r="D252" s="2" t="str">
        <f t="shared" si="6"/>
        <v>2008 Detroit Tigers</v>
      </c>
      <c r="E252" s="60">
        <f>'Batting Data'!K252/'Batting Data'!J252</f>
        <v>0.17638716539620636</v>
      </c>
      <c r="F252" s="60">
        <f>'Batting Data'!L252/'Batting Data'!J252</f>
        <v>5.1941145187023578E-2</v>
      </c>
      <c r="G252" s="60">
        <f>'Batting Data'!M252/'Batting Data'!J252</f>
        <v>7.2682148555220701E-3</v>
      </c>
      <c r="H252" s="60">
        <f>'Batting Data'!N252/'Batting Data'!J252</f>
        <v>3.545470661230278E-2</v>
      </c>
      <c r="I252" s="60">
        <f>'Batting Data'!O252/'Batting Data'!J252</f>
        <v>0.10140046091118596</v>
      </c>
      <c r="J252" s="60">
        <f>'Batting Data'!P252/'Batting Data'!J252</f>
        <v>7.8000354547066121E-3</v>
      </c>
      <c r="K252" s="60">
        <f>'Batting Data'!Q252/'Batting Data'!J252</f>
        <v>0.61974827158305268</v>
      </c>
      <c r="L252" s="2" t="str">
        <f t="shared" si="7"/>
        <v>2008 Detroit Tigers</v>
      </c>
      <c r="M252" s="58">
        <f>'Pitching Data'!Q252/'Pitching Data'!P252</f>
        <v>0.15629386991109032</v>
      </c>
      <c r="N252" s="58">
        <f>'Pitching Data'!R252/'Pitching Data'!P252</f>
        <v>5.2097956637030103E-2</v>
      </c>
      <c r="O252" s="58">
        <f>'Pitching Data'!S252/'Pitching Data'!P252</f>
        <v>5.1474029012634533E-3</v>
      </c>
      <c r="P252" s="58">
        <f>'Pitching Data'!T252/'Pitching Data'!P252</f>
        <v>2.6828887849009515E-2</v>
      </c>
      <c r="Q252" s="58">
        <f>'Pitching Data'!U252/'Pitching Data'!P252</f>
        <v>0.10045234752768679</v>
      </c>
      <c r="R252" s="58">
        <f>'Pitching Data'!V252/'Pitching Data'!P252</f>
        <v>1.0606769614724692E-2</v>
      </c>
      <c r="S252" s="58">
        <f>'Pitching Data'!W252/'Pitching Data'!P252</f>
        <v>0.64857276555919519</v>
      </c>
    </row>
    <row r="253" spans="2:19" x14ac:dyDescent="0.5">
      <c r="B253" s="2">
        <v>2008</v>
      </c>
      <c r="C253" s="2" t="s">
        <v>60</v>
      </c>
      <c r="D253" s="2" t="str">
        <f t="shared" si="6"/>
        <v>2008 Florida Marlins</v>
      </c>
      <c r="E253" s="60">
        <f>'Batting Data'!K253/'Batting Data'!J253</f>
        <v>0.15621022004000729</v>
      </c>
      <c r="F253" s="60">
        <f>'Batting Data'!L253/'Batting Data'!J253</f>
        <v>5.4919076195671941E-2</v>
      </c>
      <c r="G253" s="60">
        <f>'Batting Data'!M253/'Batting Data'!J253</f>
        <v>5.0918348790689218E-3</v>
      </c>
      <c r="H253" s="60">
        <f>'Batting Data'!N253/'Batting Data'!J253</f>
        <v>3.7825059101654845E-2</v>
      </c>
      <c r="I253" s="60">
        <f>'Batting Data'!O253/'Batting Data'!J253</f>
        <v>9.8745226404800879E-2</v>
      </c>
      <c r="J253" s="60">
        <f>'Batting Data'!P253/'Batting Data'!J253</f>
        <v>1.2547735951991271E-2</v>
      </c>
      <c r="K253" s="60">
        <f>'Batting Data'!Q253/'Batting Data'!J253</f>
        <v>0.63466084742680484</v>
      </c>
      <c r="L253" s="2" t="str">
        <f t="shared" si="7"/>
        <v>2008 Florida Marlins</v>
      </c>
      <c r="M253" s="58">
        <f>'Pitching Data'!Q253/'Pitching Data'!P253</f>
        <v>0.15101259767182268</v>
      </c>
      <c r="N253" s="58">
        <f>'Pitching Data'!R253/'Pitching Data'!P253</f>
        <v>4.6404082283527347E-2</v>
      </c>
      <c r="O253" s="58">
        <f>'Pitching Data'!S253/'Pitching Data'!P253</f>
        <v>3.5082124063147823E-3</v>
      </c>
      <c r="P253" s="58">
        <f>'Pitching Data'!T253/'Pitching Data'!P253</f>
        <v>2.5673736246212726E-2</v>
      </c>
      <c r="Q253" s="58">
        <f>'Pitching Data'!U253/'Pitching Data'!P253</f>
        <v>9.3446021368202833E-2</v>
      </c>
      <c r="R253" s="58">
        <f>'Pitching Data'!V253/'Pitching Data'!P253</f>
        <v>9.2489236166480616E-3</v>
      </c>
      <c r="S253" s="58">
        <f>'Pitching Data'!W253/'Pitching Data'!P253</f>
        <v>0.67070642640727152</v>
      </c>
    </row>
    <row r="254" spans="2:19" x14ac:dyDescent="0.5">
      <c r="B254" s="2">
        <v>2008</v>
      </c>
      <c r="C254" s="2" t="s">
        <v>62</v>
      </c>
      <c r="D254" s="2" t="str">
        <f t="shared" si="6"/>
        <v>2008 Houston Astros</v>
      </c>
      <c r="E254" s="60">
        <f>'Batting Data'!K254/'Batting Data'!J254</f>
        <v>0.17593102183085671</v>
      </c>
      <c r="F254" s="60">
        <f>'Batting Data'!L254/'Batting Data'!J254</f>
        <v>5.2100532012474776E-2</v>
      </c>
      <c r="G254" s="60">
        <f>'Batting Data'!M254/'Batting Data'!J254</f>
        <v>4.0359567051917082E-3</v>
      </c>
      <c r="H254" s="60">
        <f>'Batting Data'!N254/'Batting Data'!J254</f>
        <v>3.0636580443955237E-2</v>
      </c>
      <c r="I254" s="60">
        <f>'Batting Data'!O254/'Batting Data'!J254</f>
        <v>8.237020730141259E-2</v>
      </c>
      <c r="J254" s="60">
        <f>'Batting Data'!P254/'Batting Data'!J254</f>
        <v>9.5395340304531284E-3</v>
      </c>
      <c r="K254" s="60">
        <f>'Batting Data'!Q254/'Batting Data'!J254</f>
        <v>0.64538616767565582</v>
      </c>
      <c r="L254" s="2" t="str">
        <f t="shared" si="7"/>
        <v>2008 Houston Astros</v>
      </c>
      <c r="M254" s="58">
        <f>'Pitching Data'!Q254/'Pitching Data'!P254</f>
        <v>0.14922448979591837</v>
      </c>
      <c r="N254" s="58">
        <f>'Pitching Data'!R254/'Pitching Data'!P254</f>
        <v>5.0448979591836737E-2</v>
      </c>
      <c r="O254" s="58">
        <f>'Pitching Data'!S254/'Pitching Data'!P254</f>
        <v>5.387755102040816E-3</v>
      </c>
      <c r="P254" s="58">
        <f>'Pitching Data'!T254/'Pitching Data'!P254</f>
        <v>3.216326530612245E-2</v>
      </c>
      <c r="Q254" s="58">
        <f>'Pitching Data'!U254/'Pitching Data'!P254</f>
        <v>8.0326530612244901E-2</v>
      </c>
      <c r="R254" s="58">
        <f>'Pitching Data'!V254/'Pitching Data'!P254</f>
        <v>8.1632653061224497E-3</v>
      </c>
      <c r="S254" s="58">
        <f>'Pitching Data'!W254/'Pitching Data'!P254</f>
        <v>0.67428571428571427</v>
      </c>
    </row>
    <row r="255" spans="2:19" x14ac:dyDescent="0.5">
      <c r="B255" s="2">
        <v>2008</v>
      </c>
      <c r="C255" s="2" t="s">
        <v>64</v>
      </c>
      <c r="D255" s="2" t="str">
        <f t="shared" si="6"/>
        <v>2008 Kansas City Royals</v>
      </c>
      <c r="E255" s="60">
        <f>'Batting Data'!K255/'Batting Data'!J255</f>
        <v>0.18830242510699002</v>
      </c>
      <c r="F255" s="60">
        <f>'Batting Data'!L255/'Batting Data'!J255</f>
        <v>5.4029957203994297E-2</v>
      </c>
      <c r="G255" s="60">
        <f>'Batting Data'!M255/'Batting Data'!J255</f>
        <v>4.9928673323823107E-3</v>
      </c>
      <c r="H255" s="60">
        <f>'Batting Data'!N255/'Batting Data'!J255</f>
        <v>2.1398002853067047E-2</v>
      </c>
      <c r="I255" s="60">
        <f>'Batting Data'!O255/'Batting Data'!J255</f>
        <v>6.9900142653352357E-2</v>
      </c>
      <c r="J255" s="60">
        <f>'Batting Data'!P255/'Batting Data'!J255</f>
        <v>8.9158345221112701E-3</v>
      </c>
      <c r="K255" s="60">
        <f>'Batting Data'!Q255/'Batting Data'!J255</f>
        <v>0.65246077032810268</v>
      </c>
      <c r="L255" s="2" t="str">
        <f t="shared" si="7"/>
        <v>2008 Kansas City Royals</v>
      </c>
      <c r="M255" s="58">
        <f>'Pitching Data'!Q255/'Pitching Data'!P255</f>
        <v>0.15947859671709044</v>
      </c>
      <c r="N255" s="58">
        <f>'Pitching Data'!R255/'Pitching Data'!P255</f>
        <v>4.5381396845831992E-2</v>
      </c>
      <c r="O255" s="58">
        <f>'Pitching Data'!S255/'Pitching Data'!P255</f>
        <v>6.5980045059542969E-3</v>
      </c>
      <c r="P255" s="58">
        <f>'Pitching Data'!T255/'Pitching Data'!P255</f>
        <v>2.5587383327969102E-2</v>
      </c>
      <c r="Q255" s="58">
        <f>'Pitching Data'!U255/'Pitching Data'!P255</f>
        <v>8.2877373672352747E-2</v>
      </c>
      <c r="R255" s="58">
        <f>'Pitching Data'!V255/'Pitching Data'!P255</f>
        <v>6.5980045059542969E-3</v>
      </c>
      <c r="S255" s="58">
        <f>'Pitching Data'!W255/'Pitching Data'!P255</f>
        <v>0.67347924042484708</v>
      </c>
    </row>
    <row r="256" spans="2:19" x14ac:dyDescent="0.5">
      <c r="B256" s="2">
        <v>2008</v>
      </c>
      <c r="C256" s="2" t="s">
        <v>66</v>
      </c>
      <c r="D256" s="2" t="str">
        <f t="shared" si="6"/>
        <v>2008 Los Angeles Dodgers</v>
      </c>
      <c r="E256" s="60">
        <f>'Batting Data'!K256/'Batting Data'!J256</f>
        <v>0.18488921176897929</v>
      </c>
      <c r="F256" s="60">
        <f>'Batting Data'!L256/'Batting Data'!J256</f>
        <v>4.9219033781329462E-2</v>
      </c>
      <c r="G256" s="60">
        <f>'Batting Data'!M256/'Batting Data'!J256</f>
        <v>5.2669814747548132E-3</v>
      </c>
      <c r="H256" s="60">
        <f>'Batting Data'!N256/'Batting Data'!J256</f>
        <v>2.4881946966945151E-2</v>
      </c>
      <c r="I256" s="60">
        <f>'Batting Data'!O256/'Batting Data'!J256</f>
        <v>9.861968761351253E-2</v>
      </c>
      <c r="J256" s="60">
        <f>'Batting Data'!P256/'Batting Data'!J256</f>
        <v>7.8096621867054126E-3</v>
      </c>
      <c r="K256" s="60">
        <f>'Batting Data'!Q256/'Batting Data'!J256</f>
        <v>0.62931347620777334</v>
      </c>
      <c r="L256" s="2" t="str">
        <f t="shared" si="7"/>
        <v>2008 Los Angeles Dodgers</v>
      </c>
      <c r="M256" s="58">
        <f>'Pitching Data'!Q256/'Pitching Data'!P256</f>
        <v>0.15847886404439368</v>
      </c>
      <c r="N256" s="58">
        <f>'Pitching Data'!R256/'Pitching Data'!P256</f>
        <v>4.2271911212665249E-2</v>
      </c>
      <c r="O256" s="58">
        <f>'Pitching Data'!S256/'Pitching Data'!P256</f>
        <v>4.569936347315162E-3</v>
      </c>
      <c r="P256" s="58">
        <f>'Pitching Data'!T256/'Pitching Data'!P256</f>
        <v>2.0075077525705892E-2</v>
      </c>
      <c r="Q256" s="58">
        <f>'Pitching Data'!U256/'Pitching Data'!P256</f>
        <v>7.8341765953974213E-2</v>
      </c>
      <c r="R256" s="58">
        <f>'Pitching Data'!V256/'Pitching Data'!P256</f>
        <v>7.8341765953974206E-3</v>
      </c>
      <c r="S256" s="58">
        <f>'Pitching Data'!W256/'Pitching Data'!P256</f>
        <v>0.68842826832054838</v>
      </c>
    </row>
    <row r="257" spans="2:19" x14ac:dyDescent="0.5">
      <c r="B257" s="2">
        <v>2008</v>
      </c>
      <c r="C257" s="2" t="s">
        <v>68</v>
      </c>
      <c r="D257" s="2" t="str">
        <f t="shared" si="6"/>
        <v>2008 Milwaukee Brewers</v>
      </c>
      <c r="E257" s="60">
        <f>'Batting Data'!K257/'Batting Data'!J257</f>
        <v>0.15194218608852755</v>
      </c>
      <c r="F257" s="60">
        <f>'Batting Data'!L257/'Batting Data'!J257</f>
        <v>5.8536585365853662E-2</v>
      </c>
      <c r="G257" s="60">
        <f>'Batting Data'!M257/'Batting Data'!J257</f>
        <v>6.3233965672990066E-3</v>
      </c>
      <c r="H257" s="60">
        <f>'Batting Data'!N257/'Batting Data'!J257</f>
        <v>3.5772357723577237E-2</v>
      </c>
      <c r="I257" s="60">
        <f>'Batting Data'!O257/'Batting Data'!J257</f>
        <v>9.9367660343270103E-2</v>
      </c>
      <c r="J257" s="60">
        <f>'Batting Data'!P257/'Batting Data'!J257</f>
        <v>1.2466124661246613E-2</v>
      </c>
      <c r="K257" s="60">
        <f>'Batting Data'!Q257/'Batting Data'!J257</f>
        <v>0.6355916892502258</v>
      </c>
      <c r="L257" s="2" t="str">
        <f t="shared" si="7"/>
        <v>2008 Milwaukee Brewers</v>
      </c>
      <c r="M257" s="58">
        <f>'Pitching Data'!Q257/'Pitching Data'!P257</f>
        <v>0.15413110001610567</v>
      </c>
      <c r="N257" s="58">
        <f>'Pitching Data'!R257/'Pitching Data'!P257</f>
        <v>4.2035754549846996E-2</v>
      </c>
      <c r="O257" s="58">
        <f>'Pitching Data'!S257/'Pitching Data'!P257</f>
        <v>3.5432436785311646E-3</v>
      </c>
      <c r="P257" s="58">
        <f>'Pitching Data'!T257/'Pitching Data'!P257</f>
        <v>2.8184892897406989E-2</v>
      </c>
      <c r="Q257" s="58">
        <f>'Pitching Data'!U257/'Pitching Data'!P257</f>
        <v>8.5037848284747947E-2</v>
      </c>
      <c r="R257" s="58">
        <f>'Pitching Data'!V257/'Pitching Data'!P257</f>
        <v>6.7643742953776773E-3</v>
      </c>
      <c r="S257" s="58">
        <f>'Pitching Data'!W257/'Pitching Data'!P257</f>
        <v>0.68030278627798357</v>
      </c>
    </row>
    <row r="258" spans="2:19" x14ac:dyDescent="0.5">
      <c r="B258" s="2">
        <v>2008</v>
      </c>
      <c r="C258" s="2" t="s">
        <v>70</v>
      </c>
      <c r="D258" s="2" t="str">
        <f t="shared" si="6"/>
        <v>2008 Minnesota Twins</v>
      </c>
      <c r="E258" s="60">
        <f>'Batting Data'!K258/'Batting Data'!J258</f>
        <v>0.19748271583052651</v>
      </c>
      <c r="F258" s="60">
        <f>'Batting Data'!L258/'Batting Data'!J258</f>
        <v>5.282751285233115E-2</v>
      </c>
      <c r="G258" s="60">
        <f>'Batting Data'!M258/'Batting Data'!J258</f>
        <v>8.6864031200141814E-3</v>
      </c>
      <c r="H258" s="60">
        <f>'Batting Data'!N258/'Batting Data'!J258</f>
        <v>1.9677362169828044E-2</v>
      </c>
      <c r="I258" s="60">
        <f>'Batting Data'!O258/'Batting Data'!J258</f>
        <v>9.3777698989540859E-2</v>
      </c>
      <c r="J258" s="60">
        <f>'Batting Data'!P258/'Batting Data'!J258</f>
        <v>6.3818471902145008E-3</v>
      </c>
      <c r="K258" s="60">
        <f>'Batting Data'!Q258/'Batting Data'!J258</f>
        <v>0.62116645984754482</v>
      </c>
      <c r="L258" s="2" t="str">
        <f t="shared" si="7"/>
        <v>2008 Minnesota Twins</v>
      </c>
      <c r="M258" s="58">
        <f>'Pitching Data'!Q258/'Pitching Data'!P258</f>
        <v>0.17087285002411187</v>
      </c>
      <c r="N258" s="58">
        <f>'Pitching Data'!R258/'Pitching Data'!P258</f>
        <v>4.742002893425494E-2</v>
      </c>
      <c r="O258" s="58">
        <f>'Pitching Data'!S258/'Pitching Data'!P258</f>
        <v>4.340138241440283E-3</v>
      </c>
      <c r="P258" s="58">
        <f>'Pitching Data'!T258/'Pitching Data'!P258</f>
        <v>2.9416492525317472E-2</v>
      </c>
      <c r="Q258" s="58">
        <f>'Pitching Data'!U258/'Pitching Data'!P258</f>
        <v>6.5262819482398329E-2</v>
      </c>
      <c r="R258" s="58">
        <f>'Pitching Data'!V258/'Pitching Data'!P258</f>
        <v>4.9831216846166213E-3</v>
      </c>
      <c r="S258" s="58">
        <f>'Pitching Data'!W258/'Pitching Data'!P258</f>
        <v>0.67770454910786049</v>
      </c>
    </row>
    <row r="259" spans="2:19" x14ac:dyDescent="0.5">
      <c r="B259" s="2">
        <v>2008</v>
      </c>
      <c r="C259" s="2" t="s">
        <v>76</v>
      </c>
      <c r="D259" s="2" t="str">
        <f t="shared" ref="D259:D322" si="8">$B259&amp;" "&amp;$C259</f>
        <v>2008 New York Mets</v>
      </c>
      <c r="E259" s="60">
        <f>'Batting Data'!K259/'Batting Data'!J259</f>
        <v>0.17962896896182662</v>
      </c>
      <c r="F259" s="60">
        <f>'Batting Data'!L259/'Batting Data'!J259</f>
        <v>4.8876204067070994E-2</v>
      </c>
      <c r="G259" s="60">
        <f>'Batting Data'!M259/'Batting Data'!J259</f>
        <v>6.7784516589368534E-3</v>
      </c>
      <c r="H259" s="60">
        <f>'Batting Data'!N259/'Batting Data'!J259</f>
        <v>3.0681412772029969E-2</v>
      </c>
      <c r="I259" s="60">
        <f>'Batting Data'!O259/'Batting Data'!J259</f>
        <v>0.11041740991794506</v>
      </c>
      <c r="J259" s="60">
        <f>'Batting Data'!P259/'Batting Data'!J259</f>
        <v>6.956831965750981E-3</v>
      </c>
      <c r="K259" s="60">
        <f>'Batting Data'!Q259/'Batting Data'!J259</f>
        <v>0.61666072065643951</v>
      </c>
      <c r="L259" s="2" t="str">
        <f t="shared" ref="L259:L322" si="9">$B259&amp;" "&amp;$C259</f>
        <v>2008 New York Mets</v>
      </c>
      <c r="M259" s="58">
        <f>'Pitching Data'!Q259/'Pitching Data'!P259</f>
        <v>0.15241401072893657</v>
      </c>
      <c r="N259" s="58">
        <f>'Pitching Data'!R259/'Pitching Data'!P259</f>
        <v>4.1653518460082042E-2</v>
      </c>
      <c r="O259" s="58">
        <f>'Pitching Data'!S259/'Pitching Data'!P259</f>
        <v>3.4711265383401703E-3</v>
      </c>
      <c r="P259" s="58">
        <f>'Pitching Data'!T259/'Pitching Data'!P259</f>
        <v>2.5717892079520355E-2</v>
      </c>
      <c r="Q259" s="58">
        <f>'Pitching Data'!U259/'Pitching Data'!P259</f>
        <v>9.3089302619122752E-2</v>
      </c>
      <c r="R259" s="58">
        <f>'Pitching Data'!V259/'Pitching Data'!P259</f>
        <v>1.1044493531082361E-2</v>
      </c>
      <c r="S259" s="58">
        <f>'Pitching Data'!W259/'Pitching Data'!P259</f>
        <v>0.67260965604291578</v>
      </c>
    </row>
    <row r="260" spans="2:19" x14ac:dyDescent="0.5">
      <c r="B260" s="2">
        <v>2008</v>
      </c>
      <c r="C260" s="2" t="s">
        <v>74</v>
      </c>
      <c r="D260" s="2" t="str">
        <f t="shared" si="8"/>
        <v>2008 New York Yankees</v>
      </c>
      <c r="E260" s="60">
        <f>'Batting Data'!K260/'Batting Data'!J260</f>
        <v>0.18359655419956927</v>
      </c>
      <c r="F260" s="60">
        <f>'Batting Data'!L260/'Batting Data'!J260</f>
        <v>5.1866475233309402E-2</v>
      </c>
      <c r="G260" s="60">
        <f>'Batting Data'!M260/'Batting Data'!J260</f>
        <v>3.5893754486719309E-3</v>
      </c>
      <c r="H260" s="60">
        <f>'Batting Data'!N260/'Batting Data'!J260</f>
        <v>3.2304379038047379E-2</v>
      </c>
      <c r="I260" s="60">
        <f>'Batting Data'!O260/'Batting Data'!J260</f>
        <v>9.6015793251974152E-2</v>
      </c>
      <c r="J260" s="60">
        <f>'Batting Data'!P260/'Batting Data'!J260</f>
        <v>1.4357501794687724E-2</v>
      </c>
      <c r="K260" s="60">
        <f>'Batting Data'!Q260/'Batting Data'!J260</f>
        <v>0.61826992103374012</v>
      </c>
      <c r="L260" s="2" t="str">
        <f t="shared" si="9"/>
        <v>2008 New York Yankees</v>
      </c>
      <c r="M260" s="58">
        <f>'Pitching Data'!Q260/'Pitching Data'!P260</f>
        <v>0.16550607287449393</v>
      </c>
      <c r="N260" s="58">
        <f>'Pitching Data'!R260/'Pitching Data'!P260</f>
        <v>4.6639676113360326E-2</v>
      </c>
      <c r="O260" s="58">
        <f>'Pitching Data'!S260/'Pitching Data'!P260</f>
        <v>4.048582995951417E-3</v>
      </c>
      <c r="P260" s="58">
        <f>'Pitching Data'!T260/'Pitching Data'!P260</f>
        <v>2.3157894736842106E-2</v>
      </c>
      <c r="Q260" s="58">
        <f>'Pitching Data'!U260/'Pitching Data'!P260</f>
        <v>7.9190283400809719E-2</v>
      </c>
      <c r="R260" s="58">
        <f>'Pitching Data'!V260/'Pitching Data'!P260</f>
        <v>8.2591093117408906E-3</v>
      </c>
      <c r="S260" s="58">
        <f>'Pitching Data'!W260/'Pitching Data'!P260</f>
        <v>0.67319838056680159</v>
      </c>
    </row>
    <row r="261" spans="2:19" x14ac:dyDescent="0.5">
      <c r="B261" s="2">
        <v>2008</v>
      </c>
      <c r="C261" s="2" t="s">
        <v>78</v>
      </c>
      <c r="D261" s="2" t="str">
        <f t="shared" si="8"/>
        <v>2008 Oakland Athletics</v>
      </c>
      <c r="E261" s="60">
        <f>'Batting Data'!K261/'Batting Data'!J261</f>
        <v>0.1651073197578426</v>
      </c>
      <c r="F261" s="60">
        <f>'Batting Data'!L261/'Batting Data'!J261</f>
        <v>4.9532195927352779E-2</v>
      </c>
      <c r="G261" s="60">
        <f>'Batting Data'!M261/'Batting Data'!J261</f>
        <v>4.2194092827004216E-3</v>
      </c>
      <c r="H261" s="60">
        <f>'Batting Data'!N261/'Batting Data'!J261</f>
        <v>2.2931572188589249E-2</v>
      </c>
      <c r="I261" s="60">
        <f>'Batting Data'!O261/'Batting Data'!J261</f>
        <v>0.10530177949000183</v>
      </c>
      <c r="J261" s="60">
        <f>'Batting Data'!P261/'Batting Data'!J261</f>
        <v>8.8057237204182716E-3</v>
      </c>
      <c r="K261" s="60">
        <f>'Batting Data'!Q261/'Batting Data'!J261</f>
        <v>0.64410199963309489</v>
      </c>
      <c r="L261" s="2" t="str">
        <f t="shared" si="9"/>
        <v>2008 Oakland Athletics</v>
      </c>
      <c r="M261" s="58">
        <f>'Pitching Data'!Q261/'Pitching Data'!P261</f>
        <v>0.14954188481675393</v>
      </c>
      <c r="N261" s="58">
        <f>'Pitching Data'!R261/'Pitching Data'!P261</f>
        <v>4.6465968586387435E-2</v>
      </c>
      <c r="O261" s="58">
        <f>'Pitching Data'!S261/'Pitching Data'!P261</f>
        <v>5.0719895287958117E-3</v>
      </c>
      <c r="P261" s="58">
        <f>'Pitching Data'!T261/'Pitching Data'!P261</f>
        <v>2.2087696335078535E-2</v>
      </c>
      <c r="Q261" s="58">
        <f>'Pitching Data'!U261/'Pitching Data'!P261</f>
        <v>9.4240837696335081E-2</v>
      </c>
      <c r="R261" s="58">
        <f>'Pitching Data'!V261/'Pitching Data'!P261</f>
        <v>8.8350785340314143E-3</v>
      </c>
      <c r="S261" s="58">
        <f>'Pitching Data'!W261/'Pitching Data'!P261</f>
        <v>0.67375654450261779</v>
      </c>
    </row>
    <row r="262" spans="2:19" x14ac:dyDescent="0.5">
      <c r="B262" s="2">
        <v>2008</v>
      </c>
      <c r="C262" s="2" t="s">
        <v>80</v>
      </c>
      <c r="D262" s="2" t="str">
        <f t="shared" si="8"/>
        <v>2008 Philadelphia Phillies</v>
      </c>
      <c r="E262" s="60">
        <f>'Batting Data'!K262/'Batting Data'!J262</f>
        <v>0.15719731348702123</v>
      </c>
      <c r="F262" s="60">
        <f>'Batting Data'!L262/'Batting Data'!J262</f>
        <v>5.2822653839172264E-2</v>
      </c>
      <c r="G262" s="60">
        <f>'Batting Data'!M262/'Batting Data'!J262</f>
        <v>6.5347612996914141E-3</v>
      </c>
      <c r="H262" s="60">
        <f>'Batting Data'!N262/'Batting Data'!J262</f>
        <v>3.8845525503721182E-2</v>
      </c>
      <c r="I262" s="60">
        <f>'Batting Data'!O262/'Batting Data'!J262</f>
        <v>0.10637139226719913</v>
      </c>
      <c r="J262" s="60">
        <f>'Batting Data'!P262/'Batting Data'!J262</f>
        <v>1.2161916863314576E-2</v>
      </c>
      <c r="K262" s="60">
        <f>'Batting Data'!Q262/'Batting Data'!J262</f>
        <v>0.62606643673988016</v>
      </c>
      <c r="L262" s="2" t="str">
        <f t="shared" si="9"/>
        <v>2008 Philadelphia Phillies</v>
      </c>
      <c r="M262" s="58">
        <f>'Pitching Data'!Q262/'Pitching Data'!P262</f>
        <v>0.15299406004174024</v>
      </c>
      <c r="N262" s="58">
        <f>'Pitching Data'!R262/'Pitching Data'!P262</f>
        <v>4.9125060202279656E-2</v>
      </c>
      <c r="O262" s="58">
        <f>'Pitching Data'!S262/'Pitching Data'!P262</f>
        <v>4.0134853106437631E-3</v>
      </c>
      <c r="P262" s="58">
        <f>'Pitching Data'!T262/'Pitching Data'!P262</f>
        <v>2.5686305988120082E-2</v>
      </c>
      <c r="Q262" s="58">
        <f>'Pitching Data'!U262/'Pitching Data'!P262</f>
        <v>8.5567506822925021E-2</v>
      </c>
      <c r="R262" s="58">
        <f>'Pitching Data'!V262/'Pitching Data'!P262</f>
        <v>9.1507465082677798E-3</v>
      </c>
      <c r="S262" s="58">
        <f>'Pitching Data'!W262/'Pitching Data'!P262</f>
        <v>0.67346283512602345</v>
      </c>
    </row>
    <row r="263" spans="2:19" x14ac:dyDescent="0.5">
      <c r="B263" s="2">
        <v>2008</v>
      </c>
      <c r="C263" s="2" t="s">
        <v>82</v>
      </c>
      <c r="D263" s="2" t="str">
        <f t="shared" si="8"/>
        <v>2008 Pittsburgh Pirates</v>
      </c>
      <c r="E263" s="60">
        <f>'Batting Data'!K263/'Batting Data'!J263</f>
        <v>0.17164179104477612</v>
      </c>
      <c r="F263" s="60">
        <f>'Batting Data'!L263/'Batting Data'!J263</f>
        <v>5.5792466240227434E-2</v>
      </c>
      <c r="G263" s="60">
        <f>'Batting Data'!M263/'Batting Data'!J263</f>
        <v>3.7313432835820895E-3</v>
      </c>
      <c r="H263" s="60">
        <f>'Batting Data'!N263/'Batting Data'!J263</f>
        <v>2.7185501066098083E-2</v>
      </c>
      <c r="I263" s="60">
        <f>'Batting Data'!O263/'Batting Data'!J263</f>
        <v>8.4221748400852878E-2</v>
      </c>
      <c r="J263" s="60">
        <f>'Batting Data'!P263/'Batting Data'!J263</f>
        <v>1.0483297796730632E-2</v>
      </c>
      <c r="K263" s="60">
        <f>'Batting Data'!Q263/'Batting Data'!J263</f>
        <v>0.64694385216773276</v>
      </c>
      <c r="L263" s="2" t="str">
        <f t="shared" si="9"/>
        <v>2008 Pittsburgh Pirates</v>
      </c>
      <c r="M263" s="58">
        <f>'Pitching Data'!Q263/'Pitching Data'!P263</f>
        <v>0.16253063725490197</v>
      </c>
      <c r="N263" s="58">
        <f>'Pitching Data'!R263/'Pitching Data'!P263</f>
        <v>5.5300245098039214E-2</v>
      </c>
      <c r="O263" s="58">
        <f>'Pitching Data'!S263/'Pitching Data'!P263</f>
        <v>5.0551470588235297E-3</v>
      </c>
      <c r="P263" s="58">
        <f>'Pitching Data'!T263/'Pitching Data'!P263</f>
        <v>2.6960784313725492E-2</v>
      </c>
      <c r="Q263" s="58">
        <f>'Pitching Data'!U263/'Pitching Data'!P263</f>
        <v>0.10064338235294118</v>
      </c>
      <c r="R263" s="58">
        <f>'Pitching Data'!V263/'Pitching Data'!P263</f>
        <v>7.5061274509803924E-3</v>
      </c>
      <c r="S263" s="58">
        <f>'Pitching Data'!W263/'Pitching Data'!P263</f>
        <v>0.6420036764705882</v>
      </c>
    </row>
    <row r="264" spans="2:19" x14ac:dyDescent="0.5">
      <c r="B264" s="2">
        <v>2008</v>
      </c>
      <c r="C264" s="2" t="s">
        <v>84</v>
      </c>
      <c r="D264" s="2" t="str">
        <f t="shared" si="8"/>
        <v>2008 San Diego Padres</v>
      </c>
      <c r="E264" s="60">
        <f>'Batting Data'!K264/'Batting Data'!J264</f>
        <v>0.16971982758620691</v>
      </c>
      <c r="F264" s="60">
        <f>'Batting Data'!L264/'Batting Data'!J264</f>
        <v>4.7413793103448273E-2</v>
      </c>
      <c r="G264" s="60">
        <f>'Batting Data'!M264/'Batting Data'!J264</f>
        <v>4.8491379310344829E-3</v>
      </c>
      <c r="H264" s="60">
        <f>'Batting Data'!N264/'Batting Data'!J264</f>
        <v>2.7658045977011495E-2</v>
      </c>
      <c r="I264" s="60">
        <f>'Batting Data'!O264/'Batting Data'!J264</f>
        <v>9.3031609195402293E-2</v>
      </c>
      <c r="J264" s="60">
        <f>'Batting Data'!P264/'Batting Data'!J264</f>
        <v>9.5186781609195407E-3</v>
      </c>
      <c r="K264" s="60">
        <f>'Batting Data'!Q264/'Batting Data'!J264</f>
        <v>0.64780890804597702</v>
      </c>
      <c r="L264" s="2" t="str">
        <f t="shared" si="9"/>
        <v>2008 San Diego Padres</v>
      </c>
      <c r="M264" s="58">
        <f>'Pitching Data'!Q264/'Pitching Data'!P264</f>
        <v>0.16083359847279668</v>
      </c>
      <c r="N264" s="58">
        <f>'Pitching Data'!R264/'Pitching Data'!P264</f>
        <v>4.1520839961819919E-2</v>
      </c>
      <c r="O264" s="58">
        <f>'Pitching Data'!S264/'Pitching Data'!P264</f>
        <v>4.6134266624244351E-3</v>
      </c>
      <c r="P264" s="58">
        <f>'Pitching Data'!T264/'Pitching Data'!P264</f>
        <v>2.624880687241489E-2</v>
      </c>
      <c r="Q264" s="58">
        <f>'Pitching Data'!U264/'Pitching Data'!P264</f>
        <v>8.9245943366210626E-2</v>
      </c>
      <c r="R264" s="58">
        <f>'Pitching Data'!V264/'Pitching Data'!P264</f>
        <v>6.0451797645561566E-3</v>
      </c>
      <c r="S264" s="58">
        <f>'Pitching Data'!W264/'Pitching Data'!P264</f>
        <v>0.67149220489977723</v>
      </c>
    </row>
    <row r="265" spans="2:19" x14ac:dyDescent="0.5">
      <c r="B265" s="2">
        <v>2008</v>
      </c>
      <c r="C265" s="2" t="s">
        <v>86</v>
      </c>
      <c r="D265" s="2" t="str">
        <f t="shared" si="8"/>
        <v>2008 Seattle Mariners</v>
      </c>
      <c r="E265" s="60">
        <f>'Batting Data'!K265/'Batting Data'!J265</f>
        <v>0.18943824206982102</v>
      </c>
      <c r="F265" s="60">
        <f>'Batting Data'!L265/'Batting Data'!J265</f>
        <v>5.0505050505050504E-2</v>
      </c>
      <c r="G265" s="60">
        <f>'Batting Data'!M265/'Batting Data'!J265</f>
        <v>3.5442140705298601E-3</v>
      </c>
      <c r="H265" s="60">
        <f>'Batting Data'!N265/'Batting Data'!J265</f>
        <v>2.1974127237285132E-2</v>
      </c>
      <c r="I265" s="60">
        <f>'Batting Data'!O265/'Batting Data'!J265</f>
        <v>7.3896863370547586E-2</v>
      </c>
      <c r="J265" s="60">
        <f>'Batting Data'!P265/'Batting Data'!J265</f>
        <v>6.7340067340067337E-3</v>
      </c>
      <c r="K265" s="60">
        <f>'Batting Data'!Q265/'Batting Data'!J265</f>
        <v>0.65390749601275922</v>
      </c>
      <c r="L265" s="2" t="str">
        <f t="shared" si="9"/>
        <v>2008 Seattle Mariners</v>
      </c>
      <c r="M265" s="58">
        <f>'Pitching Data'!Q265/'Pitching Data'!P265</f>
        <v>0.15891959798994976</v>
      </c>
      <c r="N265" s="58">
        <f>'Pitching Data'!R265/'Pitching Data'!P265</f>
        <v>5.5119346733668341E-2</v>
      </c>
      <c r="O265" s="58">
        <f>'Pitching Data'!S265/'Pitching Data'!P265</f>
        <v>3.1407035175879399E-3</v>
      </c>
      <c r="P265" s="58">
        <f>'Pitching Data'!T265/'Pitching Data'!P265</f>
        <v>2.5282663316582913E-2</v>
      </c>
      <c r="Q265" s="58">
        <f>'Pitching Data'!U265/'Pitching Data'!P265</f>
        <v>9.8304020100502515E-2</v>
      </c>
      <c r="R265" s="58">
        <f>'Pitching Data'!V265/'Pitching Data'!P265</f>
        <v>8.3228643216080398E-3</v>
      </c>
      <c r="S265" s="58">
        <f>'Pitching Data'!W265/'Pitching Data'!P265</f>
        <v>0.65091080402010049</v>
      </c>
    </row>
    <row r="266" spans="2:19" x14ac:dyDescent="0.5">
      <c r="B266" s="2">
        <v>2008</v>
      </c>
      <c r="C266" s="2" t="s">
        <v>88</v>
      </c>
      <c r="D266" s="2" t="str">
        <f t="shared" si="8"/>
        <v>2008 San Francisco Giants</v>
      </c>
      <c r="E266" s="60">
        <f>'Batting Data'!K266/'Batting Data'!J266</f>
        <v>0.18221179866498285</v>
      </c>
      <c r="F266" s="60">
        <f>'Batting Data'!L266/'Batting Data'!J266</f>
        <v>5.6106801371098684E-2</v>
      </c>
      <c r="G266" s="60">
        <f>'Batting Data'!M266/'Batting Data'!J266</f>
        <v>6.6750856936676891E-3</v>
      </c>
      <c r="H266" s="60">
        <f>'Batting Data'!N266/'Batting Data'!J266</f>
        <v>1.6958325816344939E-2</v>
      </c>
      <c r="I266" s="60">
        <f>'Batting Data'!O266/'Batting Data'!J266</f>
        <v>8.154429009561609E-2</v>
      </c>
      <c r="J266" s="60">
        <f>'Batting Data'!P266/'Batting Data'!J266</f>
        <v>8.6595706296229476E-3</v>
      </c>
      <c r="K266" s="60">
        <f>'Batting Data'!Q266/'Batting Data'!J266</f>
        <v>0.64784412772866684</v>
      </c>
      <c r="L266" s="2" t="str">
        <f t="shared" si="9"/>
        <v>2008 San Francisco Giants</v>
      </c>
      <c r="M266" s="58">
        <f>'Pitching Data'!Q266/'Pitching Data'!P266</f>
        <v>0.14761078694212271</v>
      </c>
      <c r="N266" s="58">
        <f>'Pitching Data'!R266/'Pitching Data'!P266</f>
        <v>4.7468853493139881E-2</v>
      </c>
      <c r="O266" s="58">
        <f>'Pitching Data'!S266/'Pitching Data'!P266</f>
        <v>5.0465226304999208E-3</v>
      </c>
      <c r="P266" s="58">
        <f>'Pitching Data'!T266/'Pitching Data'!P266</f>
        <v>2.3182463333859014E-2</v>
      </c>
      <c r="Q266" s="58">
        <f>'Pitching Data'!U266/'Pitching Data'!P266</f>
        <v>0.1028228985964359</v>
      </c>
      <c r="R266" s="58">
        <f>'Pitching Data'!V266/'Pitching Data'!P266</f>
        <v>1.1039268254218578E-2</v>
      </c>
      <c r="S266" s="58">
        <f>'Pitching Data'!W266/'Pitching Data'!P266</f>
        <v>0.66282920674972401</v>
      </c>
    </row>
    <row r="267" spans="2:19" x14ac:dyDescent="0.5">
      <c r="B267" s="2">
        <v>2008</v>
      </c>
      <c r="C267" s="2" t="s">
        <v>90</v>
      </c>
      <c r="D267" s="2" t="str">
        <f t="shared" si="8"/>
        <v>2008 St. Louis Cardinals</v>
      </c>
      <c r="E267" s="60">
        <f>'Batting Data'!K267/'Batting Data'!J267</f>
        <v>0.19552874378992194</v>
      </c>
      <c r="F267" s="60">
        <f>'Batting Data'!L267/'Batting Data'!J267</f>
        <v>5.0212916962384668E-2</v>
      </c>
      <c r="G267" s="60">
        <f>'Batting Data'!M267/'Batting Data'!J267</f>
        <v>4.6132008516678496E-3</v>
      </c>
      <c r="H267" s="60">
        <f>'Batting Data'!N267/'Batting Data'!J267</f>
        <v>3.0872959545777148E-2</v>
      </c>
      <c r="I267" s="60">
        <f>'Batting Data'!O267/'Batting Data'!J267</f>
        <v>0.10237757274662881</v>
      </c>
      <c r="J267" s="60">
        <f>'Batting Data'!P267/'Batting Data'!J267</f>
        <v>7.4520936834634489E-3</v>
      </c>
      <c r="K267" s="60">
        <f>'Batting Data'!Q267/'Batting Data'!J267</f>
        <v>0.60894251242015618</v>
      </c>
      <c r="L267" s="2" t="str">
        <f t="shared" si="9"/>
        <v>2008 St. Louis Cardinals</v>
      </c>
      <c r="M267" s="58">
        <f>'Pitching Data'!Q267/'Pitching Data'!P267</f>
        <v>0.15453384418901661</v>
      </c>
      <c r="N267" s="58">
        <f>'Pitching Data'!R267/'Pitching Data'!P267</f>
        <v>5.6194125159642401E-2</v>
      </c>
      <c r="O267" s="58">
        <f>'Pitching Data'!S267/'Pitching Data'!P267</f>
        <v>5.4278416347381866E-3</v>
      </c>
      <c r="P267" s="58">
        <f>'Pitching Data'!T267/'Pitching Data'!P267</f>
        <v>2.6021711366538951E-2</v>
      </c>
      <c r="Q267" s="58">
        <f>'Pitching Data'!U267/'Pitching Data'!P267</f>
        <v>7.9182630906768844E-2</v>
      </c>
      <c r="R267" s="58">
        <f>'Pitching Data'!V267/'Pitching Data'!P267</f>
        <v>8.141762452107279E-3</v>
      </c>
      <c r="S267" s="58">
        <f>'Pitching Data'!W267/'Pitching Data'!P267</f>
        <v>0.67049808429118773</v>
      </c>
    </row>
    <row r="268" spans="2:19" x14ac:dyDescent="0.5">
      <c r="B268" s="2">
        <v>2008</v>
      </c>
      <c r="C268" s="2" t="s">
        <v>92</v>
      </c>
      <c r="D268" s="2" t="str">
        <f t="shared" si="8"/>
        <v>2008 Tampa Bay Devil Rays</v>
      </c>
      <c r="E268" s="60">
        <f>'Batting Data'!K268/'Batting Data'!J268</f>
        <v>0.17000541418516513</v>
      </c>
      <c r="F268" s="60">
        <f>'Batting Data'!L268/'Batting Data'!J268</f>
        <v>5.1254286229922397E-2</v>
      </c>
      <c r="G268" s="60">
        <f>'Batting Data'!M268/'Batting Data'!J268</f>
        <v>6.6774950369969319E-3</v>
      </c>
      <c r="H268" s="60">
        <f>'Batting Data'!N268/'Batting Data'!J268</f>
        <v>3.2485110990795887E-2</v>
      </c>
      <c r="I268" s="60">
        <f>'Batting Data'!O268/'Batting Data'!J268</f>
        <v>0.11297599711243458</v>
      </c>
      <c r="J268" s="60">
        <f>'Batting Data'!P268/'Batting Data'!J268</f>
        <v>1.2272153040967335E-2</v>
      </c>
      <c r="K268" s="60">
        <f>'Batting Data'!Q268/'Batting Data'!J268</f>
        <v>0.6143295434037177</v>
      </c>
      <c r="L268" s="2" t="str">
        <f t="shared" si="9"/>
        <v>2008 Tampa Bay Devil Rays</v>
      </c>
      <c r="M268" s="58">
        <f>'Pitching Data'!Q268/'Pitching Data'!P268</f>
        <v>0.14027664768104151</v>
      </c>
      <c r="N268" s="58">
        <f>'Pitching Data'!R268/'Pitching Data'!P268</f>
        <v>4.7030105777054514E-2</v>
      </c>
      <c r="O268" s="58">
        <f>'Pitching Data'!S268/'Pitching Data'!P268</f>
        <v>5.2074857607811225E-3</v>
      </c>
      <c r="P268" s="58">
        <f>'Pitching Data'!T268/'Pitching Data'!P268</f>
        <v>2.7013832384052076E-2</v>
      </c>
      <c r="Q268" s="58">
        <f>'Pitching Data'!U268/'Pitching Data'!P268</f>
        <v>8.5598047192839713E-2</v>
      </c>
      <c r="R268" s="58">
        <f>'Pitching Data'!V268/'Pitching Data'!P268</f>
        <v>7.4857607811228645E-3</v>
      </c>
      <c r="S268" s="58">
        <f>'Pitching Data'!W268/'Pitching Data'!P268</f>
        <v>0.68738812042310826</v>
      </c>
    </row>
    <row r="269" spans="2:19" x14ac:dyDescent="0.5">
      <c r="B269" s="2">
        <v>2008</v>
      </c>
      <c r="C269" s="2" t="s">
        <v>94</v>
      </c>
      <c r="D269" s="2" t="str">
        <f t="shared" si="8"/>
        <v>2008 Texas Rangers</v>
      </c>
      <c r="E269" s="60">
        <f>'Batting Data'!K269/'Batting Data'!J269</f>
        <v>0.17702513966480446</v>
      </c>
      <c r="F269" s="60">
        <f>'Batting Data'!L269/'Batting Data'!J269</f>
        <v>6.5642458100558659E-2</v>
      </c>
      <c r="G269" s="60">
        <f>'Batting Data'!M269/'Batting Data'!J269</f>
        <v>6.1103351955307259E-3</v>
      </c>
      <c r="H269" s="60">
        <f>'Batting Data'!N269/'Batting Data'!J269</f>
        <v>3.3868715083798885E-2</v>
      </c>
      <c r="I269" s="60">
        <f>'Batting Data'!O269/'Batting Data'!J269</f>
        <v>0.10387569832402235</v>
      </c>
      <c r="J269" s="60">
        <f>'Batting Data'!P269/'Batting Data'!J269</f>
        <v>1.0998603351955308E-2</v>
      </c>
      <c r="K269" s="60">
        <f>'Batting Data'!Q269/'Batting Data'!J269</f>
        <v>0.60247905027932958</v>
      </c>
      <c r="L269" s="2" t="str">
        <f t="shared" si="9"/>
        <v>2008 Texas Rangers</v>
      </c>
      <c r="M269" s="58">
        <f>'Pitching Data'!Q269/'Pitching Data'!P269</f>
        <v>0.16600061481709191</v>
      </c>
      <c r="N269" s="58">
        <f>'Pitching Data'!R269/'Pitching Data'!P269</f>
        <v>5.4565016907470031E-2</v>
      </c>
      <c r="O269" s="58">
        <f>'Pitching Data'!S269/'Pitching Data'!P269</f>
        <v>5.533353827236397E-3</v>
      </c>
      <c r="P269" s="58">
        <f>'Pitching Data'!T269/'Pitching Data'!P269</f>
        <v>2.705195204426683E-2</v>
      </c>
      <c r="Q269" s="58">
        <f>'Pitching Data'!U269/'Pitching Data'!P269</f>
        <v>9.6065170611743009E-2</v>
      </c>
      <c r="R269" s="58">
        <f>'Pitching Data'!V269/'Pitching Data'!P269</f>
        <v>1.1066707654472794E-2</v>
      </c>
      <c r="S269" s="58">
        <f>'Pitching Data'!W269/'Pitching Data'!P269</f>
        <v>0.63971718413771905</v>
      </c>
    </row>
    <row r="270" spans="2:19" x14ac:dyDescent="0.5">
      <c r="B270" s="2">
        <v>2008</v>
      </c>
      <c r="C270" s="2" t="s">
        <v>96</v>
      </c>
      <c r="D270" s="2" t="str">
        <f t="shared" si="8"/>
        <v>2008 Toronto Blue Jays</v>
      </c>
      <c r="E270" s="60">
        <f>'Batting Data'!K270/'Batting Data'!J270</f>
        <v>0.18026530983100128</v>
      </c>
      <c r="F270" s="60">
        <f>'Batting Data'!L270/'Batting Data'!J270</f>
        <v>5.5060875885880427E-2</v>
      </c>
      <c r="G270" s="60">
        <f>'Batting Data'!M270/'Batting Data'!J270</f>
        <v>5.8150099945484283E-3</v>
      </c>
      <c r="H270" s="60">
        <f>'Batting Data'!N270/'Batting Data'!J270</f>
        <v>2.2896601853534437E-2</v>
      </c>
      <c r="I270" s="60">
        <f>'Batting Data'!O270/'Batting Data'!J270</f>
        <v>9.4675631473741598E-2</v>
      </c>
      <c r="J270" s="60">
        <f>'Batting Data'!P270/'Batting Data'!J270</f>
        <v>1.0721424677448665E-2</v>
      </c>
      <c r="K270" s="60">
        <f>'Batting Data'!Q270/'Batting Data'!J270</f>
        <v>0.63056514628384519</v>
      </c>
      <c r="L270" s="2" t="str">
        <f t="shared" si="9"/>
        <v>2008 Toronto Blue Jays</v>
      </c>
      <c r="M270" s="58">
        <f>'Pitching Data'!Q270/'Pitching Data'!P270</f>
        <v>0.14570627987473217</v>
      </c>
      <c r="N270" s="58">
        <f>'Pitching Data'!R270/'Pitching Data'!P270</f>
        <v>4.6316136476017802E-2</v>
      </c>
      <c r="O270" s="58">
        <f>'Pitching Data'!S270/'Pitching Data'!P270</f>
        <v>5.1096093621229603E-3</v>
      </c>
      <c r="P270" s="58">
        <f>'Pitching Data'!T270/'Pitching Data'!P270</f>
        <v>2.2086698533047636E-2</v>
      </c>
      <c r="Q270" s="58">
        <f>'Pitching Data'!U270/'Pitching Data'!P270</f>
        <v>7.6973792648755562E-2</v>
      </c>
      <c r="R270" s="58">
        <f>'Pitching Data'!V270/'Pitching Data'!P270</f>
        <v>1.1043349266523818E-2</v>
      </c>
      <c r="S270" s="58">
        <f>'Pitching Data'!W270/'Pitching Data'!P270</f>
        <v>0.69276413383880009</v>
      </c>
    </row>
    <row r="271" spans="2:19" x14ac:dyDescent="0.5">
      <c r="B271" s="2">
        <v>2008</v>
      </c>
      <c r="C271" s="2" t="s">
        <v>100</v>
      </c>
      <c r="D271" s="2" t="str">
        <f t="shared" si="8"/>
        <v>2008 Washington Nationals</v>
      </c>
      <c r="E271" s="60">
        <f>'Batting Data'!K271/'Batting Data'!J271</f>
        <v>0.1755600072846476</v>
      </c>
      <c r="F271" s="60">
        <f>'Batting Data'!L271/'Batting Data'!J271</f>
        <v>4.8989255144782369E-2</v>
      </c>
      <c r="G271" s="60">
        <f>'Batting Data'!M271/'Batting Data'!J271</f>
        <v>4.7350209433618647E-3</v>
      </c>
      <c r="H271" s="60">
        <f>'Batting Data'!N271/'Batting Data'!J271</f>
        <v>2.1307594245128392E-2</v>
      </c>
      <c r="I271" s="60">
        <f>'Batting Data'!O271/'Batting Data'!J271</f>
        <v>9.7250045529047535E-2</v>
      </c>
      <c r="J271" s="60">
        <f>'Batting Data'!P271/'Batting Data'!J271</f>
        <v>1.2201784738663268E-2</v>
      </c>
      <c r="K271" s="60">
        <f>'Batting Data'!Q271/'Batting Data'!J271</f>
        <v>0.639956292114369</v>
      </c>
      <c r="L271" s="2" t="str">
        <f t="shared" si="9"/>
        <v>2008 Washington Nationals</v>
      </c>
      <c r="M271" s="58">
        <f>'Pitching Data'!Q271/'Pitching Data'!P271</f>
        <v>0.15515055467511885</v>
      </c>
      <c r="N271" s="58">
        <f>'Pitching Data'!R271/'Pitching Data'!P271</f>
        <v>4.8335974643423138E-2</v>
      </c>
      <c r="O271" s="58">
        <f>'Pitching Data'!S271/'Pitching Data'!P271</f>
        <v>3.486529318541997E-3</v>
      </c>
      <c r="P271" s="58">
        <f>'Pitching Data'!T271/'Pitching Data'!P271</f>
        <v>3.0110935023771792E-2</v>
      </c>
      <c r="Q271" s="58">
        <f>'Pitching Data'!U271/'Pitching Data'!P271</f>
        <v>9.3185419968304276E-2</v>
      </c>
      <c r="R271" s="58">
        <f>'Pitching Data'!V271/'Pitching Data'!P271</f>
        <v>8.0824088748019021E-3</v>
      </c>
      <c r="S271" s="58">
        <f>'Pitching Data'!W271/'Pitching Data'!P271</f>
        <v>0.66164817749603799</v>
      </c>
    </row>
    <row r="272" spans="2:19" x14ac:dyDescent="0.5">
      <c r="B272" s="2">
        <v>2009</v>
      </c>
      <c r="C272" s="2" t="s">
        <v>36</v>
      </c>
      <c r="D272" s="2" t="str">
        <f t="shared" si="8"/>
        <v>2009 Anaheim Angels</v>
      </c>
      <c r="E272" s="60">
        <f>'Batting Data'!K272/'Batting Data'!J272</f>
        <v>0.19654927072216294</v>
      </c>
      <c r="F272" s="60">
        <f>'Batting Data'!L272/'Batting Data'!J272</f>
        <v>5.2116684453930986E-2</v>
      </c>
      <c r="G272" s="60">
        <f>'Batting Data'!M272/'Batting Data'!J272</f>
        <v>5.8697972251867663E-3</v>
      </c>
      <c r="H272" s="60">
        <f>'Batting Data'!N272/'Batting Data'!J272</f>
        <v>3.0771967271433654E-2</v>
      </c>
      <c r="I272" s="60">
        <f>'Batting Data'!O272/'Batting Data'!J272</f>
        <v>9.7296335823550337E-2</v>
      </c>
      <c r="J272" s="60">
        <f>'Batting Data'!P272/'Batting Data'!J272</f>
        <v>7.2927783706865888E-3</v>
      </c>
      <c r="K272" s="60">
        <f>'Batting Data'!Q272/'Batting Data'!J272</f>
        <v>0.61010316613304871</v>
      </c>
      <c r="L272" s="2" t="str">
        <f t="shared" si="9"/>
        <v>2009 Anaheim Angels</v>
      </c>
      <c r="M272" s="58">
        <f>'Pitching Data'!Q272/'Pitching Data'!P272</f>
        <v>0.16154830454254637</v>
      </c>
      <c r="N272" s="58">
        <f>'Pitching Data'!R272/'Pitching Data'!P272</f>
        <v>4.7664747280870119E-2</v>
      </c>
      <c r="O272" s="58">
        <f>'Pitching Data'!S272/'Pitching Data'!P272</f>
        <v>3.9987204094689699E-3</v>
      </c>
      <c r="P272" s="58">
        <f>'Pitching Data'!T272/'Pitching Data'!P272</f>
        <v>2.8790786948176585E-2</v>
      </c>
      <c r="Q272" s="58">
        <f>'Pitching Data'!U272/'Pitching Data'!P272</f>
        <v>8.3653230966090855E-2</v>
      </c>
      <c r="R272" s="58">
        <f>'Pitching Data'!V272/'Pitching Data'!P272</f>
        <v>9.277031349968011E-3</v>
      </c>
      <c r="S272" s="58">
        <f>'Pitching Data'!W272/'Pitching Data'!P272</f>
        <v>0.66506717850287911</v>
      </c>
    </row>
    <row r="273" spans="2:19" x14ac:dyDescent="0.5">
      <c r="B273" s="2">
        <v>2009</v>
      </c>
      <c r="C273" s="2" t="s">
        <v>39</v>
      </c>
      <c r="D273" s="2" t="str">
        <f t="shared" si="8"/>
        <v>2009 Arizona Diamondbacks</v>
      </c>
      <c r="E273" s="60">
        <f>'Batting Data'!K273/'Batting Data'!J273</f>
        <v>0.15867026055705302</v>
      </c>
      <c r="F273" s="60">
        <f>'Batting Data'!L273/'Batting Data'!J273</f>
        <v>5.5166217430368376E-2</v>
      </c>
      <c r="G273" s="60">
        <f>'Batting Data'!M273/'Batting Data'!J273</f>
        <v>8.0862533692722376E-3</v>
      </c>
      <c r="H273" s="60">
        <f>'Batting Data'!N273/'Batting Data'!J273</f>
        <v>3.1087151841868822E-2</v>
      </c>
      <c r="I273" s="60">
        <f>'Batting Data'!O273/'Batting Data'!J273</f>
        <v>0.10260557053009883</v>
      </c>
      <c r="J273" s="60">
        <f>'Batting Data'!P273/'Batting Data'!J273</f>
        <v>6.6486972147349506E-3</v>
      </c>
      <c r="K273" s="60">
        <f>'Batting Data'!Q273/'Batting Data'!J273</f>
        <v>0.63773584905660374</v>
      </c>
      <c r="L273" s="2" t="str">
        <f t="shared" si="9"/>
        <v>2009 Arizona Diamondbacks</v>
      </c>
      <c r="M273" s="58">
        <f>'Pitching Data'!Q273/'Pitching Data'!P273</f>
        <v>0.1555768310196266</v>
      </c>
      <c r="N273" s="58">
        <f>'Pitching Data'!R273/'Pitching Data'!P273</f>
        <v>4.547630445189086E-2</v>
      </c>
      <c r="O273" s="58">
        <f>'Pitching Data'!S273/'Pitching Data'!P273</f>
        <v>6.7017711823839157E-3</v>
      </c>
      <c r="P273" s="58">
        <f>'Pitching Data'!T273/'Pitching Data'!P273</f>
        <v>2.6807084729535663E-2</v>
      </c>
      <c r="Q273" s="58">
        <f>'Pitching Data'!U273/'Pitching Data'!P273</f>
        <v>8.3772139779798943E-2</v>
      </c>
      <c r="R273" s="58">
        <f>'Pitching Data'!V273/'Pitching Data'!P273</f>
        <v>8.4569969682463698E-3</v>
      </c>
      <c r="S273" s="58">
        <f>'Pitching Data'!W273/'Pitching Data'!P273</f>
        <v>0.67320887186851763</v>
      </c>
    </row>
    <row r="274" spans="2:19" x14ac:dyDescent="0.5">
      <c r="B274" s="2">
        <v>2009</v>
      </c>
      <c r="C274" s="2" t="s">
        <v>41</v>
      </c>
      <c r="D274" s="2" t="str">
        <f t="shared" si="8"/>
        <v>2009 Atlanta Braves</v>
      </c>
      <c r="E274" s="60">
        <f>'Batting Data'!K274/'Batting Data'!J274</f>
        <v>0.17873262321718722</v>
      </c>
      <c r="F274" s="60">
        <f>'Batting Data'!L274/'Batting Data'!J274</f>
        <v>5.4161400974905217E-2</v>
      </c>
      <c r="G274" s="60">
        <f>'Batting Data'!M274/'Batting Data'!J274</f>
        <v>3.6107600649936812E-3</v>
      </c>
      <c r="H274" s="60">
        <f>'Batting Data'!N274/'Batting Data'!J274</f>
        <v>2.6900162484202926E-2</v>
      </c>
      <c r="I274" s="60">
        <f>'Batting Data'!O274/'Batting Data'!J274</f>
        <v>0.10868387795630981</v>
      </c>
      <c r="J274" s="60">
        <f>'Batting Data'!P274/'Batting Data'!J274</f>
        <v>9.3879761689835712E-3</v>
      </c>
      <c r="K274" s="60">
        <f>'Batting Data'!Q274/'Batting Data'!J274</f>
        <v>0.61852319913341758</v>
      </c>
      <c r="L274" s="2" t="str">
        <f t="shared" si="9"/>
        <v>2009 Atlanta Braves</v>
      </c>
      <c r="M274" s="58">
        <f>'Pitching Data'!Q274/'Pitching Data'!P274</f>
        <v>0.15077319587628865</v>
      </c>
      <c r="N274" s="58">
        <f>'Pitching Data'!R274/'Pitching Data'!P274</f>
        <v>4.7519329896907214E-2</v>
      </c>
      <c r="O274" s="58">
        <f>'Pitching Data'!S274/'Pitching Data'!P274</f>
        <v>7.8930412371134018E-3</v>
      </c>
      <c r="P274" s="58">
        <f>'Pitching Data'!T274/'Pitching Data'!P274</f>
        <v>1.9168814432989692E-2</v>
      </c>
      <c r="Q274" s="58">
        <f>'Pitching Data'!U274/'Pitching Data'!P274</f>
        <v>8.5373711340206188E-2</v>
      </c>
      <c r="R274" s="58">
        <f>'Pitching Data'!V274/'Pitching Data'!P274</f>
        <v>7.8930412371134018E-3</v>
      </c>
      <c r="S274" s="58">
        <f>'Pitching Data'!W274/'Pitching Data'!P274</f>
        <v>0.68137886597938147</v>
      </c>
    </row>
    <row r="275" spans="2:19" x14ac:dyDescent="0.5">
      <c r="B275" s="2">
        <v>2009</v>
      </c>
      <c r="C275" s="2" t="s">
        <v>44</v>
      </c>
      <c r="D275" s="2" t="str">
        <f t="shared" si="8"/>
        <v>2009 Baltimore Orioles</v>
      </c>
      <c r="E275" s="60">
        <f>'Batting Data'!K275/'Batting Data'!J275</f>
        <v>0.18191527233891064</v>
      </c>
      <c r="F275" s="60">
        <f>'Batting Data'!L275/'Batting Data'!J275</f>
        <v>5.4645781416874331E-2</v>
      </c>
      <c r="G275" s="60">
        <f>'Batting Data'!M275/'Batting Data'!J275</f>
        <v>3.381986472054112E-3</v>
      </c>
      <c r="H275" s="60">
        <f>'Batting Data'!N275/'Batting Data'!J275</f>
        <v>2.847988608045568E-2</v>
      </c>
      <c r="I275" s="60">
        <f>'Batting Data'!O275/'Batting Data'!J275</f>
        <v>9.2025631897472412E-2</v>
      </c>
      <c r="J275" s="60">
        <f>'Batting Data'!P275/'Batting Data'!J275</f>
        <v>6.9419722321110719E-3</v>
      </c>
      <c r="K275" s="60">
        <f>'Batting Data'!Q275/'Batting Data'!J275</f>
        <v>0.63260946956212172</v>
      </c>
      <c r="L275" s="2" t="str">
        <f t="shared" si="9"/>
        <v>2009 Baltimore Orioles</v>
      </c>
      <c r="M275" s="58">
        <f>'Pitching Data'!Q275/'Pitching Data'!P275</f>
        <v>0.16213241075640825</v>
      </c>
      <c r="N275" s="58">
        <f>'Pitching Data'!R275/'Pitching Data'!P275</f>
        <v>5.5983645227236985E-2</v>
      </c>
      <c r="O275" s="58">
        <f>'Pitching Data'!S275/'Pitching Data'!P275</f>
        <v>4.4032080515804374E-3</v>
      </c>
      <c r="P275" s="58">
        <f>'Pitching Data'!T275/'Pitching Data'!P275</f>
        <v>3.4282119830161974E-2</v>
      </c>
      <c r="Q275" s="58">
        <f>'Pitching Data'!U275/'Pitching Data'!P275</f>
        <v>8.5862557005818518E-2</v>
      </c>
      <c r="R275" s="58">
        <f>'Pitching Data'!V275/'Pitching Data'!P275</f>
        <v>8.0201289510929384E-3</v>
      </c>
      <c r="S275" s="58">
        <f>'Pitching Data'!W275/'Pitching Data'!P275</f>
        <v>0.64931593017770095</v>
      </c>
    </row>
    <row r="276" spans="2:19" x14ac:dyDescent="0.5">
      <c r="B276" s="2">
        <v>2009</v>
      </c>
      <c r="C276" s="2" t="s">
        <v>46</v>
      </c>
      <c r="D276" s="2" t="str">
        <f t="shared" si="8"/>
        <v>2009 Boston Red Sox</v>
      </c>
      <c r="E276" s="60">
        <f>'Batting Data'!K276/'Batting Data'!J276</f>
        <v>0.16651632689879126</v>
      </c>
      <c r="F276" s="60">
        <f>'Batting Data'!L276/'Batting Data'!J276</f>
        <v>6.0436586685910156E-2</v>
      </c>
      <c r="G276" s="60">
        <f>'Batting Data'!M276/'Batting Data'!J276</f>
        <v>4.5101930362619518E-3</v>
      </c>
      <c r="H276" s="60">
        <f>'Batting Data'!N276/'Batting Data'!J276</f>
        <v>3.824643694750135E-2</v>
      </c>
      <c r="I276" s="60">
        <f>'Batting Data'!O276/'Batting Data'!J276</f>
        <v>0.11888868843586506</v>
      </c>
      <c r="J276" s="60">
        <f>'Batting Data'!P276/'Batting Data'!J276</f>
        <v>1.2628540501533466E-2</v>
      </c>
      <c r="K276" s="60">
        <f>'Batting Data'!Q276/'Batting Data'!J276</f>
        <v>0.59877322749413675</v>
      </c>
      <c r="L276" s="2" t="str">
        <f t="shared" si="9"/>
        <v>2009 Boston Red Sox</v>
      </c>
      <c r="M276" s="58">
        <f>'Pitching Data'!Q276/'Pitching Data'!P276</f>
        <v>0.15724972147063504</v>
      </c>
      <c r="N276" s="58">
        <f>'Pitching Data'!R276/'Pitching Data'!P276</f>
        <v>4.9657806780200542E-2</v>
      </c>
      <c r="O276" s="58">
        <f>'Pitching Data'!S276/'Pitching Data'!P276</f>
        <v>4.2973102021327389E-3</v>
      </c>
      <c r="P276" s="58">
        <f>'Pitching Data'!T276/'Pitching Data'!P276</f>
        <v>2.6579659398376573E-2</v>
      </c>
      <c r="Q276" s="58">
        <f>'Pitching Data'!U276/'Pitching Data'!P276</f>
        <v>8.4354607671494511E-2</v>
      </c>
      <c r="R276" s="58">
        <f>'Pitching Data'!V276/'Pitching Data'!P276</f>
        <v>1.0822855323889862E-2</v>
      </c>
      <c r="S276" s="58">
        <f>'Pitching Data'!W276/'Pitching Data'!P276</f>
        <v>0.66703803915327076</v>
      </c>
    </row>
    <row r="277" spans="2:19" x14ac:dyDescent="0.5">
      <c r="B277" s="2">
        <v>2009</v>
      </c>
      <c r="C277" s="2" t="s">
        <v>50</v>
      </c>
      <c r="D277" s="2" t="str">
        <f t="shared" si="8"/>
        <v>2009 Chicago Cubs</v>
      </c>
      <c r="E277" s="60">
        <f>'Batting Data'!K277/'Batting Data'!J277</f>
        <v>0.16678818811520232</v>
      </c>
      <c r="F277" s="60">
        <f>'Batting Data'!L277/'Batting Data'!J277</f>
        <v>5.3408676631425449E-2</v>
      </c>
      <c r="G277" s="60">
        <f>'Batting Data'!M277/'Batting Data'!J277</f>
        <v>5.2861830113014943E-3</v>
      </c>
      <c r="H277" s="60">
        <f>'Batting Data'!N277/'Batting Data'!J277</f>
        <v>2.9347429821363472E-2</v>
      </c>
      <c r="I277" s="60">
        <f>'Batting Data'!O277/'Batting Data'!J277</f>
        <v>0.10791104629967189</v>
      </c>
      <c r="J277" s="60">
        <f>'Batting Data'!P277/'Batting Data'!J277</f>
        <v>1.075464819540649E-2</v>
      </c>
      <c r="K277" s="60">
        <f>'Batting Data'!Q277/'Batting Data'!J277</f>
        <v>0.62650382792562886</v>
      </c>
      <c r="L277" s="2" t="str">
        <f t="shared" si="9"/>
        <v>2009 Chicago Cubs</v>
      </c>
      <c r="M277" s="58">
        <f>'Pitching Data'!Q277/'Pitching Data'!P277</f>
        <v>0.14602557875991581</v>
      </c>
      <c r="N277" s="58">
        <f>'Pitching Data'!R277/'Pitching Data'!P277</f>
        <v>3.7720576331552534E-2</v>
      </c>
      <c r="O277" s="58">
        <f>'Pitching Data'!S277/'Pitching Data'!P277</f>
        <v>5.5042901084668937E-3</v>
      </c>
      <c r="P277" s="58">
        <f>'Pitching Data'!T277/'Pitching Data'!P277</f>
        <v>2.5902541686903029E-2</v>
      </c>
      <c r="Q277" s="58">
        <f>'Pitching Data'!U277/'Pitching Data'!P277</f>
        <v>9.4868058928282331E-2</v>
      </c>
      <c r="R277" s="58">
        <f>'Pitching Data'!V277/'Pitching Data'!P277</f>
        <v>9.5515622470454913E-3</v>
      </c>
      <c r="S277" s="58">
        <f>'Pitching Data'!W277/'Pitching Data'!P277</f>
        <v>0.68042739193783386</v>
      </c>
    </row>
    <row r="278" spans="2:19" x14ac:dyDescent="0.5">
      <c r="B278" s="2">
        <v>2009</v>
      </c>
      <c r="C278" s="2" t="s">
        <v>48</v>
      </c>
      <c r="D278" s="2" t="str">
        <f t="shared" si="8"/>
        <v>2009 Chicago White Sox</v>
      </c>
      <c r="E278" s="60">
        <f>'Batting Data'!K278/'Batting Data'!J278</f>
        <v>0.1757276221856123</v>
      </c>
      <c r="F278" s="60">
        <f>'Batting Data'!L278/'Batting Data'!J278</f>
        <v>4.503020318506315E-2</v>
      </c>
      <c r="G278" s="60">
        <f>'Batting Data'!M278/'Batting Data'!J278</f>
        <v>3.6609921288669228E-3</v>
      </c>
      <c r="H278" s="60">
        <f>'Batting Data'!N278/'Batting Data'!J278</f>
        <v>3.368112758557569E-2</v>
      </c>
      <c r="I278" s="60">
        <f>'Batting Data'!O278/'Batting Data'!J278</f>
        <v>9.7748489840746841E-2</v>
      </c>
      <c r="J278" s="60">
        <f>'Batting Data'!P278/'Batting Data'!J278</f>
        <v>1.1349075599487462E-2</v>
      </c>
      <c r="K278" s="60">
        <f>'Batting Data'!Q278/'Batting Data'!J278</f>
        <v>0.63280248947464768</v>
      </c>
      <c r="L278" s="2" t="str">
        <f t="shared" si="9"/>
        <v>2009 Chicago White Sox</v>
      </c>
      <c r="M278" s="58">
        <f>'Pitching Data'!Q278/'Pitching Data'!P278</f>
        <v>0.15515840779853776</v>
      </c>
      <c r="N278" s="58">
        <f>'Pitching Data'!R278/'Pitching Data'!P278</f>
        <v>4.7278635255889517E-2</v>
      </c>
      <c r="O278" s="58">
        <f>'Pitching Data'!S278/'Pitching Data'!P278</f>
        <v>3.7367993501218524E-3</v>
      </c>
      <c r="P278" s="58">
        <f>'Pitching Data'!T278/'Pitching Data'!P278</f>
        <v>2.7457351746547523E-2</v>
      </c>
      <c r="Q278" s="58">
        <f>'Pitching Data'!U278/'Pitching Data'!P278</f>
        <v>8.2372055239642569E-2</v>
      </c>
      <c r="R278" s="58">
        <f>'Pitching Data'!V278/'Pitching Data'!P278</f>
        <v>6.6612510154346058E-3</v>
      </c>
      <c r="S278" s="58">
        <f>'Pitching Data'!W278/'Pitching Data'!P278</f>
        <v>0.67733549959382611</v>
      </c>
    </row>
    <row r="279" spans="2:19" x14ac:dyDescent="0.5">
      <c r="B279" s="2">
        <v>2009</v>
      </c>
      <c r="C279" s="2" t="s">
        <v>52</v>
      </c>
      <c r="D279" s="2" t="str">
        <f t="shared" si="8"/>
        <v>2009 Cincinnati Reds</v>
      </c>
      <c r="E279" s="60">
        <f>'Batting Data'!K279/'Batting Data'!J279</f>
        <v>0.16221164408641522</v>
      </c>
      <c r="F279" s="60">
        <f>'Batting Data'!L279/'Batting Data'!J279</f>
        <v>5.1263273526180889E-2</v>
      </c>
      <c r="G279" s="60">
        <f>'Batting Data'!M279/'Batting Data'!J279</f>
        <v>4.5770779934090075E-3</v>
      </c>
      <c r="H279" s="60">
        <f>'Batting Data'!N279/'Batting Data'!J279</f>
        <v>2.8927132918344929E-2</v>
      </c>
      <c r="I279" s="60">
        <f>'Batting Data'!O279/'Batting Data'!J279</f>
        <v>9.7217136580007329E-2</v>
      </c>
      <c r="J279" s="60">
        <f>'Batting Data'!P279/'Batting Data'!J279</f>
        <v>9.7034053460270959E-3</v>
      </c>
      <c r="K279" s="60">
        <f>'Batting Data'!Q279/'Batting Data'!J279</f>
        <v>0.64610032954961549</v>
      </c>
      <c r="L279" s="2" t="str">
        <f t="shared" si="9"/>
        <v>2009 Cincinnati Reds</v>
      </c>
      <c r="M279" s="58">
        <f>'Pitching Data'!Q279/'Pitching Data'!P279</f>
        <v>0.1496881496881497</v>
      </c>
      <c r="N279" s="58">
        <f>'Pitching Data'!R279/'Pitching Data'!P279</f>
        <v>4.3659043659043661E-2</v>
      </c>
      <c r="O279" s="58">
        <f>'Pitching Data'!S279/'Pitching Data'!P279</f>
        <v>3.6782344474652166E-3</v>
      </c>
      <c r="P279" s="58">
        <f>'Pitching Data'!T279/'Pitching Data'!P279</f>
        <v>3.0065568527106987E-2</v>
      </c>
      <c r="Q279" s="58">
        <f>'Pitching Data'!U279/'Pitching Data'!P279</f>
        <v>9.2275707660323045E-2</v>
      </c>
      <c r="R279" s="58">
        <f>'Pitching Data'!V279/'Pitching Data'!P279</f>
        <v>1.0395010395010396E-2</v>
      </c>
      <c r="S279" s="58">
        <f>'Pitching Data'!W279/'Pitching Data'!P279</f>
        <v>0.670238285622901</v>
      </c>
    </row>
    <row r="280" spans="2:19" x14ac:dyDescent="0.5">
      <c r="B280" s="2">
        <v>2009</v>
      </c>
      <c r="C280" s="2" t="s">
        <v>54</v>
      </c>
      <c r="D280" s="2" t="str">
        <f t="shared" si="8"/>
        <v>2009 Cleveland Indians</v>
      </c>
      <c r="E280" s="60">
        <f>'Batting Data'!K280/'Batting Data'!J280</f>
        <v>0.17331178160919541</v>
      </c>
      <c r="F280" s="60">
        <f>'Batting Data'!L280/'Batting Data'!J280</f>
        <v>5.6393678160919537E-2</v>
      </c>
      <c r="G280" s="60">
        <f>'Batting Data'!M280/'Batting Data'!J280</f>
        <v>5.028735632183908E-3</v>
      </c>
      <c r="H280" s="60">
        <f>'Batting Data'!N280/'Batting Data'!J280</f>
        <v>2.8915229885057472E-2</v>
      </c>
      <c r="I280" s="60">
        <f>'Batting Data'!O280/'Batting Data'!J280</f>
        <v>0.10452586206896551</v>
      </c>
      <c r="J280" s="60">
        <f>'Batting Data'!P280/'Batting Data'!J280</f>
        <v>1.4547413793103448E-2</v>
      </c>
      <c r="K280" s="60">
        <f>'Batting Data'!Q280/'Batting Data'!J280</f>
        <v>0.6172772988505747</v>
      </c>
      <c r="L280" s="2" t="str">
        <f t="shared" si="9"/>
        <v>2009 Cleveland Indians</v>
      </c>
      <c r="M280" s="58">
        <f>'Pitching Data'!Q280/'Pitching Data'!P280</f>
        <v>0.16509285489455461</v>
      </c>
      <c r="N280" s="58">
        <f>'Pitching Data'!R280/'Pitching Data'!P280</f>
        <v>4.8945546112684923E-2</v>
      </c>
      <c r="O280" s="58">
        <f>'Pitching Data'!S280/'Pitching Data'!P280</f>
        <v>4.24929178470255E-3</v>
      </c>
      <c r="P280" s="58">
        <f>'Pitching Data'!T280/'Pitching Data'!P280</f>
        <v>2.8800755429650614E-2</v>
      </c>
      <c r="Q280" s="58">
        <f>'Pitching Data'!U280/'Pitching Data'!P280</f>
        <v>9.4113943972300912E-2</v>
      </c>
      <c r="R280" s="58">
        <f>'Pitching Data'!V280/'Pitching Data'!P280</f>
        <v>7.0821529745042494E-3</v>
      </c>
      <c r="S280" s="58">
        <f>'Pitching Data'!W280/'Pitching Data'!P280</f>
        <v>0.65171545483160209</v>
      </c>
    </row>
    <row r="281" spans="2:19" x14ac:dyDescent="0.5">
      <c r="B281" s="2">
        <v>2009</v>
      </c>
      <c r="C281" s="2" t="s">
        <v>56</v>
      </c>
      <c r="D281" s="2" t="str">
        <f t="shared" si="8"/>
        <v>2009 Colorado Rockies</v>
      </c>
      <c r="E281" s="60">
        <f>'Batting Data'!K281/'Batting Data'!J281</f>
        <v>0.16080029640607632</v>
      </c>
      <c r="F281" s="60">
        <f>'Batting Data'!L281/'Batting Data'!J281</f>
        <v>5.5576139310855872E-2</v>
      </c>
      <c r="G281" s="60">
        <f>'Batting Data'!M281/'Batting Data'!J281</f>
        <v>9.262689885142646E-3</v>
      </c>
      <c r="H281" s="60">
        <f>'Batting Data'!N281/'Batting Data'!J281</f>
        <v>3.5198221563542055E-2</v>
      </c>
      <c r="I281" s="60">
        <f>'Batting Data'!O281/'Batting Data'!J281</f>
        <v>0.12226750648388292</v>
      </c>
      <c r="J281" s="60">
        <f>'Batting Data'!P281/'Batting Data'!J281</f>
        <v>8.7069284920340863E-3</v>
      </c>
      <c r="K281" s="60">
        <f>'Batting Data'!Q281/'Batting Data'!J281</f>
        <v>0.60818821785846611</v>
      </c>
      <c r="L281" s="2" t="str">
        <f t="shared" si="9"/>
        <v>2009 Colorado Rockies</v>
      </c>
      <c r="M281" s="58">
        <f>'Pitching Data'!Q281/'Pitching Data'!P281</f>
        <v>0.15686274509803921</v>
      </c>
      <c r="N281" s="58">
        <f>'Pitching Data'!R281/'Pitching Data'!P281</f>
        <v>4.3915086695835361E-2</v>
      </c>
      <c r="O281" s="58">
        <f>'Pitching Data'!S281/'Pitching Data'!P281</f>
        <v>7.61626964835521E-3</v>
      </c>
      <c r="P281" s="58">
        <f>'Pitching Data'!T281/'Pitching Data'!P281</f>
        <v>2.2848808945065628E-2</v>
      </c>
      <c r="Q281" s="58">
        <f>'Pitching Data'!U281/'Pitching Data'!P281</f>
        <v>8.5561497326203204E-2</v>
      </c>
      <c r="R281" s="58">
        <f>'Pitching Data'!V281/'Pitching Data'!P281</f>
        <v>7.4542213579646731E-3</v>
      </c>
      <c r="S281" s="58">
        <f>'Pitching Data'!W281/'Pitching Data'!P281</f>
        <v>0.6757413709285367</v>
      </c>
    </row>
    <row r="282" spans="2:19" x14ac:dyDescent="0.5">
      <c r="B282" s="2">
        <v>2009</v>
      </c>
      <c r="C282" s="2" t="s">
        <v>58</v>
      </c>
      <c r="D282" s="2" t="str">
        <f t="shared" si="8"/>
        <v>2009 Detroit Tigers</v>
      </c>
      <c r="E282" s="60">
        <f>'Batting Data'!K282/'Batting Data'!J282</f>
        <v>0.17689530685920576</v>
      </c>
      <c r="F282" s="60">
        <f>'Batting Data'!L282/'Batting Data'!J282</f>
        <v>4.4223826714801441E-2</v>
      </c>
      <c r="G282" s="60">
        <f>'Batting Data'!M282/'Batting Data'!J282</f>
        <v>6.3176895306859202E-3</v>
      </c>
      <c r="H282" s="60">
        <f>'Batting Data'!N282/'Batting Data'!J282</f>
        <v>3.3032490974729239E-2</v>
      </c>
      <c r="I282" s="60">
        <f>'Batting Data'!O282/'Batting Data'!J282</f>
        <v>9.7472924187725629E-2</v>
      </c>
      <c r="J282" s="60">
        <f>'Batting Data'!P282/'Batting Data'!J282</f>
        <v>1.1010830324909748E-2</v>
      </c>
      <c r="K282" s="60">
        <f>'Batting Data'!Q282/'Batting Data'!J282</f>
        <v>0.63104693140794221</v>
      </c>
      <c r="L282" s="2" t="str">
        <f t="shared" si="9"/>
        <v>2009 Detroit Tigers</v>
      </c>
      <c r="M282" s="58">
        <f>'Pitching Data'!Q282/'Pitching Data'!P282</f>
        <v>0.1546474358974359</v>
      </c>
      <c r="N282" s="58">
        <f>'Pitching Data'!R282/'Pitching Data'!P282</f>
        <v>4.3429487179487178E-2</v>
      </c>
      <c r="O282" s="58">
        <f>'Pitching Data'!S282/'Pitching Data'!P282</f>
        <v>4.9679487179487176E-3</v>
      </c>
      <c r="P282" s="58">
        <f>'Pitching Data'!T282/'Pitching Data'!P282</f>
        <v>2.9166666666666667E-2</v>
      </c>
      <c r="Q282" s="58">
        <f>'Pitching Data'!U282/'Pitching Data'!P282</f>
        <v>9.5192307692307687E-2</v>
      </c>
      <c r="R282" s="58">
        <f>'Pitching Data'!V282/'Pitching Data'!P282</f>
        <v>6.5705128205128206E-3</v>
      </c>
      <c r="S282" s="58">
        <f>'Pitching Data'!W282/'Pitching Data'!P282</f>
        <v>0.66602564102564099</v>
      </c>
    </row>
    <row r="283" spans="2:19" x14ac:dyDescent="0.5">
      <c r="B283" s="2">
        <v>2009</v>
      </c>
      <c r="C283" s="2" t="s">
        <v>60</v>
      </c>
      <c r="D283" s="2" t="str">
        <f t="shared" si="8"/>
        <v>2009 Florida Marlins</v>
      </c>
      <c r="E283" s="60">
        <f>'Batting Data'!K283/'Batting Data'!J283</f>
        <v>0.1818018664752333</v>
      </c>
      <c r="F283" s="60">
        <f>'Batting Data'!L283/'Batting Data'!J283</f>
        <v>5.3122756640344583E-2</v>
      </c>
      <c r="G283" s="60">
        <f>'Batting Data'!M283/'Batting Data'!J283</f>
        <v>4.4867193108399138E-3</v>
      </c>
      <c r="H283" s="60">
        <f>'Batting Data'!N283/'Batting Data'!J283</f>
        <v>2.8535534816941852E-2</v>
      </c>
      <c r="I283" s="60">
        <f>'Batting Data'!O283/'Batting Data'!J283</f>
        <v>0.10193826274228285</v>
      </c>
      <c r="J283" s="60">
        <f>'Batting Data'!P283/'Batting Data'!J283</f>
        <v>1.1306532663316583E-2</v>
      </c>
      <c r="K283" s="60">
        <f>'Batting Data'!Q283/'Batting Data'!J283</f>
        <v>0.61880832735104097</v>
      </c>
      <c r="L283" s="2" t="str">
        <f t="shared" si="9"/>
        <v>2009 Florida Marlins</v>
      </c>
      <c r="M283" s="58">
        <f>'Pitching Data'!Q283/'Pitching Data'!P283</f>
        <v>0.15192887759961898</v>
      </c>
      <c r="N283" s="58">
        <f>'Pitching Data'!R283/'Pitching Data'!P283</f>
        <v>4.1435148436259721E-2</v>
      </c>
      <c r="O283" s="58">
        <f>'Pitching Data'!S283/'Pitching Data'!P283</f>
        <v>7.4615018256866169E-3</v>
      </c>
      <c r="P283" s="58">
        <f>'Pitching Data'!T283/'Pitching Data'!P283</f>
        <v>2.5400857278933164E-2</v>
      </c>
      <c r="Q283" s="58">
        <f>'Pitching Data'!U283/'Pitching Data'!P283</f>
        <v>9.5411970153992692E-2</v>
      </c>
      <c r="R283" s="58">
        <f>'Pitching Data'!V283/'Pitching Data'!P283</f>
        <v>7.143991109699952E-3</v>
      </c>
      <c r="S283" s="58">
        <f>'Pitching Data'!W283/'Pitching Data'!P283</f>
        <v>0.67121765359580887</v>
      </c>
    </row>
    <row r="284" spans="2:19" x14ac:dyDescent="0.5">
      <c r="B284" s="2">
        <v>2009</v>
      </c>
      <c r="C284" s="2" t="s">
        <v>62</v>
      </c>
      <c r="D284" s="2" t="str">
        <f t="shared" si="8"/>
        <v>2009 Houston Astros</v>
      </c>
      <c r="E284" s="60">
        <f>'Batting Data'!K284/'Batting Data'!J284</f>
        <v>0.17862398822663722</v>
      </c>
      <c r="F284" s="60">
        <f>'Batting Data'!L284/'Batting Data'!J284</f>
        <v>4.9668874172185427E-2</v>
      </c>
      <c r="G284" s="60">
        <f>'Batting Data'!M284/'Batting Data'!J284</f>
        <v>5.8866813833701251E-3</v>
      </c>
      <c r="H284" s="60">
        <f>'Batting Data'!N284/'Batting Data'!J284</f>
        <v>2.6122148638704931E-2</v>
      </c>
      <c r="I284" s="60">
        <f>'Batting Data'!O284/'Batting Data'!J284</f>
        <v>8.2413539367181751E-2</v>
      </c>
      <c r="J284" s="60">
        <f>'Batting Data'!P284/'Batting Data'!J284</f>
        <v>7.9102281089036049E-3</v>
      </c>
      <c r="K284" s="60">
        <f>'Batting Data'!Q284/'Batting Data'!J284</f>
        <v>0.64937454010301687</v>
      </c>
      <c r="L284" s="2" t="str">
        <f t="shared" si="9"/>
        <v>2009 Houston Astros</v>
      </c>
      <c r="M284" s="58">
        <f>'Pitching Data'!Q284/'Pitching Data'!P284</f>
        <v>0.16065416065416066</v>
      </c>
      <c r="N284" s="58">
        <f>'Pitching Data'!R284/'Pitching Data'!P284</f>
        <v>4.8901715568382235E-2</v>
      </c>
      <c r="O284" s="58">
        <f>'Pitching Data'!S284/'Pitching Data'!P284</f>
        <v>6.0926727593394259E-3</v>
      </c>
      <c r="P284" s="58">
        <f>'Pitching Data'!T284/'Pitching Data'!P284</f>
        <v>2.821869488536155E-2</v>
      </c>
      <c r="Q284" s="58">
        <f>'Pitching Data'!U284/'Pitching Data'!P284</f>
        <v>8.7542087542087546E-2</v>
      </c>
      <c r="R284" s="58">
        <f>'Pitching Data'!V284/'Pitching Data'!P284</f>
        <v>8.0166746833413502E-3</v>
      </c>
      <c r="S284" s="58">
        <f>'Pitching Data'!W284/'Pitching Data'!P284</f>
        <v>0.66057399390732729</v>
      </c>
    </row>
    <row r="285" spans="2:19" x14ac:dyDescent="0.5">
      <c r="B285" s="2">
        <v>2009</v>
      </c>
      <c r="C285" s="2" t="s">
        <v>64</v>
      </c>
      <c r="D285" s="2" t="str">
        <f t="shared" si="8"/>
        <v>2009 Kansas City Royals</v>
      </c>
      <c r="E285" s="60">
        <f>'Batting Data'!K285/'Batting Data'!J285</f>
        <v>0.17371655820679682</v>
      </c>
      <c r="F285" s="60">
        <f>'Batting Data'!L285/'Batting Data'!J285</f>
        <v>4.9891540130151846E-2</v>
      </c>
      <c r="G285" s="60">
        <f>'Batting Data'!M285/'Batting Data'!J285</f>
        <v>9.2190889370932748E-3</v>
      </c>
      <c r="H285" s="60">
        <f>'Batting Data'!N285/'Batting Data'!J285</f>
        <v>2.6030368763557483E-2</v>
      </c>
      <c r="I285" s="60">
        <f>'Batting Data'!O285/'Batting Data'!J285</f>
        <v>8.2610267534345624E-2</v>
      </c>
      <c r="J285" s="60">
        <f>'Batting Data'!P285/'Batting Data'!J285</f>
        <v>7.5921908893709323E-3</v>
      </c>
      <c r="K285" s="60">
        <f>'Batting Data'!Q285/'Batting Data'!J285</f>
        <v>0.65093998553868404</v>
      </c>
      <c r="L285" s="2" t="str">
        <f t="shared" si="9"/>
        <v>2009 Kansas City Royals</v>
      </c>
      <c r="M285" s="58">
        <f>'Pitching Data'!Q285/'Pitching Data'!P285</f>
        <v>0.1610534716679968</v>
      </c>
      <c r="N285" s="58">
        <f>'Pitching Data'!R285/'Pitching Data'!P285</f>
        <v>4.357541899441341E-2</v>
      </c>
      <c r="O285" s="58">
        <f>'Pitching Data'!S285/'Pitching Data'!P285</f>
        <v>6.0654429369513168E-3</v>
      </c>
      <c r="P285" s="58">
        <f>'Pitching Data'!T285/'Pitching Data'!P285</f>
        <v>2.6496408619313648E-2</v>
      </c>
      <c r="Q285" s="58">
        <f>'Pitching Data'!U285/'Pitching Data'!P285</f>
        <v>9.5770151636073428E-2</v>
      </c>
      <c r="R285" s="58">
        <f>'Pitching Data'!V285/'Pitching Data'!P285</f>
        <v>8.1404628890662419E-3</v>
      </c>
      <c r="S285" s="58">
        <f>'Pitching Data'!W285/'Pitching Data'!P285</f>
        <v>0.65889864325618519</v>
      </c>
    </row>
    <row r="286" spans="2:19" x14ac:dyDescent="0.5">
      <c r="B286" s="2">
        <v>2009</v>
      </c>
      <c r="C286" s="2" t="s">
        <v>66</v>
      </c>
      <c r="D286" s="2" t="str">
        <f t="shared" si="8"/>
        <v>2009 Los Angeles Dodgers</v>
      </c>
      <c r="E286" s="60">
        <f>'Batting Data'!K286/'Batting Data'!J286</f>
        <v>0.18758941344778254</v>
      </c>
      <c r="F286" s="60">
        <f>'Batting Data'!L286/'Batting Data'!J286</f>
        <v>4.9713876967095852E-2</v>
      </c>
      <c r="G286" s="60">
        <f>'Batting Data'!M286/'Batting Data'!J286</f>
        <v>6.974248927038627E-3</v>
      </c>
      <c r="H286" s="60">
        <f>'Batting Data'!N286/'Batting Data'!J286</f>
        <v>2.5929899856938485E-2</v>
      </c>
      <c r="I286" s="60">
        <f>'Batting Data'!O286/'Batting Data'!J286</f>
        <v>0.10854792560801145</v>
      </c>
      <c r="J286" s="60">
        <f>'Batting Data'!P286/'Batting Data'!J286</f>
        <v>1.1266094420600859E-2</v>
      </c>
      <c r="K286" s="60">
        <f>'Batting Data'!Q286/'Batting Data'!J286</f>
        <v>0.60997854077253222</v>
      </c>
      <c r="L286" s="2" t="str">
        <f t="shared" si="9"/>
        <v>2009 Los Angeles Dodgers</v>
      </c>
      <c r="M286" s="58">
        <f>'Pitching Data'!Q286/'Pitching Data'!P286</f>
        <v>0.13798123584600452</v>
      </c>
      <c r="N286" s="58">
        <f>'Pitching Data'!R286/'Pitching Data'!P286</f>
        <v>4.1248786800388224E-2</v>
      </c>
      <c r="O286" s="58">
        <f>'Pitching Data'!S286/'Pitching Data'!P286</f>
        <v>4.8527984471044968E-3</v>
      </c>
      <c r="P286" s="58">
        <f>'Pitching Data'!T286/'Pitching Data'!P286</f>
        <v>2.0543513426075705E-2</v>
      </c>
      <c r="Q286" s="58">
        <f>'Pitching Data'!U286/'Pitching Data'!P286</f>
        <v>9.4467809770300878E-2</v>
      </c>
      <c r="R286" s="58">
        <f>'Pitching Data'!V286/'Pitching Data'!P286</f>
        <v>9.2203170494985446E-3</v>
      </c>
      <c r="S286" s="58">
        <f>'Pitching Data'!W286/'Pitching Data'!P286</f>
        <v>0.69168553866062765</v>
      </c>
    </row>
    <row r="287" spans="2:19" x14ac:dyDescent="0.5">
      <c r="B287" s="2">
        <v>2009</v>
      </c>
      <c r="C287" s="2" t="s">
        <v>68</v>
      </c>
      <c r="D287" s="2" t="str">
        <f t="shared" si="8"/>
        <v>2009 Milwaukee Brewers</v>
      </c>
      <c r="E287" s="60">
        <f>'Batting Data'!K287/'Batting Data'!J287</f>
        <v>0.17186932849364792</v>
      </c>
      <c r="F287" s="60">
        <f>'Batting Data'!L287/'Batting Data'!J287</f>
        <v>5.0998185117967332E-2</v>
      </c>
      <c r="G287" s="60">
        <f>'Batting Data'!M287/'Batting Data'!J287</f>
        <v>6.7150635208711434E-3</v>
      </c>
      <c r="H287" s="60">
        <f>'Batting Data'!N287/'Batting Data'!J287</f>
        <v>3.3030852994555354E-2</v>
      </c>
      <c r="I287" s="60">
        <f>'Batting Data'!O287/'Batting Data'!J287</f>
        <v>0.11070780399274047</v>
      </c>
      <c r="J287" s="60">
        <f>'Batting Data'!P287/'Batting Data'!J287</f>
        <v>1.2885662431941924E-2</v>
      </c>
      <c r="K287" s="60">
        <f>'Batting Data'!Q287/'Batting Data'!J287</f>
        <v>0.61379310344827587</v>
      </c>
      <c r="L287" s="2" t="str">
        <f t="shared" si="9"/>
        <v>2009 Milwaukee Brewers</v>
      </c>
      <c r="M287" s="58">
        <f>'Pitching Data'!Q287/'Pitching Data'!P287</f>
        <v>0.1459382871536524</v>
      </c>
      <c r="N287" s="58">
        <f>'Pitching Data'!R287/'Pitching Data'!P287</f>
        <v>5.2267002518891686E-2</v>
      </c>
      <c r="O287" s="58">
        <f>'Pitching Data'!S287/'Pitching Data'!P287</f>
        <v>5.0377833753148613E-3</v>
      </c>
      <c r="P287" s="58">
        <f>'Pitching Data'!T287/'Pitching Data'!P287</f>
        <v>3.258816120906801E-2</v>
      </c>
      <c r="Q287" s="58">
        <f>'Pitching Data'!U287/'Pitching Data'!P287</f>
        <v>9.5560453400503773E-2</v>
      </c>
      <c r="R287" s="58">
        <f>'Pitching Data'!V287/'Pitching Data'!P287</f>
        <v>1.0232997481108312E-2</v>
      </c>
      <c r="S287" s="58">
        <f>'Pitching Data'!W287/'Pitching Data'!P287</f>
        <v>0.65837531486146095</v>
      </c>
    </row>
    <row r="288" spans="2:19" x14ac:dyDescent="0.5">
      <c r="B288" s="2">
        <v>2009</v>
      </c>
      <c r="C288" s="2" t="s">
        <v>70</v>
      </c>
      <c r="D288" s="2" t="str">
        <f t="shared" si="8"/>
        <v>2009 Minnesota Twins</v>
      </c>
      <c r="E288" s="60">
        <f>'Batting Data'!K288/'Batting Data'!J288</f>
        <v>0.18830242510699002</v>
      </c>
      <c r="F288" s="60">
        <f>'Batting Data'!L288/'Batting Data'!J288</f>
        <v>4.8323823109843081E-2</v>
      </c>
      <c r="G288" s="60">
        <f>'Batting Data'!M288/'Batting Data'!J288</f>
        <v>7.1326676176890159E-3</v>
      </c>
      <c r="H288" s="60">
        <f>'Batting Data'!N288/'Batting Data'!J288</f>
        <v>3.0670470756062766E-2</v>
      </c>
      <c r="I288" s="60">
        <f>'Batting Data'!O288/'Batting Data'!J288</f>
        <v>0.10431526390870186</v>
      </c>
      <c r="J288" s="60">
        <f>'Batting Data'!P288/'Batting Data'!J288</f>
        <v>8.0242510699001426E-3</v>
      </c>
      <c r="K288" s="60">
        <f>'Batting Data'!Q288/'Batting Data'!J288</f>
        <v>0.61323109843081314</v>
      </c>
      <c r="L288" s="2" t="str">
        <f t="shared" si="9"/>
        <v>2009 Minnesota Twins</v>
      </c>
      <c r="M288" s="58">
        <f>'Pitching Data'!Q288/'Pitching Data'!P288</f>
        <v>0.16576346828179789</v>
      </c>
      <c r="N288" s="58">
        <f>'Pitching Data'!R288/'Pitching Data'!P288</f>
        <v>4.6222505578578259E-2</v>
      </c>
      <c r="O288" s="58">
        <f>'Pitching Data'!S288/'Pitching Data'!P288</f>
        <v>4.3034746573159073E-3</v>
      </c>
      <c r="P288" s="58">
        <f>'Pitching Data'!T288/'Pitching Data'!P288</f>
        <v>2.9486770800127512E-2</v>
      </c>
      <c r="Q288" s="58">
        <f>'Pitching Data'!U288/'Pitching Data'!P288</f>
        <v>7.4274784826267135E-2</v>
      </c>
      <c r="R288" s="58">
        <f>'Pitching Data'!V288/'Pitching Data'!P288</f>
        <v>9.2445011157156511E-3</v>
      </c>
      <c r="S288" s="58">
        <f>'Pitching Data'!W288/'Pitching Data'!P288</f>
        <v>0.67070449474019767</v>
      </c>
    </row>
    <row r="289" spans="2:19" x14ac:dyDescent="0.5">
      <c r="B289" s="2">
        <v>2009</v>
      </c>
      <c r="C289" s="2" t="s">
        <v>76</v>
      </c>
      <c r="D289" s="2" t="str">
        <f t="shared" si="8"/>
        <v>2009 New York Mets</v>
      </c>
      <c r="E289" s="60">
        <f>'Batting Data'!K289/'Batting Data'!J289</f>
        <v>0.18943700715202641</v>
      </c>
      <c r="F289" s="60">
        <f>'Batting Data'!L289/'Batting Data'!J289</f>
        <v>5.4098661287364756E-2</v>
      </c>
      <c r="G289" s="60">
        <f>'Batting Data'!M289/'Batting Data'!J289</f>
        <v>8.9858793324775355E-3</v>
      </c>
      <c r="H289" s="60">
        <f>'Batting Data'!N289/'Batting Data'!J289</f>
        <v>1.7421602787456445E-2</v>
      </c>
      <c r="I289" s="60">
        <f>'Batting Data'!O289/'Batting Data'!J289</f>
        <v>9.6460663854758849E-2</v>
      </c>
      <c r="J289" s="60">
        <f>'Batting Data'!P289/'Batting Data'!J289</f>
        <v>6.6018705299834956E-3</v>
      </c>
      <c r="K289" s="60">
        <f>'Batting Data'!Q289/'Batting Data'!J289</f>
        <v>0.62699431505593251</v>
      </c>
      <c r="L289" s="2" t="str">
        <f t="shared" si="9"/>
        <v>2009 New York Mets</v>
      </c>
      <c r="M289" s="58">
        <f>'Pitching Data'!Q289/'Pitching Data'!P289</f>
        <v>0.15197326543602802</v>
      </c>
      <c r="N289" s="58">
        <f>'Pitching Data'!R289/'Pitching Data'!P289</f>
        <v>4.9490770210057287E-2</v>
      </c>
      <c r="O289" s="58">
        <f>'Pitching Data'!S289/'Pitching Data'!P289</f>
        <v>4.4557606619987271E-3</v>
      </c>
      <c r="P289" s="58">
        <f>'Pitching Data'!T289/'Pitching Data'!P289</f>
        <v>2.5143220878421389E-2</v>
      </c>
      <c r="Q289" s="58">
        <f>'Pitching Data'!U289/'Pitching Data'!P289</f>
        <v>9.8026734563971998E-2</v>
      </c>
      <c r="R289" s="58">
        <f>'Pitching Data'!V289/'Pitching Data'!P289</f>
        <v>8.752387014640357E-3</v>
      </c>
      <c r="S289" s="58">
        <f>'Pitching Data'!W289/'Pitching Data'!P289</f>
        <v>0.66215786123488229</v>
      </c>
    </row>
    <row r="290" spans="2:19" x14ac:dyDescent="0.5">
      <c r="B290" s="2">
        <v>2009</v>
      </c>
      <c r="C290" s="2" t="s">
        <v>74</v>
      </c>
      <c r="D290" s="2" t="str">
        <f t="shared" si="8"/>
        <v>2009 New York Yankees</v>
      </c>
      <c r="E290" s="60">
        <f>'Batting Data'!K290/'Batting Data'!J290</f>
        <v>0.17915194346289753</v>
      </c>
      <c r="F290" s="60">
        <f>'Batting Data'!L290/'Batting Data'!J290</f>
        <v>5.7420494699646642E-2</v>
      </c>
      <c r="G290" s="60">
        <f>'Batting Data'!M290/'Batting Data'!J290</f>
        <v>3.7102473498233216E-3</v>
      </c>
      <c r="H290" s="60">
        <f>'Batting Data'!N290/'Batting Data'!J290</f>
        <v>4.3109540636042401E-2</v>
      </c>
      <c r="I290" s="60">
        <f>'Batting Data'!O290/'Batting Data'!J290</f>
        <v>0.11713780918727915</v>
      </c>
      <c r="J290" s="60">
        <f>'Batting Data'!P290/'Batting Data'!J290</f>
        <v>9.5406360424028277E-3</v>
      </c>
      <c r="K290" s="60">
        <f>'Batting Data'!Q290/'Batting Data'!J290</f>
        <v>0.58992932862190817</v>
      </c>
      <c r="L290" s="2" t="str">
        <f t="shared" si="9"/>
        <v>2009 New York Yankees</v>
      </c>
      <c r="M290" s="58">
        <f>'Pitching Data'!Q290/'Pitching Data'!P290</f>
        <v>0.14518969105170482</v>
      </c>
      <c r="N290" s="58">
        <f>'Pitching Data'!R290/'Pitching Data'!P290</f>
        <v>4.3861053305586685E-2</v>
      </c>
      <c r="O290" s="58">
        <f>'Pitching Data'!S290/'Pitching Data'!P290</f>
        <v>3.8418440851608771E-3</v>
      </c>
      <c r="P290" s="58">
        <f>'Pitching Data'!T290/'Pitching Data'!P290</f>
        <v>2.8973907475588281E-2</v>
      </c>
      <c r="Q290" s="58">
        <f>'Pitching Data'!U290/'Pitching Data'!P290</f>
        <v>9.1884104370097641E-2</v>
      </c>
      <c r="R290" s="58">
        <f>'Pitching Data'!V290/'Pitching Data'!P290</f>
        <v>1.1365455418600928E-2</v>
      </c>
      <c r="S290" s="58">
        <f>'Pitching Data'!W290/'Pitching Data'!P290</f>
        <v>0.67488394429326082</v>
      </c>
    </row>
    <row r="291" spans="2:19" x14ac:dyDescent="0.5">
      <c r="B291" s="2">
        <v>2009</v>
      </c>
      <c r="C291" s="2" t="s">
        <v>78</v>
      </c>
      <c r="D291" s="2" t="str">
        <f t="shared" si="8"/>
        <v>2009 Oakland Athletics</v>
      </c>
      <c r="E291" s="60">
        <f>'Batting Data'!K291/'Batting Data'!J291</f>
        <v>0.17926217765042979</v>
      </c>
      <c r="F291" s="60">
        <f>'Batting Data'!L291/'Batting Data'!J291</f>
        <v>5.4978510028653296E-2</v>
      </c>
      <c r="G291" s="60">
        <f>'Batting Data'!M291/'Batting Data'!J291</f>
        <v>3.7607449856733523E-3</v>
      </c>
      <c r="H291" s="60">
        <f>'Batting Data'!N291/'Batting Data'!J291</f>
        <v>2.417621776504298E-2</v>
      </c>
      <c r="I291" s="60">
        <f>'Batting Data'!O291/'Batting Data'!J291</f>
        <v>9.4376790830945564E-2</v>
      </c>
      <c r="J291" s="60">
        <f>'Batting Data'!P291/'Batting Data'!J291</f>
        <v>8.9541547277936957E-3</v>
      </c>
      <c r="K291" s="60">
        <f>'Batting Data'!Q291/'Batting Data'!J291</f>
        <v>0.63449140401146131</v>
      </c>
      <c r="L291" s="2" t="str">
        <f t="shared" si="9"/>
        <v>2009 Oakland Athletics</v>
      </c>
      <c r="M291" s="58">
        <f>'Pitching Data'!Q291/'Pitching Data'!P291</f>
        <v>0.15969886272625342</v>
      </c>
      <c r="N291" s="58">
        <f>'Pitching Data'!R291/'Pitching Data'!P291</f>
        <v>4.8854717283357357E-2</v>
      </c>
      <c r="O291" s="58">
        <f>'Pitching Data'!S291/'Pitching Data'!P291</f>
        <v>4.4850232260131347E-3</v>
      </c>
      <c r="P291" s="58">
        <f>'Pitching Data'!T291/'Pitching Data'!P291</f>
        <v>2.4987986544930323E-2</v>
      </c>
      <c r="Q291" s="58">
        <f>'Pitching Data'!U291/'Pitching Data'!P291</f>
        <v>8.3773826685888189E-2</v>
      </c>
      <c r="R291" s="58">
        <f>'Pitching Data'!V291/'Pitching Data'!P291</f>
        <v>5.7664584334454587E-3</v>
      </c>
      <c r="S291" s="58">
        <f>'Pitching Data'!W291/'Pitching Data'!P291</f>
        <v>0.67243312510011211</v>
      </c>
    </row>
    <row r="292" spans="2:19" x14ac:dyDescent="0.5">
      <c r="B292" s="2">
        <v>2009</v>
      </c>
      <c r="C292" s="2" t="s">
        <v>80</v>
      </c>
      <c r="D292" s="2" t="str">
        <f t="shared" si="8"/>
        <v>2009 Philadelphia Phillies</v>
      </c>
      <c r="E292" s="60">
        <f>'Batting Data'!K292/'Batting Data'!J292</f>
        <v>0.15561133022588741</v>
      </c>
      <c r="F292" s="60">
        <f>'Batting Data'!L292/'Batting Data'!J292</f>
        <v>5.5934026532807456E-2</v>
      </c>
      <c r="G292" s="60">
        <f>'Batting Data'!M292/'Batting Data'!J292</f>
        <v>6.27465041233417E-3</v>
      </c>
      <c r="H292" s="60">
        <f>'Batting Data'!N292/'Batting Data'!J292</f>
        <v>4.0157762638938686E-2</v>
      </c>
      <c r="I292" s="60">
        <f>'Batting Data'!O292/'Batting Data'!J292</f>
        <v>0.10559340265328075</v>
      </c>
      <c r="J292" s="60">
        <f>'Batting Data'!P292/'Batting Data'!J292</f>
        <v>1.2728576550735031E-2</v>
      </c>
      <c r="K292" s="60">
        <f>'Batting Data'!Q292/'Batting Data'!J292</f>
        <v>0.62370025098601645</v>
      </c>
      <c r="L292" s="2" t="str">
        <f t="shared" si="9"/>
        <v>2009 Philadelphia Phillies</v>
      </c>
      <c r="M292" s="58">
        <f>'Pitching Data'!Q292/'Pitching Data'!P292</f>
        <v>0.15487785406354782</v>
      </c>
      <c r="N292" s="58">
        <f>'Pitching Data'!R292/'Pitching Data'!P292</f>
        <v>4.7261695673000162E-2</v>
      </c>
      <c r="O292" s="58">
        <f>'Pitching Data'!S292/'Pitching Data'!P292</f>
        <v>3.8320293788919046E-3</v>
      </c>
      <c r="P292" s="58">
        <f>'Pitching Data'!T292/'Pitching Data'!P292</f>
        <v>3.0177231358773749E-2</v>
      </c>
      <c r="Q292" s="58">
        <f>'Pitching Data'!U292/'Pitching Data'!P292</f>
        <v>7.8077598594922568E-2</v>
      </c>
      <c r="R292" s="58">
        <f>'Pitching Data'!V292/'Pitching Data'!P292</f>
        <v>1.1975091809037202E-2</v>
      </c>
      <c r="S292" s="58">
        <f>'Pitching Data'!W292/'Pitching Data'!P292</f>
        <v>0.67379849912182666</v>
      </c>
    </row>
    <row r="293" spans="2:19" x14ac:dyDescent="0.5">
      <c r="B293" s="2">
        <v>2009</v>
      </c>
      <c r="C293" s="2" t="s">
        <v>82</v>
      </c>
      <c r="D293" s="2" t="str">
        <f t="shared" si="8"/>
        <v>2009 Pittsburgh Pirates</v>
      </c>
      <c r="E293" s="60">
        <f>'Batting Data'!K293/'Batting Data'!J293</f>
        <v>0.16909728632084178</v>
      </c>
      <c r="F293" s="60">
        <f>'Batting Data'!L293/'Batting Data'!J293</f>
        <v>5.335056304227432E-2</v>
      </c>
      <c r="G293" s="60">
        <f>'Batting Data'!M293/'Batting Data'!J293</f>
        <v>6.276536828502861E-3</v>
      </c>
      <c r="H293" s="60">
        <f>'Batting Data'!N293/'Batting Data'!J293</f>
        <v>2.3075503045966402E-2</v>
      </c>
      <c r="I293" s="60">
        <f>'Batting Data'!O293/'Batting Data'!J293</f>
        <v>9.2117408159497871E-2</v>
      </c>
      <c r="J293" s="60">
        <f>'Batting Data'!P293/'Batting Data'!J293</f>
        <v>8.4917851209156351E-3</v>
      </c>
      <c r="K293" s="60">
        <f>'Batting Data'!Q293/'Batting Data'!J293</f>
        <v>0.64759091748200115</v>
      </c>
      <c r="L293" s="2" t="str">
        <f t="shared" si="9"/>
        <v>2009 Pittsburgh Pirates</v>
      </c>
      <c r="M293" s="58">
        <f>'Pitching Data'!Q293/'Pitching Data'!P293</f>
        <v>0.15348307291666666</v>
      </c>
      <c r="N293" s="58">
        <f>'Pitching Data'!R293/'Pitching Data'!P293</f>
        <v>5.6803385416666664E-2</v>
      </c>
      <c r="O293" s="58">
        <f>'Pitching Data'!S293/'Pitching Data'!P293</f>
        <v>7.649739583333333E-3</v>
      </c>
      <c r="P293" s="58">
        <f>'Pitching Data'!T293/'Pitching Data'!P293</f>
        <v>2.4739583333333332E-2</v>
      </c>
      <c r="Q293" s="58">
        <f>'Pitching Data'!U293/'Pitching Data'!P293</f>
        <v>9.1634114583333329E-2</v>
      </c>
      <c r="R293" s="58">
        <f>'Pitching Data'!V293/'Pitching Data'!P293</f>
        <v>7.649739583333333E-3</v>
      </c>
      <c r="S293" s="58">
        <f>'Pitching Data'!W293/'Pitching Data'!P293</f>
        <v>0.65804036458333337</v>
      </c>
    </row>
    <row r="294" spans="2:19" x14ac:dyDescent="0.5">
      <c r="B294" s="2">
        <v>2009</v>
      </c>
      <c r="C294" s="2" t="s">
        <v>84</v>
      </c>
      <c r="D294" s="2" t="str">
        <f t="shared" si="8"/>
        <v>2009 San Diego Padres</v>
      </c>
      <c r="E294" s="60">
        <f>'Batting Data'!K294/'Batting Data'!J294</f>
        <v>0.16184331797235024</v>
      </c>
      <c r="F294" s="60">
        <f>'Batting Data'!L294/'Batting Data'!J294</f>
        <v>4.8847926267281107E-2</v>
      </c>
      <c r="G294" s="60">
        <f>'Batting Data'!M294/'Batting Data'!J294</f>
        <v>5.7142857142857143E-3</v>
      </c>
      <c r="H294" s="60">
        <f>'Batting Data'!N294/'Batting Data'!J294</f>
        <v>2.599078341013825E-2</v>
      </c>
      <c r="I294" s="60">
        <f>'Batting Data'!O294/'Batting Data'!J294</f>
        <v>0.1080184331797235</v>
      </c>
      <c r="J294" s="60">
        <f>'Batting Data'!P294/'Batting Data'!J294</f>
        <v>1.0506912442396314E-2</v>
      </c>
      <c r="K294" s="60">
        <f>'Batting Data'!Q294/'Batting Data'!J294</f>
        <v>0.63907834101382488</v>
      </c>
      <c r="L294" s="2" t="str">
        <f t="shared" si="9"/>
        <v>2009 San Diego Padres</v>
      </c>
      <c r="M294" s="58">
        <f>'Pitching Data'!Q294/'Pitching Data'!P294</f>
        <v>0.15494978479196556</v>
      </c>
      <c r="N294" s="58">
        <f>'Pitching Data'!R294/'Pitching Data'!P294</f>
        <v>3.9853339709867687E-2</v>
      </c>
      <c r="O294" s="58">
        <f>'Pitching Data'!S294/'Pitching Data'!P294</f>
        <v>5.2606408417025345E-3</v>
      </c>
      <c r="P294" s="58">
        <f>'Pitching Data'!T294/'Pitching Data'!P294</f>
        <v>2.6622030926191614E-2</v>
      </c>
      <c r="Q294" s="58">
        <f>'Pitching Data'!U294/'Pitching Data'!P294</f>
        <v>9.6126255380200865E-2</v>
      </c>
      <c r="R294" s="58">
        <f>'Pitching Data'!V294/'Pitching Data'!P294</f>
        <v>7.1736011477761836E-3</v>
      </c>
      <c r="S294" s="58">
        <f>'Pitching Data'!W294/'Pitching Data'!P294</f>
        <v>0.67001434720229558</v>
      </c>
    </row>
    <row r="295" spans="2:19" x14ac:dyDescent="0.5">
      <c r="B295" s="2">
        <v>2009</v>
      </c>
      <c r="C295" s="2" t="s">
        <v>86</v>
      </c>
      <c r="D295" s="2" t="str">
        <f t="shared" si="8"/>
        <v>2009 Seattle Mariners</v>
      </c>
      <c r="E295" s="60">
        <f>'Batting Data'!K295/'Batting Data'!J295</f>
        <v>0.17517589752841423</v>
      </c>
      <c r="F295" s="60">
        <f>'Batting Data'!L295/'Batting Data'!J295</f>
        <v>5.0514162006133866E-2</v>
      </c>
      <c r="G295" s="60">
        <f>'Batting Data'!M295/'Batting Data'!J295</f>
        <v>3.4277467075590836E-3</v>
      </c>
      <c r="H295" s="60">
        <f>'Batting Data'!N295/'Batting Data'!J295</f>
        <v>2.8865235432076492E-2</v>
      </c>
      <c r="I295" s="60">
        <f>'Batting Data'!O295/'Batting Data'!J295</f>
        <v>7.5951650730651271E-2</v>
      </c>
      <c r="J295" s="60">
        <f>'Batting Data'!P295/'Batting Data'!J295</f>
        <v>8.8399783510734256E-3</v>
      </c>
      <c r="K295" s="60">
        <f>'Batting Data'!Q295/'Batting Data'!J295</f>
        <v>0.65722532924409161</v>
      </c>
      <c r="L295" s="2" t="str">
        <f t="shared" si="9"/>
        <v>2009 Seattle Mariners</v>
      </c>
      <c r="M295" s="58">
        <f>'Pitching Data'!Q295/'Pitching Data'!P295</f>
        <v>0.1480759863614223</v>
      </c>
      <c r="N295" s="58">
        <f>'Pitching Data'!R295/'Pitching Data'!P295</f>
        <v>4.2052281214482873E-2</v>
      </c>
      <c r="O295" s="58">
        <f>'Pitching Data'!S295/'Pitching Data'!P295</f>
        <v>2.597824322130216E-3</v>
      </c>
      <c r="P295" s="58">
        <f>'Pitching Data'!T295/'Pitching Data'!P295</f>
        <v>2.7926611462899823E-2</v>
      </c>
      <c r="Q295" s="58">
        <f>'Pitching Data'!U295/'Pitching Data'!P295</f>
        <v>8.6702386751095956E-2</v>
      </c>
      <c r="R295" s="58">
        <f>'Pitching Data'!V295/'Pitching Data'!P295</f>
        <v>6.9816528657249558E-3</v>
      </c>
      <c r="S295" s="58">
        <f>'Pitching Data'!W295/'Pitching Data'!P295</f>
        <v>0.68566325702224384</v>
      </c>
    </row>
    <row r="296" spans="2:19" x14ac:dyDescent="0.5">
      <c r="B296" s="2">
        <v>2009</v>
      </c>
      <c r="C296" s="2" t="s">
        <v>88</v>
      </c>
      <c r="D296" s="2" t="str">
        <f t="shared" si="8"/>
        <v>2009 San Francisco Giants</v>
      </c>
      <c r="E296" s="60">
        <f>'Batting Data'!K296/'Batting Data'!J296</f>
        <v>0.17677043509921719</v>
      </c>
      <c r="F296" s="60">
        <f>'Batting Data'!L296/'Batting Data'!J296</f>
        <v>5.0063717458583651E-2</v>
      </c>
      <c r="G296" s="60">
        <f>'Batting Data'!M296/'Batting Data'!J296</f>
        <v>7.8281449117058068E-3</v>
      </c>
      <c r="H296" s="60">
        <f>'Batting Data'!N296/'Batting Data'!J296</f>
        <v>2.2210085563444382E-2</v>
      </c>
      <c r="I296" s="60">
        <f>'Batting Data'!O296/'Batting Data'!J296</f>
        <v>7.136355361369015E-2</v>
      </c>
      <c r="J296" s="60">
        <f>'Batting Data'!P296/'Batting Data'!J296</f>
        <v>9.1024940833788464E-3</v>
      </c>
      <c r="K296" s="60">
        <f>'Batting Data'!Q296/'Batting Data'!J296</f>
        <v>0.66266156926997999</v>
      </c>
      <c r="L296" s="2" t="str">
        <f t="shared" si="9"/>
        <v>2009 San Francisco Giants</v>
      </c>
      <c r="M296" s="58">
        <f>'Pitching Data'!Q296/'Pitching Data'!P296</f>
        <v>0.13960347370145829</v>
      </c>
      <c r="N296" s="58">
        <f>'Pitching Data'!R296/'Pitching Data'!P296</f>
        <v>3.9816483696542684E-2</v>
      </c>
      <c r="O296" s="58">
        <f>'Pitching Data'!S296/'Pitching Data'!P296</f>
        <v>5.4071767982959203E-3</v>
      </c>
      <c r="P296" s="58">
        <f>'Pitching Data'!T296/'Pitching Data'!P296</f>
        <v>2.2939537932164508E-2</v>
      </c>
      <c r="Q296" s="58">
        <f>'Pitching Data'!U296/'Pitching Data'!P296</f>
        <v>9.569064394560052E-2</v>
      </c>
      <c r="R296" s="58">
        <f>'Pitching Data'!V296/'Pitching Data'!P296</f>
        <v>6.7180075372767489E-3</v>
      </c>
      <c r="S296" s="58">
        <f>'Pitching Data'!W296/'Pitching Data'!P296</f>
        <v>0.6898246763886613</v>
      </c>
    </row>
    <row r="297" spans="2:19" x14ac:dyDescent="0.5">
      <c r="B297" s="2">
        <v>2009</v>
      </c>
      <c r="C297" s="2" t="s">
        <v>90</v>
      </c>
      <c r="D297" s="2" t="str">
        <f t="shared" si="8"/>
        <v>2009 St. Louis Cardinals</v>
      </c>
      <c r="E297" s="60">
        <f>'Batting Data'!K297/'Batting Data'!J297</f>
        <v>0.17438243366880146</v>
      </c>
      <c r="F297" s="60">
        <f>'Batting Data'!L297/'Batting Data'!J297</f>
        <v>5.3796889295516924E-2</v>
      </c>
      <c r="G297" s="60">
        <f>'Batting Data'!M297/'Batting Data'!J297</f>
        <v>5.3064958828911253E-3</v>
      </c>
      <c r="H297" s="60">
        <f>'Batting Data'!N297/'Batting Data'!J297</f>
        <v>2.92772186642269E-2</v>
      </c>
      <c r="I297" s="60">
        <f>'Batting Data'!O297/'Batting Data'!J297</f>
        <v>9.6614821591948771E-2</v>
      </c>
      <c r="J297" s="60">
        <f>'Batting Data'!P297/'Batting Data'!J297</f>
        <v>1.1161939615736504E-2</v>
      </c>
      <c r="K297" s="60">
        <f>'Batting Data'!Q297/'Batting Data'!J297</f>
        <v>0.62946020128087832</v>
      </c>
      <c r="L297" s="2" t="str">
        <f t="shared" si="9"/>
        <v>2009 St. Louis Cardinals</v>
      </c>
      <c r="M297" s="58">
        <f>'Pitching Data'!Q297/'Pitching Data'!P297</f>
        <v>0.16099885000821423</v>
      </c>
      <c r="N297" s="58">
        <f>'Pitching Data'!R297/'Pitching Data'!P297</f>
        <v>4.5013964185970097E-2</v>
      </c>
      <c r="O297" s="58">
        <f>'Pitching Data'!S297/'Pitching Data'!P297</f>
        <v>4.9285362247412515E-3</v>
      </c>
      <c r="P297" s="58">
        <f>'Pitching Data'!T297/'Pitching Data'!P297</f>
        <v>2.0206998521439132E-2</v>
      </c>
      <c r="Q297" s="58">
        <f>'Pitching Data'!U297/'Pitching Data'!P297</f>
        <v>7.5570888779365866E-2</v>
      </c>
      <c r="R297" s="58">
        <f>'Pitching Data'!V297/'Pitching Data'!P297</f>
        <v>8.7070806637095446E-3</v>
      </c>
      <c r="S297" s="58">
        <f>'Pitching Data'!W297/'Pitching Data'!P297</f>
        <v>0.68457368161655985</v>
      </c>
    </row>
    <row r="298" spans="2:19" x14ac:dyDescent="0.5">
      <c r="B298" s="2">
        <v>2009</v>
      </c>
      <c r="C298" s="2" t="s">
        <v>92</v>
      </c>
      <c r="D298" s="2" t="str">
        <f t="shared" si="8"/>
        <v>2009 Tampa Bay Devil Rays</v>
      </c>
      <c r="E298" s="60">
        <f>'Batting Data'!K298/'Batting Data'!J298</f>
        <v>0.16514097400219699</v>
      </c>
      <c r="F298" s="60">
        <f>'Batting Data'!L298/'Batting Data'!J298</f>
        <v>5.4375686561699013E-2</v>
      </c>
      <c r="G298" s="60">
        <f>'Batting Data'!M298/'Batting Data'!J298</f>
        <v>6.5909923105089713E-3</v>
      </c>
      <c r="H298" s="60">
        <f>'Batting Data'!N298/'Batting Data'!J298</f>
        <v>3.64335408275357E-2</v>
      </c>
      <c r="I298" s="60">
        <f>'Batting Data'!O298/'Batting Data'!J298</f>
        <v>0.11753936287074332</v>
      </c>
      <c r="J298" s="60">
        <f>'Batting Data'!P298/'Batting Data'!J298</f>
        <v>8.9710728670816548E-3</v>
      </c>
      <c r="K298" s="60">
        <f>'Batting Data'!Q298/'Batting Data'!J298</f>
        <v>0.61094837056023432</v>
      </c>
      <c r="L298" s="2" t="str">
        <f t="shared" si="9"/>
        <v>2009 Tampa Bay Devil Rays</v>
      </c>
      <c r="M298" s="58">
        <f>'Pitching Data'!Q298/'Pitching Data'!P298</f>
        <v>0.15082980800520665</v>
      </c>
      <c r="N298" s="58">
        <f>'Pitching Data'!R298/'Pitching Data'!P298</f>
        <v>4.6697038724373578E-2</v>
      </c>
      <c r="O298" s="58">
        <f>'Pitching Data'!S298/'Pitching Data'!P298</f>
        <v>3.9049788480312398E-3</v>
      </c>
      <c r="P298" s="58">
        <f>'Pitching Data'!T298/'Pitching Data'!P298</f>
        <v>2.9775463716238203E-2</v>
      </c>
      <c r="Q298" s="58">
        <f>'Pitching Data'!U298/'Pitching Data'!P298</f>
        <v>8.3794337780670358E-2</v>
      </c>
      <c r="R298" s="58">
        <f>'Pitching Data'!V298/'Pitching Data'!P298</f>
        <v>7.4845427920598763E-3</v>
      </c>
      <c r="S298" s="58">
        <f>'Pitching Data'!W298/'Pitching Data'!P298</f>
        <v>0.67751383013342015</v>
      </c>
    </row>
    <row r="299" spans="2:19" x14ac:dyDescent="0.5">
      <c r="B299" s="2">
        <v>2009</v>
      </c>
      <c r="C299" s="2" t="s">
        <v>94</v>
      </c>
      <c r="D299" s="2" t="str">
        <f t="shared" si="8"/>
        <v>2009 Texas Rangers</v>
      </c>
      <c r="E299" s="60">
        <f>'Batting Data'!K299/'Batting Data'!J299</f>
        <v>0.16087585957292797</v>
      </c>
      <c r="F299" s="60">
        <f>'Batting Data'!L299/'Batting Data'!J299</f>
        <v>5.3564965617082884E-2</v>
      </c>
      <c r="G299" s="60">
        <f>'Batting Data'!M299/'Batting Data'!J299</f>
        <v>4.8859934853420191E-3</v>
      </c>
      <c r="H299" s="60">
        <f>'Batting Data'!N299/'Batting Data'!J299</f>
        <v>4.0535649656170826E-2</v>
      </c>
      <c r="I299" s="60">
        <f>'Batting Data'!O299/'Batting Data'!J299</f>
        <v>8.5414404632645671E-2</v>
      </c>
      <c r="J299" s="60">
        <f>'Batting Data'!P299/'Batting Data'!J299</f>
        <v>6.6956207021353605E-3</v>
      </c>
      <c r="K299" s="60">
        <f>'Batting Data'!Q299/'Batting Data'!J299</f>
        <v>0.64802750633369521</v>
      </c>
      <c r="L299" s="2" t="str">
        <f t="shared" si="9"/>
        <v>2009 Texas Rangers</v>
      </c>
      <c r="M299" s="58">
        <f>'Pitching Data'!Q299/'Pitching Data'!P299</f>
        <v>0.15246273493195076</v>
      </c>
      <c r="N299" s="58">
        <f>'Pitching Data'!R299/'Pitching Data'!P299</f>
        <v>4.7472456254050548E-2</v>
      </c>
      <c r="O299" s="58">
        <f>'Pitching Data'!S299/'Pitching Data'!P299</f>
        <v>4.3745949449125084E-3</v>
      </c>
      <c r="P299" s="58">
        <f>'Pitching Data'!T299/'Pitching Data'!P299</f>
        <v>2.7705767984445885E-2</v>
      </c>
      <c r="Q299" s="58">
        <f>'Pitching Data'!U299/'Pitching Data'!P299</f>
        <v>8.6033700583279332E-2</v>
      </c>
      <c r="R299" s="58">
        <f>'Pitching Data'!V299/'Pitching Data'!P299</f>
        <v>1.134154244977317E-2</v>
      </c>
      <c r="S299" s="58">
        <f>'Pitching Data'!W299/'Pitching Data'!P299</f>
        <v>0.67060920285158787</v>
      </c>
    </row>
    <row r="300" spans="2:19" x14ac:dyDescent="0.5">
      <c r="B300" s="2">
        <v>2009</v>
      </c>
      <c r="C300" s="2" t="s">
        <v>96</v>
      </c>
      <c r="D300" s="2" t="str">
        <f t="shared" si="8"/>
        <v>2009 Toronto Blue Jays</v>
      </c>
      <c r="E300" s="60">
        <f>'Batting Data'!K300/'Batting Data'!J300</f>
        <v>0.16766151685393257</v>
      </c>
      <c r="F300" s="60">
        <f>'Batting Data'!L300/'Batting Data'!J300</f>
        <v>5.951544943820225E-2</v>
      </c>
      <c r="G300" s="60">
        <f>'Batting Data'!M300/'Batting Data'!J300</f>
        <v>2.2823033707865168E-3</v>
      </c>
      <c r="H300" s="60">
        <f>'Batting Data'!N300/'Batting Data'!J300</f>
        <v>3.6692415730337082E-2</v>
      </c>
      <c r="I300" s="60">
        <f>'Batting Data'!O300/'Batting Data'!J300</f>
        <v>9.6207865168539325E-2</v>
      </c>
      <c r="J300" s="60">
        <f>'Batting Data'!P300/'Batting Data'!J300</f>
        <v>7.9002808988764047E-3</v>
      </c>
      <c r="K300" s="60">
        <f>'Batting Data'!Q300/'Batting Data'!J300</f>
        <v>0.6297401685393258</v>
      </c>
      <c r="L300" s="2" t="str">
        <f t="shared" si="9"/>
        <v>2009 Toronto Blue Jays</v>
      </c>
      <c r="M300" s="58">
        <f>'Pitching Data'!Q300/'Pitching Data'!P300</f>
        <v>0.15586690017513136</v>
      </c>
      <c r="N300" s="58">
        <f>'Pitching Data'!R300/'Pitching Data'!P300</f>
        <v>5.1424932335615348E-2</v>
      </c>
      <c r="O300" s="58">
        <f>'Pitching Data'!S300/'Pitching Data'!P300</f>
        <v>4.139468237541793E-3</v>
      </c>
      <c r="P300" s="58">
        <f>'Pitching Data'!T300/'Pitching Data'!P300</f>
        <v>2.881706734596402E-2</v>
      </c>
      <c r="Q300" s="58">
        <f>'Pitching Data'!U300/'Pitching Data'!P300</f>
        <v>8.7724884572520298E-2</v>
      </c>
      <c r="R300" s="58">
        <f>'Pitching Data'!V300/'Pitching Data'!P300</f>
        <v>9.2341983760547679E-3</v>
      </c>
      <c r="S300" s="58">
        <f>'Pitching Data'!W300/'Pitching Data'!P300</f>
        <v>0.66279254895717243</v>
      </c>
    </row>
    <row r="301" spans="2:19" x14ac:dyDescent="0.5">
      <c r="B301" s="2">
        <v>2009</v>
      </c>
      <c r="C301" s="2" t="s">
        <v>100</v>
      </c>
      <c r="D301" s="2" t="str">
        <f t="shared" si="8"/>
        <v>2009 Washington Nationals</v>
      </c>
      <c r="E301" s="60">
        <f>'Batting Data'!K301/'Batting Data'!J301</f>
        <v>0.17312943746586565</v>
      </c>
      <c r="F301" s="60">
        <f>'Batting Data'!L301/'Batting Data'!J301</f>
        <v>4.9335517931913347E-2</v>
      </c>
      <c r="G301" s="60">
        <f>'Batting Data'!M301/'Batting Data'!J301</f>
        <v>6.9178955033679232E-3</v>
      </c>
      <c r="H301" s="60">
        <f>'Batting Data'!N301/'Batting Data'!J301</f>
        <v>2.8399781540142E-2</v>
      </c>
      <c r="I301" s="60">
        <f>'Batting Data'!O301/'Batting Data'!J301</f>
        <v>0.11232477698889495</v>
      </c>
      <c r="J301" s="60">
        <f>'Batting Data'!P301/'Batting Data'!J301</f>
        <v>1.0194793373384307E-2</v>
      </c>
      <c r="K301" s="60">
        <f>'Batting Data'!Q301/'Batting Data'!J301</f>
        <v>0.61969779719643181</v>
      </c>
      <c r="L301" s="2" t="str">
        <f t="shared" si="9"/>
        <v>2009 Washington Nationals</v>
      </c>
      <c r="M301" s="58">
        <f>'Pitching Data'!Q301/'Pitching Data'!P301</f>
        <v>0.15088990392187746</v>
      </c>
      <c r="N301" s="58">
        <f>'Pitching Data'!R301/'Pitching Data'!P301</f>
        <v>5.6859347928807688E-2</v>
      </c>
      <c r="O301" s="58">
        <f>'Pitching Data'!S301/'Pitching Data'!P301</f>
        <v>6.4577098755709559E-3</v>
      </c>
      <c r="P301" s="58">
        <f>'Pitching Data'!T301/'Pitching Data'!P301</f>
        <v>2.7248385572531106E-2</v>
      </c>
      <c r="Q301" s="58">
        <f>'Pitching Data'!U301/'Pitching Data'!P301</f>
        <v>9.907071979839345E-2</v>
      </c>
      <c r="R301" s="58">
        <f>'Pitching Data'!V301/'Pitching Data'!P301</f>
        <v>7.5602457079855098E-3</v>
      </c>
      <c r="S301" s="58">
        <f>'Pitching Data'!W301/'Pitching Data'!P301</f>
        <v>0.65191368719483378</v>
      </c>
    </row>
    <row r="302" spans="2:19" x14ac:dyDescent="0.5">
      <c r="B302" s="2">
        <v>2010</v>
      </c>
      <c r="C302" s="2" t="s">
        <v>36</v>
      </c>
      <c r="D302" s="2" t="str">
        <f t="shared" si="8"/>
        <v>2010 Anaheim Angels</v>
      </c>
      <c r="E302" s="60">
        <f>'Batting Data'!K302/'Batting Data'!J302</f>
        <v>0.16636297376093295</v>
      </c>
      <c r="F302" s="60">
        <f>'Batting Data'!L302/'Batting Data'!J302</f>
        <v>5.0291545189504371E-2</v>
      </c>
      <c r="G302" s="60">
        <f>'Batting Data'!M302/'Batting Data'!J302</f>
        <v>3.4620991253644317E-3</v>
      </c>
      <c r="H302" s="60">
        <f>'Batting Data'!N302/'Batting Data'!J302</f>
        <v>2.8243440233236151E-2</v>
      </c>
      <c r="I302" s="60">
        <f>'Batting Data'!O302/'Batting Data'!J302</f>
        <v>8.4912536443148681E-2</v>
      </c>
      <c r="J302" s="60">
        <f>'Batting Data'!P302/'Batting Data'!J302</f>
        <v>9.4752186588921289E-3</v>
      </c>
      <c r="K302" s="60">
        <f>'Batting Data'!Q302/'Batting Data'!J302</f>
        <v>0.65725218658892126</v>
      </c>
      <c r="L302" s="2" t="str">
        <f t="shared" si="9"/>
        <v>2010 Anaheim Angels</v>
      </c>
      <c r="M302" s="58">
        <f>'Pitching Data'!Q302/'Pitching Data'!P302</f>
        <v>0.14875239923224567</v>
      </c>
      <c r="N302" s="58">
        <f>'Pitching Data'!R302/'Pitching Data'!P302</f>
        <v>5.0063979526551505E-2</v>
      </c>
      <c r="O302" s="58">
        <f>'Pitching Data'!S302/'Pitching Data'!P302</f>
        <v>4.9584133077415224E-3</v>
      </c>
      <c r="P302" s="58">
        <f>'Pitching Data'!T302/'Pitching Data'!P302</f>
        <v>2.3672424824056303E-2</v>
      </c>
      <c r="Q302" s="58">
        <f>'Pitching Data'!U302/'Pitching Data'!P302</f>
        <v>9.0371081253998717E-2</v>
      </c>
      <c r="R302" s="58">
        <f>'Pitching Data'!V302/'Pitching Data'!P302</f>
        <v>7.3576455534229051E-3</v>
      </c>
      <c r="S302" s="58">
        <f>'Pitching Data'!W302/'Pitching Data'!P302</f>
        <v>0.67482405630198339</v>
      </c>
    </row>
    <row r="303" spans="2:19" x14ac:dyDescent="0.5">
      <c r="B303" s="2">
        <v>2010</v>
      </c>
      <c r="C303" s="2" t="s">
        <v>39</v>
      </c>
      <c r="D303" s="2" t="str">
        <f t="shared" si="8"/>
        <v>2010 Arizona Diamondbacks</v>
      </c>
      <c r="E303" s="60">
        <f>'Batting Data'!K303/'Batting Data'!J303</f>
        <v>0.15549059016992509</v>
      </c>
      <c r="F303" s="60">
        <f>'Batting Data'!L303/'Batting Data'!J303</f>
        <v>5.4997259272793718E-2</v>
      </c>
      <c r="G303" s="60">
        <f>'Batting Data'!M303/'Batting Data'!J303</f>
        <v>6.212315000913576E-3</v>
      </c>
      <c r="H303" s="60">
        <f>'Batting Data'!N303/'Batting Data'!J303</f>
        <v>3.2888726475424811E-2</v>
      </c>
      <c r="I303" s="60">
        <f>'Batting Data'!O303/'Batting Data'!J303</f>
        <v>0.10761922163347341</v>
      </c>
      <c r="J303" s="60">
        <f>'Batting Data'!P303/'Batting Data'!J303</f>
        <v>7.1258907363420431E-3</v>
      </c>
      <c r="K303" s="60">
        <f>'Batting Data'!Q303/'Batting Data'!J303</f>
        <v>0.63566599671112733</v>
      </c>
      <c r="L303" s="2" t="str">
        <f t="shared" si="9"/>
        <v>2010 Arizona Diamondbacks</v>
      </c>
      <c r="M303" s="58">
        <f>'Pitching Data'!Q303/'Pitching Data'!P303</f>
        <v>0.1560702875399361</v>
      </c>
      <c r="N303" s="58">
        <f>'Pitching Data'!R303/'Pitching Data'!P303</f>
        <v>4.5367412140575082E-2</v>
      </c>
      <c r="O303" s="58">
        <f>'Pitching Data'!S303/'Pitching Data'!P303</f>
        <v>5.111821086261981E-3</v>
      </c>
      <c r="P303" s="58">
        <f>'Pitching Data'!T303/'Pitching Data'!P303</f>
        <v>3.3546325878594248E-2</v>
      </c>
      <c r="Q303" s="58">
        <f>'Pitching Data'!U303/'Pitching Data'!P303</f>
        <v>8.7539936102236426E-2</v>
      </c>
      <c r="R303" s="58">
        <f>'Pitching Data'!V303/'Pitching Data'!P303</f>
        <v>9.2651757188498395E-3</v>
      </c>
      <c r="S303" s="58">
        <f>'Pitching Data'!W303/'Pitching Data'!P303</f>
        <v>0.66309904153354637</v>
      </c>
    </row>
    <row r="304" spans="2:19" x14ac:dyDescent="0.5">
      <c r="B304" s="2">
        <v>2010</v>
      </c>
      <c r="C304" s="2" t="s">
        <v>41</v>
      </c>
      <c r="D304" s="2" t="str">
        <f t="shared" si="8"/>
        <v>2010 Atlanta Braves</v>
      </c>
      <c r="E304" s="60">
        <f>'Batting Data'!K304/'Batting Data'!J304</f>
        <v>0.17115138202452865</v>
      </c>
      <c r="F304" s="60">
        <f>'Batting Data'!L304/'Batting Data'!J304</f>
        <v>5.7111477210323995E-2</v>
      </c>
      <c r="G304" s="60">
        <f>'Batting Data'!M304/'Batting Data'!J304</f>
        <v>4.5762401610836539E-3</v>
      </c>
      <c r="H304" s="60">
        <f>'Batting Data'!N304/'Batting Data'!J304</f>
        <v>2.5443895295625116E-2</v>
      </c>
      <c r="I304" s="60">
        <f>'Batting Data'!O304/'Batting Data'!J304</f>
        <v>0.11605345048508146</v>
      </c>
      <c r="J304" s="60">
        <f>'Batting Data'!P304/'Batting Data'!J304</f>
        <v>9.335529928610654E-3</v>
      </c>
      <c r="K304" s="60">
        <f>'Batting Data'!Q304/'Batting Data'!J304</f>
        <v>0.61632802489474647</v>
      </c>
      <c r="L304" s="2" t="str">
        <f t="shared" si="9"/>
        <v>2010 Atlanta Braves</v>
      </c>
      <c r="M304" s="58">
        <f>'Pitching Data'!Q304/'Pitching Data'!P304</f>
        <v>0.14970257766027759</v>
      </c>
      <c r="N304" s="58">
        <f>'Pitching Data'!R304/'Pitching Data'!P304</f>
        <v>4.3291473892927958E-2</v>
      </c>
      <c r="O304" s="58">
        <f>'Pitching Data'!S304/'Pitching Data'!P304</f>
        <v>5.2875082617316587E-3</v>
      </c>
      <c r="P304" s="58">
        <f>'Pitching Data'!T304/'Pitching Data'!P304</f>
        <v>2.0819563780568408E-2</v>
      </c>
      <c r="Q304" s="58">
        <f>'Pitching Data'!U304/'Pitching Data'!P304</f>
        <v>8.3443489755452738E-2</v>
      </c>
      <c r="R304" s="58">
        <f>'Pitching Data'!V304/'Pitching Data'!P304</f>
        <v>8.0964970257766024E-3</v>
      </c>
      <c r="S304" s="58">
        <f>'Pitching Data'!W304/'Pitching Data'!P304</f>
        <v>0.68935888962326508</v>
      </c>
    </row>
    <row r="305" spans="2:19" x14ac:dyDescent="0.5">
      <c r="B305" s="2">
        <v>2010</v>
      </c>
      <c r="C305" s="2" t="s">
        <v>44</v>
      </c>
      <c r="D305" s="2" t="str">
        <f t="shared" si="8"/>
        <v>2010 Baltimore Orioles</v>
      </c>
      <c r="E305" s="60">
        <f>'Batting Data'!K305/'Batting Data'!J305</f>
        <v>0.18401152322650341</v>
      </c>
      <c r="F305" s="60">
        <f>'Batting Data'!L305/'Batting Data'!J305</f>
        <v>4.7533309326611449E-2</v>
      </c>
      <c r="G305" s="60">
        <f>'Batting Data'!M305/'Batting Data'!J305</f>
        <v>3.781058696435002E-3</v>
      </c>
      <c r="H305" s="60">
        <f>'Batting Data'!N305/'Batting Data'!J305</f>
        <v>2.3946705077421679E-2</v>
      </c>
      <c r="I305" s="60">
        <f>'Batting Data'!O305/'Batting Data'!J305</f>
        <v>7.6341375585163851E-2</v>
      </c>
      <c r="J305" s="60">
        <f>'Batting Data'!P305/'Batting Data'!J305</f>
        <v>9.722722362261434E-3</v>
      </c>
      <c r="K305" s="60">
        <f>'Batting Data'!Q305/'Batting Data'!J305</f>
        <v>0.65466330572560316</v>
      </c>
      <c r="L305" s="2" t="str">
        <f t="shared" si="9"/>
        <v>2010 Baltimore Orioles</v>
      </c>
      <c r="M305" s="58">
        <f>'Pitching Data'!Q305/'Pitching Data'!P305</f>
        <v>0.15841584158415842</v>
      </c>
      <c r="N305" s="58">
        <f>'Pitching Data'!R305/'Pitching Data'!P305</f>
        <v>4.758862983072501E-2</v>
      </c>
      <c r="O305" s="58">
        <f>'Pitching Data'!S305/'Pitching Data'!P305</f>
        <v>5.1101884381986587E-3</v>
      </c>
      <c r="P305" s="58">
        <f>'Pitching Data'!T305/'Pitching Data'!P305</f>
        <v>2.9702970297029702E-2</v>
      </c>
      <c r="Q305" s="58">
        <f>'Pitching Data'!U305/'Pitching Data'!P305</f>
        <v>8.3040562120728204E-2</v>
      </c>
      <c r="R305" s="58">
        <f>'Pitching Data'!V305/'Pitching Data'!P305</f>
        <v>9.4219099329287768E-3</v>
      </c>
      <c r="S305" s="58">
        <f>'Pitching Data'!W305/'Pitching Data'!P305</f>
        <v>0.6667198977962312</v>
      </c>
    </row>
    <row r="306" spans="2:19" x14ac:dyDescent="0.5">
      <c r="B306" s="2">
        <v>2010</v>
      </c>
      <c r="C306" s="2" t="s">
        <v>46</v>
      </c>
      <c r="D306" s="2" t="str">
        <f t="shared" si="8"/>
        <v>2010 Boston Red Sox</v>
      </c>
      <c r="E306" s="60">
        <f>'Batting Data'!K306/'Batting Data'!J306</f>
        <v>0.16294721927027983</v>
      </c>
      <c r="F306" s="60">
        <f>'Batting Data'!L306/'Batting Data'!J306</f>
        <v>6.340772228126107E-2</v>
      </c>
      <c r="G306" s="60">
        <f>'Batting Data'!M306/'Batting Data'!J306</f>
        <v>3.8965639390719092E-3</v>
      </c>
      <c r="H306" s="60">
        <f>'Batting Data'!N306/'Batting Data'!J306</f>
        <v>3.7371590506553309E-2</v>
      </c>
      <c r="I306" s="60">
        <f>'Batting Data'!O306/'Batting Data'!J306</f>
        <v>0.10396741055614594</v>
      </c>
      <c r="J306" s="60">
        <f>'Batting Data'!P306/'Batting Data'!J306</f>
        <v>8.3244775061990794E-3</v>
      </c>
      <c r="K306" s="60">
        <f>'Batting Data'!Q306/'Batting Data'!J306</f>
        <v>0.62008501594048882</v>
      </c>
      <c r="L306" s="2" t="str">
        <f t="shared" si="9"/>
        <v>2010 Boston Red Sox</v>
      </c>
      <c r="M306" s="58">
        <f>'Pitching Data'!Q306/'Pitching Data'!P306</f>
        <v>0.14632200414871549</v>
      </c>
      <c r="N306" s="58">
        <f>'Pitching Data'!R306/'Pitching Data'!P306</f>
        <v>4.9146322004148715E-2</v>
      </c>
      <c r="O306" s="58">
        <f>'Pitching Data'!S306/'Pitching Data'!P306</f>
        <v>3.9891495133237594E-3</v>
      </c>
      <c r="P306" s="58">
        <f>'Pitching Data'!T306/'Pitching Data'!P306</f>
        <v>2.4254029041008457E-2</v>
      </c>
      <c r="Q306" s="58">
        <f>'Pitching Data'!U306/'Pitching Data'!P306</f>
        <v>9.2548268709111217E-2</v>
      </c>
      <c r="R306" s="58">
        <f>'Pitching Data'!V306/'Pitching Data'!P306</f>
        <v>8.4569969682463698E-3</v>
      </c>
      <c r="S306" s="58">
        <f>'Pitching Data'!W306/'Pitching Data'!P306</f>
        <v>0.67528322961544596</v>
      </c>
    </row>
    <row r="307" spans="2:19" x14ac:dyDescent="0.5">
      <c r="B307" s="2">
        <v>2010</v>
      </c>
      <c r="C307" s="2" t="s">
        <v>50</v>
      </c>
      <c r="D307" s="2" t="str">
        <f t="shared" si="8"/>
        <v>2010 Chicago Cubs</v>
      </c>
      <c r="E307" s="60">
        <f>'Batting Data'!K307/'Batting Data'!J307</f>
        <v>0.17053701015965167</v>
      </c>
      <c r="F307" s="60">
        <f>'Batting Data'!L307/'Batting Data'!J307</f>
        <v>5.4063860667634252E-2</v>
      </c>
      <c r="G307" s="60">
        <f>'Batting Data'!M307/'Batting Data'!J307</f>
        <v>4.8984034833091435E-3</v>
      </c>
      <c r="H307" s="60">
        <f>'Batting Data'!N307/'Batting Data'!J307</f>
        <v>2.7031930333817126E-2</v>
      </c>
      <c r="I307" s="60">
        <f>'Batting Data'!O307/'Batting Data'!J307</f>
        <v>8.6901306240928886E-2</v>
      </c>
      <c r="J307" s="60">
        <f>'Batting Data'!P307/'Batting Data'!J307</f>
        <v>9.071117561683599E-3</v>
      </c>
      <c r="K307" s="60">
        <f>'Batting Data'!Q307/'Batting Data'!J307</f>
        <v>0.64749637155297535</v>
      </c>
      <c r="L307" s="2" t="str">
        <f t="shared" si="9"/>
        <v>2010 Chicago Cubs</v>
      </c>
      <c r="M307" s="58">
        <f>'Pitching Data'!Q307/'Pitching Data'!P307</f>
        <v>0.15242934264845984</v>
      </c>
      <c r="N307" s="58">
        <f>'Pitching Data'!R307/'Pitching Data'!P307</f>
        <v>4.1759288663067641E-2</v>
      </c>
      <c r="O307" s="58">
        <f>'Pitching Data'!S307/'Pitching Data'!P307</f>
        <v>5.0809780882819944E-3</v>
      </c>
      <c r="P307" s="58">
        <f>'Pitching Data'!T307/'Pitching Data'!P307</f>
        <v>2.4452207049857098E-2</v>
      </c>
      <c r="Q307" s="58">
        <f>'Pitching Data'!U307/'Pitching Data'!P307</f>
        <v>9.6062241981581448E-2</v>
      </c>
      <c r="R307" s="58">
        <f>'Pitching Data'!V307/'Pitching Data'!P307</f>
        <v>1.0320736741822802E-2</v>
      </c>
      <c r="S307" s="58">
        <f>'Pitching Data'!W307/'Pitching Data'!P307</f>
        <v>0.66989520482692921</v>
      </c>
    </row>
    <row r="308" spans="2:19" x14ac:dyDescent="0.5">
      <c r="B308" s="2">
        <v>2010</v>
      </c>
      <c r="C308" s="2" t="s">
        <v>48</v>
      </c>
      <c r="D308" s="2" t="str">
        <f t="shared" si="8"/>
        <v>2010 Chicago White Sox</v>
      </c>
      <c r="E308" s="60">
        <f>'Batting Data'!K308/'Batting Data'!J308</f>
        <v>0.18344274252370532</v>
      </c>
      <c r="F308" s="60">
        <f>'Batting Data'!L308/'Batting Data'!J308</f>
        <v>4.7957695113056163E-2</v>
      </c>
      <c r="G308" s="60">
        <f>'Batting Data'!M308/'Batting Data'!J308</f>
        <v>3.8293216630196935E-3</v>
      </c>
      <c r="H308" s="60">
        <f>'Batting Data'!N308/'Batting Data'!J308</f>
        <v>3.2275711159737416E-2</v>
      </c>
      <c r="I308" s="60">
        <f>'Batting Data'!O308/'Batting Data'!J308</f>
        <v>8.5156819839533188E-2</v>
      </c>
      <c r="J308" s="60">
        <f>'Batting Data'!P308/'Batting Data'!J308</f>
        <v>1.4405543398978848E-2</v>
      </c>
      <c r="K308" s="60">
        <f>'Batting Data'!Q308/'Batting Data'!J308</f>
        <v>0.63293216630196936</v>
      </c>
      <c r="L308" s="2" t="str">
        <f t="shared" si="9"/>
        <v>2010 Chicago White Sox</v>
      </c>
      <c r="M308" s="58">
        <f>'Pitching Data'!Q308/'Pitching Data'!P308</f>
        <v>0.16666666666666666</v>
      </c>
      <c r="N308" s="58">
        <f>'Pitching Data'!R308/'Pitching Data'!P308</f>
        <v>4.6116504854368932E-2</v>
      </c>
      <c r="O308" s="58">
        <f>'Pitching Data'!S308/'Pitching Data'!P308</f>
        <v>3.2362459546925568E-3</v>
      </c>
      <c r="P308" s="58">
        <f>'Pitching Data'!T308/'Pitching Data'!P308</f>
        <v>2.2006472491909384E-2</v>
      </c>
      <c r="Q308" s="58">
        <f>'Pitching Data'!U308/'Pitching Data'!P308</f>
        <v>7.9288025889967639E-2</v>
      </c>
      <c r="R308" s="58">
        <f>'Pitching Data'!V308/'Pitching Data'!P308</f>
        <v>5.501618122977346E-3</v>
      </c>
      <c r="S308" s="58">
        <f>'Pitching Data'!W308/'Pitching Data'!P308</f>
        <v>0.67718446601941751</v>
      </c>
    </row>
    <row r="309" spans="2:19" x14ac:dyDescent="0.5">
      <c r="B309" s="2">
        <v>2010</v>
      </c>
      <c r="C309" s="2" t="s">
        <v>52</v>
      </c>
      <c r="D309" s="2" t="str">
        <f t="shared" si="8"/>
        <v>2010 Cincinnati Reds</v>
      </c>
      <c r="E309" s="60">
        <f>'Batting Data'!K309/'Batting Data'!J309</f>
        <v>0.17996056640975086</v>
      </c>
      <c r="F309" s="60">
        <f>'Batting Data'!L309/'Batting Data'!J309</f>
        <v>5.2518372468184263E-2</v>
      </c>
      <c r="G309" s="60">
        <f>'Batting Data'!M309/'Batting Data'!J309</f>
        <v>5.3773077612475351E-3</v>
      </c>
      <c r="H309" s="60">
        <f>'Batting Data'!N309/'Batting Data'!J309</f>
        <v>3.369779530381789E-2</v>
      </c>
      <c r="I309" s="60">
        <f>'Batting Data'!O309/'Batting Data'!J309</f>
        <v>9.3565155045707116E-2</v>
      </c>
      <c r="J309" s="60">
        <f>'Batting Data'!P309/'Batting Data'!J309</f>
        <v>1.2188564258827746E-2</v>
      </c>
      <c r="K309" s="60">
        <f>'Batting Data'!Q309/'Batting Data'!J309</f>
        <v>0.6226922387524646</v>
      </c>
      <c r="L309" s="2" t="str">
        <f t="shared" si="9"/>
        <v>2010 Cincinnati Reds</v>
      </c>
      <c r="M309" s="58">
        <f>'Pitching Data'!Q309/'Pitching Data'!P309</f>
        <v>0.15399547072144937</v>
      </c>
      <c r="N309" s="58">
        <f>'Pitching Data'!R309/'Pitching Data'!P309</f>
        <v>4.4645745713361371E-2</v>
      </c>
      <c r="O309" s="58">
        <f>'Pitching Data'!S309/'Pitching Data'!P309</f>
        <v>2.9116790682626984E-3</v>
      </c>
      <c r="P309" s="58">
        <f>'Pitching Data'!T309/'Pitching Data'!P309</f>
        <v>2.5558071821417016E-2</v>
      </c>
      <c r="Q309" s="58">
        <f>'Pitching Data'!U309/'Pitching Data'!P309</f>
        <v>8.4762212876091883E-2</v>
      </c>
      <c r="R309" s="58">
        <f>'Pitching Data'!V309/'Pitching Data'!P309</f>
        <v>8.0879974118408283E-3</v>
      </c>
      <c r="S309" s="58">
        <f>'Pitching Data'!W309/'Pitching Data'!P309</f>
        <v>0.68003882238757685</v>
      </c>
    </row>
    <row r="310" spans="2:19" x14ac:dyDescent="0.5">
      <c r="B310" s="2">
        <v>2010</v>
      </c>
      <c r="C310" s="2" t="s">
        <v>54</v>
      </c>
      <c r="D310" s="2" t="str">
        <f t="shared" si="8"/>
        <v>2010 Cleveland Indians</v>
      </c>
      <c r="E310" s="60">
        <f>'Batting Data'!K310/'Batting Data'!J310</f>
        <v>0.16839803171131765</v>
      </c>
      <c r="F310" s="60">
        <f>'Batting Data'!L310/'Batting Data'!J310</f>
        <v>5.2852196099872427E-2</v>
      </c>
      <c r="G310" s="60">
        <f>'Batting Data'!M310/'Batting Data'!J310</f>
        <v>3.6449790413705121E-3</v>
      </c>
      <c r="H310" s="60">
        <f>'Batting Data'!N310/'Batting Data'!J310</f>
        <v>2.3327865864771279E-2</v>
      </c>
      <c r="I310" s="60">
        <f>'Batting Data'!O310/'Batting Data'!J310</f>
        <v>9.932567887734646E-2</v>
      </c>
      <c r="J310" s="60">
        <f>'Batting Data'!P310/'Batting Data'!J310</f>
        <v>1.1663932932385639E-2</v>
      </c>
      <c r="K310" s="60">
        <f>'Batting Data'!Q310/'Batting Data'!J310</f>
        <v>0.64078731547293599</v>
      </c>
      <c r="L310" s="2" t="str">
        <f t="shared" si="9"/>
        <v>2010 Cleveland Indians</v>
      </c>
      <c r="M310" s="58">
        <f>'Pitching Data'!Q310/'Pitching Data'!P310</f>
        <v>0.1597043701799486</v>
      </c>
      <c r="N310" s="58">
        <f>'Pitching Data'!R310/'Pitching Data'!P310</f>
        <v>4.9325192802056557E-2</v>
      </c>
      <c r="O310" s="58">
        <f>'Pitching Data'!S310/'Pitching Data'!P310</f>
        <v>4.6593830334190232E-3</v>
      </c>
      <c r="P310" s="58">
        <f>'Pitching Data'!T310/'Pitching Data'!P310</f>
        <v>2.3618251928020566E-2</v>
      </c>
      <c r="Q310" s="58">
        <f>'Pitching Data'!U310/'Pitching Data'!P310</f>
        <v>9.1902313624678669E-2</v>
      </c>
      <c r="R310" s="58">
        <f>'Pitching Data'!V310/'Pitching Data'!P310</f>
        <v>1.0604113110539846E-2</v>
      </c>
      <c r="S310" s="58">
        <f>'Pitching Data'!W310/'Pitching Data'!P310</f>
        <v>0.66018637532133673</v>
      </c>
    </row>
    <row r="311" spans="2:19" x14ac:dyDescent="0.5">
      <c r="B311" s="2">
        <v>2010</v>
      </c>
      <c r="C311" s="2" t="s">
        <v>56</v>
      </c>
      <c r="D311" s="2" t="str">
        <f t="shared" si="8"/>
        <v>2010 Colorado Rockies</v>
      </c>
      <c r="E311" s="60">
        <f>'Batting Data'!K311/'Batting Data'!J311</f>
        <v>0.17269439421338156</v>
      </c>
      <c r="F311" s="60">
        <f>'Batting Data'!L311/'Batting Data'!J311</f>
        <v>4.8824593128390596E-2</v>
      </c>
      <c r="G311" s="60">
        <f>'Batting Data'!M311/'Batting Data'!J311</f>
        <v>9.7649186256781196E-3</v>
      </c>
      <c r="H311" s="60">
        <f>'Batting Data'!N311/'Batting Data'!J311</f>
        <v>3.1283905967450273E-2</v>
      </c>
      <c r="I311" s="60">
        <f>'Batting Data'!O311/'Batting Data'!J311</f>
        <v>0.1057866184448463</v>
      </c>
      <c r="J311" s="60">
        <f>'Batting Data'!P311/'Batting Data'!J311</f>
        <v>8.4990958408679932E-3</v>
      </c>
      <c r="K311" s="60">
        <f>'Batting Data'!Q311/'Batting Data'!J311</f>
        <v>0.62314647377938515</v>
      </c>
      <c r="L311" s="2" t="str">
        <f t="shared" si="9"/>
        <v>2010 Colorado Rockies</v>
      </c>
      <c r="M311" s="58">
        <f>'Pitching Data'!Q311/'Pitching Data'!P311</f>
        <v>0.15432199251180206</v>
      </c>
      <c r="N311" s="58">
        <f>'Pitching Data'!R311/'Pitching Data'!P311</f>
        <v>4.7045417548429107E-2</v>
      </c>
      <c r="O311" s="58">
        <f>'Pitching Data'!S311/'Pitching Data'!P311</f>
        <v>4.7208204460361383E-3</v>
      </c>
      <c r="P311" s="58">
        <f>'Pitching Data'!T311/'Pitching Data'!P311</f>
        <v>2.2627380758587008E-2</v>
      </c>
      <c r="Q311" s="58">
        <f>'Pitching Data'!U311/'Pitching Data'!P311</f>
        <v>8.5463128764447338E-2</v>
      </c>
      <c r="R311" s="58">
        <f>'Pitching Data'!V311/'Pitching Data'!P311</f>
        <v>9.1160670682077158E-3</v>
      </c>
      <c r="S311" s="58">
        <f>'Pitching Data'!W311/'Pitching Data'!P311</f>
        <v>0.67670519290249065</v>
      </c>
    </row>
    <row r="312" spans="2:19" x14ac:dyDescent="0.5">
      <c r="B312" s="2">
        <v>2010</v>
      </c>
      <c r="C312" s="2" t="s">
        <v>58</v>
      </c>
      <c r="D312" s="2" t="str">
        <f t="shared" si="8"/>
        <v>2010 Detroit Tigers</v>
      </c>
      <c r="E312" s="60">
        <f>'Batting Data'!K312/'Batting Data'!J312</f>
        <v>0.18128654970760233</v>
      </c>
      <c r="F312" s="60">
        <f>'Batting Data'!L312/'Batting Data'!J312</f>
        <v>5.4580896686159841E-2</v>
      </c>
      <c r="G312" s="60">
        <f>'Batting Data'!M312/'Batting Data'!J312</f>
        <v>5.6707425128477758E-3</v>
      </c>
      <c r="H312" s="60">
        <f>'Batting Data'!N312/'Batting Data'!J312</f>
        <v>2.6936026936026935E-2</v>
      </c>
      <c r="I312" s="60">
        <f>'Batting Data'!O312/'Batting Data'!J312</f>
        <v>9.675704412546518E-2</v>
      </c>
      <c r="J312" s="60">
        <f>'Batting Data'!P312/'Batting Data'!J312</f>
        <v>7.2656388445862131E-3</v>
      </c>
      <c r="K312" s="60">
        <f>'Batting Data'!Q312/'Batting Data'!J312</f>
        <v>0.62750310118731167</v>
      </c>
      <c r="L312" s="2" t="str">
        <f t="shared" si="9"/>
        <v>2010 Detroit Tigers</v>
      </c>
      <c r="M312" s="58">
        <f>'Pitching Data'!Q312/'Pitching Data'!P312</f>
        <v>0.16408518877057116</v>
      </c>
      <c r="N312" s="58">
        <f>'Pitching Data'!R312/'Pitching Data'!P312</f>
        <v>3.920619554695063E-2</v>
      </c>
      <c r="O312" s="58">
        <f>'Pitching Data'!S312/'Pitching Data'!P312</f>
        <v>6.9377218457566956E-3</v>
      </c>
      <c r="P312" s="58">
        <f>'Pitching Data'!T312/'Pitching Data'!P312</f>
        <v>2.2910616327847692E-2</v>
      </c>
      <c r="Q312" s="58">
        <f>'Pitching Data'!U312/'Pitching Data'!P312</f>
        <v>8.6640851887705705E-2</v>
      </c>
      <c r="R312" s="58">
        <f>'Pitching Data'!V312/'Pitching Data'!P312</f>
        <v>1.0487253952888029E-2</v>
      </c>
      <c r="S312" s="58">
        <f>'Pitching Data'!W312/'Pitching Data'!P312</f>
        <v>0.66973217166828014</v>
      </c>
    </row>
    <row r="313" spans="2:19" x14ac:dyDescent="0.5">
      <c r="B313" s="2">
        <v>2010</v>
      </c>
      <c r="C313" s="2" t="s">
        <v>60</v>
      </c>
      <c r="D313" s="2" t="str">
        <f t="shared" si="8"/>
        <v>2010 Florida Marlins</v>
      </c>
      <c r="E313" s="60">
        <f>'Batting Data'!K313/'Batting Data'!J313</f>
        <v>0.16633520159103235</v>
      </c>
      <c r="F313" s="60">
        <f>'Batting Data'!L313/'Batting Data'!J313</f>
        <v>5.3154944856264687E-2</v>
      </c>
      <c r="G313" s="60">
        <f>'Batting Data'!M313/'Batting Data'!J313</f>
        <v>6.6895678900741277E-3</v>
      </c>
      <c r="H313" s="60">
        <f>'Batting Data'!N313/'Batting Data'!J313</f>
        <v>2.7481468088953173E-2</v>
      </c>
      <c r="I313" s="60">
        <f>'Batting Data'!O313/'Batting Data'!J313</f>
        <v>9.2930753932381122E-2</v>
      </c>
      <c r="J313" s="60">
        <f>'Batting Data'!P313/'Batting Data'!J313</f>
        <v>9.9439522690291087E-3</v>
      </c>
      <c r="K313" s="60">
        <f>'Batting Data'!Q313/'Batting Data'!J313</f>
        <v>0.64346411137226545</v>
      </c>
      <c r="L313" s="2" t="str">
        <f t="shared" si="9"/>
        <v>2010 Florida Marlins</v>
      </c>
      <c r="M313" s="58">
        <f>'Pitching Data'!Q313/'Pitching Data'!P313</f>
        <v>0.15795399710471289</v>
      </c>
      <c r="N313" s="58">
        <f>'Pitching Data'!R313/'Pitching Data'!P313</f>
        <v>4.5359498150233234E-2</v>
      </c>
      <c r="O313" s="58">
        <f>'Pitching Data'!S313/'Pitching Data'!P313</f>
        <v>5.6297249477239826E-3</v>
      </c>
      <c r="P313" s="58">
        <f>'Pitching Data'!T313/'Pitching Data'!P313</f>
        <v>2.155380408557182E-2</v>
      </c>
      <c r="Q313" s="58">
        <f>'Pitching Data'!U313/'Pitching Data'!P313</f>
        <v>8.830625703715618E-2</v>
      </c>
      <c r="R313" s="58">
        <f>'Pitching Data'!V313/'Pitching Data'!P313</f>
        <v>8.2033134952549467E-3</v>
      </c>
      <c r="S313" s="58">
        <f>'Pitching Data'!W313/'Pitching Data'!P313</f>
        <v>0.67299340517934692</v>
      </c>
    </row>
    <row r="314" spans="2:19" x14ac:dyDescent="0.5">
      <c r="B314" s="2">
        <v>2010</v>
      </c>
      <c r="C314" s="2" t="s">
        <v>62</v>
      </c>
      <c r="D314" s="2" t="str">
        <f t="shared" si="8"/>
        <v>2010 Houston Astros</v>
      </c>
      <c r="E314" s="60">
        <f>'Batting Data'!K314/'Batting Data'!J314</f>
        <v>0.17663242846661775</v>
      </c>
      <c r="F314" s="60">
        <f>'Batting Data'!L314/'Batting Data'!J314</f>
        <v>4.6221570066030816E-2</v>
      </c>
      <c r="G314" s="60">
        <f>'Batting Data'!M314/'Batting Data'!J314</f>
        <v>4.5854732208363905E-3</v>
      </c>
      <c r="H314" s="60">
        <f>'Batting Data'!N314/'Batting Data'!J314</f>
        <v>1.9809244314013204E-2</v>
      </c>
      <c r="I314" s="60">
        <f>'Batting Data'!O314/'Batting Data'!J314</f>
        <v>7.611885546588408E-2</v>
      </c>
      <c r="J314" s="60">
        <f>'Batting Data'!P314/'Batting Data'!J314</f>
        <v>6.0528246515040348E-3</v>
      </c>
      <c r="K314" s="60">
        <f>'Batting Data'!Q314/'Batting Data'!J314</f>
        <v>0.67057960381511372</v>
      </c>
      <c r="L314" s="2" t="str">
        <f t="shared" si="9"/>
        <v>2010 Houston Astros</v>
      </c>
      <c r="M314" s="58">
        <f>'Pitching Data'!Q314/'Pitching Data'!P314</f>
        <v>0.15753094357820285</v>
      </c>
      <c r="N314" s="58">
        <f>'Pitching Data'!R314/'Pitching Data'!P314</f>
        <v>4.6455553769490433E-2</v>
      </c>
      <c r="O314" s="58">
        <f>'Pitching Data'!S314/'Pitching Data'!P314</f>
        <v>5.9475968493811282E-3</v>
      </c>
      <c r="P314" s="58">
        <f>'Pitching Data'!T314/'Pitching Data'!P314</f>
        <v>2.2504420511171838E-2</v>
      </c>
      <c r="Q314" s="58">
        <f>'Pitching Data'!U314/'Pitching Data'!P314</f>
        <v>8.8088731715158339E-2</v>
      </c>
      <c r="R314" s="58">
        <f>'Pitching Data'!V314/'Pitching Data'!P314</f>
        <v>6.4298344317633817E-3</v>
      </c>
      <c r="S314" s="58">
        <f>'Pitching Data'!W314/'Pitching Data'!P314</f>
        <v>0.67304291914483205</v>
      </c>
    </row>
    <row r="315" spans="2:19" x14ac:dyDescent="0.5">
      <c r="B315" s="2">
        <v>2010</v>
      </c>
      <c r="C315" s="2" t="s">
        <v>64</v>
      </c>
      <c r="D315" s="2" t="str">
        <f t="shared" si="8"/>
        <v>2010 Kansas City Royals</v>
      </c>
      <c r="E315" s="60">
        <f>'Batting Data'!K315/'Batting Data'!J315</f>
        <v>0.19682369735902927</v>
      </c>
      <c r="F315" s="60">
        <f>'Batting Data'!L315/'Batting Data'!J315</f>
        <v>4.9785867237687367E-2</v>
      </c>
      <c r="G315" s="60">
        <f>'Batting Data'!M315/'Batting Data'!J315</f>
        <v>5.5317630264097072E-3</v>
      </c>
      <c r="H315" s="60">
        <f>'Batting Data'!N315/'Batting Data'!J315</f>
        <v>2.1591720199857244E-2</v>
      </c>
      <c r="I315" s="60">
        <f>'Batting Data'!O315/'Batting Data'!J315</f>
        <v>8.4047109207708776E-2</v>
      </c>
      <c r="J315" s="60">
        <f>'Batting Data'!P315/'Batting Data'!J315</f>
        <v>6.2455389007851532E-3</v>
      </c>
      <c r="K315" s="60">
        <f>'Batting Data'!Q315/'Batting Data'!J315</f>
        <v>0.63597430406852251</v>
      </c>
      <c r="L315" s="2" t="str">
        <f t="shared" si="9"/>
        <v>2010 Kansas City Royals</v>
      </c>
      <c r="M315" s="58">
        <f>'Pitching Data'!Q315/'Pitching Data'!P315</f>
        <v>0.16311384809726828</v>
      </c>
      <c r="N315" s="58">
        <f>'Pitching Data'!R315/'Pitching Data'!P315</f>
        <v>5.0686878256750355E-2</v>
      </c>
      <c r="O315" s="58">
        <f>'Pitching Data'!S315/'Pitching Data'!P315</f>
        <v>3.6317700931627981E-3</v>
      </c>
      <c r="P315" s="58">
        <f>'Pitching Data'!T315/'Pitching Data'!P315</f>
        <v>2.7790936365071846E-2</v>
      </c>
      <c r="Q315" s="58">
        <f>'Pitching Data'!U315/'Pitching Data'!P315</f>
        <v>8.7004579188378339E-2</v>
      </c>
      <c r="R315" s="58">
        <f>'Pitching Data'!V315/'Pitching Data'!P315</f>
        <v>7.4214432338544131E-3</v>
      </c>
      <c r="S315" s="58">
        <f>'Pitching Data'!W315/'Pitching Data'!P315</f>
        <v>0.66035054476551402</v>
      </c>
    </row>
    <row r="316" spans="2:19" x14ac:dyDescent="0.5">
      <c r="B316" s="2">
        <v>2010</v>
      </c>
      <c r="C316" s="2" t="s">
        <v>66</v>
      </c>
      <c r="D316" s="2" t="str">
        <f t="shared" si="8"/>
        <v>2010 Los Angeles Dodgers</v>
      </c>
      <c r="E316" s="60">
        <f>'Batting Data'!K316/'Batting Data'!J316</f>
        <v>0.17489863619609289</v>
      </c>
      <c r="F316" s="60">
        <f>'Batting Data'!L316/'Batting Data'!J316</f>
        <v>4.976041282712864E-2</v>
      </c>
      <c r="G316" s="60">
        <f>'Batting Data'!M316/'Batting Data'!J316</f>
        <v>5.3446369332841876E-3</v>
      </c>
      <c r="H316" s="60">
        <f>'Batting Data'!N316/'Batting Data'!J316</f>
        <v>2.2115739034279394E-2</v>
      </c>
      <c r="I316" s="60">
        <f>'Batting Data'!O316/'Batting Data'!J316</f>
        <v>9.8230740877257652E-2</v>
      </c>
      <c r="J316" s="60">
        <f>'Batting Data'!P316/'Batting Data'!J316</f>
        <v>8.4776999631404355E-3</v>
      </c>
      <c r="K316" s="60">
        <f>'Batting Data'!Q316/'Batting Data'!J316</f>
        <v>0.6411721341688168</v>
      </c>
      <c r="L316" s="2" t="str">
        <f t="shared" si="9"/>
        <v>2010 Los Angeles Dodgers</v>
      </c>
      <c r="M316" s="58">
        <f>'Pitching Data'!Q316/'Pitching Data'!P316</f>
        <v>0.14769581501384138</v>
      </c>
      <c r="N316" s="58">
        <f>'Pitching Data'!R316/'Pitching Data'!P316</f>
        <v>3.940726266080443E-2</v>
      </c>
      <c r="O316" s="58">
        <f>'Pitching Data'!S316/'Pitching Data'!P316</f>
        <v>6.5135971340172611E-3</v>
      </c>
      <c r="P316" s="58">
        <f>'Pitching Data'!T316/'Pitching Data'!P316</f>
        <v>2.1820550398957826E-2</v>
      </c>
      <c r="Q316" s="58">
        <f>'Pitching Data'!U316/'Pitching Data'!P316</f>
        <v>8.7770721380882599E-2</v>
      </c>
      <c r="R316" s="58">
        <f>'Pitching Data'!V316/'Pitching Data'!P316</f>
        <v>9.4447158443250277E-3</v>
      </c>
      <c r="S316" s="58">
        <f>'Pitching Data'!W316/'Pitching Data'!P316</f>
        <v>0.68734733756717148</v>
      </c>
    </row>
    <row r="317" spans="2:19" x14ac:dyDescent="0.5">
      <c r="B317" s="2">
        <v>2010</v>
      </c>
      <c r="C317" s="2" t="s">
        <v>68</v>
      </c>
      <c r="D317" s="2" t="str">
        <f t="shared" si="8"/>
        <v>2010 Milwaukee Brewers</v>
      </c>
      <c r="E317" s="60">
        <f>'Batting Data'!K317/'Batting Data'!J317</f>
        <v>0.17178023546200499</v>
      </c>
      <c r="F317" s="60">
        <f>'Batting Data'!L317/'Batting Data'!J317</f>
        <v>5.2265429896539421E-2</v>
      </c>
      <c r="G317" s="60">
        <f>'Batting Data'!M317/'Batting Data'!J317</f>
        <v>5.8865501248662145E-3</v>
      </c>
      <c r="H317" s="60">
        <f>'Batting Data'!N317/'Batting Data'!J317</f>
        <v>3.2465215840171244E-2</v>
      </c>
      <c r="I317" s="60">
        <f>'Batting Data'!O317/'Batting Data'!J317</f>
        <v>9.7395647520513731E-2</v>
      </c>
      <c r="J317" s="60">
        <f>'Batting Data'!P317/'Batting Data'!J317</f>
        <v>1.4448804851944346E-2</v>
      </c>
      <c r="K317" s="60">
        <f>'Batting Data'!Q317/'Batting Data'!J317</f>
        <v>0.62575811630396005</v>
      </c>
      <c r="L317" s="2" t="str">
        <f t="shared" si="9"/>
        <v>2010 Milwaukee Brewers</v>
      </c>
      <c r="M317" s="58">
        <f>'Pitching Data'!Q317/'Pitching Data'!P317</f>
        <v>0.15211891208096143</v>
      </c>
      <c r="N317" s="58">
        <f>'Pitching Data'!R317/'Pitching Data'!P317</f>
        <v>5.2024035420619862E-2</v>
      </c>
      <c r="O317" s="58">
        <f>'Pitching Data'!S317/'Pitching Data'!P317</f>
        <v>3.6369386464263124E-3</v>
      </c>
      <c r="P317" s="58">
        <f>'Pitching Data'!T317/'Pitching Data'!P317</f>
        <v>2.7356103731815306E-2</v>
      </c>
      <c r="Q317" s="58">
        <f>'Pitching Data'!U317/'Pitching Data'!P317</f>
        <v>9.2030360531309294E-2</v>
      </c>
      <c r="R317" s="58">
        <f>'Pitching Data'!V317/'Pitching Data'!P317</f>
        <v>7.5901328273244783E-3</v>
      </c>
      <c r="S317" s="58">
        <f>'Pitching Data'!W317/'Pitching Data'!P317</f>
        <v>0.66524351676154336</v>
      </c>
    </row>
    <row r="318" spans="2:19" x14ac:dyDescent="0.5">
      <c r="B318" s="2">
        <v>2010</v>
      </c>
      <c r="C318" s="2" t="s">
        <v>70</v>
      </c>
      <c r="D318" s="2" t="str">
        <f t="shared" si="8"/>
        <v>2010 Minnesota Twins</v>
      </c>
      <c r="E318" s="60">
        <f>'Batting Data'!K318/'Batting Data'!J318</f>
        <v>0.18318965517241378</v>
      </c>
      <c r="F318" s="60">
        <f>'Batting Data'!L318/'Batting Data'!J318</f>
        <v>5.7112068965517244E-2</v>
      </c>
      <c r="G318" s="60">
        <f>'Batting Data'!M318/'Batting Data'!J318</f>
        <v>7.3635057471264365E-3</v>
      </c>
      <c r="H318" s="60">
        <f>'Batting Data'!N318/'Batting Data'!J318</f>
        <v>2.5502873563218391E-2</v>
      </c>
      <c r="I318" s="60">
        <f>'Batting Data'!O318/'Batting Data'!J318</f>
        <v>0.10039511494252873</v>
      </c>
      <c r="J318" s="60">
        <f>'Batting Data'!P318/'Batting Data'!J318</f>
        <v>7.0043103448275863E-3</v>
      </c>
      <c r="K318" s="60">
        <f>'Batting Data'!Q318/'Batting Data'!J318</f>
        <v>0.61943247126436785</v>
      </c>
      <c r="L318" s="2" t="str">
        <f t="shared" si="9"/>
        <v>2010 Minnesota Twins</v>
      </c>
      <c r="M318" s="58">
        <f>'Pitching Data'!Q318/'Pitching Data'!P318</f>
        <v>0.16311824434981986</v>
      </c>
      <c r="N318" s="58">
        <f>'Pitching Data'!R318/'Pitching Data'!P318</f>
        <v>5.0278414674091061E-2</v>
      </c>
      <c r="O318" s="58">
        <f>'Pitching Data'!S318/'Pitching Data'!P318</f>
        <v>5.7320668195217821E-3</v>
      </c>
      <c r="P318" s="58">
        <f>'Pitching Data'!T318/'Pitching Data'!P318</f>
        <v>2.5384867343596462E-2</v>
      </c>
      <c r="Q318" s="58">
        <f>'Pitching Data'!U318/'Pitching Data'!P318</f>
        <v>6.272518833933835E-2</v>
      </c>
      <c r="R318" s="58">
        <f>'Pitching Data'!V318/'Pitching Data'!P318</f>
        <v>7.69734687192925E-3</v>
      </c>
      <c r="S318" s="58">
        <f>'Pitching Data'!W318/'Pitching Data'!P318</f>
        <v>0.68506387160170323</v>
      </c>
    </row>
    <row r="319" spans="2:19" x14ac:dyDescent="0.5">
      <c r="B319" s="2">
        <v>2010</v>
      </c>
      <c r="C319" s="2" t="s">
        <v>76</v>
      </c>
      <c r="D319" s="2" t="str">
        <f t="shared" si="8"/>
        <v>2010 New York Mets</v>
      </c>
      <c r="E319" s="60">
        <f>'Batting Data'!K319/'Batting Data'!J319</f>
        <v>0.16962488563586459</v>
      </c>
      <c r="F319" s="60">
        <f>'Batting Data'!L319/'Batting Data'!J319</f>
        <v>4.8673376029277217E-2</v>
      </c>
      <c r="G319" s="60">
        <f>'Batting Data'!M319/'Batting Data'!J319</f>
        <v>7.319304666056725E-3</v>
      </c>
      <c r="H319" s="60">
        <f>'Batting Data'!N319/'Batting Data'!J319</f>
        <v>2.342177493138152E-2</v>
      </c>
      <c r="I319" s="60">
        <f>'Batting Data'!O319/'Batting Data'!J319</f>
        <v>9.1857273559011896E-2</v>
      </c>
      <c r="J319" s="60">
        <f>'Batting Data'!P319/'Batting Data'!J319</f>
        <v>8.4172003659652335E-3</v>
      </c>
      <c r="K319" s="60">
        <f>'Batting Data'!Q319/'Batting Data'!J319</f>
        <v>0.65068618481244278</v>
      </c>
      <c r="L319" s="2" t="str">
        <f t="shared" si="9"/>
        <v>2010 New York Mets</v>
      </c>
      <c r="M319" s="58">
        <f>'Pitching Data'!Q319/'Pitching Data'!P319</f>
        <v>0.15916733386709367</v>
      </c>
      <c r="N319" s="58">
        <f>'Pitching Data'!R319/'Pitching Data'!P319</f>
        <v>4.5156124899919936E-2</v>
      </c>
      <c r="O319" s="58">
        <f>'Pitching Data'!S319/'Pitching Data'!P319</f>
        <v>4.3234587670136111E-3</v>
      </c>
      <c r="P319" s="58">
        <f>'Pitching Data'!T319/'Pitching Data'!P319</f>
        <v>2.1617293835068056E-2</v>
      </c>
      <c r="Q319" s="58">
        <f>'Pitching Data'!U319/'Pitching Data'!P319</f>
        <v>8.7269815852682148E-2</v>
      </c>
      <c r="R319" s="58">
        <f>'Pitching Data'!V319/'Pitching Data'!P319</f>
        <v>8.3266613290632514E-3</v>
      </c>
      <c r="S319" s="58">
        <f>'Pitching Data'!W319/'Pitching Data'!P319</f>
        <v>0.67413931144915928</v>
      </c>
    </row>
    <row r="320" spans="2:19" x14ac:dyDescent="0.5">
      <c r="B320" s="2">
        <v>2010</v>
      </c>
      <c r="C320" s="2" t="s">
        <v>74</v>
      </c>
      <c r="D320" s="2" t="str">
        <f t="shared" si="8"/>
        <v>2010 New York Yankees</v>
      </c>
      <c r="E320" s="60">
        <f>'Batting Data'!K320/'Batting Data'!J320</f>
        <v>0.17549847314532063</v>
      </c>
      <c r="F320" s="60">
        <f>'Batting Data'!L320/'Batting Data'!J320</f>
        <v>4.9398239626369682E-2</v>
      </c>
      <c r="G320" s="60">
        <f>'Batting Data'!M320/'Batting Data'!J320</f>
        <v>5.7481587928866536E-3</v>
      </c>
      <c r="H320" s="60">
        <f>'Batting Data'!N320/'Batting Data'!J320</f>
        <v>3.610562241781929E-2</v>
      </c>
      <c r="I320" s="60">
        <f>'Batting Data'!O320/'Batting Data'!J320</f>
        <v>0.11891503502784265</v>
      </c>
      <c r="J320" s="60">
        <f>'Batting Data'!P320/'Batting Data'!J320</f>
        <v>1.3112987246272679E-2</v>
      </c>
      <c r="K320" s="60">
        <f>'Batting Data'!Q320/'Batting Data'!J320</f>
        <v>0.60122148374348838</v>
      </c>
      <c r="L320" s="2" t="str">
        <f t="shared" si="9"/>
        <v>2010 New York Yankees</v>
      </c>
      <c r="M320" s="58">
        <f>'Pitching Data'!Q320/'Pitching Data'!P320</f>
        <v>0.14913143231727302</v>
      </c>
      <c r="N320" s="58">
        <f>'Pitching Data'!R320/'Pitching Data'!P320</f>
        <v>4.0314650934119962E-2</v>
      </c>
      <c r="O320" s="58">
        <f>'Pitching Data'!S320/'Pitching Data'!P320</f>
        <v>2.2943297279580466E-3</v>
      </c>
      <c r="P320" s="58">
        <f>'Pitching Data'!T320/'Pitching Data'!P320</f>
        <v>2.9334644378892168E-2</v>
      </c>
      <c r="Q320" s="58">
        <f>'Pitching Data'!U320/'Pitching Data'!P320</f>
        <v>8.8495575221238937E-2</v>
      </c>
      <c r="R320" s="58">
        <f>'Pitching Data'!V320/'Pitching Data'!P320</f>
        <v>1.0160603080957063E-2</v>
      </c>
      <c r="S320" s="58">
        <f>'Pitching Data'!W320/'Pitching Data'!P320</f>
        <v>0.68026876433956085</v>
      </c>
    </row>
    <row r="321" spans="2:19" x14ac:dyDescent="0.5">
      <c r="B321" s="2">
        <v>2010</v>
      </c>
      <c r="C321" s="2" t="s">
        <v>78</v>
      </c>
      <c r="D321" s="2" t="str">
        <f t="shared" si="8"/>
        <v>2010 Oakland Athletics</v>
      </c>
      <c r="E321" s="60">
        <f>'Batting Data'!K321/'Batting Data'!J321</f>
        <v>0.1800660792951542</v>
      </c>
      <c r="F321" s="60">
        <f>'Batting Data'!L321/'Batting Data'!J321</f>
        <v>5.0660792951541848E-2</v>
      </c>
      <c r="G321" s="60">
        <f>'Batting Data'!M321/'Batting Data'!J321</f>
        <v>5.5066079295154188E-3</v>
      </c>
      <c r="H321" s="60">
        <f>'Batting Data'!N321/'Batting Data'!J321</f>
        <v>2.000734214390602E-2</v>
      </c>
      <c r="I321" s="60">
        <f>'Batting Data'!O321/'Batting Data'!J321</f>
        <v>9.6732745961820854E-2</v>
      </c>
      <c r="J321" s="60">
        <f>'Batting Data'!P321/'Batting Data'!J321</f>
        <v>8.627019089574155E-3</v>
      </c>
      <c r="K321" s="60">
        <f>'Batting Data'!Q321/'Batting Data'!J321</f>
        <v>0.63839941262848754</v>
      </c>
      <c r="L321" s="2" t="str">
        <f t="shared" si="9"/>
        <v>2010 Oakland Athletics</v>
      </c>
      <c r="M321" s="58">
        <f>'Pitching Data'!Q321/'Pitching Data'!P321</f>
        <v>0.15188820495757777</v>
      </c>
      <c r="N321" s="58">
        <f>'Pitching Data'!R321/'Pitching Data'!P321</f>
        <v>3.8595907502911329E-2</v>
      </c>
      <c r="O321" s="58">
        <f>'Pitching Data'!S321/'Pitching Data'!P321</f>
        <v>2.828148394609882E-3</v>
      </c>
      <c r="P321" s="58">
        <f>'Pitching Data'!T321/'Pitching Data'!P321</f>
        <v>2.5453335551488938E-2</v>
      </c>
      <c r="Q321" s="58">
        <f>'Pitching Data'!U321/'Pitching Data'!P321</f>
        <v>8.5177175178838799E-2</v>
      </c>
      <c r="R321" s="58">
        <f>'Pitching Data'!V321/'Pitching Data'!P321</f>
        <v>6.3217434703044416E-3</v>
      </c>
      <c r="S321" s="58">
        <f>'Pitching Data'!W321/'Pitching Data'!P321</f>
        <v>0.68973548494426884</v>
      </c>
    </row>
    <row r="322" spans="2:19" x14ac:dyDescent="0.5">
      <c r="B322" s="2">
        <v>2010</v>
      </c>
      <c r="C322" s="2" t="s">
        <v>80</v>
      </c>
      <c r="D322" s="2" t="str">
        <f t="shared" si="8"/>
        <v>2010 Philadelphia Phillies</v>
      </c>
      <c r="E322" s="60">
        <f>'Batting Data'!K322/'Batting Data'!J322</f>
        <v>0.17219136355491849</v>
      </c>
      <c r="F322" s="60">
        <f>'Batting Data'!L322/'Batting Data'!J322</f>
        <v>5.1962013975989964E-2</v>
      </c>
      <c r="G322" s="60">
        <f>'Batting Data'!M322/'Batting Data'!J322</f>
        <v>6.0920981902884783E-3</v>
      </c>
      <c r="H322" s="60">
        <f>'Batting Data'!N322/'Batting Data'!J322</f>
        <v>2.9743773517290809E-2</v>
      </c>
      <c r="I322" s="60">
        <f>'Batting Data'!O322/'Batting Data'!J322</f>
        <v>0.10034044078122201</v>
      </c>
      <c r="J322" s="60">
        <f>'Batting Data'!P322/'Batting Data'!J322</f>
        <v>1.1288299587887475E-2</v>
      </c>
      <c r="K322" s="60">
        <f>'Batting Data'!Q322/'Batting Data'!J322</f>
        <v>0.62838201039240282</v>
      </c>
      <c r="L322" s="2" t="str">
        <f t="shared" si="9"/>
        <v>2010 Philadelphia Phillies</v>
      </c>
      <c r="M322" s="58">
        <f>'Pitching Data'!Q322/'Pitching Data'!P322</f>
        <v>0.15209187858900738</v>
      </c>
      <c r="N322" s="58">
        <f>'Pitching Data'!R322/'Pitching Data'!P322</f>
        <v>4.6431501230516814E-2</v>
      </c>
      <c r="O322" s="58">
        <f>'Pitching Data'!S322/'Pitching Data'!P322</f>
        <v>3.9376538146021333E-3</v>
      </c>
      <c r="P322" s="58">
        <f>'Pitching Data'!T322/'Pitching Data'!P322</f>
        <v>2.7563576702214931E-2</v>
      </c>
      <c r="Q322" s="58">
        <f>'Pitching Data'!U322/'Pitching Data'!P322</f>
        <v>6.8252666119770308E-2</v>
      </c>
      <c r="R322" s="58">
        <f>'Pitching Data'!V322/'Pitching Data'!P322</f>
        <v>9.3519278096800655E-3</v>
      </c>
      <c r="S322" s="58">
        <f>'Pitching Data'!W322/'Pitching Data'!P322</f>
        <v>0.69237079573420834</v>
      </c>
    </row>
    <row r="323" spans="2:19" x14ac:dyDescent="0.5">
      <c r="B323" s="2">
        <v>2010</v>
      </c>
      <c r="C323" s="2" t="s">
        <v>82</v>
      </c>
      <c r="D323" s="2" t="str">
        <f t="shared" ref="D323:D386" si="10">$B323&amp;" "&amp;$C323</f>
        <v>2010 Pittsburgh Pirates</v>
      </c>
      <c r="E323" s="60">
        <f>'Batting Data'!K323/'Batting Data'!J323</f>
        <v>0.162272558484961</v>
      </c>
      <c r="F323" s="60">
        <f>'Batting Data'!L323/'Batting Data'!J323</f>
        <v>5.124396583735611E-2</v>
      </c>
      <c r="G323" s="60">
        <f>'Batting Data'!M323/'Batting Data'!J323</f>
        <v>5.0129966580022278E-3</v>
      </c>
      <c r="H323" s="60">
        <f>'Batting Data'!N323/'Batting Data'!J323</f>
        <v>2.3393984404010398E-2</v>
      </c>
      <c r="I323" s="60">
        <f>'Batting Data'!O323/'Batting Data'!J323</f>
        <v>8.5963609357593757E-2</v>
      </c>
      <c r="J323" s="60">
        <f>'Batting Data'!P323/'Batting Data'!J323</f>
        <v>6.1269959153360566E-3</v>
      </c>
      <c r="K323" s="60">
        <f>'Batting Data'!Q323/'Batting Data'!J323</f>
        <v>0.66598588934274039</v>
      </c>
      <c r="L323" s="2" t="str">
        <f t="shared" ref="L323:L386" si="11">$B323&amp;" "&amp;$C323</f>
        <v>2010 Pittsburgh Pirates</v>
      </c>
      <c r="M323" s="58">
        <f>'Pitching Data'!Q323/'Pitching Data'!P323</f>
        <v>0.15952380952380951</v>
      </c>
      <c r="N323" s="58">
        <f>'Pitching Data'!R323/'Pitching Data'!P323</f>
        <v>5.7142857142857141E-2</v>
      </c>
      <c r="O323" s="58">
        <f>'Pitching Data'!S323/'Pitching Data'!P323</f>
        <v>5.5555555555555558E-3</v>
      </c>
      <c r="P323" s="58">
        <f>'Pitching Data'!T323/'Pitching Data'!P323</f>
        <v>2.6507936507936508E-2</v>
      </c>
      <c r="Q323" s="58">
        <f>'Pitching Data'!U323/'Pitching Data'!P323</f>
        <v>8.5396825396825402E-2</v>
      </c>
      <c r="R323" s="58">
        <f>'Pitching Data'!V323/'Pitching Data'!P323</f>
        <v>1.0476190476190476E-2</v>
      </c>
      <c r="S323" s="58">
        <f>'Pitching Data'!W323/'Pitching Data'!P323</f>
        <v>0.65539682539682542</v>
      </c>
    </row>
    <row r="324" spans="2:19" x14ac:dyDescent="0.5">
      <c r="B324" s="2">
        <v>2010</v>
      </c>
      <c r="C324" s="2" t="s">
        <v>84</v>
      </c>
      <c r="D324" s="2" t="str">
        <f t="shared" si="10"/>
        <v>2010 San Diego Padres</v>
      </c>
      <c r="E324" s="60">
        <f>'Batting Data'!K324/'Batting Data'!J324</f>
        <v>0.17408906882591094</v>
      </c>
      <c r="F324" s="60">
        <f>'Batting Data'!L324/'Batting Data'!J324</f>
        <v>4.3430253956569749E-2</v>
      </c>
      <c r="G324" s="60">
        <f>'Batting Data'!M324/'Batting Data'!J324</f>
        <v>4.4166359955833644E-3</v>
      </c>
      <c r="H324" s="60">
        <f>'Batting Data'!N324/'Batting Data'!J324</f>
        <v>2.4291497975708502E-2</v>
      </c>
      <c r="I324" s="60">
        <f>'Batting Data'!O324/'Batting Data'!J324</f>
        <v>9.9006256900993739E-2</v>
      </c>
      <c r="J324" s="60">
        <f>'Batting Data'!P324/'Batting Data'!J324</f>
        <v>9.2013249907986743E-3</v>
      </c>
      <c r="K324" s="60">
        <f>'Batting Data'!Q324/'Batting Data'!J324</f>
        <v>0.64556496135443509</v>
      </c>
      <c r="L324" s="2" t="str">
        <f t="shared" si="11"/>
        <v>2010 San Diego Padres</v>
      </c>
      <c r="M324" s="58">
        <f>'Pitching Data'!Q324/'Pitching Data'!P324</f>
        <v>0.14922416639154837</v>
      </c>
      <c r="N324" s="58">
        <f>'Pitching Data'!R324/'Pitching Data'!P324</f>
        <v>3.9617035325189828E-2</v>
      </c>
      <c r="O324" s="58">
        <f>'Pitching Data'!S324/'Pitching Data'!P324</f>
        <v>3.6315615714757345E-3</v>
      </c>
      <c r="P324" s="58">
        <f>'Pitching Data'!T324/'Pitching Data'!P324</f>
        <v>2.2944866292505778E-2</v>
      </c>
      <c r="Q324" s="58">
        <f>'Pitching Data'!U324/'Pitching Data'!P324</f>
        <v>8.5341696929679758E-2</v>
      </c>
      <c r="R324" s="58">
        <f>'Pitching Data'!V324/'Pitching Data'!P324</f>
        <v>4.6219874546054801E-3</v>
      </c>
      <c r="S324" s="58">
        <f>'Pitching Data'!W324/'Pitching Data'!P324</f>
        <v>0.6946186860349951</v>
      </c>
    </row>
    <row r="325" spans="2:19" x14ac:dyDescent="0.5">
      <c r="B325" s="2">
        <v>2010</v>
      </c>
      <c r="C325" s="2" t="s">
        <v>86</v>
      </c>
      <c r="D325" s="2" t="str">
        <f t="shared" si="10"/>
        <v>2010 Seattle Mariners</v>
      </c>
      <c r="E325" s="60">
        <f>'Batting Data'!K325/'Batting Data'!J325</f>
        <v>0.17193566278424849</v>
      </c>
      <c r="F325" s="60">
        <f>'Batting Data'!L325/'Batting Data'!J325</f>
        <v>4.196709188389721E-2</v>
      </c>
      <c r="G325" s="60">
        <f>'Batting Data'!M325/'Batting Data'!J325</f>
        <v>2.9580329081161029E-3</v>
      </c>
      <c r="H325" s="60">
        <f>'Batting Data'!N325/'Batting Data'!J325</f>
        <v>1.8672582732482897E-2</v>
      </c>
      <c r="I325" s="60">
        <f>'Batting Data'!O325/'Batting Data'!J325</f>
        <v>8.4858569051580693E-2</v>
      </c>
      <c r="J325" s="60">
        <f>'Batting Data'!P325/'Batting Data'!J325</f>
        <v>7.2102052135330002E-3</v>
      </c>
      <c r="K325" s="60">
        <f>'Batting Data'!Q325/'Batting Data'!J325</f>
        <v>0.67239785542614161</v>
      </c>
      <c r="L325" s="2" t="str">
        <f t="shared" si="11"/>
        <v>2010 Seattle Mariners</v>
      </c>
      <c r="M325" s="58">
        <f>'Pitching Data'!Q325/'Pitching Data'!P325</f>
        <v>0.15268428829420455</v>
      </c>
      <c r="N325" s="58">
        <f>'Pitching Data'!R325/'Pitching Data'!P325</f>
        <v>4.8103759645378427E-2</v>
      </c>
      <c r="O325" s="58">
        <f>'Pitching Data'!S325/'Pitching Data'!P325</f>
        <v>3.6118863897553768E-3</v>
      </c>
      <c r="P325" s="58">
        <f>'Pitching Data'!T325/'Pitching Data'!P325</f>
        <v>2.5775734690527009E-2</v>
      </c>
      <c r="Q325" s="58">
        <f>'Pitching Data'!U325/'Pitching Data'!P325</f>
        <v>7.4207847644065017E-2</v>
      </c>
      <c r="R325" s="58">
        <f>'Pitching Data'!V325/'Pitching Data'!P325</f>
        <v>6.5670661631915938E-3</v>
      </c>
      <c r="S325" s="58">
        <f>'Pitching Data'!W325/'Pitching Data'!P325</f>
        <v>0.68904941717287804</v>
      </c>
    </row>
    <row r="326" spans="2:19" x14ac:dyDescent="0.5">
      <c r="B326" s="2">
        <v>2010</v>
      </c>
      <c r="C326" s="2" t="s">
        <v>88</v>
      </c>
      <c r="D326" s="2" t="str">
        <f t="shared" si="10"/>
        <v>2010 San Francisco Giants</v>
      </c>
      <c r="E326" s="60">
        <f>'Batting Data'!K326/'Batting Data'!J326</f>
        <v>0.17037172011661808</v>
      </c>
      <c r="F326" s="60">
        <f>'Batting Data'!L326/'Batting Data'!J326</f>
        <v>5.1749271137026237E-2</v>
      </c>
      <c r="G326" s="60">
        <f>'Batting Data'!M326/'Batting Data'!J326</f>
        <v>5.4664723032069968E-3</v>
      </c>
      <c r="H326" s="60">
        <f>'Batting Data'!N326/'Batting Data'!J326</f>
        <v>2.9518950437317785E-2</v>
      </c>
      <c r="I326" s="60">
        <f>'Batting Data'!O326/'Batting Data'!J326</f>
        <v>8.8739067055393583E-2</v>
      </c>
      <c r="J326" s="60">
        <f>'Batting Data'!P326/'Batting Data'!J326</f>
        <v>9.1107871720116623E-3</v>
      </c>
      <c r="K326" s="60">
        <f>'Batting Data'!Q326/'Batting Data'!J326</f>
        <v>0.64504373177842567</v>
      </c>
      <c r="L326" s="2" t="str">
        <f t="shared" si="11"/>
        <v>2010 San Francisco Giants</v>
      </c>
      <c r="M326" s="58">
        <f>'Pitching Data'!Q326/'Pitching Data'!P326</f>
        <v>0.13947069329436595</v>
      </c>
      <c r="N326" s="58">
        <f>'Pitching Data'!R326/'Pitching Data'!P326</f>
        <v>3.9941548952752072E-2</v>
      </c>
      <c r="O326" s="58">
        <f>'Pitching Data'!S326/'Pitching Data'!P326</f>
        <v>6.4945608053255397E-3</v>
      </c>
      <c r="P326" s="58">
        <f>'Pitching Data'!T326/'Pitching Data'!P326</f>
        <v>2.1756778697840557E-2</v>
      </c>
      <c r="Q326" s="58">
        <f>'Pitching Data'!U326/'Pitching Data'!P326</f>
        <v>9.3846403636954054E-2</v>
      </c>
      <c r="R326" s="58">
        <f>'Pitching Data'!V326/'Pitching Data'!P326</f>
        <v>8.2805650267900634E-3</v>
      </c>
      <c r="S326" s="58">
        <f>'Pitching Data'!W326/'Pitching Data'!P326</f>
        <v>0.69020944958597175</v>
      </c>
    </row>
    <row r="327" spans="2:19" x14ac:dyDescent="0.5">
      <c r="B327" s="2">
        <v>2010</v>
      </c>
      <c r="C327" s="2" t="s">
        <v>90</v>
      </c>
      <c r="D327" s="2" t="str">
        <f t="shared" si="10"/>
        <v>2010 St. Louis Cardinals</v>
      </c>
      <c r="E327" s="60">
        <f>'Batting Data'!K327/'Batting Data'!J327</f>
        <v>0.18098159509202455</v>
      </c>
      <c r="F327" s="60">
        <f>'Batting Data'!L327/'Batting Data'!J327</f>
        <v>5.1425478166726817E-2</v>
      </c>
      <c r="G327" s="60">
        <f>'Batting Data'!M327/'Batting Data'!J327</f>
        <v>3.2479249368459039E-3</v>
      </c>
      <c r="H327" s="60">
        <f>'Batting Data'!N327/'Batting Data'!J327</f>
        <v>2.7066041140382534E-2</v>
      </c>
      <c r="I327" s="60">
        <f>'Batting Data'!O327/'Batting Data'!J327</f>
        <v>9.7618188379646337E-2</v>
      </c>
      <c r="J327" s="60">
        <f>'Batting Data'!P327/'Batting Data'!J327</f>
        <v>9.0220137134608448E-3</v>
      </c>
      <c r="K327" s="60">
        <f>'Batting Data'!Q327/'Batting Data'!J327</f>
        <v>0.63063875857091301</v>
      </c>
      <c r="L327" s="2" t="str">
        <f t="shared" si="11"/>
        <v>2010 St. Louis Cardinals</v>
      </c>
      <c r="M327" s="58">
        <f>'Pitching Data'!Q327/'Pitching Data'!P327</f>
        <v>0.16050187387974579</v>
      </c>
      <c r="N327" s="58">
        <f>'Pitching Data'!R327/'Pitching Data'!P327</f>
        <v>4.3343653250773995E-2</v>
      </c>
      <c r="O327" s="58">
        <f>'Pitching Data'!S327/'Pitching Data'!P327</f>
        <v>4.5624898158709466E-3</v>
      </c>
      <c r="P327" s="58">
        <f>'Pitching Data'!T327/'Pitching Data'!P327</f>
        <v>2.1671826625386997E-2</v>
      </c>
      <c r="Q327" s="58">
        <f>'Pitching Data'!U327/'Pitching Data'!P327</f>
        <v>7.7725272934658626E-2</v>
      </c>
      <c r="R327" s="58">
        <f>'Pitching Data'!V327/'Pitching Data'!P327</f>
        <v>7.8214111129216238E-3</v>
      </c>
      <c r="S327" s="58">
        <f>'Pitching Data'!W327/'Pitching Data'!P327</f>
        <v>0.68437347238064206</v>
      </c>
    </row>
    <row r="328" spans="2:19" x14ac:dyDescent="0.5">
      <c r="B328" s="2">
        <v>2010</v>
      </c>
      <c r="C328" s="2" t="s">
        <v>92</v>
      </c>
      <c r="D328" s="2" t="str">
        <f t="shared" si="10"/>
        <v>2010 Tampa Bay Devil Rays</v>
      </c>
      <c r="E328" s="60">
        <f>'Batting Data'!K328/'Batting Data'!J328</f>
        <v>0.15646258503401361</v>
      </c>
      <c r="F328" s="60">
        <f>'Batting Data'!L328/'Batting Data'!J328</f>
        <v>5.4237911380768521E-2</v>
      </c>
      <c r="G328" s="60">
        <f>'Batting Data'!M328/'Batting Data'!J328</f>
        <v>6.8027210884353739E-3</v>
      </c>
      <c r="H328" s="60">
        <f>'Batting Data'!N328/'Batting Data'!J328</f>
        <v>2.9417172274315131E-2</v>
      </c>
      <c r="I328" s="60">
        <f>'Batting Data'!O328/'Batting Data'!J328</f>
        <v>0.12355212355212356</v>
      </c>
      <c r="J328" s="60">
        <f>'Batting Data'!P328/'Batting Data'!J328</f>
        <v>1.0479867622724766E-2</v>
      </c>
      <c r="K328" s="60">
        <f>'Batting Data'!Q328/'Batting Data'!J328</f>
        <v>0.61904761904761907</v>
      </c>
      <c r="L328" s="2" t="str">
        <f t="shared" si="11"/>
        <v>2010 Tampa Bay Devil Rays</v>
      </c>
      <c r="M328" s="58">
        <f>'Pitching Data'!Q328/'Pitching Data'!P328</f>
        <v>0.13960347370145829</v>
      </c>
      <c r="N328" s="58">
        <f>'Pitching Data'!R328/'Pitching Data'!P328</f>
        <v>4.6862198918564642E-2</v>
      </c>
      <c r="O328" s="58">
        <f>'Pitching Data'!S328/'Pitching Data'!P328</f>
        <v>5.5710306406685237E-3</v>
      </c>
      <c r="P328" s="58">
        <f>'Pitching Data'!T328/'Pitching Data'!P328</f>
        <v>2.8674422415205635E-2</v>
      </c>
      <c r="Q328" s="58">
        <f>'Pitching Data'!U328/'Pitching Data'!P328</f>
        <v>7.8322136654104535E-2</v>
      </c>
      <c r="R328" s="58">
        <f>'Pitching Data'!V328/'Pitching Data'!P328</f>
        <v>7.5372767491397675E-3</v>
      </c>
      <c r="S328" s="58">
        <f>'Pitching Data'!W328/'Pitching Data'!P328</f>
        <v>0.69342946092085855</v>
      </c>
    </row>
    <row r="329" spans="2:19" x14ac:dyDescent="0.5">
      <c r="B329" s="2">
        <v>2010</v>
      </c>
      <c r="C329" s="2" t="s">
        <v>94</v>
      </c>
      <c r="D329" s="2" t="str">
        <f t="shared" si="10"/>
        <v>2010 Texas Rangers</v>
      </c>
      <c r="E329" s="60">
        <f>'Batting Data'!K329/'Batting Data'!J329</f>
        <v>0.19538598047914818</v>
      </c>
      <c r="F329" s="60">
        <f>'Batting Data'!L329/'Batting Data'!J329</f>
        <v>4.7559893522626441E-2</v>
      </c>
      <c r="G329" s="60">
        <f>'Batting Data'!M329/'Batting Data'!J329</f>
        <v>4.4365572315882874E-3</v>
      </c>
      <c r="H329" s="60">
        <f>'Batting Data'!N329/'Batting Data'!J329</f>
        <v>2.8748890860692104E-2</v>
      </c>
      <c r="I329" s="60">
        <f>'Batting Data'!O329/'Batting Data'!J329</f>
        <v>9.0683229813664598E-2</v>
      </c>
      <c r="J329" s="60">
        <f>'Batting Data'!P329/'Batting Data'!J329</f>
        <v>7.9858030168589167E-3</v>
      </c>
      <c r="K329" s="60">
        <f>'Batting Data'!Q329/'Batting Data'!J329</f>
        <v>0.62519964507542147</v>
      </c>
      <c r="L329" s="2" t="str">
        <f t="shared" si="11"/>
        <v>2010 Texas Rangers</v>
      </c>
      <c r="M329" s="58">
        <f>'Pitching Data'!Q329/'Pitching Data'!P329</f>
        <v>0.1453404152583293</v>
      </c>
      <c r="N329" s="58">
        <f>'Pitching Data'!R329/'Pitching Data'!P329</f>
        <v>4.3296314179945276E-2</v>
      </c>
      <c r="O329" s="58">
        <f>'Pitching Data'!S329/'Pitching Data'!P329</f>
        <v>3.3800096571704489E-3</v>
      </c>
      <c r="P329" s="58">
        <f>'Pitching Data'!T329/'Pitching Data'!P329</f>
        <v>2.6074360212457751E-2</v>
      </c>
      <c r="Q329" s="58">
        <f>'Pitching Data'!U329/'Pitching Data'!P329</f>
        <v>8.8685015290519878E-2</v>
      </c>
      <c r="R329" s="58">
        <f>'Pitching Data'!V329/'Pitching Data'!P329</f>
        <v>1.0140028971511348E-2</v>
      </c>
      <c r="S329" s="58">
        <f>'Pitching Data'!W329/'Pitching Data'!P329</f>
        <v>0.68308385643006597</v>
      </c>
    </row>
    <row r="330" spans="2:19" x14ac:dyDescent="0.5">
      <c r="B330" s="2">
        <v>2010</v>
      </c>
      <c r="C330" s="2" t="s">
        <v>96</v>
      </c>
      <c r="D330" s="2" t="str">
        <f t="shared" si="10"/>
        <v>2010 Toronto Blue Jays</v>
      </c>
      <c r="E330" s="60">
        <f>'Batting Data'!K330/'Batting Data'!J330</f>
        <v>0.13958143767060965</v>
      </c>
      <c r="F330" s="60">
        <f>'Batting Data'!L330/'Batting Data'!J330</f>
        <v>5.8052775250227479E-2</v>
      </c>
      <c r="G330" s="60">
        <f>'Batting Data'!M330/'Batting Data'!J330</f>
        <v>3.821656050955414E-3</v>
      </c>
      <c r="H330" s="60">
        <f>'Batting Data'!N330/'Batting Data'!J330</f>
        <v>4.6769790718835302E-2</v>
      </c>
      <c r="I330" s="60">
        <f>'Batting Data'!O330/'Batting Data'!J330</f>
        <v>8.5714285714285715E-2</v>
      </c>
      <c r="J330" s="60">
        <f>'Batting Data'!P330/'Batting Data'!J330</f>
        <v>1.0009099181073703E-2</v>
      </c>
      <c r="K330" s="60">
        <f>'Batting Data'!Q330/'Batting Data'!J330</f>
        <v>0.6560509554140127</v>
      </c>
      <c r="L330" s="2" t="str">
        <f t="shared" si="11"/>
        <v>2010 Toronto Blue Jays</v>
      </c>
      <c r="M330" s="58">
        <f>'Pitching Data'!Q330/'Pitching Data'!P330</f>
        <v>0.14858069748580696</v>
      </c>
      <c r="N330" s="58">
        <f>'Pitching Data'!R330/'Pitching Data'!P330</f>
        <v>5.0283860502838604E-2</v>
      </c>
      <c r="O330" s="58">
        <f>'Pitching Data'!S330/'Pitching Data'!P330</f>
        <v>5.0283860502838605E-3</v>
      </c>
      <c r="P330" s="58">
        <f>'Pitching Data'!T330/'Pitching Data'!P330</f>
        <v>2.4330900243309004E-2</v>
      </c>
      <c r="Q330" s="58">
        <f>'Pitching Data'!U330/'Pitching Data'!P330</f>
        <v>8.7429034874290351E-2</v>
      </c>
      <c r="R330" s="58">
        <f>'Pitching Data'!V330/'Pitching Data'!P330</f>
        <v>9.7323600973236012E-3</v>
      </c>
      <c r="S330" s="58">
        <f>'Pitching Data'!W330/'Pitching Data'!P330</f>
        <v>0.67461476074614757</v>
      </c>
    </row>
    <row r="331" spans="2:19" x14ac:dyDescent="0.5">
      <c r="B331" s="2">
        <v>2010</v>
      </c>
      <c r="C331" s="2" t="s">
        <v>100</v>
      </c>
      <c r="D331" s="2" t="str">
        <f t="shared" si="10"/>
        <v>2010 Washington Nationals</v>
      </c>
      <c r="E331" s="60">
        <f>'Batting Data'!K331/'Batting Data'!J331</f>
        <v>0.17072720561092655</v>
      </c>
      <c r="F331" s="60">
        <f>'Batting Data'!L331/'Batting Data'!J331</f>
        <v>4.6142488002953119E-2</v>
      </c>
      <c r="G331" s="60">
        <f>'Batting Data'!M331/'Batting Data'!J331</f>
        <v>5.7216685123661869E-3</v>
      </c>
      <c r="H331" s="60">
        <f>'Batting Data'!N331/'Batting Data'!J331</f>
        <v>2.7500922849760058E-2</v>
      </c>
      <c r="I331" s="60">
        <f>'Batting Data'!O331/'Batting Data'!J331</f>
        <v>9.2838685861941675E-2</v>
      </c>
      <c r="J331" s="60">
        <f>'Batting Data'!P331/'Batting Data'!J331</f>
        <v>1.1074197120708749E-2</v>
      </c>
      <c r="K331" s="60">
        <f>'Batting Data'!Q331/'Batting Data'!J331</f>
        <v>0.64599483204134367</v>
      </c>
      <c r="L331" s="2" t="str">
        <f t="shared" si="11"/>
        <v>2010 Washington Nationals</v>
      </c>
      <c r="M331" s="58">
        <f>'Pitching Data'!Q331/'Pitching Data'!P331</f>
        <v>0.16221435468297393</v>
      </c>
      <c r="N331" s="58">
        <f>'Pitching Data'!R331/'Pitching Data'!P331</f>
        <v>4.4254908271644675E-2</v>
      </c>
      <c r="O331" s="58">
        <f>'Pitching Data'!S331/'Pitching Data'!P331</f>
        <v>5.6324428709365951E-3</v>
      </c>
      <c r="P331" s="58">
        <f>'Pitching Data'!T331/'Pitching Data'!P331</f>
        <v>2.4299967814612165E-2</v>
      </c>
      <c r="Q331" s="58">
        <f>'Pitching Data'!U331/'Pitching Data'!P331</f>
        <v>8.2394592854843907E-2</v>
      </c>
      <c r="R331" s="58">
        <f>'Pitching Data'!V331/'Pitching Data'!P331</f>
        <v>7.402639201802382E-3</v>
      </c>
      <c r="S331" s="58">
        <f>'Pitching Data'!W331/'Pitching Data'!P331</f>
        <v>0.67380109430318635</v>
      </c>
    </row>
    <row r="332" spans="2:19" x14ac:dyDescent="0.5">
      <c r="B332" s="2">
        <v>2011</v>
      </c>
      <c r="C332" s="2" t="s">
        <v>36</v>
      </c>
      <c r="D332" s="2" t="str">
        <f t="shared" si="10"/>
        <v>2011 Anaheim Angels</v>
      </c>
      <c r="E332" s="60">
        <f>'Batting Data'!K332/'Batting Data'!J332</f>
        <v>0.16615272991111918</v>
      </c>
      <c r="F332" s="60">
        <f>'Batting Data'!L332/'Batting Data'!J332</f>
        <v>5.2421549065844369E-2</v>
      </c>
      <c r="G332" s="60">
        <f>'Batting Data'!M332/'Batting Data'!J332</f>
        <v>6.1672410665699253E-3</v>
      </c>
      <c r="H332" s="60">
        <f>'Batting Data'!N332/'Batting Data'!J332</f>
        <v>2.8115363685833485E-2</v>
      </c>
      <c r="I332" s="60">
        <f>'Batting Data'!O332/'Batting Data'!J332</f>
        <v>8.0174133865409031E-2</v>
      </c>
      <c r="J332" s="60">
        <f>'Batting Data'!P332/'Batting Data'!J332</f>
        <v>9.2508615998548888E-3</v>
      </c>
      <c r="K332" s="60">
        <f>'Batting Data'!Q332/'Batting Data'!J332</f>
        <v>0.65771812080536918</v>
      </c>
      <c r="L332" s="2" t="str">
        <f t="shared" si="11"/>
        <v>2011 Anaheim Angels</v>
      </c>
      <c r="M332" s="58">
        <f>'Pitching Data'!Q332/'Pitching Data'!P332</f>
        <v>0.15333115610711953</v>
      </c>
      <c r="N332" s="58">
        <f>'Pitching Data'!R332/'Pitching Data'!P332</f>
        <v>4.6864794252122796E-2</v>
      </c>
      <c r="O332" s="58">
        <f>'Pitching Data'!S332/'Pitching Data'!P332</f>
        <v>3.2658393207054214E-3</v>
      </c>
      <c r="P332" s="58">
        <f>'Pitching Data'!T332/'Pitching Data'!P332</f>
        <v>2.3187459177008492E-2</v>
      </c>
      <c r="Q332" s="58">
        <f>'Pitching Data'!U332/'Pitching Data'!P332</f>
        <v>7.7726975832789022E-2</v>
      </c>
      <c r="R332" s="58">
        <f>'Pitching Data'!V332/'Pitching Data'!P332</f>
        <v>5.8785107772697581E-3</v>
      </c>
      <c r="S332" s="58">
        <f>'Pitching Data'!W332/'Pitching Data'!P332</f>
        <v>0.68974526453298501</v>
      </c>
    </row>
    <row r="333" spans="2:19" x14ac:dyDescent="0.5">
      <c r="B333" s="2">
        <v>2011</v>
      </c>
      <c r="C333" s="2" t="s">
        <v>39</v>
      </c>
      <c r="D333" s="2" t="str">
        <f t="shared" si="10"/>
        <v>2011 Arizona Diamondbacks</v>
      </c>
      <c r="E333" s="60">
        <f>'Batting Data'!K333/'Batting Data'!J333</f>
        <v>0.15771997786386274</v>
      </c>
      <c r="F333" s="60">
        <f>'Batting Data'!L333/'Batting Data'!J333</f>
        <v>5.4049068437557649E-2</v>
      </c>
      <c r="G333" s="60">
        <f>'Batting Data'!M333/'Batting Data'!J333</f>
        <v>6.8253089835823653E-3</v>
      </c>
      <c r="H333" s="60">
        <f>'Batting Data'!N333/'Batting Data'!J333</f>
        <v>3.1728463383139643E-2</v>
      </c>
      <c r="I333" s="60">
        <f>'Batting Data'!O333/'Batting Data'!J333</f>
        <v>9.7952407304925285E-2</v>
      </c>
      <c r="J333" s="60">
        <f>'Batting Data'!P333/'Batting Data'!J333</f>
        <v>1.1252536432392548E-2</v>
      </c>
      <c r="K333" s="60">
        <f>'Batting Data'!Q333/'Batting Data'!J333</f>
        <v>0.64047223759453975</v>
      </c>
      <c r="L333" s="2" t="str">
        <f t="shared" si="11"/>
        <v>2011 Arizona Diamondbacks</v>
      </c>
      <c r="M333" s="58">
        <f>'Pitching Data'!Q333/'Pitching Data'!P333</f>
        <v>0.15257292690921009</v>
      </c>
      <c r="N333" s="58">
        <f>'Pitching Data'!R333/'Pitching Data'!P333</f>
        <v>4.7853162897410685E-2</v>
      </c>
      <c r="O333" s="58">
        <f>'Pitching Data'!S333/'Pitching Data'!P333</f>
        <v>5.2441822353326778E-3</v>
      </c>
      <c r="P333" s="58">
        <f>'Pitching Data'!T333/'Pitching Data'!P333</f>
        <v>2.6057030481809244E-2</v>
      </c>
      <c r="Q333" s="58">
        <f>'Pitching Data'!U333/'Pitching Data'!P333</f>
        <v>7.243526712553261E-2</v>
      </c>
      <c r="R333" s="58">
        <f>'Pitching Data'!V333/'Pitching Data'!P333</f>
        <v>8.6856768272697473E-3</v>
      </c>
      <c r="S333" s="58">
        <f>'Pitching Data'!W333/'Pitching Data'!P333</f>
        <v>0.68715175352343494</v>
      </c>
    </row>
    <row r="334" spans="2:19" x14ac:dyDescent="0.5">
      <c r="B334" s="2">
        <v>2011</v>
      </c>
      <c r="C334" s="2" t="s">
        <v>41</v>
      </c>
      <c r="D334" s="2" t="str">
        <f t="shared" si="10"/>
        <v>2011 Atlanta Braves</v>
      </c>
      <c r="E334" s="60">
        <f>'Batting Data'!K334/'Batting Data'!J334</f>
        <v>0.16497829232995659</v>
      </c>
      <c r="F334" s="60">
        <f>'Batting Data'!L334/'Batting Data'!J334</f>
        <v>4.4138929088277858E-2</v>
      </c>
      <c r="G334" s="60">
        <f>'Batting Data'!M334/'Batting Data'!J334</f>
        <v>2.8943560057887118E-3</v>
      </c>
      <c r="H334" s="60">
        <f>'Batting Data'!N334/'Batting Data'!J334</f>
        <v>3.129522431259045E-2</v>
      </c>
      <c r="I334" s="60">
        <f>'Batting Data'!O334/'Batting Data'!J334</f>
        <v>9.1172214182344433E-2</v>
      </c>
      <c r="J334" s="60">
        <f>'Batting Data'!P334/'Batting Data'!J334</f>
        <v>5.065123010130246E-3</v>
      </c>
      <c r="K334" s="60">
        <f>'Batting Data'!Q334/'Batting Data'!J334</f>
        <v>0.6604558610709117</v>
      </c>
      <c r="L334" s="2" t="str">
        <f t="shared" si="11"/>
        <v>2011 Atlanta Braves</v>
      </c>
      <c r="M334" s="58">
        <f>'Pitching Data'!Q334/'Pitching Data'!P334</f>
        <v>0.15209003215434083</v>
      </c>
      <c r="N334" s="58">
        <f>'Pitching Data'!R334/'Pitching Data'!P334</f>
        <v>3.6655948553054665E-2</v>
      </c>
      <c r="O334" s="58">
        <f>'Pitching Data'!S334/'Pitching Data'!P334</f>
        <v>5.3054662379421226E-3</v>
      </c>
      <c r="P334" s="58">
        <f>'Pitching Data'!T334/'Pitching Data'!P334</f>
        <v>2.0096463022508039E-2</v>
      </c>
      <c r="Q334" s="58">
        <f>'Pitching Data'!U334/'Pitching Data'!P334</f>
        <v>8.3762057877813503E-2</v>
      </c>
      <c r="R334" s="58">
        <f>'Pitching Data'!V334/'Pitching Data'!P334</f>
        <v>8.5209003215434079E-3</v>
      </c>
      <c r="S334" s="58">
        <f>'Pitching Data'!W334/'Pitching Data'!P334</f>
        <v>0.69356913183279745</v>
      </c>
    </row>
    <row r="335" spans="2:19" x14ac:dyDescent="0.5">
      <c r="B335" s="2">
        <v>2011</v>
      </c>
      <c r="C335" s="2" t="s">
        <v>44</v>
      </c>
      <c r="D335" s="2" t="str">
        <f t="shared" si="10"/>
        <v>2011 Baltimore Orioles</v>
      </c>
      <c r="E335" s="60">
        <f>'Batting Data'!K335/'Batting Data'!J335</f>
        <v>0.17135183527305281</v>
      </c>
      <c r="F335" s="60">
        <f>'Batting Data'!L335/'Batting Data'!J335</f>
        <v>4.8880931065353628E-2</v>
      </c>
      <c r="G335" s="60">
        <f>'Batting Data'!M335/'Batting Data'!J335</f>
        <v>2.3276633840644584E-3</v>
      </c>
      <c r="H335" s="60">
        <f>'Batting Data'!N335/'Batting Data'!J335</f>
        <v>3.4198746642793196E-2</v>
      </c>
      <c r="I335" s="60">
        <f>'Batting Data'!O335/'Batting Data'!J335</f>
        <v>8.0931065353625778E-2</v>
      </c>
      <c r="J335" s="60">
        <f>'Batting Data'!P335/'Batting Data'!J335</f>
        <v>9.3106535362578336E-3</v>
      </c>
      <c r="K335" s="60">
        <f>'Batting Data'!Q335/'Batting Data'!J335</f>
        <v>0.65299910474485223</v>
      </c>
      <c r="L335" s="2" t="str">
        <f t="shared" si="11"/>
        <v>2011 Baltimore Orioles</v>
      </c>
      <c r="M335" s="58">
        <f>'Pitching Data'!Q335/'Pitching Data'!P335</f>
        <v>0.15429564118761846</v>
      </c>
      <c r="N335" s="58">
        <f>'Pitching Data'!R335/'Pitching Data'!P335</f>
        <v>5.5906506632975361E-2</v>
      </c>
      <c r="O335" s="58">
        <f>'Pitching Data'!S335/'Pitching Data'!P335</f>
        <v>4.264055590650663E-3</v>
      </c>
      <c r="P335" s="58">
        <f>'Pitching Data'!T335/'Pitching Data'!P335</f>
        <v>3.3164876816171827E-2</v>
      </c>
      <c r="Q335" s="58">
        <f>'Pitching Data'!U335/'Pitching Data'!P335</f>
        <v>8.4491471888818698E-2</v>
      </c>
      <c r="R335" s="58">
        <f>'Pitching Data'!V335/'Pitching Data'!P335</f>
        <v>7.1067593177511056E-3</v>
      </c>
      <c r="S335" s="58">
        <f>'Pitching Data'!W335/'Pitching Data'!P335</f>
        <v>0.66077068856601395</v>
      </c>
    </row>
    <row r="336" spans="2:19" x14ac:dyDescent="0.5">
      <c r="B336" s="2">
        <v>2011</v>
      </c>
      <c r="C336" s="2" t="s">
        <v>46</v>
      </c>
      <c r="D336" s="2" t="str">
        <f t="shared" si="10"/>
        <v>2011 Boston Red Sox</v>
      </c>
      <c r="E336" s="60">
        <f>'Batting Data'!K336/'Batting Data'!J336</f>
        <v>0.17688266199649738</v>
      </c>
      <c r="F336" s="60">
        <f>'Batting Data'!L336/'Batting Data'!J336</f>
        <v>6.1646234676007008E-2</v>
      </c>
      <c r="G336" s="60">
        <f>'Batting Data'!M336/'Batting Data'!J336</f>
        <v>6.1295971978984239E-3</v>
      </c>
      <c r="H336" s="60">
        <f>'Batting Data'!N336/'Batting Data'!J336</f>
        <v>3.5551663747810859E-2</v>
      </c>
      <c r="I336" s="60">
        <f>'Batting Data'!O336/'Batting Data'!J336</f>
        <v>0.10122591943957969</v>
      </c>
      <c r="J336" s="60">
        <f>'Batting Data'!P336/'Batting Data'!J336</f>
        <v>8.7565674255691769E-3</v>
      </c>
      <c r="K336" s="60">
        <f>'Batting Data'!Q336/'Batting Data'!J336</f>
        <v>0.60980735551663745</v>
      </c>
      <c r="L336" s="2" t="str">
        <f t="shared" si="11"/>
        <v>2011 Boston Red Sox</v>
      </c>
      <c r="M336" s="58">
        <f>'Pitching Data'!Q336/'Pitching Data'!P336</f>
        <v>0.14434476129445689</v>
      </c>
      <c r="N336" s="58">
        <f>'Pitching Data'!R336/'Pitching Data'!P336</f>
        <v>4.5818647869272672E-2</v>
      </c>
      <c r="O336" s="58">
        <f>'Pitching Data'!S336/'Pitching Data'!P336</f>
        <v>3.6847164370394105E-3</v>
      </c>
      <c r="P336" s="58">
        <f>'Pitching Data'!T336/'Pitching Data'!P336</f>
        <v>2.4991989746876001E-2</v>
      </c>
      <c r="Q336" s="58">
        <f>'Pitching Data'!U336/'Pitching Data'!P336</f>
        <v>8.6510733739186163E-2</v>
      </c>
      <c r="R336" s="58">
        <f>'Pitching Data'!V336/'Pitching Data'!P336</f>
        <v>1.4418455623197693E-2</v>
      </c>
      <c r="S336" s="58">
        <f>'Pitching Data'!W336/'Pitching Data'!P336</f>
        <v>0.68023069528997115</v>
      </c>
    </row>
    <row r="337" spans="2:19" x14ac:dyDescent="0.5">
      <c r="B337" s="2">
        <v>2011</v>
      </c>
      <c r="C337" s="2" t="s">
        <v>50</v>
      </c>
      <c r="D337" s="2" t="str">
        <f t="shared" si="10"/>
        <v>2011 Chicago Cubs</v>
      </c>
      <c r="E337" s="60">
        <f>'Batting Data'!K337/'Batting Data'!J337</f>
        <v>0.17192286898540277</v>
      </c>
      <c r="F337" s="60">
        <f>'Batting Data'!L337/'Batting Data'!J337</f>
        <v>5.1360605514507121E-2</v>
      </c>
      <c r="G337" s="60">
        <f>'Batting Data'!M337/'Batting Data'!J337</f>
        <v>6.4876554334114258E-3</v>
      </c>
      <c r="H337" s="60">
        <f>'Batting Data'!N337/'Batting Data'!J337</f>
        <v>2.6671472337358084E-2</v>
      </c>
      <c r="I337" s="60">
        <f>'Batting Data'!O337/'Batting Data'!J337</f>
        <v>7.6590376644440433E-2</v>
      </c>
      <c r="J337" s="60">
        <f>'Batting Data'!P337/'Batting Data'!J337</f>
        <v>1.0632546404757614E-2</v>
      </c>
      <c r="K337" s="60">
        <f>'Batting Data'!Q337/'Batting Data'!J337</f>
        <v>0.65633447468012251</v>
      </c>
      <c r="L337" s="2" t="str">
        <f t="shared" si="11"/>
        <v>2011 Chicago Cubs</v>
      </c>
      <c r="M337" s="58">
        <f>'Pitching Data'!Q337/'Pitching Data'!P337</f>
        <v>0.15314595975726605</v>
      </c>
      <c r="N337" s="58">
        <f>'Pitching Data'!R337/'Pitching Data'!P337</f>
        <v>4.6151389332481633E-2</v>
      </c>
      <c r="O337" s="58">
        <f>'Pitching Data'!S337/'Pitching Data'!P337</f>
        <v>4.6311082721175343E-3</v>
      </c>
      <c r="P337" s="58">
        <f>'Pitching Data'!T337/'Pitching Data'!P337</f>
        <v>2.587032896838071E-2</v>
      </c>
      <c r="Q337" s="58">
        <f>'Pitching Data'!U337/'Pitching Data'!P337</f>
        <v>9.262216544235069E-2</v>
      </c>
      <c r="R337" s="58">
        <f>'Pitching Data'!V337/'Pitching Data'!P337</f>
        <v>8.4637496007665281E-3</v>
      </c>
      <c r="S337" s="58">
        <f>'Pitching Data'!W337/'Pitching Data'!P337</f>
        <v>0.66911529862663688</v>
      </c>
    </row>
    <row r="338" spans="2:19" x14ac:dyDescent="0.5">
      <c r="B338" s="2">
        <v>2011</v>
      </c>
      <c r="C338" s="2" t="s">
        <v>48</v>
      </c>
      <c r="D338" s="2" t="str">
        <f t="shared" si="10"/>
        <v>2011 Chicago White Sox</v>
      </c>
      <c r="E338" s="60">
        <f>'Batting Data'!K338/'Batting Data'!J338</f>
        <v>0.17539076699382042</v>
      </c>
      <c r="F338" s="60">
        <f>'Batting Data'!L338/'Batting Data'!J338</f>
        <v>4.5801526717557252E-2</v>
      </c>
      <c r="G338" s="60">
        <f>'Batting Data'!M338/'Batting Data'!J338</f>
        <v>2.9080334423845873E-3</v>
      </c>
      <c r="H338" s="60">
        <f>'Batting Data'!N338/'Batting Data'!J338</f>
        <v>2.7989821882951654E-2</v>
      </c>
      <c r="I338" s="60">
        <f>'Batting Data'!O338/'Batting Data'!J338</f>
        <v>8.6332242820792437E-2</v>
      </c>
      <c r="J338" s="60">
        <f>'Batting Data'!P338/'Batting Data'!J338</f>
        <v>1.5267175572519083E-2</v>
      </c>
      <c r="K338" s="60">
        <f>'Batting Data'!Q338/'Batting Data'!J338</f>
        <v>0.64631043256997456</v>
      </c>
      <c r="L338" s="2" t="str">
        <f t="shared" si="11"/>
        <v>2011 Chicago White Sox</v>
      </c>
      <c r="M338" s="58">
        <f>'Pitching Data'!Q338/'Pitching Data'!P338</f>
        <v>0.16483516483516483</v>
      </c>
      <c r="N338" s="58">
        <f>'Pitching Data'!R338/'Pitching Data'!P338</f>
        <v>4.2824822236586943E-2</v>
      </c>
      <c r="O338" s="58">
        <f>'Pitching Data'!S338/'Pitching Data'!P338</f>
        <v>5.0096961861667748E-3</v>
      </c>
      <c r="P338" s="58">
        <f>'Pitching Data'!T338/'Pitching Data'!P338</f>
        <v>2.3755656108597284E-2</v>
      </c>
      <c r="Q338" s="58">
        <f>'Pitching Data'!U338/'Pitching Data'!P338</f>
        <v>7.0943762120232706E-2</v>
      </c>
      <c r="R338" s="58">
        <f>'Pitching Data'!V338/'Pitching Data'!P338</f>
        <v>7.1105365223012281E-3</v>
      </c>
      <c r="S338" s="58">
        <f>'Pitching Data'!W338/'Pitching Data'!P338</f>
        <v>0.68552036199095023</v>
      </c>
    </row>
    <row r="339" spans="2:19" x14ac:dyDescent="0.5">
      <c r="B339" s="2">
        <v>2011</v>
      </c>
      <c r="C339" s="2" t="s">
        <v>52</v>
      </c>
      <c r="D339" s="2" t="str">
        <f t="shared" si="10"/>
        <v>2011 Cincinnati Reds</v>
      </c>
      <c r="E339" s="60">
        <f>'Batting Data'!K339/'Batting Data'!J339</f>
        <v>0.17320028510334998</v>
      </c>
      <c r="F339" s="60">
        <f>'Batting Data'!L339/'Batting Data'!J339</f>
        <v>4.7042052744119746E-2</v>
      </c>
      <c r="G339" s="60">
        <f>'Batting Data'!M339/'Batting Data'!J339</f>
        <v>3.3856022808267999E-3</v>
      </c>
      <c r="H339" s="60">
        <f>'Batting Data'!N339/'Batting Data'!J339</f>
        <v>3.2608695652173912E-2</v>
      </c>
      <c r="I339" s="60">
        <f>'Batting Data'!O339/'Batting Data'!J339</f>
        <v>9.5331432644333566E-2</v>
      </c>
      <c r="J339" s="60">
        <f>'Batting Data'!P339/'Batting Data'!J339</f>
        <v>1.1225944404846757E-2</v>
      </c>
      <c r="K339" s="60">
        <f>'Batting Data'!Q339/'Batting Data'!J339</f>
        <v>0.63720598717034926</v>
      </c>
      <c r="L339" s="2" t="str">
        <f t="shared" si="11"/>
        <v>2011 Cincinnati Reds</v>
      </c>
      <c r="M339" s="58">
        <f>'Pitching Data'!Q339/'Pitching Data'!P339</f>
        <v>0.14746764658891195</v>
      </c>
      <c r="N339" s="58">
        <f>'Pitching Data'!R339/'Pitching Data'!P339</f>
        <v>4.4575810832401343E-2</v>
      </c>
      <c r="O339" s="58">
        <f>'Pitching Data'!S339/'Pitching Data'!P339</f>
        <v>4.3137881450710973E-3</v>
      </c>
      <c r="P339" s="58">
        <f>'Pitching Data'!T339/'Pitching Data'!P339</f>
        <v>2.9557437290301965E-2</v>
      </c>
      <c r="Q339" s="58">
        <f>'Pitching Data'!U339/'Pitching Data'!P339</f>
        <v>8.6115992970123026E-2</v>
      </c>
      <c r="R339" s="58">
        <f>'Pitching Data'!V339/'Pitching Data'!P339</f>
        <v>9.4264259466368423E-3</v>
      </c>
      <c r="S339" s="58">
        <f>'Pitching Data'!W339/'Pitching Data'!P339</f>
        <v>0.67854289822655378</v>
      </c>
    </row>
    <row r="340" spans="2:19" x14ac:dyDescent="0.5">
      <c r="B340" s="2">
        <v>2011</v>
      </c>
      <c r="C340" s="2" t="s">
        <v>54</v>
      </c>
      <c r="D340" s="2" t="str">
        <f t="shared" si="10"/>
        <v>2011 Cleveland Indians</v>
      </c>
      <c r="E340" s="60">
        <f>'Batting Data'!K340/'Batting Data'!J340</f>
        <v>0.16518424396442186</v>
      </c>
      <c r="F340" s="60">
        <f>'Batting Data'!L340/'Batting Data'!J340</f>
        <v>5.2641132691958616E-2</v>
      </c>
      <c r="G340" s="60">
        <f>'Batting Data'!M340/'Batting Data'!J340</f>
        <v>4.71954982755491E-3</v>
      </c>
      <c r="H340" s="60">
        <f>'Batting Data'!N340/'Batting Data'!J340</f>
        <v>2.795425667090216E-2</v>
      </c>
      <c r="I340" s="60">
        <f>'Batting Data'!O340/'Batting Data'!J340</f>
        <v>8.9671446723543297E-2</v>
      </c>
      <c r="J340" s="60">
        <f>'Batting Data'!P340/'Batting Data'!J340</f>
        <v>1.1798874568887275E-2</v>
      </c>
      <c r="K340" s="60">
        <f>'Batting Data'!Q340/'Batting Data'!J340</f>
        <v>0.64803049555273184</v>
      </c>
      <c r="L340" s="2" t="str">
        <f t="shared" si="11"/>
        <v>2011 Cleveland Indians</v>
      </c>
      <c r="M340" s="58">
        <f>'Pitching Data'!Q340/'Pitching Data'!P340</f>
        <v>0.15637530072173217</v>
      </c>
      <c r="N340" s="58">
        <f>'Pitching Data'!R340/'Pitching Data'!P340</f>
        <v>5.1804330392943063E-2</v>
      </c>
      <c r="O340" s="58">
        <f>'Pitching Data'!S340/'Pitching Data'!P340</f>
        <v>4.9719326383319967E-3</v>
      </c>
      <c r="P340" s="58">
        <f>'Pitching Data'!T340/'Pitching Data'!P340</f>
        <v>2.4538893344025661E-2</v>
      </c>
      <c r="Q340" s="58">
        <f>'Pitching Data'!U340/'Pitching Data'!P340</f>
        <v>7.4258219727345628E-2</v>
      </c>
      <c r="R340" s="58">
        <f>'Pitching Data'!V340/'Pitching Data'!P340</f>
        <v>9.6230954290296711E-3</v>
      </c>
      <c r="S340" s="58">
        <f>'Pitching Data'!W340/'Pitching Data'!P340</f>
        <v>0.67842822774659184</v>
      </c>
    </row>
    <row r="341" spans="2:19" x14ac:dyDescent="0.5">
      <c r="B341" s="2">
        <v>2011</v>
      </c>
      <c r="C341" s="2" t="s">
        <v>56</v>
      </c>
      <c r="D341" s="2" t="str">
        <f t="shared" si="10"/>
        <v>2011 Colorado Rockies</v>
      </c>
      <c r="E341" s="60">
        <f>'Batting Data'!K341/'Batting Data'!J341</f>
        <v>0.17171717171717171</v>
      </c>
      <c r="F341" s="60">
        <f>'Batting Data'!L341/'Batting Data'!J341</f>
        <v>4.9422799422799424E-2</v>
      </c>
      <c r="G341" s="60">
        <f>'Batting Data'!M341/'Batting Data'!J341</f>
        <v>7.215007215007215E-3</v>
      </c>
      <c r="H341" s="60">
        <f>'Batting Data'!N341/'Batting Data'!J341</f>
        <v>2.94011544011544E-2</v>
      </c>
      <c r="I341" s="60">
        <f>'Batting Data'!O341/'Batting Data'!J341</f>
        <v>0.1001082251082251</v>
      </c>
      <c r="J341" s="60">
        <f>'Batting Data'!P341/'Batting Data'!J341</f>
        <v>1.0281385281385282E-2</v>
      </c>
      <c r="K341" s="60">
        <f>'Batting Data'!Q341/'Batting Data'!J341</f>
        <v>0.63185425685425689</v>
      </c>
      <c r="L341" s="2" t="str">
        <f t="shared" si="11"/>
        <v>2011 Colorado Rockies</v>
      </c>
      <c r="M341" s="58">
        <f>'Pitching Data'!Q341/'Pitching Data'!P341</f>
        <v>0.15301689460981496</v>
      </c>
      <c r="N341" s="58">
        <f>'Pitching Data'!R341/'Pitching Data'!P341</f>
        <v>4.6983105390185034E-2</v>
      </c>
      <c r="O341" s="58">
        <f>'Pitching Data'!S341/'Pitching Data'!P341</f>
        <v>8.3668543845535001E-3</v>
      </c>
      <c r="P341" s="58">
        <f>'Pitching Data'!T341/'Pitching Data'!P341</f>
        <v>2.831858407079646E-2</v>
      </c>
      <c r="Q341" s="58">
        <f>'Pitching Data'!U341/'Pitching Data'!P341</f>
        <v>8.3990345937248592E-2</v>
      </c>
      <c r="R341" s="58">
        <f>'Pitching Data'!V341/'Pitching Data'!P341</f>
        <v>7.7232502011263075E-3</v>
      </c>
      <c r="S341" s="58">
        <f>'Pitching Data'!W341/'Pitching Data'!P341</f>
        <v>0.67160096540627512</v>
      </c>
    </row>
    <row r="342" spans="2:19" x14ac:dyDescent="0.5">
      <c r="B342" s="2">
        <v>2011</v>
      </c>
      <c r="C342" s="2" t="s">
        <v>58</v>
      </c>
      <c r="D342" s="2" t="str">
        <f t="shared" si="10"/>
        <v>2011 Detroit Tigers</v>
      </c>
      <c r="E342" s="60">
        <f>'Batting Data'!K342/'Batting Data'!J342</f>
        <v>0.18694948768650008</v>
      </c>
      <c r="F342" s="60">
        <f>'Batting Data'!L342/'Batting Data'!J342</f>
        <v>5.3388459464317813E-2</v>
      </c>
      <c r="G342" s="60">
        <f>'Batting Data'!M342/'Batting Data'!J342</f>
        <v>6.1118101743663491E-3</v>
      </c>
      <c r="H342" s="60">
        <f>'Batting Data'!N342/'Batting Data'!J342</f>
        <v>3.0379291749056264E-2</v>
      </c>
      <c r="I342" s="60">
        <f>'Batting Data'!O342/'Batting Data'!J342</f>
        <v>9.3654502966025524E-2</v>
      </c>
      <c r="J342" s="60">
        <f>'Batting Data'!P342/'Batting Data'!J342</f>
        <v>7.0106057882437537E-3</v>
      </c>
      <c r="K342" s="60">
        <f>'Batting Data'!Q342/'Batting Data'!J342</f>
        <v>0.62250584217149019</v>
      </c>
      <c r="L342" s="2" t="str">
        <f t="shared" si="11"/>
        <v>2011 Detroit Tigers</v>
      </c>
      <c r="M342" s="58">
        <f>'Pitching Data'!Q342/'Pitching Data'!P342</f>
        <v>0.15864440078585462</v>
      </c>
      <c r="N342" s="58">
        <f>'Pitching Data'!R342/'Pitching Data'!P342</f>
        <v>4.2403405370006551E-2</v>
      </c>
      <c r="O342" s="58">
        <f>'Pitching Data'!S342/'Pitching Data'!P342</f>
        <v>4.7478716437459071E-3</v>
      </c>
      <c r="P342" s="58">
        <f>'Pitching Data'!T342/'Pitching Data'!P342</f>
        <v>2.4394237066142764E-2</v>
      </c>
      <c r="Q342" s="58">
        <f>'Pitching Data'!U342/'Pitching Data'!P342</f>
        <v>8.0550098231827114E-2</v>
      </c>
      <c r="R342" s="58">
        <f>'Pitching Data'!V342/'Pitching Data'!P342</f>
        <v>8.5134250163719713E-3</v>
      </c>
      <c r="S342" s="58">
        <f>'Pitching Data'!W342/'Pitching Data'!P342</f>
        <v>0.68074656188605109</v>
      </c>
    </row>
    <row r="343" spans="2:19" x14ac:dyDescent="0.5">
      <c r="B343" s="2">
        <v>2011</v>
      </c>
      <c r="C343" s="2" t="s">
        <v>60</v>
      </c>
      <c r="D343" s="2" t="str">
        <f t="shared" si="10"/>
        <v>2011 Florida Marlins</v>
      </c>
      <c r="E343" s="60">
        <f>'Batting Data'!K343/'Batting Data'!J343</f>
        <v>0.16430646332607116</v>
      </c>
      <c r="F343" s="60">
        <f>'Batting Data'!L343/'Batting Data'!J343</f>
        <v>4.9745824255628179E-2</v>
      </c>
      <c r="G343" s="60">
        <f>'Batting Data'!M343/'Batting Data'!J343</f>
        <v>5.4466230936819175E-3</v>
      </c>
      <c r="H343" s="60">
        <f>'Batting Data'!N343/'Batting Data'!J343</f>
        <v>2.7051561365286855E-2</v>
      </c>
      <c r="I343" s="60">
        <f>'Batting Data'!O343/'Batting Data'!J343</f>
        <v>9.8402323892519974E-2</v>
      </c>
      <c r="J343" s="60">
        <f>'Batting Data'!P343/'Batting Data'!J343</f>
        <v>9.2592592592592587E-3</v>
      </c>
      <c r="K343" s="60">
        <f>'Batting Data'!Q343/'Batting Data'!J343</f>
        <v>0.64578794480755264</v>
      </c>
      <c r="L343" s="2" t="str">
        <f t="shared" si="11"/>
        <v>2011 Florida Marlins</v>
      </c>
      <c r="M343" s="58">
        <f>'Pitching Data'!Q343/'Pitching Data'!P343</f>
        <v>0.1479032258064516</v>
      </c>
      <c r="N343" s="58">
        <f>'Pitching Data'!R343/'Pitching Data'!P343</f>
        <v>4.774193548387097E-2</v>
      </c>
      <c r="O343" s="58">
        <f>'Pitching Data'!S343/'Pitching Data'!P343</f>
        <v>6.6129032258064515E-3</v>
      </c>
      <c r="P343" s="58">
        <f>'Pitching Data'!T343/'Pitching Data'!P343</f>
        <v>2.4032258064516129E-2</v>
      </c>
      <c r="Q343" s="58">
        <f>'Pitching Data'!U343/'Pitching Data'!P343</f>
        <v>8.0645161290322578E-2</v>
      </c>
      <c r="R343" s="58">
        <f>'Pitching Data'!V343/'Pitching Data'!P343</f>
        <v>5.9677419354838713E-3</v>
      </c>
      <c r="S343" s="58">
        <f>'Pitching Data'!W343/'Pitching Data'!P343</f>
        <v>0.68709677419354842</v>
      </c>
    </row>
    <row r="344" spans="2:19" x14ac:dyDescent="0.5">
      <c r="B344" s="2">
        <v>2011</v>
      </c>
      <c r="C344" s="2" t="s">
        <v>62</v>
      </c>
      <c r="D344" s="2" t="str">
        <f t="shared" si="10"/>
        <v>2011 Houston Astros</v>
      </c>
      <c r="E344" s="60">
        <f>'Batting Data'!K344/'Batting Data'!J344</f>
        <v>0.18042157913540549</v>
      </c>
      <c r="F344" s="60">
        <f>'Batting Data'!L344/'Batting Data'!J344</f>
        <v>5.5198285101822078E-2</v>
      </c>
      <c r="G344" s="60">
        <f>'Batting Data'!M344/'Batting Data'!J344</f>
        <v>5.0017863522686676E-3</v>
      </c>
      <c r="H344" s="60">
        <f>'Batting Data'!N344/'Batting Data'!J344</f>
        <v>1.6970346552340122E-2</v>
      </c>
      <c r="I344" s="60">
        <f>'Batting Data'!O344/'Batting Data'!J344</f>
        <v>7.1632725973561989E-2</v>
      </c>
      <c r="J344" s="60">
        <f>'Batting Data'!P344/'Batting Data'!J344</f>
        <v>8.2172204358699538E-3</v>
      </c>
      <c r="K344" s="60">
        <f>'Batting Data'!Q344/'Batting Data'!J344</f>
        <v>0.66255805644873167</v>
      </c>
      <c r="L344" s="2" t="str">
        <f t="shared" si="11"/>
        <v>2011 Houston Astros</v>
      </c>
      <c r="M344" s="58">
        <f>'Pitching Data'!Q344/'Pitching Data'!P344</f>
        <v>0.15379706445437141</v>
      </c>
      <c r="N344" s="58">
        <f>'Pitching Data'!R344/'Pitching Data'!P344</f>
        <v>4.6904913848117423E-2</v>
      </c>
      <c r="O344" s="58">
        <f>'Pitching Data'!S344/'Pitching Data'!P344</f>
        <v>4.9457562220804087E-3</v>
      </c>
      <c r="P344" s="58">
        <f>'Pitching Data'!T344/'Pitching Data'!P344</f>
        <v>2.9993618379068283E-2</v>
      </c>
      <c r="Q344" s="58">
        <f>'Pitching Data'!U344/'Pitching Data'!P344</f>
        <v>8.9342693044033181E-2</v>
      </c>
      <c r="R344" s="58">
        <f>'Pitching Data'!V344/'Pitching Data'!P344</f>
        <v>8.4556477345245698E-3</v>
      </c>
      <c r="S344" s="58">
        <f>'Pitching Data'!W344/'Pitching Data'!P344</f>
        <v>0.66656030631780472</v>
      </c>
    </row>
    <row r="345" spans="2:19" x14ac:dyDescent="0.5">
      <c r="B345" s="2">
        <v>2011</v>
      </c>
      <c r="C345" s="2" t="s">
        <v>64</v>
      </c>
      <c r="D345" s="2" t="str">
        <f t="shared" si="10"/>
        <v>2011 Kansas City Royals</v>
      </c>
      <c r="E345" s="60">
        <f>'Batting Data'!K345/'Batting Data'!J345</f>
        <v>0.18776445698166433</v>
      </c>
      <c r="F345" s="60">
        <f>'Batting Data'!L345/'Batting Data'!J345</f>
        <v>5.7299012693935121E-2</v>
      </c>
      <c r="G345" s="60">
        <f>'Batting Data'!M345/'Batting Data'!J345</f>
        <v>7.228490832157969E-3</v>
      </c>
      <c r="H345" s="60">
        <f>'Batting Data'!N345/'Batting Data'!J345</f>
        <v>2.274330042313117E-2</v>
      </c>
      <c r="I345" s="60">
        <f>'Batting Data'!O345/'Batting Data'!J345</f>
        <v>7.7926657263751767E-2</v>
      </c>
      <c r="J345" s="60">
        <f>'Batting Data'!P345/'Batting Data'!J345</f>
        <v>6.8758815232722141E-3</v>
      </c>
      <c r="K345" s="60">
        <f>'Batting Data'!Q345/'Batting Data'!J345</f>
        <v>0.64016220028208748</v>
      </c>
      <c r="L345" s="2" t="str">
        <f t="shared" si="11"/>
        <v>2011 Kansas City Royals</v>
      </c>
      <c r="M345" s="58">
        <f>'Pitching Data'!Q345/'Pitching Data'!P345</f>
        <v>0.15605095541401273</v>
      </c>
      <c r="N345" s="58">
        <f>'Pitching Data'!R345/'Pitching Data'!P345</f>
        <v>4.7929936305732487E-2</v>
      </c>
      <c r="O345" s="58">
        <f>'Pitching Data'!S345/'Pitching Data'!P345</f>
        <v>6.8471337579617837E-3</v>
      </c>
      <c r="P345" s="58">
        <f>'Pitching Data'!T345/'Pitching Data'!P345</f>
        <v>2.5955414012738855E-2</v>
      </c>
      <c r="Q345" s="58">
        <f>'Pitching Data'!U345/'Pitching Data'!P345</f>
        <v>8.8694267515923561E-2</v>
      </c>
      <c r="R345" s="58">
        <f>'Pitching Data'!V345/'Pitching Data'!P345</f>
        <v>9.2356687898089169E-3</v>
      </c>
      <c r="S345" s="58">
        <f>'Pitching Data'!W345/'Pitching Data'!P345</f>
        <v>0.66528662420382167</v>
      </c>
    </row>
    <row r="346" spans="2:19" x14ac:dyDescent="0.5">
      <c r="B346" s="2">
        <v>2011</v>
      </c>
      <c r="C346" s="2" t="s">
        <v>66</v>
      </c>
      <c r="D346" s="2" t="str">
        <f t="shared" si="10"/>
        <v>2011 Los Angeles Dodgers</v>
      </c>
      <c r="E346" s="60">
        <f>'Batting Data'!K346/'Batting Data'!J346</f>
        <v>0.18635025754231052</v>
      </c>
      <c r="F346" s="60">
        <f>'Batting Data'!L346/'Batting Data'!J346</f>
        <v>4.359823399558499E-2</v>
      </c>
      <c r="G346" s="60">
        <f>'Batting Data'!M346/'Batting Data'!J346</f>
        <v>5.1508462104488595E-3</v>
      </c>
      <c r="H346" s="60">
        <f>'Batting Data'!N346/'Batting Data'!J346</f>
        <v>2.1523178807947019E-2</v>
      </c>
      <c r="I346" s="60">
        <f>'Batting Data'!O346/'Batting Data'!J346</f>
        <v>9.1611479028697568E-2</v>
      </c>
      <c r="J346" s="60">
        <f>'Batting Data'!P346/'Batting Data'!J346</f>
        <v>8.2781456953642391E-3</v>
      </c>
      <c r="K346" s="60">
        <f>'Batting Data'!Q346/'Batting Data'!J346</f>
        <v>0.64348785871964675</v>
      </c>
      <c r="L346" s="2" t="str">
        <f t="shared" si="11"/>
        <v>2011 Los Angeles Dodgers</v>
      </c>
      <c r="M346" s="58">
        <f>'Pitching Data'!Q346/'Pitching Data'!P346</f>
        <v>0.1455727863931966</v>
      </c>
      <c r="N346" s="58">
        <f>'Pitching Data'!R346/'Pitching Data'!P346</f>
        <v>4.3855260963815243E-2</v>
      </c>
      <c r="O346" s="58">
        <f>'Pitching Data'!S346/'Pitching Data'!P346</f>
        <v>3.168250792062698E-3</v>
      </c>
      <c r="P346" s="58">
        <f>'Pitching Data'!T346/'Pitching Data'!P346</f>
        <v>2.2011005502751375E-2</v>
      </c>
      <c r="Q346" s="58">
        <f>'Pitching Data'!U346/'Pitching Data'!P346</f>
        <v>8.4542271135567781E-2</v>
      </c>
      <c r="R346" s="58">
        <f>'Pitching Data'!V346/'Pitching Data'!P346</f>
        <v>7.1702517925629483E-3</v>
      </c>
      <c r="S346" s="58">
        <f>'Pitching Data'!W346/'Pitching Data'!P346</f>
        <v>0.6936801734200434</v>
      </c>
    </row>
    <row r="347" spans="2:19" x14ac:dyDescent="0.5">
      <c r="B347" s="2">
        <v>2011</v>
      </c>
      <c r="C347" s="2" t="s">
        <v>68</v>
      </c>
      <c r="D347" s="2" t="str">
        <f t="shared" si="10"/>
        <v>2011 Milwaukee Brewers</v>
      </c>
      <c r="E347" s="60">
        <f>'Batting Data'!K347/'Batting Data'!J347</f>
        <v>0.17073618505599414</v>
      </c>
      <c r="F347" s="60">
        <f>'Batting Data'!L347/'Batting Data'!J347</f>
        <v>5.0670093629520838E-2</v>
      </c>
      <c r="G347" s="60">
        <f>'Batting Data'!M347/'Batting Data'!J347</f>
        <v>5.6912061685331378E-3</v>
      </c>
      <c r="H347" s="60">
        <f>'Batting Data'!N347/'Batting Data'!J347</f>
        <v>3.3963649715439692E-2</v>
      </c>
      <c r="I347" s="60">
        <f>'Batting Data'!O347/'Batting Data'!J347</f>
        <v>8.83054892601432E-2</v>
      </c>
      <c r="J347" s="60">
        <f>'Batting Data'!P347/'Batting Data'!J347</f>
        <v>1.0280888562511473E-2</v>
      </c>
      <c r="K347" s="60">
        <f>'Batting Data'!Q347/'Batting Data'!J347</f>
        <v>0.64035248760785757</v>
      </c>
      <c r="L347" s="2" t="str">
        <f t="shared" si="11"/>
        <v>2011 Milwaukee Brewers</v>
      </c>
      <c r="M347" s="58">
        <f>'Pitching Data'!Q347/'Pitching Data'!P347</f>
        <v>0.15046296296296297</v>
      </c>
      <c r="N347" s="58">
        <f>'Pitching Data'!R347/'Pitching Data'!P347</f>
        <v>4.3485449735449738E-2</v>
      </c>
      <c r="O347" s="58">
        <f>'Pitching Data'!S347/'Pitching Data'!P347</f>
        <v>4.6296296296296294E-3</v>
      </c>
      <c r="P347" s="58">
        <f>'Pitching Data'!T347/'Pitching Data'!P347</f>
        <v>2.4305555555555556E-2</v>
      </c>
      <c r="Q347" s="58">
        <f>'Pitching Data'!U347/'Pitching Data'!P347</f>
        <v>7.2751322751322747E-2</v>
      </c>
      <c r="R347" s="58">
        <f>'Pitching Data'!V347/'Pitching Data'!P347</f>
        <v>5.456349206349206E-3</v>
      </c>
      <c r="S347" s="58">
        <f>'Pitching Data'!W347/'Pitching Data'!P347</f>
        <v>0.69890873015873012</v>
      </c>
    </row>
    <row r="348" spans="2:19" x14ac:dyDescent="0.5">
      <c r="B348" s="2">
        <v>2011</v>
      </c>
      <c r="C348" s="2" t="s">
        <v>70</v>
      </c>
      <c r="D348" s="2" t="str">
        <f t="shared" si="10"/>
        <v>2011 Minnesota Twins</v>
      </c>
      <c r="E348" s="60">
        <f>'Batting Data'!K348/'Batting Data'!J348</f>
        <v>0.17678148350646983</v>
      </c>
      <c r="F348" s="60">
        <f>'Batting Data'!L348/'Batting Data'!J348</f>
        <v>4.720247858574813E-2</v>
      </c>
      <c r="G348" s="60">
        <f>'Batting Data'!M348/'Batting Data'!J348</f>
        <v>4.5562238017131402E-3</v>
      </c>
      <c r="H348" s="60">
        <f>'Batting Data'!N348/'Batting Data'!J348</f>
        <v>1.8771642063058137E-2</v>
      </c>
      <c r="I348" s="60">
        <f>'Batting Data'!O348/'Batting Data'!J348</f>
        <v>8.0189538910151265E-2</v>
      </c>
      <c r="J348" s="60">
        <f>'Batting Data'!P348/'Batting Data'!J348</f>
        <v>6.7432112265354473E-3</v>
      </c>
      <c r="K348" s="60">
        <f>'Batting Data'!Q348/'Batting Data'!J348</f>
        <v>0.66575542190632409</v>
      </c>
      <c r="L348" s="2" t="str">
        <f t="shared" si="11"/>
        <v>2011 Minnesota Twins</v>
      </c>
      <c r="M348" s="58">
        <f>'Pitching Data'!Q348/'Pitching Data'!P348</f>
        <v>0.17214170692431563</v>
      </c>
      <c r="N348" s="58">
        <f>'Pitching Data'!R348/'Pitching Data'!P348</f>
        <v>4.6859903381642511E-2</v>
      </c>
      <c r="O348" s="58">
        <f>'Pitching Data'!S348/'Pitching Data'!P348</f>
        <v>6.9243156199677936E-3</v>
      </c>
      <c r="P348" s="58">
        <f>'Pitching Data'!T348/'Pitching Data'!P348</f>
        <v>2.5925925925925925E-2</v>
      </c>
      <c r="Q348" s="58">
        <f>'Pitching Data'!U348/'Pitching Data'!P348</f>
        <v>7.7294685990338161E-2</v>
      </c>
      <c r="R348" s="58">
        <f>'Pitching Data'!V348/'Pitching Data'!P348</f>
        <v>8.6956521739130436E-3</v>
      </c>
      <c r="S348" s="58">
        <f>'Pitching Data'!W348/'Pitching Data'!P348</f>
        <v>0.66215780998389695</v>
      </c>
    </row>
    <row r="349" spans="2:19" x14ac:dyDescent="0.5">
      <c r="B349" s="2">
        <v>2011</v>
      </c>
      <c r="C349" s="2" t="s">
        <v>76</v>
      </c>
      <c r="D349" s="2" t="str">
        <f t="shared" si="10"/>
        <v>2011 New York Mets</v>
      </c>
      <c r="E349" s="60">
        <f>'Batting Data'!K349/'Batting Data'!J349</f>
        <v>0.18232142857142858</v>
      </c>
      <c r="F349" s="60">
        <f>'Batting Data'!L349/'Batting Data'!J349</f>
        <v>5.5178571428571431E-2</v>
      </c>
      <c r="G349" s="60">
        <f>'Batting Data'!M349/'Batting Data'!J349</f>
        <v>6.9642857142857145E-3</v>
      </c>
      <c r="H349" s="60">
        <f>'Batting Data'!N349/'Batting Data'!J349</f>
        <v>1.9285714285714285E-2</v>
      </c>
      <c r="I349" s="60">
        <f>'Batting Data'!O349/'Batting Data'!J349</f>
        <v>0.10196428571428572</v>
      </c>
      <c r="J349" s="60">
        <f>'Batting Data'!P349/'Batting Data'!J349</f>
        <v>9.1071428571428571E-3</v>
      </c>
      <c r="K349" s="60">
        <f>'Batting Data'!Q349/'Batting Data'!J349</f>
        <v>0.62517857142857147</v>
      </c>
      <c r="L349" s="2" t="str">
        <f t="shared" si="11"/>
        <v>2011 New York Mets</v>
      </c>
      <c r="M349" s="58">
        <f>'Pitching Data'!Q349/'Pitching Data'!P349</f>
        <v>0.15785307156428119</v>
      </c>
      <c r="N349" s="58">
        <f>'Pitching Data'!R349/'Pitching Data'!P349</f>
        <v>4.7815072830905636E-2</v>
      </c>
      <c r="O349" s="58">
        <f>'Pitching Data'!S349/'Pitching Data'!P349</f>
        <v>5.699810006333122E-3</v>
      </c>
      <c r="P349" s="58">
        <f>'Pitching Data'!T349/'Pitching Data'!P349</f>
        <v>2.3274224192526914E-2</v>
      </c>
      <c r="Q349" s="58">
        <f>'Pitching Data'!U349/'Pitching Data'!P349</f>
        <v>8.1380620645978466E-2</v>
      </c>
      <c r="R349" s="58">
        <f>'Pitching Data'!V349/'Pitching Data'!P349</f>
        <v>1.1082963901203294E-2</v>
      </c>
      <c r="S349" s="58">
        <f>'Pitching Data'!W349/'Pitching Data'!P349</f>
        <v>0.67289423685877137</v>
      </c>
    </row>
    <row r="350" spans="2:19" x14ac:dyDescent="0.5">
      <c r="B350" s="2">
        <v>2011</v>
      </c>
      <c r="C350" s="2" t="s">
        <v>74</v>
      </c>
      <c r="D350" s="2" t="str">
        <f t="shared" si="10"/>
        <v>2011 New York Yankees</v>
      </c>
      <c r="E350" s="60">
        <f>'Batting Data'!K350/'Batting Data'!J350</f>
        <v>0.16853932584269662</v>
      </c>
      <c r="F350" s="60">
        <f>'Batting Data'!L350/'Batting Data'!J350</f>
        <v>4.8387096774193547E-2</v>
      </c>
      <c r="G350" s="60">
        <f>'Batting Data'!M350/'Batting Data'!J350</f>
        <v>5.9804276911924609E-3</v>
      </c>
      <c r="H350" s="60">
        <f>'Batting Data'!N350/'Batting Data'!J350</f>
        <v>4.0231968104385646E-2</v>
      </c>
      <c r="I350" s="60">
        <f>'Batting Data'!O350/'Batting Data'!J350</f>
        <v>0.11362812613265676</v>
      </c>
      <c r="J350" s="60">
        <f>'Batting Data'!P350/'Batting Data'!J350</f>
        <v>1.3410656034795215E-2</v>
      </c>
      <c r="K350" s="60">
        <f>'Batting Data'!Q350/'Batting Data'!J350</f>
        <v>0.60982239942007976</v>
      </c>
      <c r="L350" s="2" t="str">
        <f t="shared" si="11"/>
        <v>2011 New York Yankees</v>
      </c>
      <c r="M350" s="58">
        <f>'Pitching Data'!Q350/'Pitching Data'!P350</f>
        <v>0.15363577863577862</v>
      </c>
      <c r="N350" s="58">
        <f>'Pitching Data'!R350/'Pitching Data'!P350</f>
        <v>4.6975546975546977E-2</v>
      </c>
      <c r="O350" s="58">
        <f>'Pitching Data'!S350/'Pitching Data'!P350</f>
        <v>3.8610038610038611E-3</v>
      </c>
      <c r="P350" s="58">
        <f>'Pitching Data'!T350/'Pitching Data'!P350</f>
        <v>2.4453024453024452E-2</v>
      </c>
      <c r="Q350" s="58">
        <f>'Pitching Data'!U350/'Pitching Data'!P350</f>
        <v>8.1563706563706567E-2</v>
      </c>
      <c r="R350" s="58">
        <f>'Pitching Data'!V350/'Pitching Data'!P350</f>
        <v>9.3307593307593306E-3</v>
      </c>
      <c r="S350" s="58">
        <f>'Pitching Data'!W350/'Pitching Data'!P350</f>
        <v>0.68018018018018023</v>
      </c>
    </row>
    <row r="351" spans="2:19" x14ac:dyDescent="0.5">
      <c r="B351" s="2">
        <v>2011</v>
      </c>
      <c r="C351" s="2" t="s">
        <v>78</v>
      </c>
      <c r="D351" s="2" t="str">
        <f t="shared" si="10"/>
        <v>2011 Oakland Athletics</v>
      </c>
      <c r="E351" s="60">
        <f>'Batting Data'!K351/'Batting Data'!J351</f>
        <v>0.16636096845194423</v>
      </c>
      <c r="F351" s="60">
        <f>'Batting Data'!L351/'Batting Data'!J351</f>
        <v>5.1357300073367571E-2</v>
      </c>
      <c r="G351" s="60">
        <f>'Batting Data'!M351/'Batting Data'!J351</f>
        <v>5.3191489361702126E-3</v>
      </c>
      <c r="H351" s="60">
        <f>'Batting Data'!N351/'Batting Data'!J351</f>
        <v>2.0909757887013939E-2</v>
      </c>
      <c r="I351" s="60">
        <f>'Batting Data'!O351/'Batting Data'!J351</f>
        <v>9.3360234776228901E-2</v>
      </c>
      <c r="J351" s="60">
        <f>'Batting Data'!P351/'Batting Data'!J351</f>
        <v>9.1709464416727809E-3</v>
      </c>
      <c r="K351" s="60">
        <f>'Batting Data'!Q351/'Batting Data'!J351</f>
        <v>0.65352164343360231</v>
      </c>
      <c r="L351" s="2" t="str">
        <f t="shared" si="11"/>
        <v>2011 Oakland Athletics</v>
      </c>
      <c r="M351" s="58">
        <f>'Pitching Data'!Q351/'Pitching Data'!P351</f>
        <v>0.15798019158954377</v>
      </c>
      <c r="N351" s="58">
        <f>'Pitching Data'!R351/'Pitching Data'!P351</f>
        <v>3.9779184932618929E-2</v>
      </c>
      <c r="O351" s="58">
        <f>'Pitching Data'!S351/'Pitching Data'!P351</f>
        <v>4.2214645234616007E-3</v>
      </c>
      <c r="P351" s="58">
        <f>'Pitching Data'!T351/'Pitching Data'!P351</f>
        <v>2.2081506738106837E-2</v>
      </c>
      <c r="Q351" s="58">
        <f>'Pitching Data'!U351/'Pitching Data'!P351</f>
        <v>8.4266926449098875E-2</v>
      </c>
      <c r="R351" s="58">
        <f>'Pitching Data'!V351/'Pitching Data'!P351</f>
        <v>6.6569248254586787E-3</v>
      </c>
      <c r="S351" s="58">
        <f>'Pitching Data'!W351/'Pitching Data'!P351</f>
        <v>0.68501380094171127</v>
      </c>
    </row>
    <row r="352" spans="2:19" x14ac:dyDescent="0.5">
      <c r="B352" s="2">
        <v>2011</v>
      </c>
      <c r="C352" s="2" t="s">
        <v>80</v>
      </c>
      <c r="D352" s="2" t="str">
        <f t="shared" si="10"/>
        <v>2011 Philadelphia Phillies</v>
      </c>
      <c r="E352" s="60">
        <f>'Batting Data'!K352/'Batting Data'!J352</f>
        <v>0.17207384835992112</v>
      </c>
      <c r="F352" s="60">
        <f>'Batting Data'!L352/'Batting Data'!J352</f>
        <v>4.6244846746728803E-2</v>
      </c>
      <c r="G352" s="60">
        <f>'Batting Data'!M352/'Batting Data'!J352</f>
        <v>6.8112564975802113E-3</v>
      </c>
      <c r="H352" s="60">
        <f>'Batting Data'!N352/'Batting Data'!J352</f>
        <v>2.742426958236243E-2</v>
      </c>
      <c r="I352" s="60">
        <f>'Batting Data'!O352/'Batting Data'!J352</f>
        <v>9.6612296110414053E-2</v>
      </c>
      <c r="J352" s="60">
        <f>'Batting Data'!P352/'Batting Data'!J352</f>
        <v>1.0037641154328732E-2</v>
      </c>
      <c r="K352" s="60">
        <f>'Batting Data'!Q352/'Batting Data'!J352</f>
        <v>0.64079584154866465</v>
      </c>
      <c r="L352" s="2" t="str">
        <f t="shared" si="11"/>
        <v>2011 Philadelphia Phillies</v>
      </c>
      <c r="M352" s="58">
        <f>'Pitching Data'!Q352/'Pitching Data'!P352</f>
        <v>0.15175481957488879</v>
      </c>
      <c r="N352" s="58">
        <f>'Pitching Data'!R352/'Pitching Data'!P352</f>
        <v>4.1522491349480967E-2</v>
      </c>
      <c r="O352" s="58">
        <f>'Pitching Data'!S352/'Pitching Data'!P352</f>
        <v>4.448838358872961E-3</v>
      </c>
      <c r="P352" s="58">
        <f>'Pitching Data'!T352/'Pitching Data'!P352</f>
        <v>1.9772614928324272E-2</v>
      </c>
      <c r="Q352" s="58">
        <f>'Pitching Data'!U352/'Pitching Data'!P352</f>
        <v>6.6567803592025049E-2</v>
      </c>
      <c r="R352" s="58">
        <f>'Pitching Data'!V352/'Pitching Data'!P352</f>
        <v>7.7442741802603394E-3</v>
      </c>
      <c r="S352" s="58">
        <f>'Pitching Data'!W352/'Pitching Data'!P352</f>
        <v>0.70818915801614768</v>
      </c>
    </row>
    <row r="353" spans="2:19" x14ac:dyDescent="0.5">
      <c r="B353" s="2">
        <v>2011</v>
      </c>
      <c r="C353" s="2" t="s">
        <v>82</v>
      </c>
      <c r="D353" s="2" t="str">
        <f t="shared" si="10"/>
        <v>2011 Pittsburgh Pirates</v>
      </c>
      <c r="E353" s="60">
        <f>'Batting Data'!K353/'Batting Data'!J353</f>
        <v>0.16712783619258439</v>
      </c>
      <c r="F353" s="60">
        <f>'Batting Data'!L353/'Batting Data'!J353</f>
        <v>5.1097583471684194E-2</v>
      </c>
      <c r="G353" s="60">
        <f>'Batting Data'!M353/'Batting Data'!J353</f>
        <v>6.4563733628481834E-3</v>
      </c>
      <c r="H353" s="60">
        <f>'Batting Data'!N353/'Batting Data'!J353</f>
        <v>1.973805570927873E-2</v>
      </c>
      <c r="I353" s="60">
        <f>'Batting Data'!O353/'Batting Data'!J353</f>
        <v>9.0204759269507467E-2</v>
      </c>
      <c r="J353" s="60">
        <f>'Batting Data'!P353/'Batting Data'!J353</f>
        <v>6.2719055524810916E-3</v>
      </c>
      <c r="K353" s="60">
        <f>'Batting Data'!Q353/'Batting Data'!J353</f>
        <v>0.65910348644161598</v>
      </c>
      <c r="L353" s="2" t="str">
        <f t="shared" si="11"/>
        <v>2011 Pittsburgh Pirates</v>
      </c>
      <c r="M353" s="58">
        <f>'Pitching Data'!Q353/'Pitching Data'!P353</f>
        <v>0.16843438340984646</v>
      </c>
      <c r="N353" s="58">
        <f>'Pitching Data'!R353/'Pitching Data'!P353</f>
        <v>4.3533322779800536E-2</v>
      </c>
      <c r="O353" s="58">
        <f>'Pitching Data'!S353/'Pitching Data'!P353</f>
        <v>3.482665822384043E-3</v>
      </c>
      <c r="P353" s="58">
        <f>'Pitching Data'!T353/'Pitching Data'!P353</f>
        <v>2.4062054772835205E-2</v>
      </c>
      <c r="Q353" s="58">
        <f>'Pitching Data'!U353/'Pitching Data'!P353</f>
        <v>8.4692100680702861E-2</v>
      </c>
      <c r="R353" s="58">
        <f>'Pitching Data'!V353/'Pitching Data'!P353</f>
        <v>9.8147854994459389E-3</v>
      </c>
      <c r="S353" s="58">
        <f>'Pitching Data'!W353/'Pitching Data'!P353</f>
        <v>0.66598068703498492</v>
      </c>
    </row>
    <row r="354" spans="2:19" x14ac:dyDescent="0.5">
      <c r="B354" s="2">
        <v>2011</v>
      </c>
      <c r="C354" s="2" t="s">
        <v>84</v>
      </c>
      <c r="D354" s="2" t="str">
        <f t="shared" si="10"/>
        <v>2011 San Diego Padres</v>
      </c>
      <c r="E354" s="60">
        <f>'Batting Data'!K354/'Batting Data'!J354</f>
        <v>0.16688203802842902</v>
      </c>
      <c r="F354" s="60">
        <f>'Batting Data'!L354/'Batting Data'!J354</f>
        <v>4.5597194018829612E-2</v>
      </c>
      <c r="G354" s="60">
        <f>'Batting Data'!M354/'Batting Data'!J354</f>
        <v>7.753369023444711E-3</v>
      </c>
      <c r="H354" s="60">
        <f>'Batting Data'!N354/'Batting Data'!J354</f>
        <v>1.6798966217463542E-2</v>
      </c>
      <c r="I354" s="60">
        <f>'Batting Data'!O354/'Batting Data'!J354</f>
        <v>9.2486616208233341E-2</v>
      </c>
      <c r="J354" s="60">
        <f>'Batting Data'!P354/'Batting Data'!J354</f>
        <v>8.860993169651098E-3</v>
      </c>
      <c r="K354" s="60">
        <f>'Batting Data'!Q354/'Batting Data'!J354</f>
        <v>0.66162082333394867</v>
      </c>
      <c r="L354" s="2" t="str">
        <f t="shared" si="11"/>
        <v>2011 San Diego Padres</v>
      </c>
      <c r="M354" s="58">
        <f>'Pitching Data'!Q354/'Pitching Data'!P354</f>
        <v>0.14839241549876339</v>
      </c>
      <c r="N354" s="58">
        <f>'Pitching Data'!R354/'Pitching Data'!P354</f>
        <v>4.4023083264633139E-2</v>
      </c>
      <c r="O354" s="58">
        <f>'Pitching Data'!S354/'Pitching Data'!P354</f>
        <v>5.2761747732893655E-3</v>
      </c>
      <c r="P354" s="58">
        <f>'Pitching Data'!T354/'Pitching Data'!P354</f>
        <v>2.0610057708161583E-2</v>
      </c>
      <c r="Q354" s="58">
        <f>'Pitching Data'!U354/'Pitching Data'!P354</f>
        <v>8.5902720527617479E-2</v>
      </c>
      <c r="R354" s="58">
        <f>'Pitching Data'!V354/'Pitching Data'!P354</f>
        <v>6.1005770816158289E-3</v>
      </c>
      <c r="S354" s="58">
        <f>'Pitching Data'!W354/'Pitching Data'!P354</f>
        <v>0.68969497114591916</v>
      </c>
    </row>
    <row r="355" spans="2:19" x14ac:dyDescent="0.5">
      <c r="B355" s="2">
        <v>2011</v>
      </c>
      <c r="C355" s="2" t="s">
        <v>86</v>
      </c>
      <c r="D355" s="2" t="str">
        <f t="shared" si="10"/>
        <v>2011 Seattle Mariners</v>
      </c>
      <c r="E355" s="60">
        <f>'Batting Data'!K355/'Batting Data'!J355</f>
        <v>0.16214720531267293</v>
      </c>
      <c r="F355" s="60">
        <f>'Batting Data'!L355/'Batting Data'!J355</f>
        <v>4.6670356022874011E-2</v>
      </c>
      <c r="G355" s="60">
        <f>'Batting Data'!M355/'Batting Data'!J355</f>
        <v>4.0582918280760005E-3</v>
      </c>
      <c r="H355" s="60">
        <f>'Batting Data'!N355/'Batting Data'!J355</f>
        <v>2.0106991330012914E-2</v>
      </c>
      <c r="I355" s="60">
        <f>'Batting Data'!O355/'Batting Data'!J355</f>
        <v>8.0243497509684555E-2</v>
      </c>
      <c r="J355" s="60">
        <f>'Batting Data'!P355/'Batting Data'!J355</f>
        <v>6.8253089835823653E-3</v>
      </c>
      <c r="K355" s="60">
        <f>'Batting Data'!Q355/'Batting Data'!J355</f>
        <v>0.6799483490130972</v>
      </c>
      <c r="L355" s="2" t="str">
        <f t="shared" si="11"/>
        <v>2011 Seattle Mariners</v>
      </c>
      <c r="M355" s="58">
        <f>'Pitching Data'!Q355/'Pitching Data'!P355</f>
        <v>0.15746591286997008</v>
      </c>
      <c r="N355" s="58">
        <f>'Pitching Data'!R355/'Pitching Data'!P355</f>
        <v>4.2068506817426007E-2</v>
      </c>
      <c r="O355" s="58">
        <f>'Pitching Data'!S355/'Pitching Data'!P355</f>
        <v>3.9906883937479215E-3</v>
      </c>
      <c r="P355" s="58">
        <f>'Pitching Data'!T355/'Pitching Data'!P355</f>
        <v>2.411040904556036E-2</v>
      </c>
      <c r="Q355" s="58">
        <f>'Pitching Data'!U355/'Pitching Data'!P355</f>
        <v>7.2497505819753907E-2</v>
      </c>
      <c r="R355" s="58">
        <f>'Pitching Data'!V355/'Pitching Data'!P355</f>
        <v>8.4802128367143324E-3</v>
      </c>
      <c r="S355" s="58">
        <f>'Pitching Data'!W355/'Pitching Data'!P355</f>
        <v>0.69138676421682743</v>
      </c>
    </row>
    <row r="356" spans="2:19" x14ac:dyDescent="0.5">
      <c r="B356" s="2">
        <v>2011</v>
      </c>
      <c r="C356" s="2" t="s">
        <v>88</v>
      </c>
      <c r="D356" s="2" t="str">
        <f t="shared" si="10"/>
        <v>2011 San Francisco Giants</v>
      </c>
      <c r="E356" s="60">
        <f>'Batting Data'!K356/'Batting Data'!J356</f>
        <v>0.16405395552314983</v>
      </c>
      <c r="F356" s="60">
        <f>'Batting Data'!L356/'Batting Data'!J356</f>
        <v>5.1403572730586947E-2</v>
      </c>
      <c r="G356" s="60">
        <f>'Batting Data'!M356/'Batting Data'!J356</f>
        <v>4.3747721472839956E-3</v>
      </c>
      <c r="H356" s="60">
        <f>'Batting Data'!N356/'Batting Data'!J356</f>
        <v>2.2056142909223479E-2</v>
      </c>
      <c r="I356" s="60">
        <f>'Batting Data'!O356/'Batting Data'!J356</f>
        <v>8.1662413415967916E-2</v>
      </c>
      <c r="J356" s="60">
        <f>'Batting Data'!P356/'Batting Data'!J356</f>
        <v>9.4786729857819912E-3</v>
      </c>
      <c r="K356" s="60">
        <f>'Batting Data'!Q356/'Batting Data'!J356</f>
        <v>0.66697047028800582</v>
      </c>
      <c r="L356" s="2" t="str">
        <f t="shared" si="11"/>
        <v>2011 San Francisco Giants</v>
      </c>
      <c r="M356" s="58">
        <f>'Pitching Data'!Q356/'Pitching Data'!P356</f>
        <v>0.14078303425774877</v>
      </c>
      <c r="N356" s="58">
        <f>'Pitching Data'!R356/'Pitching Data'!P356</f>
        <v>4.4371941272430666E-2</v>
      </c>
      <c r="O356" s="58">
        <f>'Pitching Data'!S356/'Pitching Data'!P356</f>
        <v>4.7308319738988578E-3</v>
      </c>
      <c r="P356" s="58">
        <f>'Pitching Data'!T356/'Pitching Data'!P356</f>
        <v>1.566068515497553E-2</v>
      </c>
      <c r="Q356" s="58">
        <f>'Pitching Data'!U356/'Pitching Data'!P356</f>
        <v>9.1190864600326257E-2</v>
      </c>
      <c r="R356" s="58">
        <f>'Pitching Data'!V356/'Pitching Data'!P356</f>
        <v>8.1566068515497546E-3</v>
      </c>
      <c r="S356" s="58">
        <f>'Pitching Data'!W356/'Pitching Data'!P356</f>
        <v>0.69510603588907016</v>
      </c>
    </row>
    <row r="357" spans="2:19" x14ac:dyDescent="0.5">
      <c r="B357" s="2">
        <v>2011</v>
      </c>
      <c r="C357" s="2" t="s">
        <v>90</v>
      </c>
      <c r="D357" s="2" t="str">
        <f t="shared" si="10"/>
        <v>2011 St. Louis Cardinals</v>
      </c>
      <c r="E357" s="60">
        <f>'Batting Data'!K357/'Batting Data'!J357</f>
        <v>0.18456254519161244</v>
      </c>
      <c r="F357" s="60">
        <f>'Batting Data'!L357/'Batting Data'!J357</f>
        <v>5.5676066522053508E-2</v>
      </c>
      <c r="G357" s="60">
        <f>'Batting Data'!M357/'Batting Data'!J357</f>
        <v>3.9768618944323935E-3</v>
      </c>
      <c r="H357" s="60">
        <f>'Batting Data'!N357/'Batting Data'!J357</f>
        <v>2.9284164859002169E-2</v>
      </c>
      <c r="I357" s="60">
        <f>'Batting Data'!O357/'Batting Data'!J357</f>
        <v>9.7975415762834417E-2</v>
      </c>
      <c r="J357" s="60">
        <f>'Batting Data'!P357/'Batting Data'!J357</f>
        <v>7.9537237888647871E-3</v>
      </c>
      <c r="K357" s="60">
        <f>'Batting Data'!Q357/'Batting Data'!J357</f>
        <v>0.62057122198120029</v>
      </c>
      <c r="L357" s="2" t="str">
        <f t="shared" si="11"/>
        <v>2011 St. Louis Cardinals</v>
      </c>
      <c r="M357" s="58">
        <f>'Pitching Data'!Q357/'Pitching Data'!P357</f>
        <v>0.1601996457897279</v>
      </c>
      <c r="N357" s="58">
        <f>'Pitching Data'!R357/'Pitching Data'!P357</f>
        <v>4.7496377394944451E-2</v>
      </c>
      <c r="O357" s="58">
        <f>'Pitching Data'!S357/'Pitching Data'!P357</f>
        <v>5.6351634197391726E-3</v>
      </c>
      <c r="P357" s="58">
        <f>'Pitching Data'!T357/'Pitching Data'!P357</f>
        <v>2.1896635002415069E-2</v>
      </c>
      <c r="Q357" s="58">
        <f>'Pitching Data'!U357/'Pitching Data'!P357</f>
        <v>7.21300917726614E-2</v>
      </c>
      <c r="R357" s="58">
        <f>'Pitching Data'!V357/'Pitching Data'!P357</f>
        <v>7.4062147802286269E-3</v>
      </c>
      <c r="S357" s="58">
        <f>'Pitching Data'!W357/'Pitching Data'!P357</f>
        <v>0.68523587184028334</v>
      </c>
    </row>
    <row r="358" spans="2:19" x14ac:dyDescent="0.5">
      <c r="B358" s="2">
        <v>2011</v>
      </c>
      <c r="C358" s="2" t="s">
        <v>92</v>
      </c>
      <c r="D358" s="2" t="str">
        <f t="shared" si="10"/>
        <v>2011 Tampa Bay Devil Rays</v>
      </c>
      <c r="E358" s="60">
        <f>'Batting Data'!K358/'Batting Data'!J358</f>
        <v>0.15489330389992642</v>
      </c>
      <c r="F358" s="60">
        <f>'Batting Data'!L358/'Batting Data'!J358</f>
        <v>5.0220750551876379E-2</v>
      </c>
      <c r="G358" s="60">
        <f>'Batting Data'!M358/'Batting Data'!J358</f>
        <v>6.8064753495217069E-3</v>
      </c>
      <c r="H358" s="60">
        <f>'Batting Data'!N358/'Batting Data'!J358</f>
        <v>3.164091243561442E-2</v>
      </c>
      <c r="I358" s="60">
        <f>'Batting Data'!O358/'Batting Data'!J358</f>
        <v>0.10504047093451067</v>
      </c>
      <c r="J358" s="60">
        <f>'Batting Data'!P358/'Batting Data'!J358</f>
        <v>1.3428991905813098E-2</v>
      </c>
      <c r="K358" s="60">
        <f>'Batting Data'!Q358/'Batting Data'!J358</f>
        <v>0.63796909492273735</v>
      </c>
      <c r="L358" s="2" t="str">
        <f t="shared" si="11"/>
        <v>2011 Tampa Bay Devil Rays</v>
      </c>
      <c r="M358" s="58">
        <f>'Pitching Data'!Q358/'Pitching Data'!P358</f>
        <v>0.13510815307820301</v>
      </c>
      <c r="N358" s="58">
        <f>'Pitching Data'!R358/'Pitching Data'!P358</f>
        <v>4.3261231281198007E-2</v>
      </c>
      <c r="O358" s="58">
        <f>'Pitching Data'!S358/'Pitching Data'!P358</f>
        <v>4.9916805324459234E-3</v>
      </c>
      <c r="P358" s="58">
        <f>'Pitching Data'!T358/'Pitching Data'!P358</f>
        <v>2.6788685524126457E-2</v>
      </c>
      <c r="Q358" s="58">
        <f>'Pitching Data'!U358/'Pitching Data'!P358</f>
        <v>8.3860232945091512E-2</v>
      </c>
      <c r="R358" s="58">
        <f>'Pitching Data'!V358/'Pitching Data'!P358</f>
        <v>7.6539101497504159E-3</v>
      </c>
      <c r="S358" s="58">
        <f>'Pitching Data'!W358/'Pitching Data'!P358</f>
        <v>0.69833610648918465</v>
      </c>
    </row>
    <row r="359" spans="2:19" x14ac:dyDescent="0.5">
      <c r="B359" s="2">
        <v>2011</v>
      </c>
      <c r="C359" s="2" t="s">
        <v>94</v>
      </c>
      <c r="D359" s="2" t="str">
        <f t="shared" si="10"/>
        <v>2011 Texas Rangers</v>
      </c>
      <c r="E359" s="60">
        <f>'Batting Data'!K359/'Batting Data'!J359</f>
        <v>0.1850150203216116</v>
      </c>
      <c r="F359" s="60">
        <f>'Batting Data'!L359/'Batting Data'!J359</f>
        <v>5.4779996465806682E-2</v>
      </c>
      <c r="G359" s="60">
        <f>'Batting Data'!M359/'Batting Data'!J359</f>
        <v>5.6547093125993994E-3</v>
      </c>
      <c r="H359" s="60">
        <f>'Batting Data'!N359/'Batting Data'!J359</f>
        <v>3.7109029863933558E-2</v>
      </c>
      <c r="I359" s="60">
        <f>'Batting Data'!O359/'Batting Data'!J359</f>
        <v>8.3937091358897334E-2</v>
      </c>
      <c r="J359" s="60">
        <f>'Batting Data'!P359/'Batting Data'!J359</f>
        <v>6.8916769747305179E-3</v>
      </c>
      <c r="K359" s="60">
        <f>'Batting Data'!Q359/'Batting Data'!J359</f>
        <v>0.62661247570242096</v>
      </c>
      <c r="L359" s="2" t="str">
        <f t="shared" si="11"/>
        <v>2011 Texas Rangers</v>
      </c>
      <c r="M359" s="58">
        <f>'Pitching Data'!Q359/'Pitching Data'!P359</f>
        <v>0.14615512373359907</v>
      </c>
      <c r="N359" s="58">
        <f>'Pitching Data'!R359/'Pitching Data'!P359</f>
        <v>4.3016110280684271E-2</v>
      </c>
      <c r="O359" s="58">
        <f>'Pitching Data'!S359/'Pitching Data'!P359</f>
        <v>2.9895366218236174E-3</v>
      </c>
      <c r="P359" s="58">
        <f>'Pitching Data'!T359/'Pitching Data'!P359</f>
        <v>2.8234512539445276E-2</v>
      </c>
      <c r="Q359" s="58">
        <f>'Pitching Data'!U359/'Pitching Data'!P359</f>
        <v>7.6565354592260423E-2</v>
      </c>
      <c r="R359" s="58">
        <f>'Pitching Data'!V359/'Pitching Data'!P359</f>
        <v>7.6399269224381328E-3</v>
      </c>
      <c r="S359" s="58">
        <f>'Pitching Data'!W359/'Pitching Data'!P359</f>
        <v>0.69539943530974924</v>
      </c>
    </row>
    <row r="360" spans="2:19" x14ac:dyDescent="0.5">
      <c r="B360" s="2">
        <v>2011</v>
      </c>
      <c r="C360" s="2" t="s">
        <v>96</v>
      </c>
      <c r="D360" s="2" t="str">
        <f t="shared" si="10"/>
        <v>2011 Toronto Blue Jays</v>
      </c>
      <c r="E360" s="60">
        <f>'Batting Data'!K360/'Batting Data'!J360</f>
        <v>0.15812196438208312</v>
      </c>
      <c r="F360" s="60">
        <f>'Batting Data'!L360/'Batting Data'!J360</f>
        <v>5.1268213707501349E-2</v>
      </c>
      <c r="G360" s="60">
        <f>'Batting Data'!M360/'Batting Data'!J360</f>
        <v>6.1162079510703364E-3</v>
      </c>
      <c r="H360" s="60">
        <f>'Batting Data'!N360/'Batting Data'!J360</f>
        <v>3.3459255261737722E-2</v>
      </c>
      <c r="I360" s="60">
        <f>'Batting Data'!O360/'Batting Data'!J360</f>
        <v>9.4441446303291959E-2</v>
      </c>
      <c r="J360" s="60">
        <f>'Batting Data'!P360/'Batting Data'!J360</f>
        <v>8.634646519158122E-3</v>
      </c>
      <c r="K360" s="60">
        <f>'Batting Data'!Q360/'Batting Data'!J360</f>
        <v>0.64795826587515737</v>
      </c>
      <c r="L360" s="2" t="str">
        <f t="shared" si="11"/>
        <v>2011 Toronto Blue Jays</v>
      </c>
      <c r="M360" s="58">
        <f>'Pitching Data'!Q360/'Pitching Data'!P360</f>
        <v>0.14540248170537703</v>
      </c>
      <c r="N360" s="58">
        <f>'Pitching Data'!R360/'Pitching Data'!P360</f>
        <v>4.8838689150493157E-2</v>
      </c>
      <c r="O360" s="58">
        <f>'Pitching Data'!S360/'Pitching Data'!P360</f>
        <v>5.249761374482978E-3</v>
      </c>
      <c r="P360" s="58">
        <f>'Pitching Data'!T360/'Pitching Data'!P360</f>
        <v>2.8475978364619792E-2</v>
      </c>
      <c r="Q360" s="58">
        <f>'Pitching Data'!U360/'Pitching Data'!P360</f>
        <v>8.590518612790328E-2</v>
      </c>
      <c r="R360" s="58">
        <f>'Pitching Data'!V360/'Pitching Data'!P360</f>
        <v>1.2249443207126948E-2</v>
      </c>
      <c r="S360" s="58">
        <f>'Pitching Data'!W360/'Pitching Data'!P360</f>
        <v>0.67387846006999685</v>
      </c>
    </row>
    <row r="361" spans="2:19" x14ac:dyDescent="0.5">
      <c r="B361" s="2">
        <v>2011</v>
      </c>
      <c r="C361" s="2" t="s">
        <v>100</v>
      </c>
      <c r="D361" s="2" t="str">
        <f t="shared" si="10"/>
        <v>2011 Washington Nationals</v>
      </c>
      <c r="E361" s="60">
        <f>'Batting Data'!K361/'Batting Data'!J361</f>
        <v>0.16283771365557803</v>
      </c>
      <c r="F361" s="60">
        <f>'Batting Data'!L361/'Batting Data'!J361</f>
        <v>4.7233964344789561E-2</v>
      </c>
      <c r="G361" s="60">
        <f>'Batting Data'!M361/'Batting Data'!J361</f>
        <v>4.0433743797096125E-3</v>
      </c>
      <c r="H361" s="60">
        <f>'Batting Data'!N361/'Batting Data'!J361</f>
        <v>2.8303620657967286E-2</v>
      </c>
      <c r="I361" s="60">
        <f>'Batting Data'!O361/'Batting Data'!J361</f>
        <v>8.6381179930159896E-2</v>
      </c>
      <c r="J361" s="60">
        <f>'Batting Data'!P361/'Batting Data'!J361</f>
        <v>1.1946333394596581E-2</v>
      </c>
      <c r="K361" s="60">
        <f>'Batting Data'!Q361/'Batting Data'!J361</f>
        <v>0.65925381363719904</v>
      </c>
      <c r="L361" s="2" t="str">
        <f t="shared" si="11"/>
        <v>2011 Washington Nationals</v>
      </c>
      <c r="M361" s="58">
        <f>'Pitching Data'!Q361/'Pitching Data'!P361</f>
        <v>0.1617000488519785</v>
      </c>
      <c r="N361" s="58">
        <f>'Pitching Data'!R361/'Pitching Data'!P361</f>
        <v>4.2012701514411332E-2</v>
      </c>
      <c r="O361" s="58">
        <f>'Pitching Data'!S361/'Pitching Data'!P361</f>
        <v>3.7453183520599251E-3</v>
      </c>
      <c r="P361" s="58">
        <f>'Pitching Data'!T361/'Pitching Data'!P361</f>
        <v>2.1006350757205666E-2</v>
      </c>
      <c r="Q361" s="58">
        <f>'Pitching Data'!U361/'Pitching Data'!P361</f>
        <v>7.7674645823155836E-2</v>
      </c>
      <c r="R361" s="58">
        <f>'Pitching Data'!V361/'Pitching Data'!P361</f>
        <v>8.4676762742224385E-3</v>
      </c>
      <c r="S361" s="58">
        <f>'Pitching Data'!W361/'Pitching Data'!P361</f>
        <v>0.6853932584269663</v>
      </c>
    </row>
    <row r="362" spans="2:19" x14ac:dyDescent="0.5">
      <c r="B362" s="2">
        <v>2012</v>
      </c>
      <c r="C362" s="2" t="s">
        <v>36</v>
      </c>
      <c r="D362" s="2" t="str">
        <f t="shared" si="10"/>
        <v>2012 Anaheim Angels</v>
      </c>
      <c r="E362" s="60">
        <f>'Batting Data'!K362/'Batting Data'!J362</f>
        <v>0.18713872832369943</v>
      </c>
      <c r="F362" s="60">
        <f>'Batting Data'!L362/'Batting Data'!J362</f>
        <v>4.93135838150289E-2</v>
      </c>
      <c r="G362" s="60">
        <f>'Batting Data'!M362/'Batting Data'!J362</f>
        <v>3.9739884393063581E-3</v>
      </c>
      <c r="H362" s="60">
        <f>'Batting Data'!N362/'Batting Data'!J362</f>
        <v>3.3778901734104048E-2</v>
      </c>
      <c r="I362" s="60">
        <f>'Batting Data'!O362/'Batting Data'!J362</f>
        <v>8.1105491329479765E-2</v>
      </c>
      <c r="J362" s="60">
        <f>'Batting Data'!P362/'Batting Data'!J362</f>
        <v>8.489884393063583E-3</v>
      </c>
      <c r="K362" s="60">
        <f>'Batting Data'!Q362/'Batting Data'!J362</f>
        <v>0.63619942196531787</v>
      </c>
      <c r="L362" s="2" t="str">
        <f t="shared" si="11"/>
        <v>2012 Anaheim Angels</v>
      </c>
      <c r="M362" s="58">
        <f>'Pitching Data'!Q362/'Pitching Data'!P362</f>
        <v>0.14600596619158104</v>
      </c>
      <c r="N362" s="58">
        <f>'Pitching Data'!R362/'Pitching Data'!P362</f>
        <v>4.1431885979449787E-2</v>
      </c>
      <c r="O362" s="58">
        <f>'Pitching Data'!S362/'Pitching Data'!P362</f>
        <v>3.6460059661915811E-3</v>
      </c>
      <c r="P362" s="58">
        <f>'Pitching Data'!T362/'Pitching Data'!P362</f>
        <v>3.0825323168710641E-2</v>
      </c>
      <c r="Q362" s="58">
        <f>'Pitching Data'!U362/'Pitching Data'!P362</f>
        <v>8.0046403712296987E-2</v>
      </c>
      <c r="R362" s="58">
        <f>'Pitching Data'!V362/'Pitching Data'!P362</f>
        <v>6.6291017567119657E-3</v>
      </c>
      <c r="S362" s="58">
        <f>'Pitching Data'!W362/'Pitching Data'!P362</f>
        <v>0.691415313225058</v>
      </c>
    </row>
    <row r="363" spans="2:19" x14ac:dyDescent="0.5">
      <c r="B363" s="2">
        <v>2012</v>
      </c>
      <c r="C363" s="2" t="s">
        <v>39</v>
      </c>
      <c r="D363" s="2" t="str">
        <f t="shared" si="10"/>
        <v>2012 Arizona Diamondbacks</v>
      </c>
      <c r="E363" s="60">
        <f>'Batting Data'!K363/'Batting Data'!J363</f>
        <v>0.16678872207982423</v>
      </c>
      <c r="F363" s="60">
        <f>'Batting Data'!L363/'Batting Data'!J363</f>
        <v>5.6206517759062616E-2</v>
      </c>
      <c r="G363" s="60">
        <f>'Batting Data'!M363/'Batting Data'!J363</f>
        <v>6.0417429512998905E-3</v>
      </c>
      <c r="H363" s="60">
        <f>'Batting Data'!N363/'Batting Data'!J363</f>
        <v>3.0208714756499451E-2</v>
      </c>
      <c r="I363" s="60">
        <f>'Batting Data'!O363/'Batting Data'!J363</f>
        <v>9.8681801537898212E-2</v>
      </c>
      <c r="J363" s="60">
        <f>'Batting Data'!P363/'Batting Data'!J363</f>
        <v>7.5064079091907727E-3</v>
      </c>
      <c r="K363" s="60">
        <f>'Batting Data'!Q363/'Batting Data'!J363</f>
        <v>0.6345660930062248</v>
      </c>
      <c r="L363" s="2" t="str">
        <f t="shared" si="11"/>
        <v>2012 Arizona Diamondbacks</v>
      </c>
      <c r="M363" s="58">
        <f>'Pitching Data'!Q363/'Pitching Data'!P363</f>
        <v>0.15437902028698663</v>
      </c>
      <c r="N363" s="58">
        <f>'Pitching Data'!R363/'Pitching Data'!P363</f>
        <v>4.9480455220188027E-2</v>
      </c>
      <c r="O363" s="58">
        <f>'Pitching Data'!S363/'Pitching Data'!P363</f>
        <v>6.7623288800923633E-3</v>
      </c>
      <c r="P363" s="58">
        <f>'Pitching Data'!T363/'Pitching Data'!P363</f>
        <v>2.5564901863763815E-2</v>
      </c>
      <c r="Q363" s="58">
        <f>'Pitching Data'!U363/'Pitching Data'!P363</f>
        <v>6.8777832756061349E-2</v>
      </c>
      <c r="R363" s="58">
        <f>'Pitching Data'!V363/'Pitching Data'!P363</f>
        <v>8.4116773874319643E-3</v>
      </c>
      <c r="S363" s="58">
        <f>'Pitching Data'!W363/'Pitching Data'!P363</f>
        <v>0.68662378360547582</v>
      </c>
    </row>
    <row r="364" spans="2:19" x14ac:dyDescent="0.5">
      <c r="B364" s="2">
        <v>2012</v>
      </c>
      <c r="C364" s="2" t="s">
        <v>41</v>
      </c>
      <c r="D364" s="2" t="str">
        <f t="shared" si="10"/>
        <v>2012 Atlanta Braves</v>
      </c>
      <c r="E364" s="60">
        <f>'Batting Data'!K364/'Batting Data'!J364</f>
        <v>0.1657142857142857</v>
      </c>
      <c r="F364" s="60">
        <f>'Batting Data'!L364/'Batting Data'!J364</f>
        <v>4.8479262672811059E-2</v>
      </c>
      <c r="G364" s="60">
        <f>'Batting Data'!M364/'Batting Data'!J364</f>
        <v>5.5299539170506912E-3</v>
      </c>
      <c r="H364" s="60">
        <f>'Batting Data'!N364/'Batting Data'!J364</f>
        <v>2.7465437788018434E-2</v>
      </c>
      <c r="I364" s="60">
        <f>'Batting Data'!O364/'Batting Data'!J364</f>
        <v>0.10451612903225807</v>
      </c>
      <c r="J364" s="60">
        <f>'Batting Data'!P364/'Batting Data'!J364</f>
        <v>6.2672811059907834E-3</v>
      </c>
      <c r="K364" s="60">
        <f>'Batting Data'!Q364/'Batting Data'!J364</f>
        <v>0.64202764976958526</v>
      </c>
      <c r="L364" s="2" t="str">
        <f t="shared" si="11"/>
        <v>2012 Atlanta Braves</v>
      </c>
      <c r="M364" s="58">
        <f>'Pitching Data'!Q364/'Pitching Data'!P364</f>
        <v>0.14905691871140042</v>
      </c>
      <c r="N364" s="58">
        <f>'Pitching Data'!R364/'Pitching Data'!P364</f>
        <v>4.189617759973293E-2</v>
      </c>
      <c r="O364" s="58">
        <f>'Pitching Data'!S364/'Pitching Data'!P364</f>
        <v>3.5052578868302454E-3</v>
      </c>
      <c r="P364" s="58">
        <f>'Pitching Data'!T364/'Pitching Data'!P364</f>
        <v>2.4202971123351694E-2</v>
      </c>
      <c r="Q364" s="58">
        <f>'Pitching Data'!U364/'Pitching Data'!P364</f>
        <v>7.7449507594725422E-2</v>
      </c>
      <c r="R364" s="58">
        <f>'Pitching Data'!V364/'Pitching Data'!P364</f>
        <v>6.8435987314304789E-3</v>
      </c>
      <c r="S364" s="58">
        <f>'Pitching Data'!W364/'Pitching Data'!P364</f>
        <v>0.69704556835252884</v>
      </c>
    </row>
    <row r="365" spans="2:19" x14ac:dyDescent="0.5">
      <c r="B365" s="2">
        <v>2012</v>
      </c>
      <c r="C365" s="2" t="s">
        <v>44</v>
      </c>
      <c r="D365" s="2" t="str">
        <f t="shared" si="10"/>
        <v>2012 Baltimore Orioles</v>
      </c>
      <c r="E365" s="60">
        <f>'Batting Data'!K365/'Batting Data'!J365</f>
        <v>0.15737410071942445</v>
      </c>
      <c r="F365" s="60">
        <f>'Batting Data'!L365/'Batting Data'!J365</f>
        <v>4.8561151079136694E-2</v>
      </c>
      <c r="G365" s="60">
        <f>'Batting Data'!M365/'Batting Data'!J365</f>
        <v>2.8776978417266188E-3</v>
      </c>
      <c r="H365" s="60">
        <f>'Batting Data'!N365/'Batting Data'!J365</f>
        <v>3.8489208633093526E-2</v>
      </c>
      <c r="I365" s="60">
        <f>'Batting Data'!O365/'Batting Data'!J365</f>
        <v>8.6330935251798566E-2</v>
      </c>
      <c r="J365" s="60">
        <f>'Batting Data'!P365/'Batting Data'!J365</f>
        <v>8.9928057553956831E-3</v>
      </c>
      <c r="K365" s="60">
        <f>'Batting Data'!Q365/'Batting Data'!J365</f>
        <v>0.65737410071942448</v>
      </c>
      <c r="L365" s="2" t="str">
        <f t="shared" si="11"/>
        <v>2012 Baltimore Orioles</v>
      </c>
      <c r="M365" s="58">
        <f>'Pitching Data'!Q365/'Pitching Data'!P365</f>
        <v>0.15323351385791653</v>
      </c>
      <c r="N365" s="58">
        <f>'Pitching Data'!R365/'Pitching Data'!P365</f>
        <v>4.3166613571201017E-2</v>
      </c>
      <c r="O365" s="58">
        <f>'Pitching Data'!S365/'Pitching Data'!P365</f>
        <v>2.5485823510672189E-3</v>
      </c>
      <c r="P365" s="58">
        <f>'Pitching Data'!T365/'Pitching Data'!P365</f>
        <v>2.9308697037273016E-2</v>
      </c>
      <c r="Q365" s="58">
        <f>'Pitching Data'!U365/'Pitching Data'!P365</f>
        <v>7.6616756928958266E-2</v>
      </c>
      <c r="R365" s="58">
        <f>'Pitching Data'!V365/'Pitching Data'!P365</f>
        <v>8.4421790379101622E-3</v>
      </c>
      <c r="S365" s="58">
        <f>'Pitching Data'!W365/'Pitching Data'!P365</f>
        <v>0.68668365721567381</v>
      </c>
    </row>
    <row r="366" spans="2:19" x14ac:dyDescent="0.5">
      <c r="B366" s="2">
        <v>2012</v>
      </c>
      <c r="C366" s="2" t="s">
        <v>46</v>
      </c>
      <c r="D366" s="2" t="str">
        <f t="shared" si="10"/>
        <v>2012 Boston Red Sox</v>
      </c>
      <c r="E366" s="60">
        <f>'Batting Data'!K366/'Batting Data'!J366</f>
        <v>0.16755888650963596</v>
      </c>
      <c r="F366" s="60">
        <f>'Batting Data'!L366/'Batting Data'!J366</f>
        <v>6.0492505353319057E-2</v>
      </c>
      <c r="G366" s="60">
        <f>'Batting Data'!M366/'Batting Data'!J366</f>
        <v>2.8551034975017845E-3</v>
      </c>
      <c r="H366" s="60">
        <f>'Batting Data'!N366/'Batting Data'!J366</f>
        <v>2.9443254817987152E-2</v>
      </c>
      <c r="I366" s="60">
        <f>'Batting Data'!O366/'Batting Data'!J366</f>
        <v>7.6374018558172732E-2</v>
      </c>
      <c r="J366" s="60">
        <f>'Batting Data'!P366/'Batting Data'!J366</f>
        <v>8.0299785867237686E-3</v>
      </c>
      <c r="K366" s="60">
        <f>'Batting Data'!Q366/'Batting Data'!J366</f>
        <v>0.65524625267665948</v>
      </c>
      <c r="L366" s="2" t="str">
        <f t="shared" si="11"/>
        <v>2012 Boston Red Sox</v>
      </c>
      <c r="M366" s="58">
        <f>'Pitching Data'!Q366/'Pitching Data'!P366</f>
        <v>0.15139313899178611</v>
      </c>
      <c r="N366" s="58">
        <f>'Pitching Data'!R366/'Pitching Data'!P366</f>
        <v>4.7028507005959092E-2</v>
      </c>
      <c r="O366" s="58">
        <f>'Pitching Data'!S366/'Pitching Data'!P366</f>
        <v>4.3485263327427926E-3</v>
      </c>
      <c r="P366" s="58">
        <f>'Pitching Data'!T366/'Pitching Data'!P366</f>
        <v>3.0600740860041876E-2</v>
      </c>
      <c r="Q366" s="58">
        <f>'Pitching Data'!U366/'Pitching Data'!P366</f>
        <v>8.5198904815590268E-2</v>
      </c>
      <c r="R366" s="58">
        <f>'Pitching Data'!V366/'Pitching Data'!P366</f>
        <v>1.0629731035593493E-2</v>
      </c>
      <c r="S366" s="58">
        <f>'Pitching Data'!W366/'Pitching Data'!P366</f>
        <v>0.67080045095828633</v>
      </c>
    </row>
    <row r="367" spans="2:19" x14ac:dyDescent="0.5">
      <c r="B367" s="2">
        <v>2012</v>
      </c>
      <c r="C367" s="2" t="s">
        <v>50</v>
      </c>
      <c r="D367" s="2" t="str">
        <f t="shared" si="10"/>
        <v>2012 Chicago Cubs</v>
      </c>
      <c r="E367" s="60">
        <f>'Batting Data'!K367/'Batting Data'!J367</f>
        <v>0.15875069303271114</v>
      </c>
      <c r="F367" s="60">
        <f>'Batting Data'!L367/'Batting Data'!J367</f>
        <v>4.8974311587506932E-2</v>
      </c>
      <c r="G367" s="60">
        <f>'Batting Data'!M367/'Batting Data'!J367</f>
        <v>6.6531140269820736E-3</v>
      </c>
      <c r="H367" s="60">
        <f>'Batting Data'!N367/'Batting Data'!J367</f>
        <v>2.5318795047126225E-2</v>
      </c>
      <c r="I367" s="60">
        <f>'Batting Data'!O367/'Batting Data'!J367</f>
        <v>8.2609499168360745E-2</v>
      </c>
      <c r="J367" s="60">
        <f>'Batting Data'!P367/'Batting Data'!J367</f>
        <v>7.9467750877841442E-3</v>
      </c>
      <c r="K367" s="60">
        <f>'Batting Data'!Q367/'Batting Data'!J367</f>
        <v>0.66974681204952868</v>
      </c>
      <c r="L367" s="2" t="str">
        <f t="shared" si="11"/>
        <v>2012 Chicago Cubs</v>
      </c>
      <c r="M367" s="58">
        <f>'Pitching Data'!Q367/'Pitching Data'!P367</f>
        <v>0.14723127035830619</v>
      </c>
      <c r="N367" s="58">
        <f>'Pitching Data'!R367/'Pitching Data'!P367</f>
        <v>4.4462540716612375E-2</v>
      </c>
      <c r="O367" s="58">
        <f>'Pitching Data'!S367/'Pitching Data'!P367</f>
        <v>7.6547231270358302E-3</v>
      </c>
      <c r="P367" s="58">
        <f>'Pitching Data'!T367/'Pitching Data'!P367</f>
        <v>2.8501628664495113E-2</v>
      </c>
      <c r="Q367" s="58">
        <f>'Pitching Data'!U367/'Pitching Data'!P367</f>
        <v>9.3322475570032579E-2</v>
      </c>
      <c r="R367" s="58">
        <f>'Pitching Data'!V367/'Pitching Data'!P367</f>
        <v>1.0586319218241042E-2</v>
      </c>
      <c r="S367" s="58">
        <f>'Pitching Data'!W367/'Pitching Data'!P367</f>
        <v>0.66824104234527693</v>
      </c>
    </row>
    <row r="368" spans="2:19" x14ac:dyDescent="0.5">
      <c r="B368" s="2">
        <v>2012</v>
      </c>
      <c r="C368" s="2" t="s">
        <v>48</v>
      </c>
      <c r="D368" s="2" t="str">
        <f t="shared" si="10"/>
        <v>2012 Chicago White Sox</v>
      </c>
      <c r="E368" s="60">
        <f>'Batting Data'!K368/'Batting Data'!J368</f>
        <v>0.17053280173976079</v>
      </c>
      <c r="F368" s="60">
        <f>'Batting Data'!L368/'Batting Data'!J368</f>
        <v>4.1319318593693366E-2</v>
      </c>
      <c r="G368" s="60">
        <f>'Batting Data'!M368/'Batting Data'!J368</f>
        <v>5.2555273649873141E-3</v>
      </c>
      <c r="H368" s="60">
        <f>'Batting Data'!N368/'Batting Data'!J368</f>
        <v>3.8238492207321492E-2</v>
      </c>
      <c r="I368" s="60">
        <f>'Batting Data'!O368/'Batting Data'!J368</f>
        <v>8.3544762595143165E-2</v>
      </c>
      <c r="J368" s="60">
        <f>'Batting Data'!P368/'Batting Data'!J368</f>
        <v>1.1779630300833635E-2</v>
      </c>
      <c r="K368" s="60">
        <f>'Batting Data'!Q368/'Batting Data'!J368</f>
        <v>0.64932946719826024</v>
      </c>
      <c r="L368" s="2" t="str">
        <f t="shared" si="11"/>
        <v>2012 Chicago White Sox</v>
      </c>
      <c r="M368" s="58">
        <f>'Pitching Data'!Q368/'Pitching Data'!P368</f>
        <v>0.14873729091505411</v>
      </c>
      <c r="N368" s="58">
        <f>'Pitching Data'!R368/'Pitching Data'!P368</f>
        <v>4.1325024598228927E-2</v>
      </c>
      <c r="O368" s="58">
        <f>'Pitching Data'!S368/'Pitching Data'!P368</f>
        <v>3.2797638570022957E-3</v>
      </c>
      <c r="P368" s="58">
        <f>'Pitching Data'!T368/'Pitching Data'!P368</f>
        <v>3.0501803870121351E-2</v>
      </c>
      <c r="Q368" s="58">
        <f>'Pitching Data'!U368/'Pitching Data'!P368</f>
        <v>8.2486061003607739E-2</v>
      </c>
      <c r="R368" s="58">
        <f>'Pitching Data'!V368/'Pitching Data'!P368</f>
        <v>1.1151197113807805E-2</v>
      </c>
      <c r="S368" s="58">
        <f>'Pitching Data'!W368/'Pitching Data'!P368</f>
        <v>0.68251885864217776</v>
      </c>
    </row>
    <row r="369" spans="2:19" x14ac:dyDescent="0.5">
      <c r="B369" s="2">
        <v>2012</v>
      </c>
      <c r="C369" s="2" t="s">
        <v>52</v>
      </c>
      <c r="D369" s="2" t="str">
        <f t="shared" si="10"/>
        <v>2012 Cincinnati Reds</v>
      </c>
      <c r="E369" s="60">
        <f>'Batting Data'!K369/'Batting Data'!J369</f>
        <v>0.16048931897023919</v>
      </c>
      <c r="F369" s="60">
        <f>'Batting Data'!L369/'Batting Data'!J369</f>
        <v>5.4044184772685779E-2</v>
      </c>
      <c r="G369" s="60">
        <f>'Batting Data'!M369/'Batting Data'!J369</f>
        <v>5.4774511593938284E-3</v>
      </c>
      <c r="H369" s="60">
        <f>'Batting Data'!N369/'Batting Data'!J369</f>
        <v>3.1404053313857955E-2</v>
      </c>
      <c r="I369" s="60">
        <f>'Batting Data'!O369/'Batting Data'!J369</f>
        <v>8.7821800255614382E-2</v>
      </c>
      <c r="J369" s="60">
        <f>'Batting Data'!P369/'Batting Data'!J369</f>
        <v>8.581340149716999E-3</v>
      </c>
      <c r="K369" s="60">
        <f>'Batting Data'!Q369/'Batting Data'!J369</f>
        <v>0.65218185137849183</v>
      </c>
      <c r="L369" s="2" t="str">
        <f t="shared" si="11"/>
        <v>2012 Cincinnati Reds</v>
      </c>
      <c r="M369" s="58">
        <f>'Pitching Data'!Q369/'Pitching Data'!P369</f>
        <v>0.14976882430647293</v>
      </c>
      <c r="N369" s="58">
        <f>'Pitching Data'!R369/'Pitching Data'!P369</f>
        <v>4.3262879788639366E-2</v>
      </c>
      <c r="O369" s="58">
        <f>'Pitching Data'!S369/'Pitching Data'!P369</f>
        <v>5.7793923381770146E-3</v>
      </c>
      <c r="P369" s="58">
        <f>'Pitching Data'!T369/'Pitching Data'!P369</f>
        <v>2.5099075297225892E-2</v>
      </c>
      <c r="Q369" s="58">
        <f>'Pitching Data'!U369/'Pitching Data'!P369</f>
        <v>7.0508586525759573E-2</v>
      </c>
      <c r="R369" s="58">
        <f>'Pitching Data'!V369/'Pitching Data'!P369</f>
        <v>8.4214002642007922E-3</v>
      </c>
      <c r="S369" s="58">
        <f>'Pitching Data'!W369/'Pitching Data'!P369</f>
        <v>0.69715984147952448</v>
      </c>
    </row>
    <row r="370" spans="2:19" x14ac:dyDescent="0.5">
      <c r="B370" s="2">
        <v>2012</v>
      </c>
      <c r="C370" s="2" t="s">
        <v>54</v>
      </c>
      <c r="D370" s="2" t="str">
        <f t="shared" si="10"/>
        <v>2012 Cleveland Indians</v>
      </c>
      <c r="E370" s="60">
        <f>'Batting Data'!K370/'Batting Data'!J370</f>
        <v>0.17357466063348417</v>
      </c>
      <c r="F370" s="60">
        <f>'Batting Data'!L370/'Batting Data'!J370</f>
        <v>4.8144796380090497E-2</v>
      </c>
      <c r="G370" s="60">
        <f>'Batting Data'!M370/'Batting Data'!J370</f>
        <v>4.3438914027149325E-3</v>
      </c>
      <c r="H370" s="60">
        <f>'Batting Data'!N370/'Batting Data'!J370</f>
        <v>2.4615384615384615E-2</v>
      </c>
      <c r="I370" s="60">
        <f>'Batting Data'!O370/'Batting Data'!J370</f>
        <v>0.10045248868778281</v>
      </c>
      <c r="J370" s="60">
        <f>'Batting Data'!P370/'Batting Data'!J370</f>
        <v>1.0678733031674208E-2</v>
      </c>
      <c r="K370" s="60">
        <f>'Batting Data'!Q370/'Batting Data'!J370</f>
        <v>0.6381900452488688</v>
      </c>
      <c r="L370" s="2" t="str">
        <f t="shared" si="11"/>
        <v>2012 Cleveland Indians</v>
      </c>
      <c r="M370" s="58">
        <f>'Pitching Data'!Q370/'Pitching Data'!P370</f>
        <v>0.15581728473659079</v>
      </c>
      <c r="N370" s="58">
        <f>'Pitching Data'!R370/'Pitching Data'!P370</f>
        <v>5.0453604965780677E-2</v>
      </c>
      <c r="O370" s="58">
        <f>'Pitching Data'!S370/'Pitching Data'!P370</f>
        <v>5.2522680248289037E-3</v>
      </c>
      <c r="P370" s="58">
        <f>'Pitching Data'!T370/'Pitching Data'!P370</f>
        <v>2.7693776858188763E-2</v>
      </c>
      <c r="Q370" s="58">
        <f>'Pitching Data'!U370/'Pitching Data'!P370</f>
        <v>8.6423682954002864E-2</v>
      </c>
      <c r="R370" s="58">
        <f>'Pitching Data'!V370/'Pitching Data'!P370</f>
        <v>8.7537800413815051E-3</v>
      </c>
      <c r="S370" s="58">
        <f>'Pitching Data'!W370/'Pitching Data'!P370</f>
        <v>0.66560560241922651</v>
      </c>
    </row>
    <row r="371" spans="2:19" x14ac:dyDescent="0.5">
      <c r="B371" s="2">
        <v>2012</v>
      </c>
      <c r="C371" s="2" t="s">
        <v>56</v>
      </c>
      <c r="D371" s="2" t="str">
        <f t="shared" si="10"/>
        <v>2012 Colorado Rockies</v>
      </c>
      <c r="E371" s="60">
        <f>'Batting Data'!K371/'Batting Data'!J371</f>
        <v>0.17966648735879506</v>
      </c>
      <c r="F371" s="60">
        <f>'Batting Data'!L371/'Batting Data'!J371</f>
        <v>5.4868208714362564E-2</v>
      </c>
      <c r="G371" s="60">
        <f>'Batting Data'!M371/'Batting Data'!J371</f>
        <v>9.324009324009324E-3</v>
      </c>
      <c r="H371" s="60">
        <f>'Batting Data'!N371/'Batting Data'!J371</f>
        <v>2.976510668818361E-2</v>
      </c>
      <c r="I371" s="60">
        <f>'Batting Data'!O371/'Batting Data'!J371</f>
        <v>8.0688542227003765E-2</v>
      </c>
      <c r="J371" s="60">
        <f>'Batting Data'!P371/'Batting Data'!J371</f>
        <v>6.4550833781603012E-3</v>
      </c>
      <c r="K371" s="60">
        <f>'Batting Data'!Q371/'Batting Data'!J371</f>
        <v>0.63923256230948544</v>
      </c>
      <c r="L371" s="2" t="str">
        <f t="shared" si="11"/>
        <v>2012 Colorado Rockies</v>
      </c>
      <c r="M371" s="58">
        <f>'Pitching Data'!Q371/'Pitching Data'!P371</f>
        <v>0.16744987468671679</v>
      </c>
      <c r="N371" s="58">
        <f>'Pitching Data'!R371/'Pitching Data'!P371</f>
        <v>5.0281954887218046E-2</v>
      </c>
      <c r="O371" s="58">
        <f>'Pitching Data'!S371/'Pitching Data'!P371</f>
        <v>7.6754385964912276E-3</v>
      </c>
      <c r="P371" s="58">
        <f>'Pitching Data'!T371/'Pitching Data'!P371</f>
        <v>3.1015037593984961E-2</v>
      </c>
      <c r="Q371" s="58">
        <f>'Pitching Data'!U371/'Pitching Data'!P371</f>
        <v>8.8659147869674187E-2</v>
      </c>
      <c r="R371" s="58">
        <f>'Pitching Data'!V371/'Pitching Data'!P371</f>
        <v>7.3621553884711775E-3</v>
      </c>
      <c r="S371" s="58">
        <f>'Pitching Data'!W371/'Pitching Data'!P371</f>
        <v>0.64755639097744366</v>
      </c>
    </row>
    <row r="372" spans="2:19" x14ac:dyDescent="0.5">
      <c r="B372" s="2">
        <v>2012</v>
      </c>
      <c r="C372" s="2" t="s">
        <v>58</v>
      </c>
      <c r="D372" s="2" t="str">
        <f t="shared" si="10"/>
        <v>2012 Detroit Tigers</v>
      </c>
      <c r="E372" s="60">
        <f>'Batting Data'!K372/'Batting Data'!J372</f>
        <v>0.18005843681519357</v>
      </c>
      <c r="F372" s="60">
        <f>'Batting Data'!L372/'Batting Data'!J372</f>
        <v>5.0949598246895544E-2</v>
      </c>
      <c r="G372" s="60">
        <f>'Batting Data'!M372/'Batting Data'!J372</f>
        <v>7.1219868517165812E-3</v>
      </c>
      <c r="H372" s="60">
        <f>'Batting Data'!N372/'Batting Data'!J372</f>
        <v>2.9766252739225712E-2</v>
      </c>
      <c r="I372" s="60">
        <f>'Batting Data'!O372/'Batting Data'!J372</f>
        <v>9.3316289262235202E-2</v>
      </c>
      <c r="J372" s="60">
        <f>'Batting Data'!P372/'Batting Data'!J372</f>
        <v>1.0409057706355003E-2</v>
      </c>
      <c r="K372" s="60">
        <f>'Batting Data'!Q372/'Batting Data'!J372</f>
        <v>0.6283783783783784</v>
      </c>
      <c r="L372" s="2" t="str">
        <f t="shared" si="11"/>
        <v>2012 Detroit Tigers</v>
      </c>
      <c r="M372" s="58">
        <f>'Pitching Data'!Q372/'Pitching Data'!P372</f>
        <v>0.15715467328370555</v>
      </c>
      <c r="N372" s="58">
        <f>'Pitching Data'!R372/'Pitching Data'!P372</f>
        <v>4.4830438378825478E-2</v>
      </c>
      <c r="O372" s="58">
        <f>'Pitching Data'!S372/'Pitching Data'!P372</f>
        <v>6.1207609594706369E-3</v>
      </c>
      <c r="P372" s="58">
        <f>'Pitching Data'!T372/'Pitching Data'!P372</f>
        <v>2.4979321753515301E-2</v>
      </c>
      <c r="Q372" s="58">
        <f>'Pitching Data'!U372/'Pitching Data'!P372</f>
        <v>7.2456575682382132E-2</v>
      </c>
      <c r="R372" s="58">
        <f>'Pitching Data'!V372/'Pitching Data'!P372</f>
        <v>6.9478908188585608E-3</v>
      </c>
      <c r="S372" s="58">
        <f>'Pitching Data'!W372/'Pitching Data'!P372</f>
        <v>0.68751033912324233</v>
      </c>
    </row>
    <row r="373" spans="2:19" x14ac:dyDescent="0.5">
      <c r="B373" s="2">
        <v>2012</v>
      </c>
      <c r="C373" s="2" t="s">
        <v>60</v>
      </c>
      <c r="D373" s="2" t="str">
        <f t="shared" si="10"/>
        <v>2012 Florida Marlins</v>
      </c>
      <c r="E373" s="60">
        <f>'Batting Data'!K373/'Batting Data'!J373</f>
        <v>0.15979286110597374</v>
      </c>
      <c r="F373" s="60">
        <f>'Batting Data'!L373/'Batting Data'!J373</f>
        <v>4.4017014980580728E-2</v>
      </c>
      <c r="G373" s="60">
        <f>'Batting Data'!M373/'Batting Data'!J373</f>
        <v>5.1784723506565567E-3</v>
      </c>
      <c r="H373" s="60">
        <f>'Batting Data'!N373/'Batting Data'!J373</f>
        <v>2.7002034399852045E-2</v>
      </c>
      <c r="I373" s="60">
        <f>'Batting Data'!O373/'Batting Data'!J373</f>
        <v>8.5629739226928056E-2</v>
      </c>
      <c r="J373" s="60">
        <f>'Batting Data'!P373/'Batting Data'!J373</f>
        <v>1.0726835583502866E-2</v>
      </c>
      <c r="K373" s="60">
        <f>'Batting Data'!Q373/'Batting Data'!J373</f>
        <v>0.667653042352506</v>
      </c>
      <c r="L373" s="2" t="str">
        <f t="shared" si="11"/>
        <v>2012 Florida Marlins</v>
      </c>
      <c r="M373" s="58">
        <f>'Pitching Data'!Q373/'Pitching Data'!P373</f>
        <v>0.1611093299134338</v>
      </c>
      <c r="N373" s="58">
        <f>'Pitching Data'!R373/'Pitching Data'!P373</f>
        <v>4.42449503045848E-2</v>
      </c>
      <c r="O373" s="58">
        <f>'Pitching Data'!S373/'Pitching Data'!P373</f>
        <v>6.2520038473869834E-3</v>
      </c>
      <c r="P373" s="58">
        <f>'Pitching Data'!T373/'Pitching Data'!P373</f>
        <v>2.7733247835844823E-2</v>
      </c>
      <c r="Q373" s="58">
        <f>'Pitching Data'!U373/'Pitching Data'!P373</f>
        <v>8.6566207117665925E-2</v>
      </c>
      <c r="R373" s="58">
        <f>'Pitching Data'!V373/'Pitching Data'!P373</f>
        <v>7.6947739660147485E-3</v>
      </c>
      <c r="S373" s="58">
        <f>'Pitching Data'!W373/'Pitching Data'!P373</f>
        <v>0.6663994870150689</v>
      </c>
    </row>
    <row r="374" spans="2:19" x14ac:dyDescent="0.5">
      <c r="B374" s="2">
        <v>2012</v>
      </c>
      <c r="C374" s="2" t="s">
        <v>62</v>
      </c>
      <c r="D374" s="2" t="str">
        <f t="shared" si="10"/>
        <v>2012 Houston Astros</v>
      </c>
      <c r="E374" s="60">
        <f>'Batting Data'!K374/'Batting Data'!J374</f>
        <v>0.1825762952448545</v>
      </c>
      <c r="F374" s="60">
        <f>'Batting Data'!L374/'Batting Data'!J374</f>
        <v>5.2342086586231372E-2</v>
      </c>
      <c r="G374" s="60">
        <f>'Batting Data'!M374/'Batting Data'!J374</f>
        <v>6.5649396735273247E-3</v>
      </c>
      <c r="H374" s="60">
        <f>'Batting Data'!N374/'Batting Data'!J374</f>
        <v>2.3243435060326473E-2</v>
      </c>
      <c r="I374" s="60">
        <f>'Batting Data'!O374/'Batting Data'!J374</f>
        <v>7.1682044002838896E-2</v>
      </c>
      <c r="J374" s="60">
        <f>'Batting Data'!P374/'Batting Data'!J374</f>
        <v>7.4520936834634489E-3</v>
      </c>
      <c r="K374" s="60">
        <f>'Batting Data'!Q374/'Batting Data'!J374</f>
        <v>0.656139105748758</v>
      </c>
      <c r="L374" s="2" t="str">
        <f t="shared" si="11"/>
        <v>2012 Houston Astros</v>
      </c>
      <c r="M374" s="58">
        <f>'Pitching Data'!Q374/'Pitching Data'!P374</f>
        <v>0.1630139177731563</v>
      </c>
      <c r="N374" s="58">
        <f>'Pitching Data'!R374/'Pitching Data'!P374</f>
        <v>4.4792833146696527E-2</v>
      </c>
      <c r="O374" s="58">
        <f>'Pitching Data'!S374/'Pitching Data'!P374</f>
        <v>6.7189249720044789E-3</v>
      </c>
      <c r="P374" s="58">
        <f>'Pitching Data'!T374/'Pitching Data'!P374</f>
        <v>2.6075827867541194E-2</v>
      </c>
      <c r="Q374" s="58">
        <f>'Pitching Data'!U374/'Pitching Data'!P374</f>
        <v>8.6706127019676851E-2</v>
      </c>
      <c r="R374" s="58">
        <f>'Pitching Data'!V374/'Pitching Data'!P374</f>
        <v>9.5984642457206844E-3</v>
      </c>
      <c r="S374" s="58">
        <f>'Pitching Data'!W374/'Pitching Data'!P374</f>
        <v>0.66309390497520393</v>
      </c>
    </row>
    <row r="375" spans="2:19" x14ac:dyDescent="0.5">
      <c r="B375" s="2">
        <v>2012</v>
      </c>
      <c r="C375" s="2" t="s">
        <v>64</v>
      </c>
      <c r="D375" s="2" t="str">
        <f t="shared" si="10"/>
        <v>2012 Kansas City Royals</v>
      </c>
      <c r="E375" s="60">
        <f>'Batting Data'!K375/'Batting Data'!J375</f>
        <v>0.17671938212578153</v>
      </c>
      <c r="F375" s="60">
        <f>'Batting Data'!L375/'Batting Data'!J375</f>
        <v>4.9466715704303055E-2</v>
      </c>
      <c r="G375" s="60">
        <f>'Batting Data'!M375/'Batting Data'!J375</f>
        <v>4.2294961382861344E-3</v>
      </c>
      <c r="H375" s="60">
        <f>'Batting Data'!N375/'Batting Data'!J375</f>
        <v>2.1331371827877896E-2</v>
      </c>
      <c r="I375" s="60">
        <f>'Batting Data'!O375/'Batting Data'!J375</f>
        <v>8.8451636631114383E-2</v>
      </c>
      <c r="J375" s="60">
        <f>'Batting Data'!P375/'Batting Data'!J375</f>
        <v>9.5623390952556085E-3</v>
      </c>
      <c r="K375" s="60">
        <f>'Batting Data'!Q375/'Batting Data'!J375</f>
        <v>0.65023905847738139</v>
      </c>
      <c r="L375" s="2" t="str">
        <f t="shared" si="11"/>
        <v>2012 Kansas City Royals</v>
      </c>
      <c r="M375" s="58">
        <f>'Pitching Data'!Q375/'Pitching Data'!P375</f>
        <v>0.14403427818061965</v>
      </c>
      <c r="N375" s="58">
        <f>'Pitching Data'!R375/'Pitching Data'!P375</f>
        <v>4.1034937376400793E-2</v>
      </c>
      <c r="O375" s="58">
        <f>'Pitching Data'!S375/'Pitching Data'!P375</f>
        <v>5.2735662491760048E-3</v>
      </c>
      <c r="P375" s="58">
        <f>'Pitching Data'!T375/'Pitching Data'!P375</f>
        <v>2.0105471324983519E-2</v>
      </c>
      <c r="Q375" s="58">
        <f>'Pitching Data'!U375/'Pitching Data'!P375</f>
        <v>8.8826631509558343E-2</v>
      </c>
      <c r="R375" s="58">
        <f>'Pitching Data'!V375/'Pitching Data'!P375</f>
        <v>7.4159525379037571E-3</v>
      </c>
      <c r="S375" s="58">
        <f>'Pitching Data'!W375/'Pitching Data'!P375</f>
        <v>0.6933091628213579</v>
      </c>
    </row>
    <row r="376" spans="2:19" x14ac:dyDescent="0.5">
      <c r="B376" s="2">
        <v>2012</v>
      </c>
      <c r="C376" s="2" t="s">
        <v>66</v>
      </c>
      <c r="D376" s="2" t="str">
        <f t="shared" si="10"/>
        <v>2012 Los Angeles Dodgers</v>
      </c>
      <c r="E376" s="60">
        <f>'Batting Data'!K376/'Batting Data'!J376</f>
        <v>0.16369321316902705</v>
      </c>
      <c r="F376" s="60">
        <f>'Batting Data'!L376/'Batting Data'!J376</f>
        <v>4.8004414199006806E-2</v>
      </c>
      <c r="G376" s="60">
        <f>'Batting Data'!M376/'Batting Data'!J376</f>
        <v>7.1730733860584884E-3</v>
      </c>
      <c r="H376" s="60">
        <f>'Batting Data'!N376/'Batting Data'!J376</f>
        <v>2.5197719330513152E-2</v>
      </c>
      <c r="I376" s="60">
        <f>'Batting Data'!O376/'Batting Data'!J376</f>
        <v>8.9019679970572002E-2</v>
      </c>
      <c r="J376" s="60">
        <f>'Batting Data'!P376/'Batting Data'!J376</f>
        <v>6.4373735515909506E-3</v>
      </c>
      <c r="K376" s="60">
        <f>'Batting Data'!Q376/'Batting Data'!J376</f>
        <v>0.66047452639323156</v>
      </c>
      <c r="L376" s="2" t="str">
        <f t="shared" si="11"/>
        <v>2012 Los Angeles Dodgers</v>
      </c>
      <c r="M376" s="58">
        <f>'Pitching Data'!Q376/'Pitching Data'!P376</f>
        <v>0.16246362754607177</v>
      </c>
      <c r="N376" s="58">
        <f>'Pitching Data'!R376/'Pitching Data'!P376</f>
        <v>4.3646944713870033E-2</v>
      </c>
      <c r="O376" s="58">
        <f>'Pitching Data'!S376/'Pitching Data'!P376</f>
        <v>6.466214031684449E-3</v>
      </c>
      <c r="P376" s="58">
        <f>'Pitching Data'!T376/'Pitching Data'!P376</f>
        <v>2.1500161655350791E-2</v>
      </c>
      <c r="Q376" s="58">
        <f>'Pitching Data'!U376/'Pitching Data'!P376</f>
        <v>8.0019398642095049E-2</v>
      </c>
      <c r="R376" s="58">
        <f>'Pitching Data'!V376/'Pitching Data'!P376</f>
        <v>8.8910442935661166E-3</v>
      </c>
      <c r="S376" s="58">
        <f>'Pitching Data'!W376/'Pitching Data'!P376</f>
        <v>0.67701260911736183</v>
      </c>
    </row>
    <row r="377" spans="2:19" x14ac:dyDescent="0.5">
      <c r="B377" s="2">
        <v>2012</v>
      </c>
      <c r="C377" s="2" t="s">
        <v>68</v>
      </c>
      <c r="D377" s="2" t="str">
        <f t="shared" si="10"/>
        <v>2012 Milwaukee Brewers</v>
      </c>
      <c r="E377" s="60">
        <f>'Batting Data'!K377/'Batting Data'!J377</f>
        <v>0.16213784416051827</v>
      </c>
      <c r="F377" s="60">
        <f>'Batting Data'!L377/'Batting Data'!J377</f>
        <v>5.3985963649451144E-2</v>
      </c>
      <c r="G377" s="60">
        <f>'Batting Data'!M377/'Batting Data'!J377</f>
        <v>7.0181752744286488E-3</v>
      </c>
      <c r="H377" s="60">
        <f>'Batting Data'!N377/'Batting Data'!J377</f>
        <v>3.6350548857297105E-2</v>
      </c>
      <c r="I377" s="60">
        <f>'Batting Data'!O377/'Batting Data'!J377</f>
        <v>8.3858196868814114E-2</v>
      </c>
      <c r="J377" s="60">
        <f>'Batting Data'!P377/'Batting Data'!J377</f>
        <v>1.6195789094835343E-2</v>
      </c>
      <c r="K377" s="60">
        <f>'Batting Data'!Q377/'Batting Data'!J377</f>
        <v>0.64045348209465536</v>
      </c>
      <c r="L377" s="2" t="str">
        <f t="shared" si="11"/>
        <v>2012 Milwaukee Brewers</v>
      </c>
      <c r="M377" s="58">
        <f>'Pitching Data'!Q377/'Pitching Data'!P377</f>
        <v>0.15500400320256205</v>
      </c>
      <c r="N377" s="58">
        <f>'Pitching Data'!R377/'Pitching Data'!P377</f>
        <v>4.6437149719775819E-2</v>
      </c>
      <c r="O377" s="58">
        <f>'Pitching Data'!S377/'Pitching Data'!P377</f>
        <v>4.9639711769415536E-3</v>
      </c>
      <c r="P377" s="58">
        <f>'Pitching Data'!T377/'Pitching Data'!P377</f>
        <v>2.7061649319455563E-2</v>
      </c>
      <c r="Q377" s="58">
        <f>'Pitching Data'!U377/'Pitching Data'!P377</f>
        <v>8.4067253803042433E-2</v>
      </c>
      <c r="R377" s="58">
        <f>'Pitching Data'!V377/'Pitching Data'!P377</f>
        <v>4.9639711769415536E-3</v>
      </c>
      <c r="S377" s="58">
        <f>'Pitching Data'!W377/'Pitching Data'!P377</f>
        <v>0.67750200160128105</v>
      </c>
    </row>
    <row r="378" spans="2:19" x14ac:dyDescent="0.5">
      <c r="B378" s="2">
        <v>2012</v>
      </c>
      <c r="C378" s="2" t="s">
        <v>70</v>
      </c>
      <c r="D378" s="2" t="str">
        <f t="shared" si="10"/>
        <v>2012 Minnesota Twins</v>
      </c>
      <c r="E378" s="60">
        <f>'Batting Data'!K378/'Batting Data'!J378</f>
        <v>0.18284789644012944</v>
      </c>
      <c r="F378" s="60">
        <f>'Batting Data'!L378/'Batting Data'!J378</f>
        <v>4.8543689320388349E-2</v>
      </c>
      <c r="G378" s="60">
        <f>'Batting Data'!M378/'Batting Data'!J378</f>
        <v>5.3937432578209281E-3</v>
      </c>
      <c r="H378" s="60">
        <f>'Batting Data'!N378/'Batting Data'!J378</f>
        <v>2.3552678892484719E-2</v>
      </c>
      <c r="I378" s="60">
        <f>'Batting Data'!O378/'Batting Data'!J378</f>
        <v>9.0794678173318946E-2</v>
      </c>
      <c r="J378" s="60">
        <f>'Batting Data'!P378/'Batting Data'!J378</f>
        <v>9.528946422150306E-3</v>
      </c>
      <c r="K378" s="60">
        <f>'Batting Data'!Q378/'Batting Data'!J378</f>
        <v>0.63933836749370732</v>
      </c>
      <c r="L378" s="2" t="str">
        <f t="shared" si="11"/>
        <v>2012 Minnesota Twins</v>
      </c>
      <c r="M378" s="58">
        <f>'Pitching Data'!Q378/'Pitching Data'!P378</f>
        <v>0.16446733183134857</v>
      </c>
      <c r="N378" s="58">
        <f>'Pitching Data'!R378/'Pitching Data'!P378</f>
        <v>4.5864177663340847E-2</v>
      </c>
      <c r="O378" s="58">
        <f>'Pitching Data'!S378/'Pitching Data'!P378</f>
        <v>4.9887351142581266E-3</v>
      </c>
      <c r="P378" s="58">
        <f>'Pitching Data'!T378/'Pitching Data'!P378</f>
        <v>3.1863533955584167E-2</v>
      </c>
      <c r="Q378" s="58">
        <f>'Pitching Data'!U378/'Pitching Data'!P378</f>
        <v>7.4831026713871901E-2</v>
      </c>
      <c r="R378" s="58">
        <f>'Pitching Data'!V378/'Pitching Data'!P378</f>
        <v>9.172835532668169E-3</v>
      </c>
      <c r="S378" s="58">
        <f>'Pitching Data'!W378/'Pitching Data'!P378</f>
        <v>0.66881235918892823</v>
      </c>
    </row>
    <row r="379" spans="2:19" x14ac:dyDescent="0.5">
      <c r="B379" s="2">
        <v>2012</v>
      </c>
      <c r="C379" s="2" t="s">
        <v>76</v>
      </c>
      <c r="D379" s="2" t="str">
        <f t="shared" si="10"/>
        <v>2012 New York Mets</v>
      </c>
      <c r="E379" s="60">
        <f>'Batting Data'!K379/'Batting Data'!J379</f>
        <v>0.16715596330275229</v>
      </c>
      <c r="F379" s="60">
        <f>'Batting Data'!L379/'Batting Data'!J379</f>
        <v>5.2477064220183486E-2</v>
      </c>
      <c r="G379" s="60">
        <f>'Batting Data'!M379/'Batting Data'!J379</f>
        <v>3.853211009174312E-3</v>
      </c>
      <c r="H379" s="60">
        <f>'Batting Data'!N379/'Batting Data'!J379</f>
        <v>2.5504587155963303E-2</v>
      </c>
      <c r="I379" s="60">
        <f>'Batting Data'!O379/'Batting Data'!J379</f>
        <v>9.2293577981651373E-2</v>
      </c>
      <c r="J379" s="60">
        <f>'Batting Data'!P379/'Batting Data'!J379</f>
        <v>7.7064220183486239E-3</v>
      </c>
      <c r="K379" s="60">
        <f>'Batting Data'!Q379/'Batting Data'!J379</f>
        <v>0.65100917431192662</v>
      </c>
      <c r="L379" s="2" t="str">
        <f t="shared" si="11"/>
        <v>2012 New York Mets</v>
      </c>
      <c r="M379" s="58">
        <f>'Pitching Data'!Q379/'Pitching Data'!P379</f>
        <v>0.14935918501478804</v>
      </c>
      <c r="N379" s="58">
        <f>'Pitching Data'!R379/'Pitching Data'!P379</f>
        <v>4.3049622083470261E-2</v>
      </c>
      <c r="O379" s="58">
        <f>'Pitching Data'!S379/'Pitching Data'!P379</f>
        <v>5.9152152481104173E-3</v>
      </c>
      <c r="P379" s="58">
        <f>'Pitching Data'!T379/'Pitching Data'!P379</f>
        <v>2.6454157081827145E-2</v>
      </c>
      <c r="Q379" s="58">
        <f>'Pitching Data'!U379/'Pitching Data'!P379</f>
        <v>8.01840289188301E-2</v>
      </c>
      <c r="R379" s="58">
        <f>'Pitching Data'!V379/'Pitching Data'!P379</f>
        <v>6.5724613867893522E-3</v>
      </c>
      <c r="S379" s="58">
        <f>'Pitching Data'!W379/'Pitching Data'!P379</f>
        <v>0.68846533026618473</v>
      </c>
    </row>
    <row r="380" spans="2:19" x14ac:dyDescent="0.5">
      <c r="B380" s="2">
        <v>2012</v>
      </c>
      <c r="C380" s="2" t="s">
        <v>74</v>
      </c>
      <c r="D380" s="2" t="str">
        <f t="shared" si="10"/>
        <v>2012 New York Yankees</v>
      </c>
      <c r="E380" s="60">
        <f>'Batting Data'!K380/'Batting Data'!J380</f>
        <v>0.16727009413468502</v>
      </c>
      <c r="F380" s="60">
        <f>'Batting Data'!L380/'Batting Data'!J380</f>
        <v>5.0687907313540913E-2</v>
      </c>
      <c r="G380" s="60">
        <f>'Batting Data'!M380/'Batting Data'!J380</f>
        <v>2.3533671252715426E-3</v>
      </c>
      <c r="H380" s="60">
        <f>'Batting Data'!N380/'Batting Data'!J380</f>
        <v>4.4351918899348301E-2</v>
      </c>
      <c r="I380" s="60">
        <f>'Batting Data'!O380/'Batting Data'!J380</f>
        <v>0.10228095582910934</v>
      </c>
      <c r="J380" s="60">
        <f>'Batting Data'!P380/'Batting Data'!J380</f>
        <v>1.1223750905141203E-2</v>
      </c>
      <c r="K380" s="60">
        <f>'Batting Data'!Q380/'Batting Data'!J380</f>
        <v>0.62183200579290365</v>
      </c>
      <c r="L380" s="2" t="str">
        <f t="shared" si="11"/>
        <v>2012 New York Yankees</v>
      </c>
      <c r="M380" s="58">
        <f>'Pitching Data'!Q380/'Pitching Data'!P380</f>
        <v>0.14527526705012325</v>
      </c>
      <c r="N380" s="58">
        <f>'Pitching Data'!R380/'Pitching Data'!P380</f>
        <v>4.9794576828266227E-2</v>
      </c>
      <c r="O380" s="58">
        <f>'Pitching Data'!S380/'Pitching Data'!P380</f>
        <v>3.944124897288414E-3</v>
      </c>
      <c r="P380" s="58">
        <f>'Pitching Data'!T380/'Pitching Data'!P380</f>
        <v>3.1224322103533278E-2</v>
      </c>
      <c r="Q380" s="58">
        <f>'Pitching Data'!U380/'Pitching Data'!P380</f>
        <v>7.0829909613804434E-2</v>
      </c>
      <c r="R380" s="58">
        <f>'Pitching Data'!V380/'Pitching Data'!P380</f>
        <v>8.0525883319638447E-3</v>
      </c>
      <c r="S380" s="58">
        <f>'Pitching Data'!W380/'Pitching Data'!P380</f>
        <v>0.69087921117502049</v>
      </c>
    </row>
    <row r="381" spans="2:19" x14ac:dyDescent="0.5">
      <c r="B381" s="2">
        <v>2012</v>
      </c>
      <c r="C381" s="2" t="s">
        <v>78</v>
      </c>
      <c r="D381" s="2" t="str">
        <f t="shared" si="10"/>
        <v>2012 Oakland Athletics</v>
      </c>
      <c r="E381" s="60">
        <f>'Batting Data'!K381/'Batting Data'!J381</f>
        <v>0.14854351366021351</v>
      </c>
      <c r="F381" s="60">
        <f>'Batting Data'!L381/'Batting Data'!J381</f>
        <v>4.8308304686086483E-2</v>
      </c>
      <c r="G381" s="60">
        <f>'Batting Data'!M381/'Batting Data'!J381</f>
        <v>5.7897593631264701E-3</v>
      </c>
      <c r="H381" s="60">
        <f>'Batting Data'!N381/'Batting Data'!J381</f>
        <v>3.5281346119051926E-2</v>
      </c>
      <c r="I381" s="60">
        <f>'Batting Data'!O381/'Batting Data'!J381</f>
        <v>9.9511489053736205E-2</v>
      </c>
      <c r="J381" s="60">
        <f>'Batting Data'!P381/'Batting Data'!J381</f>
        <v>8.1418491043965986E-3</v>
      </c>
      <c r="K381" s="60">
        <f>'Batting Data'!Q381/'Batting Data'!J381</f>
        <v>0.65442373801338882</v>
      </c>
      <c r="L381" s="2" t="str">
        <f t="shared" si="11"/>
        <v>2012 Oakland Athletics</v>
      </c>
      <c r="M381" s="58">
        <f>'Pitching Data'!Q381/'Pitching Data'!P381</f>
        <v>0.15250366987440875</v>
      </c>
      <c r="N381" s="58">
        <f>'Pitching Data'!R381/'Pitching Data'!P381</f>
        <v>4.3059859729244823E-2</v>
      </c>
      <c r="O381" s="58">
        <f>'Pitching Data'!S381/'Pitching Data'!P381</f>
        <v>2.2834774098841951E-3</v>
      </c>
      <c r="P381" s="58">
        <f>'Pitching Data'!T381/'Pitching Data'!P381</f>
        <v>2.3976512803784048E-2</v>
      </c>
      <c r="Q381" s="58">
        <f>'Pitching Data'!U381/'Pitching Data'!P381</f>
        <v>7.5354754526178444E-2</v>
      </c>
      <c r="R381" s="58">
        <f>'Pitching Data'!V381/'Pitching Data'!P381</f>
        <v>7.5028543467623556E-3</v>
      </c>
      <c r="S381" s="58">
        <f>'Pitching Data'!W381/'Pitching Data'!P381</f>
        <v>0.69531887130973735</v>
      </c>
    </row>
    <row r="382" spans="2:19" x14ac:dyDescent="0.5">
      <c r="B382" s="2">
        <v>2012</v>
      </c>
      <c r="C382" s="2" t="s">
        <v>80</v>
      </c>
      <c r="D382" s="2" t="str">
        <f t="shared" si="10"/>
        <v>2012 Philadelphia Phillies</v>
      </c>
      <c r="E382" s="60">
        <f>'Batting Data'!K382/'Batting Data'!J382</f>
        <v>0.17261904761904762</v>
      </c>
      <c r="F382" s="60">
        <f>'Batting Data'!L382/'Batting Data'!J382</f>
        <v>4.888167388167388E-2</v>
      </c>
      <c r="G382" s="60">
        <f>'Batting Data'!M382/'Batting Data'!J382</f>
        <v>5.0505050505050509E-3</v>
      </c>
      <c r="H382" s="60">
        <f>'Batting Data'!N382/'Batting Data'!J382</f>
        <v>2.84992784992785E-2</v>
      </c>
      <c r="I382" s="60">
        <f>'Batting Data'!O382/'Batting Data'!J382</f>
        <v>8.1890331890331888E-2</v>
      </c>
      <c r="J382" s="60">
        <f>'Batting Data'!P382/'Batting Data'!J382</f>
        <v>1.1363636363636364E-2</v>
      </c>
      <c r="K382" s="60">
        <f>'Batting Data'!Q382/'Batting Data'!J382</f>
        <v>0.65169552669552666</v>
      </c>
      <c r="L382" s="2" t="str">
        <f t="shared" si="11"/>
        <v>2012 Philadelphia Phillies</v>
      </c>
      <c r="M382" s="58">
        <f>'Pitching Data'!Q382/'Pitching Data'!P382</f>
        <v>0.14953886693017127</v>
      </c>
      <c r="N382" s="58">
        <f>'Pitching Data'!R382/'Pitching Data'!P382</f>
        <v>4.5454545454545456E-2</v>
      </c>
      <c r="O382" s="58">
        <f>'Pitching Data'!S382/'Pitching Data'!P382</f>
        <v>4.117259552042161E-3</v>
      </c>
      <c r="P382" s="58">
        <f>'Pitching Data'!T382/'Pitching Data'!P382</f>
        <v>2.9314888010540184E-2</v>
      </c>
      <c r="Q382" s="58">
        <f>'Pitching Data'!U382/'Pitching Data'!P382</f>
        <v>6.7358366271409745E-2</v>
      </c>
      <c r="R382" s="58">
        <f>'Pitching Data'!V382/'Pitching Data'!P382</f>
        <v>7.246376811594203E-3</v>
      </c>
      <c r="S382" s="58">
        <f>'Pitching Data'!W382/'Pitching Data'!P382</f>
        <v>0.69696969696969702</v>
      </c>
    </row>
    <row r="383" spans="2:19" x14ac:dyDescent="0.5">
      <c r="B383" s="2">
        <v>2012</v>
      </c>
      <c r="C383" s="2" t="s">
        <v>82</v>
      </c>
      <c r="D383" s="2" t="str">
        <f t="shared" si="10"/>
        <v>2012 Pittsburgh Pirates</v>
      </c>
      <c r="E383" s="60">
        <f>'Batting Data'!K383/'Batting Data'!J383</f>
        <v>0.15983000739098299</v>
      </c>
      <c r="F383" s="60">
        <f>'Batting Data'!L383/'Batting Data'!J383</f>
        <v>4.4530672579453069E-2</v>
      </c>
      <c r="G383" s="60">
        <f>'Batting Data'!M383/'Batting Data'!J383</f>
        <v>6.8366592756836661E-3</v>
      </c>
      <c r="H383" s="60">
        <f>'Batting Data'!N383/'Batting Data'!J383</f>
        <v>3.1411677753141166E-2</v>
      </c>
      <c r="I383" s="60">
        <f>'Batting Data'!O383/'Batting Data'!J383</f>
        <v>8.2039911308203997E-2</v>
      </c>
      <c r="J383" s="60">
        <f>'Batting Data'!P383/'Batting Data'!J383</f>
        <v>9.423503325942351E-3</v>
      </c>
      <c r="K383" s="60">
        <f>'Batting Data'!Q383/'Batting Data'!J383</f>
        <v>0.66592756836659273</v>
      </c>
      <c r="L383" s="2" t="str">
        <f t="shared" si="11"/>
        <v>2012 Pittsburgh Pirates</v>
      </c>
      <c r="M383" s="58">
        <f>'Pitching Data'!Q383/'Pitching Data'!P383</f>
        <v>0.15154994259471871</v>
      </c>
      <c r="N383" s="58">
        <f>'Pitching Data'!R383/'Pitching Data'!P383</f>
        <v>4.1003772347055926E-2</v>
      </c>
      <c r="O383" s="58">
        <f>'Pitching Data'!S383/'Pitching Data'!P383</f>
        <v>4.9204526816467118E-3</v>
      </c>
      <c r="P383" s="58">
        <f>'Pitching Data'!T383/'Pitching Data'!P383</f>
        <v>2.5094308676398228E-2</v>
      </c>
      <c r="Q383" s="58">
        <f>'Pitching Data'!U383/'Pitching Data'!P383</f>
        <v>8.0367393800229628E-2</v>
      </c>
      <c r="R383" s="58">
        <f>'Pitching Data'!V383/'Pitching Data'!P383</f>
        <v>7.3806790224700668E-3</v>
      </c>
      <c r="S383" s="58">
        <f>'Pitching Data'!W383/'Pitching Data'!P383</f>
        <v>0.68968345087748073</v>
      </c>
    </row>
    <row r="384" spans="2:19" x14ac:dyDescent="0.5">
      <c r="B384" s="2">
        <v>2012</v>
      </c>
      <c r="C384" s="2" t="s">
        <v>84</v>
      </c>
      <c r="D384" s="2" t="str">
        <f t="shared" si="10"/>
        <v>2012 San Diego Padres</v>
      </c>
      <c r="E384" s="60">
        <f>'Batting Data'!K384/'Batting Data'!J384</f>
        <v>0.16654371080781999</v>
      </c>
      <c r="F384" s="60">
        <f>'Batting Data'!L384/'Batting Data'!J384</f>
        <v>5.0165990409443008E-2</v>
      </c>
      <c r="G384" s="60">
        <f>'Batting Data'!M384/'Batting Data'!J384</f>
        <v>7.9306528956104762E-3</v>
      </c>
      <c r="H384" s="60">
        <f>'Batting Data'!N384/'Batting Data'!J384</f>
        <v>2.2316488380671341E-2</v>
      </c>
      <c r="I384" s="60">
        <f>'Batting Data'!O384/'Batting Data'!J384</f>
        <v>9.9409811877535961E-2</v>
      </c>
      <c r="J384" s="60">
        <f>'Batting Data'!P384/'Batting Data'!J384</f>
        <v>9.9594245665805981E-3</v>
      </c>
      <c r="K384" s="60">
        <f>'Batting Data'!Q384/'Batting Data'!J384</f>
        <v>0.64367392106233867</v>
      </c>
      <c r="L384" s="2" t="str">
        <f t="shared" si="11"/>
        <v>2012 San Diego Padres</v>
      </c>
      <c r="M384" s="58">
        <f>'Pitching Data'!Q384/'Pitching Data'!P384</f>
        <v>0.14550479596813526</v>
      </c>
      <c r="N384" s="58">
        <f>'Pitching Data'!R384/'Pitching Data'!P384</f>
        <v>4.2757275239798408E-2</v>
      </c>
      <c r="O384" s="58">
        <f>'Pitching Data'!S384/'Pitching Data'!P384</f>
        <v>5.8527068769305803E-3</v>
      </c>
      <c r="P384" s="58">
        <f>'Pitching Data'!T384/'Pitching Data'!P384</f>
        <v>2.6337180946187613E-2</v>
      </c>
      <c r="Q384" s="58">
        <f>'Pitching Data'!U384/'Pitching Data'!P384</f>
        <v>8.7628027962932856E-2</v>
      </c>
      <c r="R384" s="58">
        <f>'Pitching Data'!V384/'Pitching Data'!P384</f>
        <v>7.8036091692407737E-3</v>
      </c>
      <c r="S384" s="58">
        <f>'Pitching Data'!W384/'Pitching Data'!P384</f>
        <v>0.68411640383677452</v>
      </c>
    </row>
    <row r="385" spans="2:19" x14ac:dyDescent="0.5">
      <c r="B385" s="2">
        <v>2012</v>
      </c>
      <c r="C385" s="2" t="s">
        <v>86</v>
      </c>
      <c r="D385" s="2" t="str">
        <f t="shared" si="10"/>
        <v>2012 Seattle Mariners</v>
      </c>
      <c r="E385" s="60">
        <f>'Batting Data'!K385/'Batting Data'!J385</f>
        <v>0.15799053512923189</v>
      </c>
      <c r="F385" s="60">
        <f>'Batting Data'!L385/'Batting Data'!J385</f>
        <v>4.3866035675282126E-2</v>
      </c>
      <c r="G385" s="60">
        <f>'Batting Data'!M385/'Batting Data'!J385</f>
        <v>4.9144521295959231E-3</v>
      </c>
      <c r="H385" s="60">
        <f>'Batting Data'!N385/'Batting Data'!J385</f>
        <v>2.7120495085547869E-2</v>
      </c>
      <c r="I385" s="60">
        <f>'Batting Data'!O385/'Batting Data'!J385</f>
        <v>8.4819803421914822E-2</v>
      </c>
      <c r="J385" s="60">
        <f>'Batting Data'!P385/'Batting Data'!J385</f>
        <v>5.4605023662176923E-3</v>
      </c>
      <c r="K385" s="60">
        <f>'Batting Data'!Q385/'Batting Data'!J385</f>
        <v>0.6758281761922097</v>
      </c>
      <c r="L385" s="2" t="str">
        <f t="shared" si="11"/>
        <v>2012 Seattle Mariners</v>
      </c>
      <c r="M385" s="58">
        <f>'Pitching Data'!Q385/'Pitching Data'!P385</f>
        <v>0.15160013196964697</v>
      </c>
      <c r="N385" s="58">
        <f>'Pitching Data'!R385/'Pitching Data'!P385</f>
        <v>4.0580666446717255E-2</v>
      </c>
      <c r="O385" s="58">
        <f>'Pitching Data'!S385/'Pitching Data'!P385</f>
        <v>4.6189376443418013E-3</v>
      </c>
      <c r="P385" s="58">
        <f>'Pitching Data'!T385/'Pitching Data'!P385</f>
        <v>2.7383701748597822E-2</v>
      </c>
      <c r="Q385" s="58">
        <f>'Pitching Data'!U385/'Pitching Data'!P385</f>
        <v>7.4067964368195321E-2</v>
      </c>
      <c r="R385" s="58">
        <f>'Pitching Data'!V385/'Pitching Data'!P385</f>
        <v>8.0831408775981529E-3</v>
      </c>
      <c r="S385" s="58">
        <f>'Pitching Data'!W385/'Pitching Data'!P385</f>
        <v>0.69366545694490267</v>
      </c>
    </row>
    <row r="386" spans="2:19" x14ac:dyDescent="0.5">
      <c r="B386" s="2">
        <v>2012</v>
      </c>
      <c r="C386" s="2" t="s">
        <v>88</v>
      </c>
      <c r="D386" s="2" t="str">
        <f t="shared" si="10"/>
        <v>2012 San Francisco Giants</v>
      </c>
      <c r="E386" s="60">
        <f>'Batting Data'!K386/'Batting Data'!J386</f>
        <v>0.18855703490464196</v>
      </c>
      <c r="F386" s="60">
        <f>'Batting Data'!L386/'Batting Data'!J386</f>
        <v>5.163727959697733E-2</v>
      </c>
      <c r="G386" s="60">
        <f>'Batting Data'!M386/'Batting Data'!J386</f>
        <v>1.0255487585462396E-2</v>
      </c>
      <c r="H386" s="60">
        <f>'Batting Data'!N386/'Batting Data'!J386</f>
        <v>1.8531845987765382E-2</v>
      </c>
      <c r="I386" s="60">
        <f>'Batting Data'!O386/'Batting Data'!J386</f>
        <v>8.6901763224181361E-2</v>
      </c>
      <c r="J386" s="60">
        <f>'Batting Data'!P386/'Batting Data'!J386</f>
        <v>5.2177042101475349E-3</v>
      </c>
      <c r="K386" s="60">
        <f>'Batting Data'!Q386/'Batting Data'!J386</f>
        <v>0.63889888449082399</v>
      </c>
      <c r="L386" s="2" t="str">
        <f t="shared" si="11"/>
        <v>2012 San Francisco Giants</v>
      </c>
      <c r="M386" s="58">
        <f>'Pitching Data'!Q386/'Pitching Data'!P386</f>
        <v>0.1443466927337895</v>
      </c>
      <c r="N386" s="58">
        <f>'Pitching Data'!R386/'Pitching Data'!P386</f>
        <v>4.8224177256435324E-2</v>
      </c>
      <c r="O386" s="58">
        <f>'Pitching Data'!S386/'Pitching Data'!P386</f>
        <v>6.0280221570544155E-3</v>
      </c>
      <c r="P386" s="58">
        <f>'Pitching Data'!T386/'Pitching Data'!P386</f>
        <v>2.3134571521668295E-2</v>
      </c>
      <c r="Q386" s="58">
        <f>'Pitching Data'!U386/'Pitching Data'!P386</f>
        <v>7.9667644183773215E-2</v>
      </c>
      <c r="R386" s="58">
        <f>'Pitching Data'!V386/'Pitching Data'!P386</f>
        <v>8.3088954056695988E-3</v>
      </c>
      <c r="S386" s="58">
        <f>'Pitching Data'!W386/'Pitching Data'!P386</f>
        <v>0.69028999674160962</v>
      </c>
    </row>
    <row r="387" spans="2:19" x14ac:dyDescent="0.5">
      <c r="B387" s="2">
        <v>2012</v>
      </c>
      <c r="C387" s="2" t="s">
        <v>90</v>
      </c>
      <c r="D387" s="2" t="str">
        <f t="shared" ref="D387:D450" si="12">$B387&amp;" "&amp;$C387</f>
        <v>2012 St. Louis Cardinals</v>
      </c>
      <c r="E387" s="60">
        <f>'Batting Data'!K387/'Batting Data'!J387</f>
        <v>0.18498754891497687</v>
      </c>
      <c r="F387" s="60">
        <f>'Batting Data'!L387/'Batting Data'!J387</f>
        <v>5.1583066524368552E-2</v>
      </c>
      <c r="G387" s="60">
        <f>'Batting Data'!M387/'Batting Data'!J387</f>
        <v>6.5812877979366776E-3</v>
      </c>
      <c r="H387" s="60">
        <f>'Batting Data'!N387/'Batting Data'!J387</f>
        <v>2.8281750266808965E-2</v>
      </c>
      <c r="I387" s="60">
        <f>'Batting Data'!O387/'Batting Data'!J387</f>
        <v>9.4806118818925644E-2</v>
      </c>
      <c r="J387" s="60">
        <f>'Batting Data'!P387/'Batting Data'!J387</f>
        <v>9.4272500889363217E-3</v>
      </c>
      <c r="K387" s="60">
        <f>'Batting Data'!Q387/'Batting Data'!J387</f>
        <v>0.62433297758804696</v>
      </c>
      <c r="L387" s="2" t="str">
        <f t="shared" ref="L387:L450" si="13">$B387&amp;" "&amp;$C387</f>
        <v>2012 St. Louis Cardinals</v>
      </c>
      <c r="M387" s="58">
        <f>'Pitching Data'!Q387/'Pitching Data'!P387</f>
        <v>0.15946735953231569</v>
      </c>
      <c r="N387" s="58">
        <f>'Pitching Data'!R387/'Pitching Data'!P387</f>
        <v>4.4170185125040597E-2</v>
      </c>
      <c r="O387" s="58">
        <f>'Pitching Data'!S387/'Pitching Data'!P387</f>
        <v>5.1964923676518348E-3</v>
      </c>
      <c r="P387" s="58">
        <f>'Pitching Data'!T387/'Pitching Data'!P387</f>
        <v>2.1760311789542058E-2</v>
      </c>
      <c r="Q387" s="58">
        <f>'Pitching Data'!U387/'Pitching Data'!P387</f>
        <v>7.0802208509256254E-2</v>
      </c>
      <c r="R387" s="58">
        <f>'Pitching Data'!V387/'Pitching Data'!P387</f>
        <v>8.119519324455992E-3</v>
      </c>
      <c r="S387" s="58">
        <f>'Pitching Data'!W387/'Pitching Data'!P387</f>
        <v>0.69048392335173758</v>
      </c>
    </row>
    <row r="388" spans="2:19" x14ac:dyDescent="0.5">
      <c r="B388" s="2">
        <v>2012</v>
      </c>
      <c r="C388" s="2" t="s">
        <v>92</v>
      </c>
      <c r="D388" s="2" t="str">
        <f t="shared" si="12"/>
        <v>2012 Tampa Bay Devil Rays</v>
      </c>
      <c r="E388" s="60">
        <f>'Batting Data'!K388/'Batting Data'!J388</f>
        <v>0.15524268247499073</v>
      </c>
      <c r="F388" s="60">
        <f>'Batting Data'!L388/'Batting Data'!J388</f>
        <v>4.6313449425713228E-2</v>
      </c>
      <c r="G388" s="60">
        <f>'Batting Data'!M388/'Batting Data'!J388</f>
        <v>5.5576139310855874E-3</v>
      </c>
      <c r="H388" s="60">
        <f>'Batting Data'!N388/'Batting Data'!J388</f>
        <v>3.2419414597999262E-2</v>
      </c>
      <c r="I388" s="60">
        <f>'Batting Data'!O388/'Batting Data'!J388</f>
        <v>0.10577991848832902</v>
      </c>
      <c r="J388" s="60">
        <f>'Batting Data'!P388/'Batting Data'!J388</f>
        <v>1.0744720266765468E-2</v>
      </c>
      <c r="K388" s="60">
        <f>'Batting Data'!Q388/'Batting Data'!J388</f>
        <v>0.64394220081511666</v>
      </c>
      <c r="L388" s="2" t="str">
        <f t="shared" si="13"/>
        <v>2012 Tampa Bay Devil Rays</v>
      </c>
      <c r="M388" s="58">
        <f>'Pitching Data'!Q388/'Pitching Data'!P388</f>
        <v>0.14283333333333334</v>
      </c>
      <c r="N388" s="58">
        <f>'Pitching Data'!R388/'Pitching Data'!P388</f>
        <v>3.6499999999999998E-2</v>
      </c>
      <c r="O388" s="58">
        <f>'Pitching Data'!S388/'Pitching Data'!P388</f>
        <v>3.0000000000000001E-3</v>
      </c>
      <c r="P388" s="58">
        <f>'Pitching Data'!T388/'Pitching Data'!P388</f>
        <v>2.3166666666666665E-2</v>
      </c>
      <c r="Q388" s="58">
        <f>'Pitching Data'!U388/'Pitching Data'!P388</f>
        <v>7.8166666666666662E-2</v>
      </c>
      <c r="R388" s="58">
        <f>'Pitching Data'!V388/'Pitching Data'!P388</f>
        <v>8.9999999999999993E-3</v>
      </c>
      <c r="S388" s="58">
        <f>'Pitching Data'!W388/'Pitching Data'!P388</f>
        <v>0.70733333333333337</v>
      </c>
    </row>
    <row r="389" spans="2:19" x14ac:dyDescent="0.5">
      <c r="B389" s="2">
        <v>2012</v>
      </c>
      <c r="C389" s="2" t="s">
        <v>94</v>
      </c>
      <c r="D389" s="2" t="str">
        <f t="shared" si="12"/>
        <v>2012 Texas Rangers</v>
      </c>
      <c r="E389" s="60">
        <f>'Batting Data'!K389/'Batting Data'!J389</f>
        <v>0.17728085867620752</v>
      </c>
      <c r="F389" s="60">
        <f>'Batting Data'!L389/'Batting Data'!J389</f>
        <v>5.4203935599284436E-2</v>
      </c>
      <c r="G389" s="60">
        <f>'Batting Data'!M389/'Batting Data'!J389</f>
        <v>5.7245080500894453E-3</v>
      </c>
      <c r="H389" s="60">
        <f>'Batting Data'!N389/'Batting Data'!J389</f>
        <v>3.5778175313059032E-2</v>
      </c>
      <c r="I389" s="60">
        <f>'Batting Data'!O389/'Batting Data'!J389</f>
        <v>8.5509838998211088E-2</v>
      </c>
      <c r="J389" s="60">
        <f>'Batting Data'!P389/'Batting Data'!J389</f>
        <v>1.0196779964221825E-2</v>
      </c>
      <c r="K389" s="60">
        <f>'Batting Data'!Q389/'Batting Data'!J389</f>
        <v>0.63130590339892667</v>
      </c>
      <c r="L389" s="2" t="str">
        <f t="shared" si="13"/>
        <v>2012 Texas Rangers</v>
      </c>
      <c r="M389" s="58">
        <f>'Pitching Data'!Q389/'Pitching Data'!P389</f>
        <v>0.14718971485083238</v>
      </c>
      <c r="N389" s="58">
        <f>'Pitching Data'!R389/'Pitching Data'!P389</f>
        <v>4.4997527608373167E-2</v>
      </c>
      <c r="O389" s="58">
        <f>'Pitching Data'!S389/'Pitching Data'!P389</f>
        <v>6.0985660128564361E-3</v>
      </c>
      <c r="P389" s="58">
        <f>'Pitching Data'!T389/'Pitching Data'!P389</f>
        <v>2.8844568979726388E-2</v>
      </c>
      <c r="Q389" s="58">
        <f>'Pitching Data'!U389/'Pitching Data'!P389</f>
        <v>7.3512444371188396E-2</v>
      </c>
      <c r="R389" s="58">
        <f>'Pitching Data'!V389/'Pitching Data'!P389</f>
        <v>6.7578704466787539E-3</v>
      </c>
      <c r="S389" s="58">
        <f>'Pitching Data'!W389/'Pitching Data'!P389</f>
        <v>0.6925993077303445</v>
      </c>
    </row>
    <row r="390" spans="2:19" x14ac:dyDescent="0.5">
      <c r="B390" s="2">
        <v>2012</v>
      </c>
      <c r="C390" s="2" t="s">
        <v>96</v>
      </c>
      <c r="D390" s="2" t="str">
        <f t="shared" si="12"/>
        <v>2012 Toronto Blue Jays</v>
      </c>
      <c r="E390" s="60">
        <f>'Batting Data'!K390/'Batting Data'!J390</f>
        <v>0.160196828868234</v>
      </c>
      <c r="F390" s="60">
        <f>'Batting Data'!L390/'Batting Data'!J390</f>
        <v>4.5015491160925826E-2</v>
      </c>
      <c r="G390" s="60">
        <f>'Batting Data'!M390/'Batting Data'!J390</f>
        <v>4.0094769455075634E-3</v>
      </c>
      <c r="H390" s="60">
        <f>'Batting Data'!N390/'Batting Data'!J390</f>
        <v>3.6085292509568073E-2</v>
      </c>
      <c r="I390" s="60">
        <f>'Batting Data'!O390/'Batting Data'!J390</f>
        <v>8.620375432841261E-2</v>
      </c>
      <c r="J390" s="60">
        <f>'Batting Data'!P390/'Batting Data'!J390</f>
        <v>1.0023692363768908E-2</v>
      </c>
      <c r="K390" s="60">
        <f>'Batting Data'!Q390/'Batting Data'!J390</f>
        <v>0.65846546382358306</v>
      </c>
      <c r="L390" s="2" t="str">
        <f t="shared" si="13"/>
        <v>2012 Toronto Blue Jays</v>
      </c>
      <c r="M390" s="58">
        <f>'Pitching Data'!Q390/'Pitching Data'!P390</f>
        <v>0.14253539253539255</v>
      </c>
      <c r="N390" s="58">
        <f>'Pitching Data'!R390/'Pitching Data'!P390</f>
        <v>5.3732303732303734E-2</v>
      </c>
      <c r="O390" s="58">
        <f>'Pitching Data'!S390/'Pitching Data'!P390</f>
        <v>2.4131274131274131E-3</v>
      </c>
      <c r="P390" s="58">
        <f>'Pitching Data'!T390/'Pitching Data'!P390</f>
        <v>3.2818532818532815E-2</v>
      </c>
      <c r="Q390" s="58">
        <f>'Pitching Data'!U390/'Pitching Data'!P390</f>
        <v>9.2342342342342343E-2</v>
      </c>
      <c r="R390" s="58">
        <f>'Pitching Data'!V390/'Pitching Data'!P390</f>
        <v>8.848133848133849E-3</v>
      </c>
      <c r="S390" s="58">
        <f>'Pitching Data'!W390/'Pitching Data'!P390</f>
        <v>0.66731016731016735</v>
      </c>
    </row>
    <row r="391" spans="2:19" x14ac:dyDescent="0.5">
      <c r="B391" s="2">
        <v>2012</v>
      </c>
      <c r="C391" s="2" t="s">
        <v>100</v>
      </c>
      <c r="D391" s="2" t="str">
        <f t="shared" si="12"/>
        <v>2012 Washington Nationals</v>
      </c>
      <c r="E391" s="60">
        <f>'Batting Data'!K391/'Batting Data'!J391</f>
        <v>0.16883348174532503</v>
      </c>
      <c r="F391" s="60">
        <f>'Batting Data'!L391/'Batting Data'!J391</f>
        <v>5.3606411398040961E-2</v>
      </c>
      <c r="G391" s="60">
        <f>'Batting Data'!M391/'Batting Data'!J391</f>
        <v>4.4523597506678537E-3</v>
      </c>
      <c r="H391" s="60">
        <f>'Batting Data'!N391/'Batting Data'!J391</f>
        <v>3.4550311665182548E-2</v>
      </c>
      <c r="I391" s="60">
        <f>'Batting Data'!O391/'Batting Data'!J391</f>
        <v>8.5307212822796089E-2</v>
      </c>
      <c r="J391" s="60">
        <f>'Batting Data'!P391/'Batting Data'!J391</f>
        <v>7.3018699910952804E-3</v>
      </c>
      <c r="K391" s="60">
        <f>'Batting Data'!Q391/'Batting Data'!J391</f>
        <v>0.64594835262689221</v>
      </c>
      <c r="L391" s="2" t="str">
        <f t="shared" si="13"/>
        <v>2012 Washington Nationals</v>
      </c>
      <c r="M391" s="58">
        <f>'Pitching Data'!Q391/'Pitching Data'!P391</f>
        <v>0.1372900701125061</v>
      </c>
      <c r="N391" s="58">
        <f>'Pitching Data'!R391/'Pitching Data'!P391</f>
        <v>4.7774335561715307E-2</v>
      </c>
      <c r="O391" s="58">
        <f>'Pitching Data'!S391/'Pitching Data'!P391</f>
        <v>5.2176748736344368E-3</v>
      </c>
      <c r="P391" s="58">
        <f>'Pitching Data'!T391/'Pitching Data'!P391</f>
        <v>2.1033751834338824E-2</v>
      </c>
      <c r="Q391" s="58">
        <f>'Pitching Data'!U391/'Pitching Data'!P391</f>
        <v>8.1037012881134851E-2</v>
      </c>
      <c r="R391" s="58">
        <f>'Pitching Data'!V391/'Pitching Data'!P391</f>
        <v>7.6634599706505791E-3</v>
      </c>
      <c r="S391" s="58">
        <f>'Pitching Data'!W391/'Pitching Data'!P391</f>
        <v>0.69998369476601985</v>
      </c>
    </row>
    <row r="392" spans="2:19" x14ac:dyDescent="0.5">
      <c r="B392" s="2">
        <v>2013</v>
      </c>
      <c r="C392" s="2" t="s">
        <v>36</v>
      </c>
      <c r="D392" s="2" t="str">
        <f t="shared" si="12"/>
        <v>2013 Anaheim Angels</v>
      </c>
      <c r="E392" s="60">
        <f>'Batting Data'!K392/'Batting Data'!J392</f>
        <v>0.17949176807444525</v>
      </c>
      <c r="F392" s="60">
        <f>'Batting Data'!L392/'Batting Data'!J392</f>
        <v>4.8317823908375086E-2</v>
      </c>
      <c r="G392" s="60">
        <f>'Batting Data'!M392/'Batting Data'!J392</f>
        <v>6.9792412312097351E-3</v>
      </c>
      <c r="H392" s="60">
        <f>'Batting Data'!N392/'Batting Data'!J392</f>
        <v>2.9348604151753759E-2</v>
      </c>
      <c r="I392" s="60">
        <f>'Batting Data'!O392/'Batting Data'!J392</f>
        <v>9.3593414459556198E-2</v>
      </c>
      <c r="J392" s="60">
        <f>'Batting Data'!P392/'Batting Data'!J392</f>
        <v>8.5898353614889053E-3</v>
      </c>
      <c r="K392" s="60">
        <f>'Batting Data'!Q392/'Batting Data'!J392</f>
        <v>0.63367931281317114</v>
      </c>
      <c r="L392" s="2" t="str">
        <f t="shared" si="13"/>
        <v>2013 Anaheim Angels</v>
      </c>
      <c r="M392" s="58">
        <f>'Pitching Data'!Q392/'Pitching Data'!P392</f>
        <v>0.15893934582407113</v>
      </c>
      <c r="N392" s="58">
        <f>'Pitching Data'!R392/'Pitching Data'!P392</f>
        <v>4.5411241664020323E-2</v>
      </c>
      <c r="O392" s="58">
        <f>'Pitching Data'!S392/'Pitching Data'!P392</f>
        <v>3.3343918704350586E-3</v>
      </c>
      <c r="P392" s="58">
        <f>'Pitching Data'!T392/'Pitching Data'!P392</f>
        <v>2.6516354398221656E-2</v>
      </c>
      <c r="Q392" s="58">
        <f>'Pitching Data'!U392/'Pitching Data'!P392</f>
        <v>8.4630041282946961E-2</v>
      </c>
      <c r="R392" s="58">
        <f>'Pitching Data'!V392/'Pitching Data'!P392</f>
        <v>7.1451254366465544E-3</v>
      </c>
      <c r="S392" s="58">
        <f>'Pitching Data'!W392/'Pitching Data'!P392</f>
        <v>0.67402349952365825</v>
      </c>
    </row>
    <row r="393" spans="2:19" x14ac:dyDescent="0.5">
      <c r="B393" s="2">
        <v>2013</v>
      </c>
      <c r="C393" s="2" t="s">
        <v>39</v>
      </c>
      <c r="D393" s="2" t="str">
        <f t="shared" si="12"/>
        <v>2013 Arizona Diamondbacks</v>
      </c>
      <c r="E393" s="60">
        <f>'Batting Data'!K393/'Batting Data'!J393</f>
        <v>0.17706131078224102</v>
      </c>
      <c r="F393" s="60">
        <f>'Batting Data'!L393/'Batting Data'!J393</f>
        <v>5.320648343904158E-2</v>
      </c>
      <c r="G393" s="60">
        <f>'Batting Data'!M393/'Batting Data'!J393</f>
        <v>5.4615926708949962E-3</v>
      </c>
      <c r="H393" s="60">
        <f>'Batting Data'!N393/'Batting Data'!J393</f>
        <v>2.2903453136011276E-2</v>
      </c>
      <c r="I393" s="60">
        <f>'Batting Data'!O393/'Batting Data'!J393</f>
        <v>9.1437632135306549E-2</v>
      </c>
      <c r="J393" s="60">
        <f>'Batting Data'!P393/'Batting Data'!J393</f>
        <v>7.575757575757576E-3</v>
      </c>
      <c r="K393" s="60">
        <f>'Batting Data'!Q393/'Batting Data'!J393</f>
        <v>0.64235377026074703</v>
      </c>
      <c r="L393" s="2" t="str">
        <f t="shared" si="13"/>
        <v>2013 Arizona Diamondbacks</v>
      </c>
      <c r="M393" s="58">
        <f>'Pitching Data'!Q393/'Pitching Data'!P393</f>
        <v>0.15130956137582835</v>
      </c>
      <c r="N393" s="58">
        <f>'Pitching Data'!R393/'Pitching Data'!P393</f>
        <v>4.7175765225623223E-2</v>
      </c>
      <c r="O393" s="58">
        <f>'Pitching Data'!S393/'Pitching Data'!P393</f>
        <v>4.1022404544020195E-3</v>
      </c>
      <c r="P393" s="58">
        <f>'Pitching Data'!T393/'Pitching Data'!P393</f>
        <v>2.7769012306721363E-2</v>
      </c>
      <c r="Q393" s="58">
        <f>'Pitching Data'!U393/'Pitching Data'!P393</f>
        <v>7.652256232249921E-2</v>
      </c>
      <c r="R393" s="58">
        <f>'Pitching Data'!V393/'Pitching Data'!P393</f>
        <v>9.4667087409277366E-3</v>
      </c>
      <c r="S393" s="58">
        <f>'Pitching Data'!W393/'Pitching Data'!P393</f>
        <v>0.68365414957399806</v>
      </c>
    </row>
    <row r="394" spans="2:19" x14ac:dyDescent="0.5">
      <c r="B394" s="2">
        <v>2013</v>
      </c>
      <c r="C394" s="2" t="s">
        <v>41</v>
      </c>
      <c r="D394" s="2" t="str">
        <f t="shared" si="12"/>
        <v>2013 Atlanta Braves</v>
      </c>
      <c r="E394" s="60">
        <f>'Batting Data'!K394/'Batting Data'!J394</f>
        <v>0.16632971880169087</v>
      </c>
      <c r="F394" s="60">
        <f>'Batting Data'!L394/'Batting Data'!J394</f>
        <v>4.5396066899467007E-2</v>
      </c>
      <c r="G394" s="60">
        <f>'Batting Data'!M394/'Batting Data'!J394</f>
        <v>3.859584635177357E-3</v>
      </c>
      <c r="H394" s="60">
        <f>'Batting Data'!N394/'Batting Data'!J394</f>
        <v>3.3265943760338174E-2</v>
      </c>
      <c r="I394" s="60">
        <f>'Batting Data'!O394/'Batting Data'!J394</f>
        <v>9.9614041536482262E-2</v>
      </c>
      <c r="J394" s="60">
        <f>'Batting Data'!P394/'Batting Data'!J394</f>
        <v>1.010843594927403E-2</v>
      </c>
      <c r="K394" s="60">
        <f>'Batting Data'!Q394/'Batting Data'!J394</f>
        <v>0.64142620841757025</v>
      </c>
      <c r="L394" s="2" t="str">
        <f t="shared" si="13"/>
        <v>2013 Atlanta Braves</v>
      </c>
      <c r="M394" s="58">
        <f>'Pitching Data'!Q394/'Pitching Data'!P394</f>
        <v>0.1529470696276507</v>
      </c>
      <c r="N394" s="58">
        <f>'Pitching Data'!R394/'Pitching Data'!P394</f>
        <v>4.324595091000167E-2</v>
      </c>
      <c r="O394" s="58">
        <f>'Pitching Data'!S394/'Pitching Data'!P394</f>
        <v>4.0073468024711973E-3</v>
      </c>
      <c r="P394" s="58">
        <f>'Pitching Data'!T394/'Pitching Data'!P394</f>
        <v>2.1205543496410083E-2</v>
      </c>
      <c r="Q394" s="58">
        <f>'Pitching Data'!U394/'Pitching Data'!P394</f>
        <v>6.8291868425446656E-2</v>
      </c>
      <c r="R394" s="58">
        <f>'Pitching Data'!V394/'Pitching Data'!P394</f>
        <v>8.5156119552512941E-3</v>
      </c>
      <c r="S394" s="58">
        <f>'Pitching Data'!W394/'Pitching Data'!P394</f>
        <v>0.70178660878276844</v>
      </c>
    </row>
    <row r="395" spans="2:19" x14ac:dyDescent="0.5">
      <c r="B395" s="2">
        <v>2013</v>
      </c>
      <c r="C395" s="2" t="s">
        <v>44</v>
      </c>
      <c r="D395" s="2" t="str">
        <f t="shared" si="12"/>
        <v>2013 Baltimore Orioles</v>
      </c>
      <c r="E395" s="60">
        <f>'Batting Data'!K395/'Batting Data'!J395</f>
        <v>0.16654804270462634</v>
      </c>
      <c r="F395" s="60">
        <f>'Batting Data'!L395/'Batting Data'!J395</f>
        <v>5.3024911032028471E-2</v>
      </c>
      <c r="G395" s="60">
        <f>'Batting Data'!M395/'Batting Data'!J395</f>
        <v>2.491103202846975E-3</v>
      </c>
      <c r="H395" s="60">
        <f>'Batting Data'!N395/'Batting Data'!J395</f>
        <v>3.7722419928825621E-2</v>
      </c>
      <c r="I395" s="60">
        <f>'Batting Data'!O395/'Batting Data'!J395</f>
        <v>7.4021352313167255E-2</v>
      </c>
      <c r="J395" s="60">
        <f>'Batting Data'!P395/'Batting Data'!J395</f>
        <v>6.405693950177936E-3</v>
      </c>
      <c r="K395" s="60">
        <f>'Batting Data'!Q395/'Batting Data'!J395</f>
        <v>0.65978647686832737</v>
      </c>
      <c r="L395" s="2" t="str">
        <f t="shared" si="13"/>
        <v>2013 Baltimore Orioles</v>
      </c>
      <c r="M395" s="58">
        <f>'Pitching Data'!Q395/'Pitching Data'!P395</f>
        <v>0.15152994791666666</v>
      </c>
      <c r="N395" s="58">
        <f>'Pitching Data'!R395/'Pitching Data'!P395</f>
        <v>4.6061197916666664E-2</v>
      </c>
      <c r="O395" s="58">
        <f>'Pitching Data'!S395/'Pitching Data'!P395</f>
        <v>3.5807291666666665E-3</v>
      </c>
      <c r="P395" s="58">
        <f>'Pitching Data'!T395/'Pitching Data'!P395</f>
        <v>3.2877604166666664E-2</v>
      </c>
      <c r="Q395" s="58">
        <f>'Pitching Data'!U395/'Pitching Data'!P395</f>
        <v>7.6985677083333329E-2</v>
      </c>
      <c r="R395" s="58">
        <f>'Pitching Data'!V395/'Pitching Data'!P395</f>
        <v>8.1380208333333339E-3</v>
      </c>
      <c r="S395" s="58">
        <f>'Pitching Data'!W395/'Pitching Data'!P395</f>
        <v>0.68082682291666663</v>
      </c>
    </row>
    <row r="396" spans="2:19" x14ac:dyDescent="0.5">
      <c r="B396" s="2">
        <v>2013</v>
      </c>
      <c r="C396" s="2" t="s">
        <v>46</v>
      </c>
      <c r="D396" s="2" t="str">
        <f t="shared" si="12"/>
        <v>2013 Boston Red Sox</v>
      </c>
      <c r="E396" s="60">
        <f>'Batting Data'!K396/'Batting Data'!J396</f>
        <v>0.17625199079808884</v>
      </c>
      <c r="F396" s="60">
        <f>'Batting Data'!L396/'Batting Data'!J396</f>
        <v>6.4236418333038406E-2</v>
      </c>
      <c r="G396" s="60">
        <f>'Batting Data'!M396/'Batting Data'!J396</f>
        <v>5.1318350734383296E-3</v>
      </c>
      <c r="H396" s="60">
        <f>'Batting Data'!N396/'Batting Data'!J396</f>
        <v>3.1498849761104231E-2</v>
      </c>
      <c r="I396" s="60">
        <f>'Batting Data'!O396/'Batting Data'!J396</f>
        <v>0.10281366129888515</v>
      </c>
      <c r="J396" s="60">
        <f>'Batting Data'!P396/'Batting Data'!J396</f>
        <v>1.2741107768536541E-2</v>
      </c>
      <c r="K396" s="60">
        <f>'Batting Data'!Q396/'Batting Data'!J396</f>
        <v>0.60732613696690851</v>
      </c>
      <c r="L396" s="2" t="str">
        <f t="shared" si="13"/>
        <v>2013 Boston Red Sox</v>
      </c>
      <c r="M396" s="58">
        <f>'Pitching Data'!Q396/'Pitching Data'!P396</f>
        <v>0.14699658147484942</v>
      </c>
      <c r="N396" s="58">
        <f>'Pitching Data'!R396/'Pitching Data'!P396</f>
        <v>4.5743122252970864E-2</v>
      </c>
      <c r="O396" s="58">
        <f>'Pitching Data'!S396/'Pitching Data'!P396</f>
        <v>4.2324597102392971E-3</v>
      </c>
      <c r="P396" s="58">
        <f>'Pitching Data'!T396/'Pitching Data'!P396</f>
        <v>2.5394758261435779E-2</v>
      </c>
      <c r="Q396" s="58">
        <f>'Pitching Data'!U396/'Pitching Data'!P396</f>
        <v>8.530034185251506E-2</v>
      </c>
      <c r="R396" s="58">
        <f>'Pitching Data'!V396/'Pitching Data'!P396</f>
        <v>7.6509848608171905E-3</v>
      </c>
      <c r="S396" s="58">
        <f>'Pitching Data'!W396/'Pitching Data'!P396</f>
        <v>0.68468175158717237</v>
      </c>
    </row>
    <row r="397" spans="2:19" x14ac:dyDescent="0.5">
      <c r="B397" s="2">
        <v>2013</v>
      </c>
      <c r="C397" s="2" t="s">
        <v>50</v>
      </c>
      <c r="D397" s="2" t="str">
        <f t="shared" si="12"/>
        <v>2013 Chicago Cubs</v>
      </c>
      <c r="E397" s="60">
        <f>'Batting Data'!K397/'Batting Data'!J397</f>
        <v>0.14914514368861403</v>
      </c>
      <c r="F397" s="60">
        <f>'Batting Data'!L397/'Batting Data'!J397</f>
        <v>5.401964350672972E-2</v>
      </c>
      <c r="G397" s="60">
        <f>'Batting Data'!M397/'Batting Data'!J397</f>
        <v>3.2739177882866498E-3</v>
      </c>
      <c r="H397" s="60">
        <f>'Batting Data'!N397/'Batting Data'!J397</f>
        <v>3.1284103310294652E-2</v>
      </c>
      <c r="I397" s="60">
        <f>'Batting Data'!O397/'Batting Data'!J397</f>
        <v>7.9847217169879955E-2</v>
      </c>
      <c r="J397" s="60">
        <f>'Batting Data'!P397/'Batting Data'!J397</f>
        <v>1.2186249545289195E-2</v>
      </c>
      <c r="K397" s="60">
        <f>'Batting Data'!Q397/'Batting Data'!J397</f>
        <v>0.67024372499090579</v>
      </c>
      <c r="L397" s="2" t="str">
        <f t="shared" si="13"/>
        <v>2013 Chicago Cubs</v>
      </c>
      <c r="M397" s="58">
        <f>'Pitching Data'!Q397/'Pitching Data'!P397</f>
        <v>0.13628232232883394</v>
      </c>
      <c r="N397" s="58">
        <f>'Pitching Data'!R397/'Pitching Data'!P397</f>
        <v>4.8951048951048952E-2</v>
      </c>
      <c r="O397" s="58">
        <f>'Pitching Data'!S397/'Pitching Data'!P397</f>
        <v>5.3667262969588547E-3</v>
      </c>
      <c r="P397" s="58">
        <f>'Pitching Data'!T397/'Pitching Data'!P397</f>
        <v>2.6020491136770206E-2</v>
      </c>
      <c r="Q397" s="58">
        <f>'Pitching Data'!U397/'Pitching Data'!P397</f>
        <v>8.7819157586599444E-2</v>
      </c>
      <c r="R397" s="58">
        <f>'Pitching Data'!V397/'Pitching Data'!P397</f>
        <v>1.0082940315498456E-2</v>
      </c>
      <c r="S397" s="58">
        <f>'Pitching Data'!W397/'Pitching Data'!P397</f>
        <v>0.68547731338429008</v>
      </c>
    </row>
    <row r="398" spans="2:19" x14ac:dyDescent="0.5">
      <c r="B398" s="2">
        <v>2013</v>
      </c>
      <c r="C398" s="2" t="s">
        <v>48</v>
      </c>
      <c r="D398" s="2" t="str">
        <f t="shared" si="12"/>
        <v>2013 Chicago White Sox</v>
      </c>
      <c r="E398" s="60">
        <f>'Batting Data'!K398/'Batting Data'!J398</f>
        <v>0.17634369944274672</v>
      </c>
      <c r="F398" s="60">
        <f>'Batting Data'!L398/'Batting Data'!J398</f>
        <v>4.2602912097788964E-2</v>
      </c>
      <c r="G398" s="60">
        <f>'Batting Data'!M398/'Batting Data'!J398</f>
        <v>3.4154233327341361E-3</v>
      </c>
      <c r="H398" s="60">
        <f>'Batting Data'!N398/'Batting Data'!J398</f>
        <v>2.6604350170771167E-2</v>
      </c>
      <c r="I398" s="60">
        <f>'Batting Data'!O398/'Batting Data'!J398</f>
        <v>7.3880999460722629E-2</v>
      </c>
      <c r="J398" s="60">
        <f>'Batting Data'!P398/'Batting Data'!J398</f>
        <v>6.1118101743663491E-3</v>
      </c>
      <c r="K398" s="60">
        <f>'Batting Data'!Q398/'Batting Data'!J398</f>
        <v>0.67104080532087007</v>
      </c>
      <c r="L398" s="2" t="str">
        <f t="shared" si="13"/>
        <v>2013 Chicago White Sox</v>
      </c>
      <c r="M398" s="58">
        <f>'Pitching Data'!Q398/'Pitching Data'!P398</f>
        <v>0.15513356935951078</v>
      </c>
      <c r="N398" s="58">
        <f>'Pitching Data'!R398/'Pitching Data'!P398</f>
        <v>4.1197296427421953E-2</v>
      </c>
      <c r="O398" s="58">
        <f>'Pitching Data'!S398/'Pitching Data'!P398</f>
        <v>3.5403926617315739E-3</v>
      </c>
      <c r="P398" s="58">
        <f>'Pitching Data'!T398/'Pitching Data'!P398</f>
        <v>2.9288702928870293E-2</v>
      </c>
      <c r="Q398" s="58">
        <f>'Pitching Data'!U398/'Pitching Data'!P398</f>
        <v>8.1911812037335052E-2</v>
      </c>
      <c r="R398" s="58">
        <f>'Pitching Data'!V398/'Pitching Data'!P398</f>
        <v>9.6556163501770199E-3</v>
      </c>
      <c r="S398" s="58">
        <f>'Pitching Data'!W398/'Pitching Data'!P398</f>
        <v>0.67927261023495333</v>
      </c>
    </row>
    <row r="399" spans="2:19" x14ac:dyDescent="0.5">
      <c r="B399" s="2">
        <v>2013</v>
      </c>
      <c r="C399" s="2" t="s">
        <v>52</v>
      </c>
      <c r="D399" s="2" t="str">
        <f t="shared" si="12"/>
        <v>2013 Cincinnati Reds</v>
      </c>
      <c r="E399" s="60">
        <f>'Batting Data'!K399/'Batting Data'!J399</f>
        <v>0.16748499727223132</v>
      </c>
      <c r="F399" s="60">
        <f>'Batting Data'!L399/'Batting Data'!J399</f>
        <v>4.9827241316603016E-2</v>
      </c>
      <c r="G399" s="60">
        <f>'Batting Data'!M399/'Batting Data'!J399</f>
        <v>3.6370249136206583E-3</v>
      </c>
      <c r="H399" s="60">
        <f>'Batting Data'!N399/'Batting Data'!J399</f>
        <v>2.8186943080560103E-2</v>
      </c>
      <c r="I399" s="60">
        <f>'Batting Data'!O399/'Batting Data'!J399</f>
        <v>0.10638297872340426</v>
      </c>
      <c r="J399" s="60">
        <f>'Batting Data'!P399/'Batting Data'!J399</f>
        <v>1.3820694671758501E-2</v>
      </c>
      <c r="K399" s="60">
        <f>'Batting Data'!Q399/'Batting Data'!J399</f>
        <v>0.63066012002182215</v>
      </c>
      <c r="L399" s="2" t="str">
        <f t="shared" si="13"/>
        <v>2013 Cincinnati Reds</v>
      </c>
      <c r="M399" s="58">
        <f>'Pitching Data'!Q399/'Pitching Data'!P399</f>
        <v>0.13937798255718281</v>
      </c>
      <c r="N399" s="58">
        <f>'Pitching Data'!R399/'Pitching Data'!P399</f>
        <v>4.1467829521145305E-2</v>
      </c>
      <c r="O399" s="58">
        <f>'Pitching Data'!S399/'Pitching Data'!P399</f>
        <v>4.1138719763040973E-3</v>
      </c>
      <c r="P399" s="58">
        <f>'Pitching Data'!T399/'Pitching Data'!P399</f>
        <v>2.7974329438867861E-2</v>
      </c>
      <c r="Q399" s="58">
        <f>'Pitching Data'!U399/'Pitching Data'!P399</f>
        <v>7.15813723876913E-2</v>
      </c>
      <c r="R399" s="58">
        <f>'Pitching Data'!V399/'Pitching Data'!P399</f>
        <v>1.0860622017442817E-2</v>
      </c>
      <c r="S399" s="58">
        <f>'Pitching Data'!W399/'Pitching Data'!P399</f>
        <v>0.70462399210136584</v>
      </c>
    </row>
    <row r="400" spans="2:19" x14ac:dyDescent="0.5">
      <c r="B400" s="2">
        <v>2013</v>
      </c>
      <c r="C400" s="2" t="s">
        <v>54</v>
      </c>
      <c r="D400" s="2" t="str">
        <f t="shared" si="12"/>
        <v>2013 Cleveland Indians</v>
      </c>
      <c r="E400" s="60">
        <f>'Batting Data'!K400/'Batting Data'!J400</f>
        <v>0.16596523330283622</v>
      </c>
      <c r="F400" s="60">
        <f>'Batting Data'!L400/'Batting Data'!J400</f>
        <v>5.3064958828911254E-2</v>
      </c>
      <c r="G400" s="60">
        <f>'Batting Data'!M400/'Batting Data'!J400</f>
        <v>4.2086001829826167E-3</v>
      </c>
      <c r="H400" s="60">
        <f>'Batting Data'!N400/'Batting Data'!J400</f>
        <v>3.1290027447392496E-2</v>
      </c>
      <c r="I400" s="60">
        <f>'Batting Data'!O400/'Batting Data'!J400</f>
        <v>0.10283623055809699</v>
      </c>
      <c r="J400" s="60">
        <f>'Batting Data'!P400/'Batting Data'!J400</f>
        <v>9.3321134492223238E-3</v>
      </c>
      <c r="K400" s="60">
        <f>'Batting Data'!Q400/'Batting Data'!J400</f>
        <v>0.63330283623055805</v>
      </c>
      <c r="L400" s="2" t="str">
        <f t="shared" si="13"/>
        <v>2013 Cleveland Indians</v>
      </c>
      <c r="M400" s="58">
        <f>'Pitching Data'!Q400/'Pitching Data'!P400</f>
        <v>0.15014624634384141</v>
      </c>
      <c r="N400" s="58">
        <f>'Pitching Data'!R400/'Pitching Data'!P400</f>
        <v>4.3386415339616506E-2</v>
      </c>
      <c r="O400" s="58">
        <f>'Pitching Data'!S400/'Pitching Data'!P400</f>
        <v>3.4124146896327592E-3</v>
      </c>
      <c r="P400" s="58">
        <f>'Pitching Data'!T400/'Pitching Data'!P400</f>
        <v>2.3886902827429314E-2</v>
      </c>
      <c r="Q400" s="58">
        <f>'Pitching Data'!U400/'Pitching Data'!P400</f>
        <v>9.0022749431264218E-2</v>
      </c>
      <c r="R400" s="58">
        <f>'Pitching Data'!V400/'Pitching Data'!P400</f>
        <v>9.4247643808904775E-3</v>
      </c>
      <c r="S400" s="58">
        <f>'Pitching Data'!W400/'Pitching Data'!P400</f>
        <v>0.67972050698732533</v>
      </c>
    </row>
    <row r="401" spans="2:19" x14ac:dyDescent="0.5">
      <c r="B401" s="2">
        <v>2013</v>
      </c>
      <c r="C401" s="2" t="s">
        <v>56</v>
      </c>
      <c r="D401" s="2" t="str">
        <f t="shared" si="12"/>
        <v>2013 Colorado Rockies</v>
      </c>
      <c r="E401" s="60">
        <f>'Batting Data'!K401/'Batting Data'!J401</f>
        <v>0.18449723164850867</v>
      </c>
      <c r="F401" s="60">
        <f>'Batting Data'!L401/'Batting Data'!J401</f>
        <v>5.0544740132166456E-2</v>
      </c>
      <c r="G401" s="60">
        <f>'Batting Data'!M401/'Batting Data'!J401</f>
        <v>6.4297195927844261E-3</v>
      </c>
      <c r="H401" s="60">
        <f>'Batting Data'!N401/'Batting Data'!J401</f>
        <v>2.8397928201464546E-2</v>
      </c>
      <c r="I401" s="60">
        <f>'Batting Data'!O401/'Batting Data'!J401</f>
        <v>7.6263618503304167E-2</v>
      </c>
      <c r="J401" s="60">
        <f>'Batting Data'!P401/'Batting Data'!J401</f>
        <v>4.6436863725665299E-3</v>
      </c>
      <c r="K401" s="60">
        <f>'Batting Data'!Q401/'Batting Data'!J401</f>
        <v>0.64922307554920522</v>
      </c>
      <c r="L401" s="2" t="str">
        <f t="shared" si="13"/>
        <v>2013 Colorado Rockies</v>
      </c>
      <c r="M401" s="58">
        <f>'Pitching Data'!Q401/'Pitching Data'!P401</f>
        <v>0.16469270166453265</v>
      </c>
      <c r="N401" s="58">
        <f>'Pitching Data'!R401/'Pitching Data'!P401</f>
        <v>5.5697823303457107E-2</v>
      </c>
      <c r="O401" s="58">
        <f>'Pitching Data'!S401/'Pitching Data'!P401</f>
        <v>5.1216389244558257E-3</v>
      </c>
      <c r="P401" s="58">
        <f>'Pitching Data'!T401/'Pitching Data'!P401</f>
        <v>2.176696542893726E-2</v>
      </c>
      <c r="Q401" s="58">
        <f>'Pitching Data'!U401/'Pitching Data'!P401</f>
        <v>8.2746478873239437E-2</v>
      </c>
      <c r="R401" s="58">
        <f>'Pitching Data'!V401/'Pitching Data'!P401</f>
        <v>6.4020486555697821E-3</v>
      </c>
      <c r="S401" s="58">
        <f>'Pitching Data'!W401/'Pitching Data'!P401</f>
        <v>0.66357234314980795</v>
      </c>
    </row>
    <row r="402" spans="2:19" x14ac:dyDescent="0.5">
      <c r="B402" s="2">
        <v>2013</v>
      </c>
      <c r="C402" s="2" t="s">
        <v>58</v>
      </c>
      <c r="D402" s="2" t="str">
        <f t="shared" si="12"/>
        <v>2013 Detroit Tigers</v>
      </c>
      <c r="E402" s="60">
        <f>'Batting Data'!K402/'Batting Data'!J402</f>
        <v>0.1977332170880558</v>
      </c>
      <c r="F402" s="60">
        <f>'Batting Data'!L402/'Batting Data'!J402</f>
        <v>5.0915431560592854E-2</v>
      </c>
      <c r="G402" s="60">
        <f>'Batting Data'!M402/'Batting Data'!J402</f>
        <v>4.0104620749782044E-3</v>
      </c>
      <c r="H402" s="60">
        <f>'Batting Data'!N402/'Batting Data'!J402</f>
        <v>3.068875326939843E-2</v>
      </c>
      <c r="I402" s="60">
        <f>'Batting Data'!O402/'Batting Data'!J402</f>
        <v>9.2589363557105495E-2</v>
      </c>
      <c r="J402" s="60">
        <f>'Batting Data'!P402/'Batting Data'!J402</f>
        <v>7.4978204010462072E-3</v>
      </c>
      <c r="K402" s="60">
        <f>'Batting Data'!Q402/'Batting Data'!J402</f>
        <v>0.616564952048823</v>
      </c>
      <c r="L402" s="2" t="str">
        <f t="shared" si="13"/>
        <v>2013 Detroit Tigers</v>
      </c>
      <c r="M402" s="58">
        <f>'Pitching Data'!Q402/'Pitching Data'!P402</f>
        <v>0.1559078280764831</v>
      </c>
      <c r="N402" s="58">
        <f>'Pitching Data'!R402/'Pitching Data'!P402</f>
        <v>4.2327177643405788E-2</v>
      </c>
      <c r="O402" s="58">
        <f>'Pitching Data'!S402/'Pitching Data'!P402</f>
        <v>4.5759110965844091E-3</v>
      </c>
      <c r="P402" s="58">
        <f>'Pitching Data'!T402/'Pitching Data'!P402</f>
        <v>2.0918450727243014E-2</v>
      </c>
      <c r="Q402" s="58">
        <f>'Pitching Data'!U402/'Pitching Data'!P402</f>
        <v>7.5502533093642757E-2</v>
      </c>
      <c r="R402" s="58">
        <f>'Pitching Data'!V402/'Pitching Data'!P402</f>
        <v>6.8638666448766136E-3</v>
      </c>
      <c r="S402" s="58">
        <f>'Pitching Data'!W402/'Pitching Data'!P402</f>
        <v>0.69390423271776436</v>
      </c>
    </row>
    <row r="403" spans="2:19" x14ac:dyDescent="0.5">
      <c r="B403" s="2">
        <v>2013</v>
      </c>
      <c r="C403" s="2" t="s">
        <v>60</v>
      </c>
      <c r="D403" s="2" t="str">
        <f t="shared" si="12"/>
        <v>2013 Florida Marlins</v>
      </c>
      <c r="E403" s="60">
        <f>'Batting Data'!K403/'Batting Data'!J403</f>
        <v>0.16071101337731356</v>
      </c>
      <c r="F403" s="60">
        <f>'Batting Data'!L403/'Batting Data'!J403</f>
        <v>4.87447315374748E-2</v>
      </c>
      <c r="G403" s="60">
        <f>'Batting Data'!M403/'Batting Data'!J403</f>
        <v>2.9320139270661537E-3</v>
      </c>
      <c r="H403" s="60">
        <f>'Batting Data'!N403/'Batting Data'!J403</f>
        <v>2.7121128825361919E-2</v>
      </c>
      <c r="I403" s="60">
        <f>'Batting Data'!O403/'Batting Data'!J403</f>
        <v>7.8064870808136344E-2</v>
      </c>
      <c r="J403" s="60">
        <f>'Batting Data'!P403/'Batting Data'!J403</f>
        <v>9.5290452629649986E-3</v>
      </c>
      <c r="K403" s="60">
        <f>'Batting Data'!Q403/'Batting Data'!J403</f>
        <v>0.67289719626168221</v>
      </c>
      <c r="L403" s="2" t="str">
        <f t="shared" si="13"/>
        <v>2013 Florida Marlins</v>
      </c>
      <c r="M403" s="58">
        <f>'Pitching Data'!Q403/'Pitching Data'!P403</f>
        <v>0.15447409733124018</v>
      </c>
      <c r="N403" s="58">
        <f>'Pitching Data'!R403/'Pitching Data'!P403</f>
        <v>4.9293563579277867E-2</v>
      </c>
      <c r="O403" s="58">
        <f>'Pitching Data'!S403/'Pitching Data'!P403</f>
        <v>6.436420722135008E-3</v>
      </c>
      <c r="P403" s="58">
        <f>'Pitching Data'!T403/'Pitching Data'!P403</f>
        <v>2.9984301412872841E-2</v>
      </c>
      <c r="Q403" s="58">
        <f>'Pitching Data'!U403/'Pitching Data'!P403</f>
        <v>9.6703296703296707E-2</v>
      </c>
      <c r="R403" s="58">
        <f>'Pitching Data'!V403/'Pitching Data'!P403</f>
        <v>8.7912087912087912E-3</v>
      </c>
      <c r="S403" s="58">
        <f>'Pitching Data'!W403/'Pitching Data'!P403</f>
        <v>0.65431711145996863</v>
      </c>
    </row>
    <row r="404" spans="2:19" x14ac:dyDescent="0.5">
      <c r="B404" s="2">
        <v>2013</v>
      </c>
      <c r="C404" s="2" t="s">
        <v>62</v>
      </c>
      <c r="D404" s="2" t="str">
        <f t="shared" si="12"/>
        <v>2013 Houston Astros</v>
      </c>
      <c r="E404" s="60">
        <f>'Batting Data'!K404/'Batting Data'!J404</f>
        <v>0.18796179491800324</v>
      </c>
      <c r="F404" s="60">
        <f>'Batting Data'!L404/'Batting Data'!J404</f>
        <v>4.577401333573617E-2</v>
      </c>
      <c r="G404" s="60">
        <f>'Batting Data'!M404/'Batting Data'!J404</f>
        <v>6.1272301315552355E-3</v>
      </c>
      <c r="H404" s="60">
        <f>'Batting Data'!N404/'Batting Data'!J404</f>
        <v>2.0183816903946657E-2</v>
      </c>
      <c r="I404" s="60">
        <f>'Batting Data'!O404/'Batting Data'!J404</f>
        <v>7.6049738691656155E-2</v>
      </c>
      <c r="J404" s="60">
        <f>'Batting Data'!P404/'Batting Data'!J404</f>
        <v>7.5689313389799961E-3</v>
      </c>
      <c r="K404" s="60">
        <f>'Batting Data'!Q404/'Batting Data'!J404</f>
        <v>0.65633447468012251</v>
      </c>
      <c r="L404" s="2" t="str">
        <f t="shared" si="13"/>
        <v>2013 Houston Astros</v>
      </c>
      <c r="M404" s="58">
        <f>'Pitching Data'!Q404/'Pitching Data'!P404</f>
        <v>0.1568854356091916</v>
      </c>
      <c r="N404" s="58">
        <f>'Pitching Data'!R404/'Pitching Data'!P404</f>
        <v>3.9345346338237726E-2</v>
      </c>
      <c r="O404" s="58">
        <f>'Pitching Data'!S404/'Pitching Data'!P404</f>
        <v>3.9675979500743922E-3</v>
      </c>
      <c r="P404" s="58">
        <f>'Pitching Data'!T404/'Pitching Data'!P404</f>
        <v>2.5624070094230452E-2</v>
      </c>
      <c r="Q404" s="58">
        <f>'Pitching Data'!U404/'Pitching Data'!P404</f>
        <v>7.7533476607703752E-2</v>
      </c>
      <c r="R404" s="58">
        <f>'Pitching Data'!V404/'Pitching Data'!P404</f>
        <v>6.7779798313770869E-3</v>
      </c>
      <c r="S404" s="58">
        <f>'Pitching Data'!W404/'Pitching Data'!P404</f>
        <v>0.68986609356918493</v>
      </c>
    </row>
    <row r="405" spans="2:19" x14ac:dyDescent="0.5">
      <c r="B405" s="2">
        <v>2013</v>
      </c>
      <c r="C405" s="2" t="s">
        <v>64</v>
      </c>
      <c r="D405" s="2" t="str">
        <f t="shared" si="12"/>
        <v>2013 Kansas City Royals</v>
      </c>
      <c r="E405" s="60">
        <f>'Batting Data'!K405/'Batting Data'!J405</f>
        <v>0.18411946822072484</v>
      </c>
      <c r="F405" s="60">
        <f>'Batting Data'!L405/'Batting Data'!J405</f>
        <v>5.1174649426333998E-2</v>
      </c>
      <c r="G405" s="60">
        <f>'Batting Data'!M405/'Batting Data'!J405</f>
        <v>3.0959752321981426E-3</v>
      </c>
      <c r="H405" s="60">
        <f>'Batting Data'!N405/'Batting Data'!J405</f>
        <v>2.5132034237843746E-2</v>
      </c>
      <c r="I405" s="60">
        <f>'Batting Data'!O405/'Batting Data'!J405</f>
        <v>8.6687306501547989E-2</v>
      </c>
      <c r="J405" s="60">
        <f>'Batting Data'!P405/'Batting Data'!J405</f>
        <v>1.0380622837370242E-2</v>
      </c>
      <c r="K405" s="60">
        <f>'Batting Data'!Q405/'Batting Data'!J405</f>
        <v>0.63940994354398106</v>
      </c>
      <c r="L405" s="2" t="str">
        <f t="shared" si="13"/>
        <v>2013 Kansas City Royals</v>
      </c>
      <c r="M405" s="58">
        <f>'Pitching Data'!Q405/'Pitching Data'!P405</f>
        <v>0.15467506631299735</v>
      </c>
      <c r="N405" s="58">
        <f>'Pitching Data'!R405/'Pitching Data'!P405</f>
        <v>4.0285145888594165E-2</v>
      </c>
      <c r="O405" s="58">
        <f>'Pitching Data'!S405/'Pitching Data'!P405</f>
        <v>2.9840848806366046E-3</v>
      </c>
      <c r="P405" s="58">
        <f>'Pitching Data'!T405/'Pitching Data'!P405</f>
        <v>2.1054376657824933E-2</v>
      </c>
      <c r="Q405" s="58">
        <f>'Pitching Data'!U405/'Pitching Data'!P405</f>
        <v>7.6259946949602128E-2</v>
      </c>
      <c r="R405" s="58">
        <f>'Pitching Data'!V405/'Pitching Data'!P405</f>
        <v>7.1286472148541112E-3</v>
      </c>
      <c r="S405" s="58">
        <f>'Pitching Data'!W405/'Pitching Data'!P405</f>
        <v>0.69761273209549068</v>
      </c>
    </row>
    <row r="406" spans="2:19" x14ac:dyDescent="0.5">
      <c r="B406" s="2">
        <v>2013</v>
      </c>
      <c r="C406" s="2" t="s">
        <v>66</v>
      </c>
      <c r="D406" s="2" t="str">
        <f t="shared" si="12"/>
        <v>2013 Los Angeles Dodgers</v>
      </c>
      <c r="E406" s="60">
        <f>'Batting Data'!K406/'Batting Data'!J406</f>
        <v>0.16737015966232335</v>
      </c>
      <c r="F406" s="60">
        <f>'Batting Data'!L406/'Batting Data'!J406</f>
        <v>4.0190860708386858E-2</v>
      </c>
      <c r="G406" s="60">
        <f>'Batting Data'!M406/'Batting Data'!J406</f>
        <v>5.6891172692237106E-3</v>
      </c>
      <c r="H406" s="60">
        <f>'Batting Data'!N406/'Batting Data'!J406</f>
        <v>1.7434391631492015E-2</v>
      </c>
      <c r="I406" s="60">
        <f>'Batting Data'!O406/'Batting Data'!J406</f>
        <v>7.9280601945311072E-2</v>
      </c>
      <c r="J406" s="60">
        <f>'Batting Data'!P406/'Batting Data'!J406</f>
        <v>1.0277115066984768E-2</v>
      </c>
      <c r="K406" s="60">
        <f>'Batting Data'!Q406/'Batting Data'!J406</f>
        <v>0.67975775371627822</v>
      </c>
      <c r="L406" s="2" t="str">
        <f t="shared" si="13"/>
        <v>2013 Los Angeles Dodgers</v>
      </c>
      <c r="M406" s="58">
        <f>'Pitching Data'!Q406/'Pitching Data'!P406</f>
        <v>0.15196237431073631</v>
      </c>
      <c r="N406" s="58">
        <f>'Pitching Data'!R406/'Pitching Data'!P406</f>
        <v>4.3788517677586763E-2</v>
      </c>
      <c r="O406" s="58">
        <f>'Pitching Data'!S406/'Pitching Data'!P406</f>
        <v>7.7846253649043141E-3</v>
      </c>
      <c r="P406" s="58">
        <f>'Pitching Data'!T406/'Pitching Data'!P406</f>
        <v>1.9623743107362958E-2</v>
      </c>
      <c r="Q406" s="58">
        <f>'Pitching Data'!U406/'Pitching Data'!P406</f>
        <v>8.530651962374311E-2</v>
      </c>
      <c r="R406" s="58">
        <f>'Pitching Data'!V406/'Pitching Data'!P406</f>
        <v>7.6224456698021411E-3</v>
      </c>
      <c r="S406" s="58">
        <f>'Pitching Data'!W406/'Pitching Data'!P406</f>
        <v>0.68391177424586447</v>
      </c>
    </row>
    <row r="407" spans="2:19" x14ac:dyDescent="0.5">
      <c r="B407" s="2">
        <v>2013</v>
      </c>
      <c r="C407" s="2" t="s">
        <v>68</v>
      </c>
      <c r="D407" s="2" t="str">
        <f t="shared" si="12"/>
        <v>2013 Milwaukee Brewers</v>
      </c>
      <c r="E407" s="60">
        <f>'Batting Data'!K407/'Batting Data'!J407</f>
        <v>0.17226890756302521</v>
      </c>
      <c r="F407" s="60">
        <f>'Batting Data'!L407/'Batting Data'!J407</f>
        <v>4.3478260869565216E-2</v>
      </c>
      <c r="G407" s="60">
        <f>'Batting Data'!M407/'Batting Data'!J407</f>
        <v>7.8553160394592616E-3</v>
      </c>
      <c r="H407" s="60">
        <f>'Batting Data'!N407/'Batting Data'!J407</f>
        <v>2.868103763244428E-2</v>
      </c>
      <c r="I407" s="60">
        <f>'Batting Data'!O407/'Batting Data'!J407</f>
        <v>7.4351479722323713E-2</v>
      </c>
      <c r="J407" s="60">
        <f>'Batting Data'!P407/'Batting Data'!J407</f>
        <v>1.2970405553525757E-2</v>
      </c>
      <c r="K407" s="60">
        <f>'Batting Data'!Q407/'Batting Data'!J407</f>
        <v>0.66039459261965661</v>
      </c>
      <c r="L407" s="2" t="str">
        <f t="shared" si="13"/>
        <v>2013 Milwaukee Brewers</v>
      </c>
      <c r="M407" s="58">
        <f>'Pitching Data'!Q407/'Pitching Data'!P407</f>
        <v>0.16295081967213115</v>
      </c>
      <c r="N407" s="58">
        <f>'Pitching Data'!R407/'Pitching Data'!P407</f>
        <v>3.5245901639344261E-2</v>
      </c>
      <c r="O407" s="58">
        <f>'Pitching Data'!S407/'Pitching Data'!P407</f>
        <v>2.7868852459016396E-3</v>
      </c>
      <c r="P407" s="58">
        <f>'Pitching Data'!T407/'Pitching Data'!P407</f>
        <v>2.8688524590163935E-2</v>
      </c>
      <c r="Q407" s="58">
        <f>'Pitching Data'!U407/'Pitching Data'!P407</f>
        <v>7.6393442622950822E-2</v>
      </c>
      <c r="R407" s="58">
        <f>'Pitching Data'!V407/'Pitching Data'!P407</f>
        <v>7.0491803278688522E-3</v>
      </c>
      <c r="S407" s="58">
        <f>'Pitching Data'!W407/'Pitching Data'!P407</f>
        <v>0.68688524590163935</v>
      </c>
    </row>
    <row r="408" spans="2:19" x14ac:dyDescent="0.5">
      <c r="B408" s="2">
        <v>2013</v>
      </c>
      <c r="C408" s="2" t="s">
        <v>70</v>
      </c>
      <c r="D408" s="2" t="str">
        <f t="shared" si="12"/>
        <v>2013 Minnesota Twins</v>
      </c>
      <c r="E408" s="60">
        <f>'Batting Data'!K408/'Batting Data'!J408</f>
        <v>0.16085549964054638</v>
      </c>
      <c r="F408" s="60">
        <f>'Batting Data'!L408/'Batting Data'!J408</f>
        <v>5.1222142343637672E-2</v>
      </c>
      <c r="G408" s="60">
        <f>'Batting Data'!M408/'Batting Data'!J408</f>
        <v>2.6959022286125092E-3</v>
      </c>
      <c r="H408" s="60">
        <f>'Batting Data'!N408/'Batting Data'!J408</f>
        <v>2.7138749101365923E-2</v>
      </c>
      <c r="I408" s="60">
        <f>'Batting Data'!O408/'Batting Data'!J408</f>
        <v>9.5794392523364483E-2</v>
      </c>
      <c r="J408" s="60">
        <f>'Batting Data'!P408/'Batting Data'!J408</f>
        <v>9.3457943925233638E-3</v>
      </c>
      <c r="K408" s="60">
        <f>'Batting Data'!Q408/'Batting Data'!J408</f>
        <v>0.65294751976994969</v>
      </c>
      <c r="L408" s="2" t="str">
        <f t="shared" si="13"/>
        <v>2013 Minnesota Twins</v>
      </c>
      <c r="M408" s="58">
        <f>'Pitching Data'!Q408/'Pitching Data'!P408</f>
        <v>0.17308614351925844</v>
      </c>
      <c r="N408" s="58">
        <f>'Pitching Data'!R408/'Pitching Data'!P408</f>
        <v>4.9544510148633529E-2</v>
      </c>
      <c r="O408" s="58">
        <f>'Pitching Data'!S408/'Pitching Data'!P408</f>
        <v>4.7946300143838902E-3</v>
      </c>
      <c r="P408" s="58">
        <f>'Pitching Data'!T408/'Pitching Data'!P408</f>
        <v>2.6849928080549784E-2</v>
      </c>
      <c r="Q408" s="58">
        <f>'Pitching Data'!U408/'Pitching Data'!P408</f>
        <v>7.3198018219594055E-2</v>
      </c>
      <c r="R408" s="58">
        <f>'Pitching Data'!V408/'Pitching Data'!P408</f>
        <v>7.0321240210963719E-3</v>
      </c>
      <c r="S408" s="58">
        <f>'Pitching Data'!W408/'Pitching Data'!P408</f>
        <v>0.66549464599648389</v>
      </c>
    </row>
    <row r="409" spans="2:19" x14ac:dyDescent="0.5">
      <c r="B409" s="2">
        <v>2013</v>
      </c>
      <c r="C409" s="2" t="s">
        <v>76</v>
      </c>
      <c r="D409" s="2" t="str">
        <f t="shared" si="12"/>
        <v>2013 New York Mets</v>
      </c>
      <c r="E409" s="60">
        <f>'Batting Data'!K409/'Batting Data'!J409</f>
        <v>0.1606404029501709</v>
      </c>
      <c r="F409" s="60">
        <f>'Batting Data'!L409/'Batting Data'!J409</f>
        <v>4.7310667386220542E-2</v>
      </c>
      <c r="G409" s="60">
        <f>'Batting Data'!M409/'Batting Data'!J409</f>
        <v>5.7564310127720814E-3</v>
      </c>
      <c r="H409" s="60">
        <f>'Batting Data'!N409/'Batting Data'!J409</f>
        <v>2.338550098938658E-2</v>
      </c>
      <c r="I409" s="60">
        <f>'Batting Data'!O409/'Batting Data'!J409</f>
        <v>9.2102896204353302E-2</v>
      </c>
      <c r="J409" s="60">
        <f>'Batting Data'!P409/'Batting Data'!J409</f>
        <v>9.1743119266055051E-3</v>
      </c>
      <c r="K409" s="60">
        <f>'Batting Data'!Q409/'Batting Data'!J409</f>
        <v>0.66162978953049112</v>
      </c>
      <c r="L409" s="2" t="str">
        <f t="shared" si="13"/>
        <v>2013 New York Mets</v>
      </c>
      <c r="M409" s="58">
        <f>'Pitching Data'!Q409/'Pitching Data'!P409</f>
        <v>0.15986557849255881</v>
      </c>
      <c r="N409" s="58">
        <f>'Pitching Data'!R409/'Pitching Data'!P409</f>
        <v>4.352696431429029E-2</v>
      </c>
      <c r="O409" s="58">
        <f>'Pitching Data'!S409/'Pitching Data'!P409</f>
        <v>3.0404864778364538E-3</v>
      </c>
      <c r="P409" s="58">
        <f>'Pitching Data'!T409/'Pitching Data'!P409</f>
        <v>2.432389182269163E-2</v>
      </c>
      <c r="Q409" s="58">
        <f>'Pitching Data'!U409/'Pitching Data'!P409</f>
        <v>7.329172667626821E-2</v>
      </c>
      <c r="R409" s="58">
        <f>'Pitching Data'!V409/'Pitching Data'!P409</f>
        <v>8.6413826212193949E-3</v>
      </c>
      <c r="S409" s="58">
        <f>'Pitching Data'!W409/'Pitching Data'!P409</f>
        <v>0.68730996959513524</v>
      </c>
    </row>
    <row r="410" spans="2:19" x14ac:dyDescent="0.5">
      <c r="B410" s="2">
        <v>2013</v>
      </c>
      <c r="C410" s="2" t="s">
        <v>74</v>
      </c>
      <c r="D410" s="2" t="str">
        <f t="shared" si="12"/>
        <v>2013 New York Yankees</v>
      </c>
      <c r="E410" s="60">
        <f>'Batting Data'!K410/'Batting Data'!J410</f>
        <v>0.1662690401908607</v>
      </c>
      <c r="F410" s="60">
        <f>'Batting Data'!L410/'Batting Data'!J410</f>
        <v>4.5329418241879242E-2</v>
      </c>
      <c r="G410" s="60">
        <f>'Batting Data'!M410/'Batting Data'!J410</f>
        <v>4.4044778858506146E-3</v>
      </c>
      <c r="H410" s="60">
        <f>'Batting Data'!N410/'Batting Data'!J410</f>
        <v>2.6426867315103689E-2</v>
      </c>
      <c r="I410" s="60">
        <f>'Batting Data'!O410/'Batting Data'!J410</f>
        <v>8.5520278950266107E-2</v>
      </c>
      <c r="J410" s="60">
        <f>'Batting Data'!P410/'Batting Data'!J410</f>
        <v>1.046063497889521E-2</v>
      </c>
      <c r="K410" s="60">
        <f>'Batting Data'!Q410/'Batting Data'!J410</f>
        <v>0.66158928243714443</v>
      </c>
      <c r="L410" s="2" t="str">
        <f t="shared" si="13"/>
        <v>2013 New York Yankees</v>
      </c>
      <c r="M410" s="58">
        <f>'Pitching Data'!Q410/'Pitching Data'!P410</f>
        <v>0.15731070496083552</v>
      </c>
      <c r="N410" s="58">
        <f>'Pitching Data'!R410/'Pitching Data'!P410</f>
        <v>4.9445169712793731E-2</v>
      </c>
      <c r="O410" s="58">
        <f>'Pitching Data'!S410/'Pitching Data'!P410</f>
        <v>2.2845953002610967E-3</v>
      </c>
      <c r="P410" s="58">
        <f>'Pitching Data'!T410/'Pitching Data'!P410</f>
        <v>2.7904699738903395E-2</v>
      </c>
      <c r="Q410" s="58">
        <f>'Pitching Data'!U410/'Pitching Data'!P410</f>
        <v>7.1312010443864232E-2</v>
      </c>
      <c r="R410" s="58">
        <f>'Pitching Data'!V410/'Pitching Data'!P410</f>
        <v>8.3224543080939947E-3</v>
      </c>
      <c r="S410" s="58">
        <f>'Pitching Data'!W410/'Pitching Data'!P410</f>
        <v>0.68342036553524799</v>
      </c>
    </row>
    <row r="411" spans="2:19" x14ac:dyDescent="0.5">
      <c r="B411" s="2">
        <v>2013</v>
      </c>
      <c r="C411" s="2" t="s">
        <v>78</v>
      </c>
      <c r="D411" s="2" t="str">
        <f t="shared" si="12"/>
        <v>2013 Oakland Athletics</v>
      </c>
      <c r="E411" s="60">
        <f>'Batting Data'!K411/'Batting Data'!J411</f>
        <v>0.16138380728128962</v>
      </c>
      <c r="F411" s="60">
        <f>'Batting Data'!L411/'Batting Data'!J411</f>
        <v>5.451910885709111E-2</v>
      </c>
      <c r="G411" s="60">
        <f>'Batting Data'!M411/'Batting Data'!J411</f>
        <v>4.528165187466039E-3</v>
      </c>
      <c r="H411" s="60">
        <f>'Batting Data'!N411/'Batting Data'!J411</f>
        <v>3.3689548994747326E-2</v>
      </c>
      <c r="I411" s="60">
        <f>'Batting Data'!O411/'Batting Data'!J411</f>
        <v>0.10378554609672161</v>
      </c>
      <c r="J411" s="60">
        <f>'Batting Data'!P411/'Batting Data'!J411</f>
        <v>8.1506973374388704E-3</v>
      </c>
      <c r="K411" s="60">
        <f>'Batting Data'!Q411/'Batting Data'!J411</f>
        <v>0.6339431262452454</v>
      </c>
      <c r="L411" s="2" t="str">
        <f t="shared" si="13"/>
        <v>2013 Oakland Athletics</v>
      </c>
      <c r="M411" s="58">
        <f>'Pitching Data'!Q411/'Pitching Data'!P411</f>
        <v>0.15290822211237437</v>
      </c>
      <c r="N411" s="58">
        <f>'Pitching Data'!R411/'Pitching Data'!P411</f>
        <v>3.773274015488548E-2</v>
      </c>
      <c r="O411" s="58">
        <f>'Pitching Data'!S411/'Pitching Data'!P411</f>
        <v>3.1306640303180094E-3</v>
      </c>
      <c r="P411" s="58">
        <f>'Pitching Data'!T411/'Pitching Data'!P411</f>
        <v>2.6857801944307133E-2</v>
      </c>
      <c r="Q411" s="58">
        <f>'Pitching Data'!U411/'Pitching Data'!P411</f>
        <v>7.0522326577689906E-2</v>
      </c>
      <c r="R411" s="58">
        <f>'Pitching Data'!V411/'Pitching Data'!P411</f>
        <v>5.7670126874279125E-3</v>
      </c>
      <c r="S411" s="58">
        <f>'Pitching Data'!W411/'Pitching Data'!P411</f>
        <v>0.70308123249299714</v>
      </c>
    </row>
    <row r="412" spans="2:19" x14ac:dyDescent="0.5">
      <c r="B412" s="2">
        <v>2013</v>
      </c>
      <c r="C412" s="2" t="s">
        <v>80</v>
      </c>
      <c r="D412" s="2" t="str">
        <f t="shared" si="12"/>
        <v>2013 Philadelphia Phillies</v>
      </c>
      <c r="E412" s="60">
        <f>'Batting Data'!K412/'Batting Data'!J412</f>
        <v>0.17008797653958943</v>
      </c>
      <c r="F412" s="60">
        <f>'Batting Data'!L412/'Batting Data'!J412</f>
        <v>4.6737536656891496E-2</v>
      </c>
      <c r="G412" s="60">
        <f>'Batting Data'!M412/'Batting Data'!J412</f>
        <v>5.8651026392961877E-3</v>
      </c>
      <c r="H412" s="60">
        <f>'Batting Data'!N412/'Batting Data'!J412</f>
        <v>2.5659824046920823E-2</v>
      </c>
      <c r="I412" s="60">
        <f>'Batting Data'!O412/'Batting Data'!J412</f>
        <v>7.6429618768328447E-2</v>
      </c>
      <c r="J412" s="60">
        <f>'Batting Data'!P412/'Batting Data'!J412</f>
        <v>9.7140762463343109E-3</v>
      </c>
      <c r="K412" s="60">
        <f>'Batting Data'!Q412/'Batting Data'!J412</f>
        <v>0.66550586510263932</v>
      </c>
      <c r="L412" s="2" t="str">
        <f t="shared" si="13"/>
        <v>2013 Philadelphia Phillies</v>
      </c>
      <c r="M412" s="58">
        <f>'Pitching Data'!Q412/'Pitching Data'!P412</f>
        <v>0.15596330275229359</v>
      </c>
      <c r="N412" s="58">
        <f>'Pitching Data'!R412/'Pitching Data'!P412</f>
        <v>4.9573474971833252E-2</v>
      </c>
      <c r="O412" s="58">
        <f>'Pitching Data'!S412/'Pitching Data'!P412</f>
        <v>5.7943022694350553E-3</v>
      </c>
      <c r="P412" s="58">
        <f>'Pitching Data'!T412/'Pitching Data'!P412</f>
        <v>2.4464831804281346E-2</v>
      </c>
      <c r="Q412" s="58">
        <f>'Pitching Data'!U412/'Pitching Data'!P412</f>
        <v>8.1442137453726055E-2</v>
      </c>
      <c r="R412" s="58">
        <f>'Pitching Data'!V412/'Pitching Data'!P412</f>
        <v>9.9790761306937075E-3</v>
      </c>
      <c r="S412" s="58">
        <f>'Pitching Data'!W412/'Pitching Data'!P412</f>
        <v>0.672782874617737</v>
      </c>
    </row>
    <row r="413" spans="2:19" x14ac:dyDescent="0.5">
      <c r="B413" s="2">
        <v>2013</v>
      </c>
      <c r="C413" s="2" t="s">
        <v>82</v>
      </c>
      <c r="D413" s="2" t="str">
        <f t="shared" si="12"/>
        <v>2013 Pittsburgh Pirates</v>
      </c>
      <c r="E413" s="60">
        <f>'Batting Data'!K413/'Batting Data'!J413</f>
        <v>0.15986146554866934</v>
      </c>
      <c r="F413" s="60">
        <f>'Batting Data'!L413/'Batting Data'!J413</f>
        <v>4.9763033175355451E-2</v>
      </c>
      <c r="G413" s="60">
        <f>'Batting Data'!M413/'Batting Data'!J413</f>
        <v>6.3798760481224934E-3</v>
      </c>
      <c r="H413" s="60">
        <f>'Batting Data'!N413/'Batting Data'!J413</f>
        <v>2.9347429821363472E-2</v>
      </c>
      <c r="I413" s="60">
        <f>'Batting Data'!O413/'Batting Data'!J413</f>
        <v>8.5490339044841421E-2</v>
      </c>
      <c r="J413" s="60">
        <f>'Batting Data'!P413/'Batting Data'!J413</f>
        <v>1.6040831206707983E-2</v>
      </c>
      <c r="K413" s="60">
        <f>'Batting Data'!Q413/'Batting Data'!J413</f>
        <v>0.65311702515493986</v>
      </c>
      <c r="L413" s="2" t="str">
        <f t="shared" si="13"/>
        <v>2013 Pittsburgh Pirates</v>
      </c>
      <c r="M413" s="58">
        <f>'Pitching Data'!Q413/'Pitching Data'!P413</f>
        <v>0.15552301935903692</v>
      </c>
      <c r="N413" s="58">
        <f>'Pitching Data'!R413/'Pitching Data'!P413</f>
        <v>3.6277859118269078E-2</v>
      </c>
      <c r="O413" s="58">
        <f>'Pitching Data'!S413/'Pitching Data'!P413</f>
        <v>3.0909386692695622E-3</v>
      </c>
      <c r="P413" s="58">
        <f>'Pitching Data'!T413/'Pitching Data'!P413</f>
        <v>1.6430779241906623E-2</v>
      </c>
      <c r="Q413" s="58">
        <f>'Pitching Data'!U413/'Pitching Data'!P413</f>
        <v>8.3780706035464447E-2</v>
      </c>
      <c r="R413" s="58">
        <f>'Pitching Data'!V413/'Pitching Data'!P413</f>
        <v>1.138766878151944E-2</v>
      </c>
      <c r="S413" s="58">
        <f>'Pitching Data'!W413/'Pitching Data'!P413</f>
        <v>0.69350902879453391</v>
      </c>
    </row>
    <row r="414" spans="2:19" x14ac:dyDescent="0.5">
      <c r="B414" s="2">
        <v>2013</v>
      </c>
      <c r="C414" s="2" t="s">
        <v>84</v>
      </c>
      <c r="D414" s="2" t="str">
        <f t="shared" si="12"/>
        <v>2013 San Diego Padres</v>
      </c>
      <c r="E414" s="60">
        <f>'Batting Data'!K414/'Batting Data'!J414</f>
        <v>0.16875113286206272</v>
      </c>
      <c r="F414" s="60">
        <f>'Batting Data'!L414/'Batting Data'!J414</f>
        <v>4.4589450788471999E-2</v>
      </c>
      <c r="G414" s="60">
        <f>'Batting Data'!M414/'Batting Data'!J414</f>
        <v>4.7127061808954138E-3</v>
      </c>
      <c r="H414" s="60">
        <f>'Batting Data'!N414/'Batting Data'!J414</f>
        <v>2.6463657785028096E-2</v>
      </c>
      <c r="I414" s="60">
        <f>'Batting Data'!O414/'Batting Data'!J414</f>
        <v>8.4647453326083019E-2</v>
      </c>
      <c r="J414" s="60">
        <f>'Batting Data'!P414/'Batting Data'!J414</f>
        <v>9.4254123617908275E-3</v>
      </c>
      <c r="K414" s="60">
        <f>'Batting Data'!Q414/'Batting Data'!J414</f>
        <v>0.66141018669566798</v>
      </c>
      <c r="L414" s="2" t="str">
        <f t="shared" si="13"/>
        <v>2013 San Diego Padres</v>
      </c>
      <c r="M414" s="58">
        <f>'Pitching Data'!Q414/'Pitching Data'!P414</f>
        <v>0.15261369153584722</v>
      </c>
      <c r="N414" s="58">
        <f>'Pitching Data'!R414/'Pitching Data'!P414</f>
        <v>4.3696391001780223E-2</v>
      </c>
      <c r="O414" s="58">
        <f>'Pitching Data'!S414/'Pitching Data'!P414</f>
        <v>6.1498624372875871E-3</v>
      </c>
      <c r="P414" s="58">
        <f>'Pitching Data'!T414/'Pitching Data'!P414</f>
        <v>2.5246803689917462E-2</v>
      </c>
      <c r="Q414" s="58">
        <f>'Pitching Data'!U414/'Pitching Data'!P414</f>
        <v>8.4965204725683766E-2</v>
      </c>
      <c r="R414" s="58">
        <f>'Pitching Data'!V414/'Pitching Data'!P414</f>
        <v>6.4735394076711446E-3</v>
      </c>
      <c r="S414" s="58">
        <f>'Pitching Data'!W414/'Pitching Data'!P414</f>
        <v>0.68085450720181262</v>
      </c>
    </row>
    <row r="415" spans="2:19" x14ac:dyDescent="0.5">
      <c r="B415" s="2">
        <v>2013</v>
      </c>
      <c r="C415" s="2" t="s">
        <v>86</v>
      </c>
      <c r="D415" s="2" t="str">
        <f t="shared" si="12"/>
        <v>2013 Seattle Mariners</v>
      </c>
      <c r="E415" s="60">
        <f>'Batting Data'!K415/'Batting Data'!J415</f>
        <v>0.15545160129543001</v>
      </c>
      <c r="F415" s="60">
        <f>'Batting Data'!L415/'Batting Data'!J415</f>
        <v>4.4800287873335731E-2</v>
      </c>
      <c r="G415" s="60">
        <f>'Batting Data'!M415/'Batting Data'!J415</f>
        <v>3.0586541921554518E-3</v>
      </c>
      <c r="H415" s="60">
        <f>'Batting Data'!N415/'Batting Data'!J415</f>
        <v>3.3825116948542643E-2</v>
      </c>
      <c r="I415" s="60">
        <f>'Batting Data'!O415/'Batting Data'!J415</f>
        <v>9.5178121626484341E-2</v>
      </c>
      <c r="J415" s="60">
        <f>'Batting Data'!P415/'Batting Data'!J415</f>
        <v>5.577545879812882E-3</v>
      </c>
      <c r="K415" s="60">
        <f>'Batting Data'!Q415/'Batting Data'!J415</f>
        <v>0.66210867218423897</v>
      </c>
      <c r="L415" s="2" t="str">
        <f t="shared" si="13"/>
        <v>2013 Seattle Mariners</v>
      </c>
      <c r="M415" s="58">
        <f>'Pitching Data'!Q415/'Pitching Data'!P415</f>
        <v>0.15198977145596931</v>
      </c>
      <c r="N415" s="58">
        <f>'Pitching Data'!R415/'Pitching Data'!P415</f>
        <v>5.0343615151030849E-2</v>
      </c>
      <c r="O415" s="58">
        <f>'Pitching Data'!S415/'Pitching Data'!P415</f>
        <v>4.3151670129455014E-3</v>
      </c>
      <c r="P415" s="58">
        <f>'Pitching Data'!T415/'Pitching Data'!P415</f>
        <v>2.7808854083426562E-2</v>
      </c>
      <c r="Q415" s="58">
        <f>'Pitching Data'!U415/'Pitching Data'!P415</f>
        <v>7.639443822918332E-2</v>
      </c>
      <c r="R415" s="58">
        <f>'Pitching Data'!V415/'Pitching Data'!P415</f>
        <v>6.712482020137446E-3</v>
      </c>
      <c r="S415" s="58">
        <f>'Pitching Data'!W415/'Pitching Data'!P415</f>
        <v>0.68243567204730704</v>
      </c>
    </row>
    <row r="416" spans="2:19" x14ac:dyDescent="0.5">
      <c r="B416" s="2">
        <v>2013</v>
      </c>
      <c r="C416" s="2" t="s">
        <v>88</v>
      </c>
      <c r="D416" s="2" t="str">
        <f t="shared" si="12"/>
        <v>2013 San Francisco Giants</v>
      </c>
      <c r="E416" s="60">
        <f>'Batting Data'!K416/'Batting Data'!J416</f>
        <v>0.18443804034582131</v>
      </c>
      <c r="F416" s="60">
        <f>'Batting Data'!L416/'Batting Data'!J416</f>
        <v>5.0432276657060522E-2</v>
      </c>
      <c r="G416" s="60">
        <f>'Batting Data'!M416/'Batting Data'!J416</f>
        <v>6.3040345821325653E-3</v>
      </c>
      <c r="H416" s="60">
        <f>'Batting Data'!N416/'Batting Data'!J416</f>
        <v>1.9272334293948128E-2</v>
      </c>
      <c r="I416" s="60">
        <f>'Batting Data'!O416/'Batting Data'!J416</f>
        <v>8.4474063400576366E-2</v>
      </c>
      <c r="J416" s="60">
        <f>'Batting Data'!P416/'Batting Data'!J416</f>
        <v>7.0244956772334294E-3</v>
      </c>
      <c r="K416" s="60">
        <f>'Batting Data'!Q416/'Batting Data'!J416</f>
        <v>0.64805475504322763</v>
      </c>
      <c r="L416" s="2" t="str">
        <f t="shared" si="13"/>
        <v>2013 San Francisco Giants</v>
      </c>
      <c r="M416" s="58">
        <f>'Pitching Data'!Q416/'Pitching Data'!P416</f>
        <v>0.15138731137433067</v>
      </c>
      <c r="N416" s="58">
        <f>'Pitching Data'!R416/'Pitching Data'!P416</f>
        <v>4.4945643355508678E-2</v>
      </c>
      <c r="O416" s="58">
        <f>'Pitching Data'!S416/'Pitching Data'!P416</f>
        <v>4.0564660068148628E-3</v>
      </c>
      <c r="P416" s="58">
        <f>'Pitching Data'!T416/'Pitching Data'!P416</f>
        <v>2.3527502839526204E-2</v>
      </c>
      <c r="Q416" s="58">
        <f>'Pitching Data'!U416/'Pitching Data'!P416</f>
        <v>8.4536751582021744E-2</v>
      </c>
      <c r="R416" s="58">
        <f>'Pitching Data'!V416/'Pitching Data'!P416</f>
        <v>8.1129320136297256E-3</v>
      </c>
      <c r="S416" s="58">
        <f>'Pitching Data'!W416/'Pitching Data'!P416</f>
        <v>0.68343339282816806</v>
      </c>
    </row>
    <row r="417" spans="2:19" x14ac:dyDescent="0.5">
      <c r="B417" s="2">
        <v>2013</v>
      </c>
      <c r="C417" s="2" t="s">
        <v>90</v>
      </c>
      <c r="D417" s="2" t="str">
        <f t="shared" si="12"/>
        <v>2013 St. Louis Cardinals</v>
      </c>
      <c r="E417" s="60">
        <f>'Batting Data'!K417/'Batting Data'!J417</f>
        <v>0.18481194889328775</v>
      </c>
      <c r="F417" s="60">
        <f>'Batting Data'!L417/'Batting Data'!J417</f>
        <v>5.7944934317077562E-2</v>
      </c>
      <c r="G417" s="60">
        <f>'Batting Data'!M417/'Batting Data'!J417</f>
        <v>3.5990642432967429E-3</v>
      </c>
      <c r="H417" s="60">
        <f>'Batting Data'!N417/'Batting Data'!J417</f>
        <v>2.2494151520604643E-2</v>
      </c>
      <c r="I417" s="60">
        <f>'Batting Data'!O417/'Batting Data'!J417</f>
        <v>8.6557495051286668E-2</v>
      </c>
      <c r="J417" s="60">
        <f>'Batting Data'!P417/'Batting Data'!J417</f>
        <v>1.1517005578549577E-2</v>
      </c>
      <c r="K417" s="60">
        <f>'Batting Data'!Q417/'Batting Data'!J417</f>
        <v>0.63307540039589705</v>
      </c>
      <c r="L417" s="2" t="str">
        <f t="shared" si="13"/>
        <v>2013 St. Louis Cardinals</v>
      </c>
      <c r="M417" s="58">
        <f>'Pitching Data'!Q417/'Pitching Data'!P417</f>
        <v>0.15760157273918743</v>
      </c>
      <c r="N417" s="58">
        <f>'Pitching Data'!R417/'Pitching Data'!P417</f>
        <v>4.3086500655307995E-2</v>
      </c>
      <c r="O417" s="58">
        <f>'Pitching Data'!S417/'Pitching Data'!P417</f>
        <v>4.7509829619921361E-3</v>
      </c>
      <c r="P417" s="58">
        <f>'Pitching Data'!T417/'Pitching Data'!P417</f>
        <v>1.834862385321101E-2</v>
      </c>
      <c r="Q417" s="58">
        <f>'Pitching Data'!U417/'Pitching Data'!P417</f>
        <v>7.3885976408912188E-2</v>
      </c>
      <c r="R417" s="58">
        <f>'Pitching Data'!V417/'Pitching Data'!P417</f>
        <v>1.0484927916120577E-2</v>
      </c>
      <c r="S417" s="58">
        <f>'Pitching Data'!W417/'Pitching Data'!P417</f>
        <v>0.69184141546526867</v>
      </c>
    </row>
    <row r="418" spans="2:19" x14ac:dyDescent="0.5">
      <c r="B418" s="2">
        <v>2013</v>
      </c>
      <c r="C418" s="2" t="s">
        <v>92</v>
      </c>
      <c r="D418" s="2" t="str">
        <f t="shared" si="12"/>
        <v>2013 Tampa Bay Devil Rays</v>
      </c>
      <c r="E418" s="60">
        <f>'Batting Data'!K418/'Batting Data'!J418</f>
        <v>0.16919465511014806</v>
      </c>
      <c r="F418" s="60">
        <f>'Batting Data'!L418/'Batting Data'!J418</f>
        <v>5.3448898519321053E-2</v>
      </c>
      <c r="G418" s="60">
        <f>'Batting Data'!M418/'Batting Data'!J418</f>
        <v>4.1531238714337306E-3</v>
      </c>
      <c r="H418" s="60">
        <f>'Batting Data'!N418/'Batting Data'!J418</f>
        <v>2.9794149512459372E-2</v>
      </c>
      <c r="I418" s="60">
        <f>'Batting Data'!O418/'Batting Data'!J418</f>
        <v>0.10635608522932466</v>
      </c>
      <c r="J418" s="60">
        <f>'Batting Data'!P418/'Batting Data'!J418</f>
        <v>6.5005417118093175E-3</v>
      </c>
      <c r="K418" s="60">
        <f>'Batting Data'!Q418/'Batting Data'!J418</f>
        <v>0.63055254604550381</v>
      </c>
      <c r="L418" s="2" t="str">
        <f t="shared" si="13"/>
        <v>2013 Tampa Bay Devil Rays</v>
      </c>
      <c r="M418" s="58">
        <f>'Pitching Data'!Q418/'Pitching Data'!P418</f>
        <v>0.14433667598224562</v>
      </c>
      <c r="N418" s="58">
        <f>'Pitching Data'!R418/'Pitching Data'!P418</f>
        <v>4.1755712641788588E-2</v>
      </c>
      <c r="O418" s="58">
        <f>'Pitching Data'!S418/'Pitching Data'!P418</f>
        <v>4.931777083675818E-3</v>
      </c>
      <c r="P418" s="58">
        <f>'Pitching Data'!T418/'Pitching Data'!P418</f>
        <v>2.5152063126746671E-2</v>
      </c>
      <c r="Q418" s="58">
        <f>'Pitching Data'!U418/'Pitching Data'!P418</f>
        <v>7.9237218477724802E-2</v>
      </c>
      <c r="R418" s="58">
        <f>'Pitching Data'!V418/'Pitching Data'!P418</f>
        <v>8.5484136117047506E-3</v>
      </c>
      <c r="S418" s="58">
        <f>'Pitching Data'!W418/'Pitching Data'!P418</f>
        <v>0.69603813907611378</v>
      </c>
    </row>
    <row r="419" spans="2:19" x14ac:dyDescent="0.5">
      <c r="B419" s="2">
        <v>2013</v>
      </c>
      <c r="C419" s="2" t="s">
        <v>94</v>
      </c>
      <c r="D419" s="2" t="str">
        <f t="shared" si="12"/>
        <v>2013 Texas Rangers</v>
      </c>
      <c r="E419" s="60">
        <f>'Batting Data'!K419/'Batting Data'!J419</f>
        <v>0.17976723366159356</v>
      </c>
      <c r="F419" s="60">
        <f>'Batting Data'!L419/'Batting Data'!J419</f>
        <v>4.6911369740376005E-2</v>
      </c>
      <c r="G419" s="60">
        <f>'Batting Data'!M419/'Batting Data'!J419</f>
        <v>4.1181736794986571E-3</v>
      </c>
      <c r="H419" s="60">
        <f>'Batting Data'!N419/'Batting Data'!J419</f>
        <v>3.1512981199641896E-2</v>
      </c>
      <c r="I419" s="60">
        <f>'Batting Data'!O419/'Batting Data'!J419</f>
        <v>8.2721575649059978E-2</v>
      </c>
      <c r="J419" s="60">
        <f>'Batting Data'!P419/'Batting Data'!J419</f>
        <v>1.0922112802148613E-2</v>
      </c>
      <c r="K419" s="60">
        <f>'Batting Data'!Q419/'Batting Data'!J419</f>
        <v>0.64404655326768134</v>
      </c>
      <c r="L419" s="2" t="str">
        <f t="shared" si="13"/>
        <v>2013 Texas Rangers</v>
      </c>
      <c r="M419" s="58">
        <f>'Pitching Data'!Q419/'Pitching Data'!P419</f>
        <v>0.15180605271721445</v>
      </c>
      <c r="N419" s="58">
        <f>'Pitching Data'!R419/'Pitching Data'!P419</f>
        <v>4.2466644972339734E-2</v>
      </c>
      <c r="O419" s="58">
        <f>'Pitching Data'!S419/'Pitching Data'!P419</f>
        <v>3.0914415880247317E-3</v>
      </c>
      <c r="P419" s="58">
        <f>'Pitching Data'!T419/'Pitching Data'!P419</f>
        <v>2.5545069964204359E-2</v>
      </c>
      <c r="Q419" s="58">
        <f>'Pitching Data'!U419/'Pitching Data'!P419</f>
        <v>8.1028311096648223E-2</v>
      </c>
      <c r="R419" s="58">
        <f>'Pitching Data'!V419/'Pitching Data'!P419</f>
        <v>7.8099576960624795E-3</v>
      </c>
      <c r="S419" s="58">
        <f>'Pitching Data'!W419/'Pitching Data'!P419</f>
        <v>0.68825252196550601</v>
      </c>
    </row>
    <row r="420" spans="2:19" x14ac:dyDescent="0.5">
      <c r="B420" s="2">
        <v>2013</v>
      </c>
      <c r="C420" s="2" t="s">
        <v>96</v>
      </c>
      <c r="D420" s="2" t="str">
        <f t="shared" si="12"/>
        <v>2013 Toronto Blue Jays</v>
      </c>
      <c r="E420" s="60">
        <f>'Batting Data'!K420/'Batting Data'!J420</f>
        <v>0.16543254469929564</v>
      </c>
      <c r="F420" s="60">
        <f>'Batting Data'!L420/'Batting Data'!J420</f>
        <v>4.9304677623261697E-2</v>
      </c>
      <c r="G420" s="60">
        <f>'Batting Data'!M420/'Batting Data'!J420</f>
        <v>4.3344771536933356E-3</v>
      </c>
      <c r="H420" s="60">
        <f>'Batting Data'!N420/'Batting Data'!J420</f>
        <v>3.3411594726386128E-2</v>
      </c>
      <c r="I420" s="60">
        <f>'Batting Data'!O420/'Batting Data'!J420</f>
        <v>9.2107639515983386E-2</v>
      </c>
      <c r="J420" s="60">
        <f>'Batting Data'!P420/'Batting Data'!J420</f>
        <v>6.8629221600144483E-3</v>
      </c>
      <c r="K420" s="60">
        <f>'Batting Data'!Q420/'Batting Data'!J420</f>
        <v>0.64854614412136535</v>
      </c>
      <c r="L420" s="2" t="str">
        <f t="shared" si="13"/>
        <v>2013 Toronto Blue Jays</v>
      </c>
      <c r="M420" s="58">
        <f>'Pitching Data'!Q420/'Pitching Data'!P420</f>
        <v>0.14832000000000001</v>
      </c>
      <c r="N420" s="58">
        <f>'Pitching Data'!R420/'Pitching Data'!P420</f>
        <v>4.8640000000000003E-2</v>
      </c>
      <c r="O420" s="58">
        <f>'Pitching Data'!S420/'Pitching Data'!P420</f>
        <v>4.0000000000000001E-3</v>
      </c>
      <c r="P420" s="58">
        <f>'Pitching Data'!T420/'Pitching Data'!P420</f>
        <v>3.1199999999999999E-2</v>
      </c>
      <c r="Q420" s="58">
        <f>'Pitching Data'!U420/'Pitching Data'!P420</f>
        <v>0.08</v>
      </c>
      <c r="R420" s="58">
        <f>'Pitching Data'!V420/'Pitching Data'!P420</f>
        <v>1.04E-2</v>
      </c>
      <c r="S420" s="58">
        <f>'Pitching Data'!W420/'Pitching Data'!P420</f>
        <v>0.67744000000000004</v>
      </c>
    </row>
    <row r="421" spans="2:19" x14ac:dyDescent="0.5">
      <c r="B421" s="2">
        <v>2013</v>
      </c>
      <c r="C421" s="2" t="s">
        <v>100</v>
      </c>
      <c r="D421" s="2" t="str">
        <f t="shared" si="12"/>
        <v>2013 Washington Nationals</v>
      </c>
      <c r="E421" s="60">
        <f>'Batting Data'!K421/'Batting Data'!J421</f>
        <v>0.16887417218543047</v>
      </c>
      <c r="F421" s="60">
        <f>'Batting Data'!L421/'Batting Data'!J421</f>
        <v>4.7645327446651953E-2</v>
      </c>
      <c r="G421" s="60">
        <f>'Batting Data'!M421/'Batting Data'!J421</f>
        <v>4.9668874172185433E-3</v>
      </c>
      <c r="H421" s="60">
        <f>'Batting Data'!N421/'Batting Data'!J421</f>
        <v>2.9617365710080942E-2</v>
      </c>
      <c r="I421" s="60">
        <f>'Batting Data'!O421/'Batting Data'!J421</f>
        <v>8.535688005886681E-2</v>
      </c>
      <c r="J421" s="60">
        <f>'Batting Data'!P421/'Batting Data'!J421</f>
        <v>7.3583517292126564E-3</v>
      </c>
      <c r="K421" s="60">
        <f>'Batting Data'!Q421/'Batting Data'!J421</f>
        <v>0.6561810154525386</v>
      </c>
      <c r="L421" s="2" t="str">
        <f t="shared" si="13"/>
        <v>2013 Washington Nationals</v>
      </c>
      <c r="M421" s="58">
        <f>'Pitching Data'!Q421/'Pitching Data'!P421</f>
        <v>0.15717124875786684</v>
      </c>
      <c r="N421" s="58">
        <f>'Pitching Data'!R421/'Pitching Data'!P421</f>
        <v>4.3391851606492213E-2</v>
      </c>
      <c r="O421" s="58">
        <f>'Pitching Data'!S421/'Pitching Data'!P421</f>
        <v>2.3186485591255384E-3</v>
      </c>
      <c r="P421" s="58">
        <f>'Pitching Data'!T421/'Pitching Data'!P421</f>
        <v>2.3517721099701887E-2</v>
      </c>
      <c r="Q421" s="58">
        <f>'Pitching Data'!U421/'Pitching Data'!P421</f>
        <v>6.707519046041735E-2</v>
      </c>
      <c r="R421" s="58">
        <f>'Pitching Data'!V421/'Pitching Data'!P421</f>
        <v>7.9496522027161318E-3</v>
      </c>
      <c r="S421" s="58">
        <f>'Pitching Data'!W421/'Pitching Data'!P421</f>
        <v>0.69857568731368003</v>
      </c>
    </row>
    <row r="422" spans="2:19" x14ac:dyDescent="0.5">
      <c r="B422" s="2">
        <v>2014</v>
      </c>
      <c r="C422" s="2" t="s">
        <v>36</v>
      </c>
      <c r="D422" s="2" t="str">
        <f t="shared" si="12"/>
        <v>2014 Anaheim Angels</v>
      </c>
      <c r="E422" s="60">
        <f>'Batting Data'!K422/'Batting Data'!J422</f>
        <v>0.17232837933474876</v>
      </c>
      <c r="F422" s="60">
        <f>'Batting Data'!L422/'Batting Data'!J422</f>
        <v>5.3786270346779901E-2</v>
      </c>
      <c r="G422" s="60">
        <f>'Batting Data'!M422/'Batting Data'!J422</f>
        <v>5.4847841472045293E-3</v>
      </c>
      <c r="H422" s="60">
        <f>'Batting Data'!N422/'Batting Data'!J422</f>
        <v>2.7423920736022647E-2</v>
      </c>
      <c r="I422" s="60">
        <f>'Batting Data'!O422/'Batting Data'!J422</f>
        <v>8.7048832271762203E-2</v>
      </c>
      <c r="J422" s="60">
        <f>'Batting Data'!P422/'Batting Data'!J422</f>
        <v>1.0615711252653927E-2</v>
      </c>
      <c r="K422" s="60">
        <f>'Batting Data'!Q422/'Batting Data'!J422</f>
        <v>0.64331210191082799</v>
      </c>
      <c r="L422" s="2" t="str">
        <f t="shared" si="13"/>
        <v>2014 Anaheim Angels</v>
      </c>
      <c r="M422" s="58">
        <f>'Pitching Data'!Q422/'Pitching Data'!P422</f>
        <v>0.1519663375950801</v>
      </c>
      <c r="N422" s="58">
        <f>'Pitching Data'!R422/'Pitching Data'!P422</f>
        <v>3.6899174623725522E-2</v>
      </c>
      <c r="O422" s="58">
        <f>'Pitching Data'!S422/'Pitching Data'!P422</f>
        <v>2.2657387926849006E-3</v>
      </c>
      <c r="P422" s="58">
        <f>'Pitching Data'!T422/'Pitching Data'!P422</f>
        <v>2.0391649134164105E-2</v>
      </c>
      <c r="Q422" s="58">
        <f>'Pitching Data'!U422/'Pitching Data'!P422</f>
        <v>8.1566596536656419E-2</v>
      </c>
      <c r="R422" s="58">
        <f>'Pitching Data'!V422/'Pitching Data'!P422</f>
        <v>1.0195824567082052E-2</v>
      </c>
      <c r="S422" s="58">
        <f>'Pitching Data'!W422/'Pitching Data'!P422</f>
        <v>0.69671467875060689</v>
      </c>
    </row>
    <row r="423" spans="2:19" x14ac:dyDescent="0.5">
      <c r="B423" s="2">
        <v>2014</v>
      </c>
      <c r="C423" s="2" t="s">
        <v>39</v>
      </c>
      <c r="D423" s="2" t="str">
        <f t="shared" si="12"/>
        <v>2014 Arizona Diamondbacks</v>
      </c>
      <c r="E423" s="60">
        <f>'Batting Data'!K423/'Batting Data'!J423</f>
        <v>0.17201008645533142</v>
      </c>
      <c r="F423" s="60">
        <f>'Batting Data'!L423/'Batting Data'!J423</f>
        <v>4.6649855907780979E-2</v>
      </c>
      <c r="G423" s="60">
        <f>'Batting Data'!M423/'Batting Data'!J423</f>
        <v>8.4654178674351578E-3</v>
      </c>
      <c r="H423" s="60">
        <f>'Batting Data'!N423/'Batting Data'!J423</f>
        <v>2.1253602305475506E-2</v>
      </c>
      <c r="I423" s="60">
        <f>'Batting Data'!O423/'Batting Data'!J423</f>
        <v>7.1685878962536018E-2</v>
      </c>
      <c r="J423" s="60">
        <f>'Batting Data'!P423/'Batting Data'!J423</f>
        <v>7.7449567723342936E-3</v>
      </c>
      <c r="K423" s="60">
        <f>'Batting Data'!Q423/'Batting Data'!J423</f>
        <v>0.6721902017291066</v>
      </c>
      <c r="L423" s="2" t="str">
        <f t="shared" si="13"/>
        <v>2014 Arizona Diamondbacks</v>
      </c>
      <c r="M423" s="58">
        <f>'Pitching Data'!Q423/'Pitching Data'!P423</f>
        <v>0.15952612788055825</v>
      </c>
      <c r="N423" s="58">
        <f>'Pitching Data'!R423/'Pitching Data'!P423</f>
        <v>4.8036351833820191E-2</v>
      </c>
      <c r="O423" s="58">
        <f>'Pitching Data'!S423/'Pitching Data'!P423</f>
        <v>5.5176890619928597E-3</v>
      </c>
      <c r="P423" s="58">
        <f>'Pitching Data'!T423/'Pitching Data'!P423</f>
        <v>2.4991885751379422E-2</v>
      </c>
      <c r="Q423" s="58">
        <f>'Pitching Data'!U423/'Pitching Data'!P423</f>
        <v>7.611165206101915E-2</v>
      </c>
      <c r="R423" s="58">
        <f>'Pitching Data'!V423/'Pitching Data'!P423</f>
        <v>8.2765335929892887E-3</v>
      </c>
      <c r="S423" s="58">
        <f>'Pitching Data'!W423/'Pitching Data'!P423</f>
        <v>0.67753975981824088</v>
      </c>
    </row>
    <row r="424" spans="2:19" x14ac:dyDescent="0.5">
      <c r="B424" s="2">
        <v>2014</v>
      </c>
      <c r="C424" s="2" t="s">
        <v>41</v>
      </c>
      <c r="D424" s="2" t="str">
        <f t="shared" si="12"/>
        <v>2014 Atlanta Braves</v>
      </c>
      <c r="E424" s="60">
        <f>'Batting Data'!K424/'Batting Data'!J424</f>
        <v>0.17026335040234089</v>
      </c>
      <c r="F424" s="60">
        <f>'Batting Data'!L424/'Batting Data'!J424</f>
        <v>4.3891733723482075E-2</v>
      </c>
      <c r="G424" s="60">
        <f>'Batting Data'!M424/'Batting Data'!J424</f>
        <v>4.0234089246525238E-3</v>
      </c>
      <c r="H424" s="60">
        <f>'Batting Data'!N424/'Batting Data'!J424</f>
        <v>2.2494513533284563E-2</v>
      </c>
      <c r="I424" s="60">
        <f>'Batting Data'!O424/'Batting Data'!J424</f>
        <v>8.6320409656181415E-2</v>
      </c>
      <c r="J424" s="60">
        <f>'Batting Data'!P424/'Batting Data'!J424</f>
        <v>7.8639356254572058E-3</v>
      </c>
      <c r="K424" s="60">
        <f>'Batting Data'!Q424/'Batting Data'!J424</f>
        <v>0.66514264813460133</v>
      </c>
      <c r="L424" s="2" t="str">
        <f t="shared" si="13"/>
        <v>2014 Atlanta Braves</v>
      </c>
      <c r="M424" s="58">
        <f>'Pitching Data'!Q424/'Pitching Data'!P424</f>
        <v>0.16132741908986364</v>
      </c>
      <c r="N424" s="58">
        <f>'Pitching Data'!R424/'Pitching Data'!P424</f>
        <v>4.0085427961228846E-2</v>
      </c>
      <c r="O424" s="58">
        <f>'Pitching Data'!S424/'Pitching Data'!P424</f>
        <v>3.6142598981435846E-3</v>
      </c>
      <c r="P424" s="58">
        <f>'Pitching Data'!T424/'Pitching Data'!P424</f>
        <v>1.9878429439789715E-2</v>
      </c>
      <c r="Q424" s="58">
        <f>'Pitching Data'!U424/'Pitching Data'!P424</f>
        <v>7.7542303269262369E-2</v>
      </c>
      <c r="R424" s="58">
        <f>'Pitching Data'!V424/'Pitching Data'!P424</f>
        <v>6.0785280105142107E-3</v>
      </c>
      <c r="S424" s="58">
        <f>'Pitching Data'!W424/'Pitching Data'!P424</f>
        <v>0.69147363233119763</v>
      </c>
    </row>
    <row r="425" spans="2:19" x14ac:dyDescent="0.5">
      <c r="B425" s="2">
        <v>2014</v>
      </c>
      <c r="C425" s="2" t="s">
        <v>44</v>
      </c>
      <c r="D425" s="2" t="str">
        <f t="shared" si="12"/>
        <v>2014 Baltimore Orioles</v>
      </c>
      <c r="E425" s="60">
        <f>'Batting Data'!K425/'Batting Data'!J425</f>
        <v>0.16851322373123659</v>
      </c>
      <c r="F425" s="60">
        <f>'Batting Data'!L425/'Batting Data'!J425</f>
        <v>4.7176554681915651E-2</v>
      </c>
      <c r="G425" s="60">
        <f>'Batting Data'!M425/'Batting Data'!J425</f>
        <v>2.8591851322373124E-3</v>
      </c>
      <c r="H425" s="60">
        <f>'Batting Data'!N425/'Batting Data'!J425</f>
        <v>3.7705503931379558E-2</v>
      </c>
      <c r="I425" s="60">
        <f>'Batting Data'!O425/'Batting Data'!J425</f>
        <v>7.1658327376697639E-2</v>
      </c>
      <c r="J425" s="60">
        <f>'Batting Data'!P425/'Batting Data'!J425</f>
        <v>1.1079342387419585E-2</v>
      </c>
      <c r="K425" s="60">
        <f>'Batting Data'!Q425/'Batting Data'!J425</f>
        <v>0.66100786275911361</v>
      </c>
      <c r="L425" s="2" t="str">
        <f t="shared" si="13"/>
        <v>2014 Baltimore Orioles</v>
      </c>
      <c r="M425" s="58">
        <f>'Pitching Data'!Q425/'Pitching Data'!P425</f>
        <v>0.14793577981651376</v>
      </c>
      <c r="N425" s="58">
        <f>'Pitching Data'!R425/'Pitching Data'!P425</f>
        <v>4.3905635648754916E-2</v>
      </c>
      <c r="O425" s="58">
        <f>'Pitching Data'!S425/'Pitching Data'!P425</f>
        <v>3.27653997378768E-3</v>
      </c>
      <c r="P425" s="58">
        <f>'Pitching Data'!T425/'Pitching Data'!P425</f>
        <v>2.4737876802096985E-2</v>
      </c>
      <c r="Q425" s="58">
        <f>'Pitching Data'!U425/'Pitching Data'!P425</f>
        <v>7.7326343381389259E-2</v>
      </c>
      <c r="R425" s="58">
        <f>'Pitching Data'!V425/'Pitching Data'!P425</f>
        <v>9.6657929226736574E-3</v>
      </c>
      <c r="S425" s="58">
        <f>'Pitching Data'!W425/'Pitching Data'!P425</f>
        <v>0.69315203145478377</v>
      </c>
    </row>
    <row r="426" spans="2:19" x14ac:dyDescent="0.5">
      <c r="B426" s="2">
        <v>2014</v>
      </c>
      <c r="C426" s="2" t="s">
        <v>46</v>
      </c>
      <c r="D426" s="2" t="str">
        <f t="shared" si="12"/>
        <v>2014 Boston Red Sox</v>
      </c>
      <c r="E426" s="60">
        <f>'Batting Data'!K426/'Batting Data'!J426</f>
        <v>0.16753738065213475</v>
      </c>
      <c r="F426" s="60">
        <f>'Batting Data'!L426/'Batting Data'!J426</f>
        <v>5.0801657359034406E-2</v>
      </c>
      <c r="G426" s="60">
        <f>'Batting Data'!M426/'Batting Data'!J426</f>
        <v>3.6029544226265538E-3</v>
      </c>
      <c r="H426" s="60">
        <f>'Batting Data'!N426/'Batting Data'!J426</f>
        <v>2.2158169699153307E-2</v>
      </c>
      <c r="I426" s="60">
        <f>'Batting Data'!O426/'Batting Data'!J426</f>
        <v>9.6379030805260307E-2</v>
      </c>
      <c r="J426" s="60">
        <f>'Batting Data'!P426/'Batting Data'!J426</f>
        <v>1.2250045036930283E-2</v>
      </c>
      <c r="K426" s="60">
        <f>'Batting Data'!Q426/'Batting Data'!J426</f>
        <v>0.64727076202486034</v>
      </c>
      <c r="L426" s="2" t="str">
        <f t="shared" si="13"/>
        <v>2014 Boston Red Sox</v>
      </c>
      <c r="M426" s="58">
        <f>'Pitching Data'!Q426/'Pitching Data'!P426</f>
        <v>0.15342641630556894</v>
      </c>
      <c r="N426" s="58">
        <f>'Pitching Data'!R426/'Pitching Data'!P426</f>
        <v>5.0714171080083456E-2</v>
      </c>
      <c r="O426" s="58">
        <f>'Pitching Data'!S426/'Pitching Data'!P426</f>
        <v>5.1356122612742734E-3</v>
      </c>
      <c r="P426" s="58">
        <f>'Pitching Data'!T426/'Pitching Data'!P426</f>
        <v>2.4715134007382442E-2</v>
      </c>
      <c r="Q426" s="58">
        <f>'Pitching Data'!U426/'Pitching Data'!P426</f>
        <v>7.735515968544375E-2</v>
      </c>
      <c r="R426" s="58">
        <f>'Pitching Data'!V426/'Pitching Data'!P426</f>
        <v>7.5429305087465898E-3</v>
      </c>
      <c r="S426" s="58">
        <f>'Pitching Data'!W426/'Pitching Data'!P426</f>
        <v>0.68111057615150061</v>
      </c>
    </row>
    <row r="427" spans="2:19" x14ac:dyDescent="0.5">
      <c r="B427" s="2">
        <v>2014</v>
      </c>
      <c r="C427" s="2" t="s">
        <v>50</v>
      </c>
      <c r="D427" s="2" t="str">
        <f t="shared" si="12"/>
        <v>2014 Chicago Cubs</v>
      </c>
      <c r="E427" s="60">
        <f>'Batting Data'!K427/'Batting Data'!J427</f>
        <v>0.15559186637618011</v>
      </c>
      <c r="F427" s="60">
        <f>'Batting Data'!L427/'Batting Data'!J427</f>
        <v>4.9019607843137254E-2</v>
      </c>
      <c r="G427" s="60">
        <f>'Batting Data'!M427/'Batting Data'!J427</f>
        <v>5.6281771968046479E-3</v>
      </c>
      <c r="H427" s="60">
        <f>'Batting Data'!N427/'Batting Data'!J427</f>
        <v>2.8503994190268701E-2</v>
      </c>
      <c r="I427" s="60">
        <f>'Batting Data'!O427/'Batting Data'!J427</f>
        <v>8.0246913580246909E-2</v>
      </c>
      <c r="J427" s="60">
        <f>'Batting Data'!P427/'Batting Data'!J427</f>
        <v>9.8039215686274508E-3</v>
      </c>
      <c r="K427" s="60">
        <f>'Batting Data'!Q427/'Batting Data'!J427</f>
        <v>0.67120551924473493</v>
      </c>
      <c r="L427" s="2" t="str">
        <f t="shared" si="13"/>
        <v>2014 Chicago Cubs</v>
      </c>
      <c r="M427" s="58">
        <f>'Pitching Data'!Q427/'Pitching Data'!P427</f>
        <v>0.15512242268041238</v>
      </c>
      <c r="N427" s="58">
        <f>'Pitching Data'!R427/'Pitching Data'!P427</f>
        <v>4.7680412371134018E-2</v>
      </c>
      <c r="O427" s="58">
        <f>'Pitching Data'!S427/'Pitching Data'!P427</f>
        <v>3.8659793814432991E-3</v>
      </c>
      <c r="P427" s="58">
        <f>'Pitching Data'!T427/'Pitching Data'!P427</f>
        <v>1.8524484536082474E-2</v>
      </c>
      <c r="Q427" s="58">
        <f>'Pitching Data'!U427/'Pitching Data'!P427</f>
        <v>8.1185567010309281E-2</v>
      </c>
      <c r="R427" s="58">
        <f>'Pitching Data'!V427/'Pitching Data'!P427</f>
        <v>8.8595360824742266E-3</v>
      </c>
      <c r="S427" s="58">
        <f>'Pitching Data'!W427/'Pitching Data'!P427</f>
        <v>0.68476159793814428</v>
      </c>
    </row>
    <row r="428" spans="2:19" x14ac:dyDescent="0.5">
      <c r="B428" s="2">
        <v>2014</v>
      </c>
      <c r="C428" s="2" t="s">
        <v>48</v>
      </c>
      <c r="D428" s="2" t="str">
        <f t="shared" si="12"/>
        <v>2014 Chicago White Sox</v>
      </c>
      <c r="E428" s="60">
        <f>'Batting Data'!K428/'Batting Data'!J428</f>
        <v>0.16850081183474652</v>
      </c>
      <c r="F428" s="60">
        <f>'Batting Data'!L428/'Batting Data'!J428</f>
        <v>5.0333754284683382E-2</v>
      </c>
      <c r="G428" s="60">
        <f>'Batting Data'!M428/'Batting Data'!J428</f>
        <v>5.7730470864152984E-3</v>
      </c>
      <c r="H428" s="60">
        <f>'Batting Data'!N428/'Batting Data'!J428</f>
        <v>2.7963196824824104E-2</v>
      </c>
      <c r="I428" s="60">
        <f>'Batting Data'!O428/'Batting Data'!J428</f>
        <v>7.5230019844849366E-2</v>
      </c>
      <c r="J428" s="60">
        <f>'Batting Data'!P428/'Batting Data'!J428</f>
        <v>1.0824463287028685E-2</v>
      </c>
      <c r="K428" s="60">
        <f>'Batting Data'!Q428/'Batting Data'!J428</f>
        <v>0.6613747068374527</v>
      </c>
      <c r="L428" s="2" t="str">
        <f t="shared" si="13"/>
        <v>2014 Chicago White Sox</v>
      </c>
      <c r="M428" s="58">
        <f>'Pitching Data'!Q428/'Pitching Data'!P428</f>
        <v>0.16386890487609912</v>
      </c>
      <c r="N428" s="58">
        <f>'Pitching Data'!R428/'Pitching Data'!P428</f>
        <v>4.3485211830535574E-2</v>
      </c>
      <c r="O428" s="58">
        <f>'Pitching Data'!S428/'Pitching Data'!P428</f>
        <v>4.9560351718625096E-3</v>
      </c>
      <c r="P428" s="58">
        <f>'Pitching Data'!T428/'Pitching Data'!P428</f>
        <v>2.2382094324540368E-2</v>
      </c>
      <c r="Q428" s="58">
        <f>'Pitching Data'!U428/'Pitching Data'!P428</f>
        <v>8.9048760991207038E-2</v>
      </c>
      <c r="R428" s="58">
        <f>'Pitching Data'!V428/'Pitching Data'!P428</f>
        <v>1.1031175059952039E-2</v>
      </c>
      <c r="S428" s="58">
        <f>'Pitching Data'!W428/'Pitching Data'!P428</f>
        <v>0.66522781774580331</v>
      </c>
    </row>
    <row r="429" spans="2:19" x14ac:dyDescent="0.5">
      <c r="B429" s="2">
        <v>2014</v>
      </c>
      <c r="C429" s="2" t="s">
        <v>52</v>
      </c>
      <c r="D429" s="2" t="str">
        <f t="shared" si="12"/>
        <v>2014 Cincinnati Reds</v>
      </c>
      <c r="E429" s="60">
        <f>'Batting Data'!K429/'Batting Data'!J429</f>
        <v>0.16255792400370714</v>
      </c>
      <c r="F429" s="60">
        <f>'Batting Data'!L429/'Batting Data'!J429</f>
        <v>4.7080630213160335E-2</v>
      </c>
      <c r="G429" s="60">
        <f>'Batting Data'!M429/'Batting Data'!J429</f>
        <v>3.7071362372567192E-3</v>
      </c>
      <c r="H429" s="60">
        <f>'Batting Data'!N429/'Batting Data'!J429</f>
        <v>2.4281742354031511E-2</v>
      </c>
      <c r="I429" s="60">
        <f>'Batting Data'!O429/'Batting Data'!J429</f>
        <v>7.6923076923076927E-2</v>
      </c>
      <c r="J429" s="60">
        <f>'Batting Data'!P429/'Batting Data'!J429</f>
        <v>9.6385542168674707E-3</v>
      </c>
      <c r="K429" s="60">
        <f>'Batting Data'!Q429/'Batting Data'!J429</f>
        <v>0.6758109360518999</v>
      </c>
      <c r="L429" s="2" t="str">
        <f t="shared" si="13"/>
        <v>2014 Cincinnati Reds</v>
      </c>
      <c r="M429" s="58">
        <f>'Pitching Data'!Q429/'Pitching Data'!P429</f>
        <v>0.13861875721114225</v>
      </c>
      <c r="N429" s="58">
        <f>'Pitching Data'!R429/'Pitching Data'!P429</f>
        <v>4.2854788198450636E-2</v>
      </c>
      <c r="O429" s="58">
        <f>'Pitching Data'!S429/'Pitching Data'!P429</f>
        <v>2.9668699522004283E-3</v>
      </c>
      <c r="P429" s="58">
        <f>'Pitching Data'!T429/'Pitching Data'!P429</f>
        <v>2.6866655678259438E-2</v>
      </c>
      <c r="Q429" s="58">
        <f>'Pitching Data'!U429/'Pitching Data'!P429</f>
        <v>8.356683698697874E-2</v>
      </c>
      <c r="R429" s="58">
        <f>'Pitching Data'!V429/'Pitching Data'!P429</f>
        <v>1.1373001483434977E-2</v>
      </c>
      <c r="S429" s="58">
        <f>'Pitching Data'!W429/'Pitching Data'!P429</f>
        <v>0.6937530904895336</v>
      </c>
    </row>
    <row r="430" spans="2:19" x14ac:dyDescent="0.5">
      <c r="B430" s="2">
        <v>2014</v>
      </c>
      <c r="C430" s="2" t="s">
        <v>54</v>
      </c>
      <c r="D430" s="2" t="str">
        <f t="shared" si="12"/>
        <v>2014 Cleveland Indians</v>
      </c>
      <c r="E430" s="60">
        <f>'Batting Data'!K430/'Batting Data'!J430</f>
        <v>0.1725560538116592</v>
      </c>
      <c r="F430" s="60">
        <f>'Batting Data'!L430/'Batting Data'!J430</f>
        <v>5.094170403587444E-2</v>
      </c>
      <c r="G430" s="60">
        <f>'Batting Data'!M430/'Batting Data'!J430</f>
        <v>4.1255605381165916E-3</v>
      </c>
      <c r="H430" s="60">
        <f>'Batting Data'!N430/'Batting Data'!J430</f>
        <v>2.547085201793722E-2</v>
      </c>
      <c r="I430" s="60">
        <f>'Batting Data'!O430/'Batting Data'!J430</f>
        <v>9.0403587443946193E-2</v>
      </c>
      <c r="J430" s="60">
        <f>'Batting Data'!P430/'Batting Data'!J430</f>
        <v>7.5336322869955161E-3</v>
      </c>
      <c r="K430" s="60">
        <f>'Batting Data'!Q430/'Batting Data'!J430</f>
        <v>0.64896860986547089</v>
      </c>
      <c r="L430" s="2" t="str">
        <f t="shared" si="13"/>
        <v>2014 Cleveland Indians</v>
      </c>
      <c r="M430" s="58">
        <f>'Pitching Data'!Q430/'Pitching Data'!P430</f>
        <v>0.15194574519618925</v>
      </c>
      <c r="N430" s="58">
        <f>'Pitching Data'!R430/'Pitching Data'!P430</f>
        <v>4.6827062812853218E-2</v>
      </c>
      <c r="O430" s="58">
        <f>'Pitching Data'!S430/'Pitching Data'!P430</f>
        <v>5.1671241724527694E-3</v>
      </c>
      <c r="P430" s="58">
        <f>'Pitching Data'!T430/'Pitching Data'!P430</f>
        <v>2.179880510253512E-2</v>
      </c>
      <c r="Q430" s="58">
        <f>'Pitching Data'!U430/'Pitching Data'!P430</f>
        <v>7.4923300500565157E-2</v>
      </c>
      <c r="R430" s="58">
        <f>'Pitching Data'!V430/'Pitching Data'!P430</f>
        <v>9.3654125625706446E-3</v>
      </c>
      <c r="S430" s="58">
        <f>'Pitching Data'!W430/'Pitching Data'!P430</f>
        <v>0.68997254965283383</v>
      </c>
    </row>
    <row r="431" spans="2:19" x14ac:dyDescent="0.5">
      <c r="B431" s="2">
        <v>2014</v>
      </c>
      <c r="C431" s="2" t="s">
        <v>56</v>
      </c>
      <c r="D431" s="2" t="str">
        <f t="shared" si="12"/>
        <v>2014 Colorado Rockies</v>
      </c>
      <c r="E431" s="60">
        <f>'Batting Data'!K431/'Batting Data'!J431</f>
        <v>0.18121881682109764</v>
      </c>
      <c r="F431" s="60">
        <f>'Batting Data'!L431/'Batting Data'!J431</f>
        <v>5.4704205274411971E-2</v>
      </c>
      <c r="G431" s="60">
        <f>'Batting Data'!M431/'Batting Data'!J431</f>
        <v>7.3057733428367787E-3</v>
      </c>
      <c r="H431" s="60">
        <f>'Batting Data'!N431/'Batting Data'!J431</f>
        <v>3.3143264433357092E-2</v>
      </c>
      <c r="I431" s="60">
        <f>'Batting Data'!O431/'Batting Data'!J431</f>
        <v>7.0741268709907337E-2</v>
      </c>
      <c r="J431" s="60">
        <f>'Batting Data'!P431/'Batting Data'!J431</f>
        <v>8.5531004989308629E-3</v>
      </c>
      <c r="K431" s="60">
        <f>'Batting Data'!Q431/'Batting Data'!J431</f>
        <v>0.64433357091945831</v>
      </c>
      <c r="L431" s="2" t="str">
        <f t="shared" si="13"/>
        <v>2014 Colorado Rockies</v>
      </c>
      <c r="M431" s="58">
        <f>'Pitching Data'!Q431/'Pitching Data'!P431</f>
        <v>0.15877080665813059</v>
      </c>
      <c r="N431" s="58">
        <f>'Pitching Data'!R431/'Pitching Data'!P431</f>
        <v>5.1216389244558257E-2</v>
      </c>
      <c r="O431" s="58">
        <f>'Pitching Data'!S431/'Pitching Data'!P431</f>
        <v>6.8822023047375161E-3</v>
      </c>
      <c r="P431" s="58">
        <f>'Pitching Data'!T431/'Pitching Data'!P431</f>
        <v>2.7688860435339309E-2</v>
      </c>
      <c r="Q431" s="58">
        <f>'Pitching Data'!U431/'Pitching Data'!P431</f>
        <v>8.4987195902688856E-2</v>
      </c>
      <c r="R431" s="58">
        <f>'Pitching Data'!V431/'Pitching Data'!P431</f>
        <v>8.6427656850192065E-3</v>
      </c>
      <c r="S431" s="58">
        <f>'Pitching Data'!W431/'Pitching Data'!P431</f>
        <v>0.66181177976952621</v>
      </c>
    </row>
    <row r="432" spans="2:19" x14ac:dyDescent="0.5">
      <c r="B432" s="2">
        <v>2014</v>
      </c>
      <c r="C432" s="2" t="s">
        <v>58</v>
      </c>
      <c r="D432" s="2" t="str">
        <f t="shared" si="12"/>
        <v>2014 Detroit Tigers</v>
      </c>
      <c r="E432" s="60">
        <f>'Batting Data'!K432/'Batting Data'!J432</f>
        <v>0.1866785079928952</v>
      </c>
      <c r="F432" s="60">
        <f>'Batting Data'!L432/'Batting Data'!J432</f>
        <v>5.772646536412078E-2</v>
      </c>
      <c r="G432" s="60">
        <f>'Batting Data'!M432/'Batting Data'!J432</f>
        <v>4.6181172291296629E-3</v>
      </c>
      <c r="H432" s="60">
        <f>'Batting Data'!N432/'Batting Data'!J432</f>
        <v>2.7531083481349913E-2</v>
      </c>
      <c r="I432" s="60">
        <f>'Batting Data'!O432/'Batting Data'!J432</f>
        <v>7.8685612788632328E-2</v>
      </c>
      <c r="J432" s="60">
        <f>'Batting Data'!P432/'Batting Data'!J432</f>
        <v>7.8152753108348127E-3</v>
      </c>
      <c r="K432" s="60">
        <f>'Batting Data'!Q432/'Batting Data'!J432</f>
        <v>0.63694493783303729</v>
      </c>
      <c r="L432" s="2" t="str">
        <f t="shared" si="13"/>
        <v>2014 Detroit Tigers</v>
      </c>
      <c r="M432" s="58">
        <f>'Pitching Data'!Q432/'Pitching Data'!P432</f>
        <v>0.1599095461153287</v>
      </c>
      <c r="N432" s="58">
        <f>'Pitching Data'!R432/'Pitching Data'!P432</f>
        <v>5.1041834921660478E-2</v>
      </c>
      <c r="O432" s="58">
        <f>'Pitching Data'!S432/'Pitching Data'!P432</f>
        <v>6.7840413503472783E-3</v>
      </c>
      <c r="P432" s="58">
        <f>'Pitching Data'!T432/'Pitching Data'!P432</f>
        <v>2.0513648845097723E-2</v>
      </c>
      <c r="Q432" s="58">
        <f>'Pitching Data'!U432/'Pitching Data'!P432</f>
        <v>7.4624454853820063E-2</v>
      </c>
      <c r="R432" s="58">
        <f>'Pitching Data'!V432/'Pitching Data'!P432</f>
        <v>6.7840413503472783E-3</v>
      </c>
      <c r="S432" s="58">
        <f>'Pitching Data'!W432/'Pitching Data'!P432</f>
        <v>0.68034243256339844</v>
      </c>
    </row>
    <row r="433" spans="2:19" x14ac:dyDescent="0.5">
      <c r="B433" s="2">
        <v>2014</v>
      </c>
      <c r="C433" s="2" t="s">
        <v>60</v>
      </c>
      <c r="D433" s="2" t="str">
        <f t="shared" si="12"/>
        <v>2014 Florida Marlins</v>
      </c>
      <c r="E433" s="60">
        <f>'Batting Data'!K433/'Batting Data'!J433</f>
        <v>0.16431062970442445</v>
      </c>
      <c r="F433" s="60">
        <f>'Batting Data'!L433/'Batting Data'!J433</f>
        <v>4.4060950982192031E-2</v>
      </c>
      <c r="G433" s="60">
        <f>'Batting Data'!M433/'Batting Data'!J433</f>
        <v>3.4881586194235358E-3</v>
      </c>
      <c r="H433" s="60">
        <f>'Batting Data'!N433/'Batting Data'!J433</f>
        <v>2.9924729208738756E-2</v>
      </c>
      <c r="I433" s="60">
        <f>'Batting Data'!O433/'Batting Data'!J433</f>
        <v>9.0875711400771067E-2</v>
      </c>
      <c r="J433" s="60">
        <f>'Batting Data'!P433/'Batting Data'!J433</f>
        <v>1.009730126675234E-2</v>
      </c>
      <c r="K433" s="60">
        <f>'Batting Data'!Q433/'Batting Data'!J433</f>
        <v>0.6572425188176978</v>
      </c>
      <c r="L433" s="2" t="str">
        <f t="shared" si="13"/>
        <v>2014 Florida Marlins</v>
      </c>
      <c r="M433" s="58">
        <f>'Pitching Data'!Q433/'Pitching Data'!P433</f>
        <v>0.16152096197595059</v>
      </c>
      <c r="N433" s="58">
        <f>'Pitching Data'!R433/'Pitching Data'!P433</f>
        <v>4.452388690282743E-2</v>
      </c>
      <c r="O433" s="58">
        <f>'Pitching Data'!S433/'Pitching Data'!P433</f>
        <v>4.8748781280467989E-3</v>
      </c>
      <c r="P433" s="58">
        <f>'Pitching Data'!T433/'Pitching Data'!P433</f>
        <v>2.2586935326616833E-2</v>
      </c>
      <c r="Q433" s="58">
        <f>'Pitching Data'!U433/'Pitching Data'!P433</f>
        <v>7.8648033799155026E-2</v>
      </c>
      <c r="R433" s="58">
        <f>'Pitching Data'!V433/'Pitching Data'!P433</f>
        <v>8.4497887552811186E-3</v>
      </c>
      <c r="S433" s="58">
        <f>'Pitching Data'!W433/'Pitching Data'!P433</f>
        <v>0.67939551511212215</v>
      </c>
    </row>
    <row r="434" spans="2:19" x14ac:dyDescent="0.5">
      <c r="B434" s="2">
        <v>2014</v>
      </c>
      <c r="C434" s="2" t="s">
        <v>62</v>
      </c>
      <c r="D434" s="2" t="str">
        <f t="shared" si="12"/>
        <v>2014 Houston Astros</v>
      </c>
      <c r="E434" s="60">
        <f>'Batting Data'!K434/'Batting Data'!J434</f>
        <v>0.18863841298467088</v>
      </c>
      <c r="F434" s="60">
        <f>'Batting Data'!L434/'Batting Data'!J434</f>
        <v>5.1577998196573487E-2</v>
      </c>
      <c r="G434" s="60">
        <f>'Batting Data'!M434/'Batting Data'!J434</f>
        <v>5.2299368800721368E-3</v>
      </c>
      <c r="H434" s="60">
        <f>'Batting Data'!N434/'Batting Data'!J434</f>
        <v>1.7132551848512173E-2</v>
      </c>
      <c r="I434" s="60">
        <f>'Batting Data'!O434/'Batting Data'!J434</f>
        <v>6.8530207394048692E-2</v>
      </c>
      <c r="J434" s="60">
        <f>'Batting Data'!P434/'Batting Data'!J434</f>
        <v>9.5581605049594228E-3</v>
      </c>
      <c r="K434" s="60">
        <f>'Batting Data'!Q434/'Batting Data'!J434</f>
        <v>0.65933273219116317</v>
      </c>
      <c r="L434" s="2" t="str">
        <f t="shared" si="13"/>
        <v>2014 Houston Astros</v>
      </c>
      <c r="M434" s="58">
        <f>'Pitching Data'!Q434/'Pitching Data'!P434</f>
        <v>0.15948205212260286</v>
      </c>
      <c r="N434" s="58">
        <f>'Pitching Data'!R434/'Pitching Data'!P434</f>
        <v>4.1632519259137843E-2</v>
      </c>
      <c r="O434" s="58">
        <f>'Pitching Data'!S434/'Pitching Data'!P434</f>
        <v>5.0811342402884777E-3</v>
      </c>
      <c r="P434" s="58">
        <f>'Pitching Data'!T434/'Pitching Data'!P434</f>
        <v>2.098016718570726E-2</v>
      </c>
      <c r="Q434" s="58">
        <f>'Pitching Data'!U434/'Pitching Data'!P434</f>
        <v>7.2119324700868709E-2</v>
      </c>
      <c r="R434" s="58">
        <f>'Pitching Data'!V434/'Pitching Data'!P434</f>
        <v>9.1788231437469267E-3</v>
      </c>
      <c r="S434" s="58">
        <f>'Pitching Data'!W434/'Pitching Data'!P434</f>
        <v>0.69152597934764792</v>
      </c>
    </row>
    <row r="435" spans="2:19" x14ac:dyDescent="0.5">
      <c r="B435" s="2">
        <v>2014</v>
      </c>
      <c r="C435" s="2" t="s">
        <v>64</v>
      </c>
      <c r="D435" s="2" t="str">
        <f t="shared" si="12"/>
        <v>2014 Kansas City Royals</v>
      </c>
      <c r="E435" s="60">
        <f>'Batting Data'!K435/'Batting Data'!J435</f>
        <v>0.18021582733812949</v>
      </c>
      <c r="F435" s="60">
        <f>'Batting Data'!L435/'Batting Data'!J435</f>
        <v>5.4316546762589929E-2</v>
      </c>
      <c r="G435" s="60">
        <f>'Batting Data'!M435/'Batting Data'!J435</f>
        <v>6.8345323741007191E-3</v>
      </c>
      <c r="H435" s="60">
        <f>'Batting Data'!N435/'Batting Data'!J435</f>
        <v>2.4100719424460432E-2</v>
      </c>
      <c r="I435" s="60">
        <f>'Batting Data'!O435/'Batting Data'!J435</f>
        <v>9.3345323741007194E-2</v>
      </c>
      <c r="J435" s="60">
        <f>'Batting Data'!P435/'Batting Data'!J435</f>
        <v>1.0971223021582734E-2</v>
      </c>
      <c r="K435" s="60">
        <f>'Batting Data'!Q435/'Batting Data'!J435</f>
        <v>0.63021582733812953</v>
      </c>
      <c r="L435" s="2" t="str">
        <f t="shared" si="13"/>
        <v>2014 Kansas City Royals</v>
      </c>
      <c r="M435" s="58">
        <f>'Pitching Data'!Q435/'Pitching Data'!P435</f>
        <v>0.14979423868312758</v>
      </c>
      <c r="N435" s="58">
        <f>'Pitching Data'!R435/'Pitching Data'!P435</f>
        <v>4.3127572016460905E-2</v>
      </c>
      <c r="O435" s="58">
        <f>'Pitching Data'!S435/'Pitching Data'!P435</f>
        <v>3.9506172839506174E-3</v>
      </c>
      <c r="P435" s="58">
        <f>'Pitching Data'!T435/'Pitching Data'!P435</f>
        <v>2.3374485596707819E-2</v>
      </c>
      <c r="Q435" s="58">
        <f>'Pitching Data'!U435/'Pitching Data'!P435</f>
        <v>7.0617283950617282E-2</v>
      </c>
      <c r="R435" s="58">
        <f>'Pitching Data'!V435/'Pitching Data'!P435</f>
        <v>6.748971193415638E-3</v>
      </c>
      <c r="S435" s="58">
        <f>'Pitching Data'!W435/'Pitching Data'!P435</f>
        <v>0.70238683127572021</v>
      </c>
    </row>
    <row r="436" spans="2:19" x14ac:dyDescent="0.5">
      <c r="B436" s="2">
        <v>2014</v>
      </c>
      <c r="C436" s="2" t="s">
        <v>66</v>
      </c>
      <c r="D436" s="2" t="str">
        <f t="shared" si="12"/>
        <v>2014 Los Angeles Dodgers</v>
      </c>
      <c r="E436" s="60">
        <f>'Batting Data'!K436/'Batting Data'!J436</f>
        <v>0.17822318526543879</v>
      </c>
      <c r="F436" s="60">
        <f>'Batting Data'!L436/'Batting Data'!J436</f>
        <v>4.5864933188876848E-2</v>
      </c>
      <c r="G436" s="60">
        <f>'Batting Data'!M436/'Batting Data'!J436</f>
        <v>6.5005417118093175E-3</v>
      </c>
      <c r="H436" s="60">
        <f>'Batting Data'!N436/'Batting Data'!J436</f>
        <v>2.2029613578909354E-2</v>
      </c>
      <c r="I436" s="60">
        <f>'Batting Data'!O436/'Batting Data'!J436</f>
        <v>9.0465872156012997E-2</v>
      </c>
      <c r="J436" s="60">
        <f>'Batting Data'!P436/'Batting Data'!J436</f>
        <v>6.3199711087035034E-3</v>
      </c>
      <c r="K436" s="60">
        <f>'Batting Data'!Q436/'Batting Data'!J436</f>
        <v>0.65059588299024917</v>
      </c>
      <c r="L436" s="2" t="str">
        <f t="shared" si="13"/>
        <v>2014 Los Angeles Dodgers</v>
      </c>
      <c r="M436" s="58">
        <f>'Pitching Data'!Q436/'Pitching Data'!P436</f>
        <v>0.16792665272639537</v>
      </c>
      <c r="N436" s="58">
        <f>'Pitching Data'!R436/'Pitching Data'!P436</f>
        <v>4.552034743445392E-2</v>
      </c>
      <c r="O436" s="58">
        <f>'Pitching Data'!S436/'Pitching Data'!P436</f>
        <v>6.4339713688274089E-3</v>
      </c>
      <c r="P436" s="58">
        <f>'Pitching Data'!T436/'Pitching Data'!P436</f>
        <v>1.8336818401158115E-2</v>
      </c>
      <c r="Q436" s="58">
        <f>'Pitching Data'!U436/'Pitching Data'!P436</f>
        <v>7.3668972173073832E-2</v>
      </c>
      <c r="R436" s="58">
        <f>'Pitching Data'!V436/'Pitching Data'!P436</f>
        <v>7.8816149268135759E-3</v>
      </c>
      <c r="S436" s="58">
        <f>'Pitching Data'!W436/'Pitching Data'!P436</f>
        <v>0.68023162296927775</v>
      </c>
    </row>
    <row r="437" spans="2:19" x14ac:dyDescent="0.5">
      <c r="B437" s="2">
        <v>2014</v>
      </c>
      <c r="C437" s="2" t="s">
        <v>68</v>
      </c>
      <c r="D437" s="2" t="str">
        <f t="shared" si="12"/>
        <v>2014 Milwaukee Brewers</v>
      </c>
      <c r="E437" s="60">
        <f>'Batting Data'!K437/'Batting Data'!J437</f>
        <v>0.16312705968509703</v>
      </c>
      <c r="F437" s="60">
        <f>'Batting Data'!L437/'Batting Data'!J437</f>
        <v>5.4375686561699013E-2</v>
      </c>
      <c r="G437" s="60">
        <f>'Batting Data'!M437/'Batting Data'!J437</f>
        <v>5.1263273526180883E-3</v>
      </c>
      <c r="H437" s="60">
        <f>'Batting Data'!N437/'Batting Data'!J437</f>
        <v>2.7462467960454047E-2</v>
      </c>
      <c r="I437" s="60">
        <f>'Batting Data'!O437/'Batting Data'!J437</f>
        <v>7.7444159648480407E-2</v>
      </c>
      <c r="J437" s="60">
        <f>'Batting Data'!P437/'Batting Data'!J437</f>
        <v>1.3365067740754303E-2</v>
      </c>
      <c r="K437" s="60">
        <f>'Batting Data'!Q437/'Batting Data'!J437</f>
        <v>0.65909923105089707</v>
      </c>
      <c r="L437" s="2" t="str">
        <f t="shared" si="13"/>
        <v>2014 Milwaukee Brewers</v>
      </c>
      <c r="M437" s="58">
        <f>'Pitching Data'!Q437/'Pitching Data'!P437</f>
        <v>0.15525712414018997</v>
      </c>
      <c r="N437" s="58">
        <f>'Pitching Data'!R437/'Pitching Data'!P437</f>
        <v>4.0779561087454966E-2</v>
      </c>
      <c r="O437" s="58">
        <f>'Pitching Data'!S437/'Pitching Data'!P437</f>
        <v>3.6030134294136916E-3</v>
      </c>
      <c r="P437" s="58">
        <f>'Pitching Data'!T437/'Pitching Data'!P437</f>
        <v>2.7350147396003929E-2</v>
      </c>
      <c r="Q437" s="58">
        <f>'Pitching Data'!U437/'Pitching Data'!P437</f>
        <v>7.0586308548968232E-2</v>
      </c>
      <c r="R437" s="58">
        <f>'Pitching Data'!V437/'Pitching Data'!P437</f>
        <v>6.8784801834261382E-3</v>
      </c>
      <c r="S437" s="58">
        <f>'Pitching Data'!W437/'Pitching Data'!P437</f>
        <v>0.69554536521454302</v>
      </c>
    </row>
    <row r="438" spans="2:19" x14ac:dyDescent="0.5">
      <c r="B438" s="2">
        <v>2014</v>
      </c>
      <c r="C438" s="2" t="s">
        <v>70</v>
      </c>
      <c r="D438" s="2" t="str">
        <f t="shared" si="12"/>
        <v>2014 Minnesota Twins</v>
      </c>
      <c r="E438" s="60">
        <f>'Batting Data'!K438/'Batting Data'!J438</f>
        <v>0.16903179450332315</v>
      </c>
      <c r="F438" s="60">
        <f>'Batting Data'!L438/'Batting Data'!J438</f>
        <v>5.6763068079755702E-2</v>
      </c>
      <c r="G438" s="60">
        <f>'Batting Data'!M438/'Batting Data'!J438</f>
        <v>4.850008981498114E-3</v>
      </c>
      <c r="H438" s="60">
        <f>'Batting Data'!N438/'Batting Data'!J438</f>
        <v>2.2992635171546615E-2</v>
      </c>
      <c r="I438" s="60">
        <f>'Batting Data'!O438/'Batting Data'!J438</f>
        <v>9.7718699479073107E-2</v>
      </c>
      <c r="J438" s="60">
        <f>'Batting Data'!P438/'Batting Data'!J438</f>
        <v>9.5203880007185201E-3</v>
      </c>
      <c r="K438" s="60">
        <f>'Batting Data'!Q438/'Batting Data'!J438</f>
        <v>0.63912340578408477</v>
      </c>
      <c r="L438" s="2" t="str">
        <f t="shared" si="13"/>
        <v>2014 Minnesota Twins</v>
      </c>
      <c r="M438" s="58">
        <f>'Pitching Data'!Q438/'Pitching Data'!P438</f>
        <v>0.17450096587250483</v>
      </c>
      <c r="N438" s="58">
        <f>'Pitching Data'!R438/'Pitching Data'!P438</f>
        <v>5.1352221506761109E-2</v>
      </c>
      <c r="O438" s="58">
        <f>'Pitching Data'!S438/'Pitching Data'!P438</f>
        <v>6.1171925305859628E-3</v>
      </c>
      <c r="P438" s="58">
        <f>'Pitching Data'!T438/'Pitching Data'!P438</f>
        <v>2.3663876368319382E-2</v>
      </c>
      <c r="Q438" s="58">
        <f>'Pitching Data'!U438/'Pitching Data'!P438</f>
        <v>6.5679330328396651E-2</v>
      </c>
      <c r="R438" s="58">
        <f>'Pitching Data'!V438/'Pitching Data'!P438</f>
        <v>7.2440437862202186E-3</v>
      </c>
      <c r="S438" s="58">
        <f>'Pitching Data'!W438/'Pitching Data'!P438</f>
        <v>0.67144236960721182</v>
      </c>
    </row>
    <row r="439" spans="2:19" x14ac:dyDescent="0.5">
      <c r="B439" s="2">
        <v>2014</v>
      </c>
      <c r="C439" s="2" t="s">
        <v>76</v>
      </c>
      <c r="D439" s="2" t="str">
        <f t="shared" si="12"/>
        <v>2014 New York Mets</v>
      </c>
      <c r="E439" s="60">
        <f>'Batting Data'!K439/'Batting Data'!J439</f>
        <v>0.16209795321637427</v>
      </c>
      <c r="F439" s="60">
        <f>'Batting Data'!L439/'Batting Data'!J439</f>
        <v>5.0255847953216373E-2</v>
      </c>
      <c r="G439" s="60">
        <f>'Batting Data'!M439/'Batting Data'!J439</f>
        <v>3.472222222222222E-3</v>
      </c>
      <c r="H439" s="60">
        <f>'Batting Data'!N439/'Batting Data'!J439</f>
        <v>2.2843567251461989E-2</v>
      </c>
      <c r="I439" s="60">
        <f>'Batting Data'!O439/'Batting Data'!J439</f>
        <v>9.4298245614035089E-2</v>
      </c>
      <c r="J439" s="60">
        <f>'Batting Data'!P439/'Batting Data'!J439</f>
        <v>9.8684210526315784E-3</v>
      </c>
      <c r="K439" s="60">
        <f>'Batting Data'!Q439/'Batting Data'!J439</f>
        <v>0.65716374269005851</v>
      </c>
      <c r="L439" s="2" t="str">
        <f t="shared" si="13"/>
        <v>2014 New York Mets</v>
      </c>
      <c r="M439" s="58">
        <f>'Pitching Data'!Q439/'Pitching Data'!P439</f>
        <v>0.15186385737439223</v>
      </c>
      <c r="N439" s="58">
        <f>'Pitching Data'!R439/'Pitching Data'!P439</f>
        <v>4.2301458670988654E-2</v>
      </c>
      <c r="O439" s="58">
        <f>'Pitching Data'!S439/'Pitching Data'!P439</f>
        <v>5.0243111831442464E-3</v>
      </c>
      <c r="P439" s="58">
        <f>'Pitching Data'!T439/'Pitching Data'!P439</f>
        <v>2.2852512155591573E-2</v>
      </c>
      <c r="Q439" s="58">
        <f>'Pitching Data'!U439/'Pitching Data'!P439</f>
        <v>8.2495948136142624E-2</v>
      </c>
      <c r="R439" s="58">
        <f>'Pitching Data'!V439/'Pitching Data'!P439</f>
        <v>8.1037277147487843E-3</v>
      </c>
      <c r="S439" s="58">
        <f>'Pitching Data'!W439/'Pitching Data'!P439</f>
        <v>0.68735818476499189</v>
      </c>
    </row>
    <row r="440" spans="2:19" x14ac:dyDescent="0.5">
      <c r="B440" s="2">
        <v>2014</v>
      </c>
      <c r="C440" s="2" t="s">
        <v>74</v>
      </c>
      <c r="D440" s="2" t="str">
        <f t="shared" si="12"/>
        <v>2014 New York Yankees</v>
      </c>
      <c r="E440" s="60">
        <f>'Batting Data'!K440/'Batting Data'!J440</f>
        <v>0.16900127342186647</v>
      </c>
      <c r="F440" s="60">
        <f>'Batting Data'!L440/'Batting Data'!J440</f>
        <v>4.4933600145533929E-2</v>
      </c>
      <c r="G440" s="60">
        <f>'Batting Data'!M440/'Batting Data'!J440</f>
        <v>4.729852646898308E-3</v>
      </c>
      <c r="H440" s="60">
        <f>'Batting Data'!N440/'Batting Data'!J440</f>
        <v>2.674185919592505E-2</v>
      </c>
      <c r="I440" s="60">
        <f>'Batting Data'!O440/'Batting Data'!J440</f>
        <v>8.2226669092232127E-2</v>
      </c>
      <c r="J440" s="60">
        <f>'Batting Data'!P440/'Batting Data'!J440</f>
        <v>1.0187374931780971E-2</v>
      </c>
      <c r="K440" s="60">
        <f>'Batting Data'!Q440/'Batting Data'!J440</f>
        <v>0.66217937056576315</v>
      </c>
      <c r="L440" s="2" t="str">
        <f t="shared" si="13"/>
        <v>2014 New York Yankees</v>
      </c>
      <c r="M440" s="58">
        <f>'Pitching Data'!Q440/'Pitching Data'!P440</f>
        <v>0.15390906117108277</v>
      </c>
      <c r="N440" s="58">
        <f>'Pitching Data'!R440/'Pitching Data'!P440</f>
        <v>4.2198233562315994E-2</v>
      </c>
      <c r="O440" s="58">
        <f>'Pitching Data'!S440/'Pitching Data'!P440</f>
        <v>4.7432122996401704E-3</v>
      </c>
      <c r="P440" s="58">
        <f>'Pitching Data'!T440/'Pitching Data'!P440</f>
        <v>2.6823683349689237E-2</v>
      </c>
      <c r="Q440" s="58">
        <f>'Pitching Data'!U440/'Pitching Data'!P440</f>
        <v>6.509649983644096E-2</v>
      </c>
      <c r="R440" s="58">
        <f>'Pitching Data'!V440/'Pitching Data'!P440</f>
        <v>1.0631337912986588E-2</v>
      </c>
      <c r="S440" s="58">
        <f>'Pitching Data'!W440/'Pitching Data'!P440</f>
        <v>0.69659797186784433</v>
      </c>
    </row>
    <row r="441" spans="2:19" x14ac:dyDescent="0.5">
      <c r="B441" s="2">
        <v>2014</v>
      </c>
      <c r="C441" s="2" t="s">
        <v>78</v>
      </c>
      <c r="D441" s="2" t="str">
        <f t="shared" si="12"/>
        <v>2014 Oakland Athletics</v>
      </c>
      <c r="E441" s="60">
        <f>'Batting Data'!K441/'Batting Data'!J441</f>
        <v>0.16627592425608656</v>
      </c>
      <c r="F441" s="60">
        <f>'Batting Data'!L441/'Batting Data'!J441</f>
        <v>4.5626690712353472E-2</v>
      </c>
      <c r="G441" s="60">
        <f>'Batting Data'!M441/'Batting Data'!J441</f>
        <v>5.9513074842200177E-3</v>
      </c>
      <c r="H441" s="60">
        <f>'Batting Data'!N441/'Batting Data'!J441</f>
        <v>2.6330027051397656E-2</v>
      </c>
      <c r="I441" s="60">
        <f>'Batting Data'!O441/'Batting Data'!J441</f>
        <v>0.10568079350766456</v>
      </c>
      <c r="J441" s="60">
        <f>'Batting Data'!P441/'Batting Data'!J441</f>
        <v>8.8367899008115411E-3</v>
      </c>
      <c r="K441" s="60">
        <f>'Batting Data'!Q441/'Batting Data'!J441</f>
        <v>0.64129846708746618</v>
      </c>
      <c r="L441" s="2" t="str">
        <f t="shared" si="13"/>
        <v>2014 Oakland Athletics</v>
      </c>
      <c r="M441" s="58">
        <f>'Pitching Data'!Q441/'Pitching Data'!P441</f>
        <v>0.15087073007367716</v>
      </c>
      <c r="N441" s="58">
        <f>'Pitching Data'!R441/'Pitching Data'!P441</f>
        <v>3.5164099129269925E-2</v>
      </c>
      <c r="O441" s="58">
        <f>'Pitching Data'!S441/'Pitching Data'!P441</f>
        <v>1.841929002009377E-3</v>
      </c>
      <c r="P441" s="58">
        <f>'Pitching Data'!T441/'Pitching Data'!P441</f>
        <v>2.4614869390488948E-2</v>
      </c>
      <c r="Q441" s="58">
        <f>'Pitching Data'!U441/'Pitching Data'!P441</f>
        <v>6.7983924983255187E-2</v>
      </c>
      <c r="R441" s="58">
        <f>'Pitching Data'!V441/'Pitching Data'!P441</f>
        <v>8.0375083724045539E-3</v>
      </c>
      <c r="S441" s="58">
        <f>'Pitching Data'!W441/'Pitching Data'!P441</f>
        <v>0.71148693904889482</v>
      </c>
    </row>
    <row r="442" spans="2:19" x14ac:dyDescent="0.5">
      <c r="B442" s="2">
        <v>2014</v>
      </c>
      <c r="C442" s="2" t="s">
        <v>80</v>
      </c>
      <c r="D442" s="2" t="str">
        <f t="shared" si="12"/>
        <v>2014 Philadelphia Phillies</v>
      </c>
      <c r="E442" s="60">
        <f>'Batting Data'!K442/'Batting Data'!J442</f>
        <v>0.17008745315009816</v>
      </c>
      <c r="F442" s="60">
        <f>'Batting Data'!L442/'Batting Data'!J442</f>
        <v>4.4797429948242012E-2</v>
      </c>
      <c r="G442" s="60">
        <f>'Batting Data'!M442/'Batting Data'!J442</f>
        <v>4.8188470462252365E-3</v>
      </c>
      <c r="H442" s="60">
        <f>'Batting Data'!N442/'Batting Data'!J442</f>
        <v>2.2309477065857578E-2</v>
      </c>
      <c r="I442" s="60">
        <f>'Batting Data'!O442/'Batting Data'!J442</f>
        <v>7.9064786721399244E-2</v>
      </c>
      <c r="J442" s="60">
        <f>'Batting Data'!P442/'Batting Data'!J442</f>
        <v>9.816169908977334E-3</v>
      </c>
      <c r="K442" s="60">
        <f>'Batting Data'!Q442/'Batting Data'!J442</f>
        <v>0.66910583615920038</v>
      </c>
      <c r="L442" s="2" t="str">
        <f t="shared" si="13"/>
        <v>2014 Philadelphia Phillies</v>
      </c>
      <c r="M442" s="58">
        <f>'Pitching Data'!Q442/'Pitching Data'!P442</f>
        <v>0.15109407442900494</v>
      </c>
      <c r="N442" s="58">
        <f>'Pitching Data'!R442/'Pitching Data'!P442</f>
        <v>4.5360166107650535E-2</v>
      </c>
      <c r="O442" s="58">
        <f>'Pitching Data'!S442/'Pitching Data'!P442</f>
        <v>5.1110046318479478E-3</v>
      </c>
      <c r="P442" s="58">
        <f>'Pitching Data'!T442/'Pitching Data'!P442</f>
        <v>2.140233189586328E-2</v>
      </c>
      <c r="Q442" s="58">
        <f>'Pitching Data'!U442/'Pitching Data'!P442</f>
        <v>8.3213544162274403E-2</v>
      </c>
      <c r="R442" s="58">
        <f>'Pitching Data'!V442/'Pitching Data'!P442</f>
        <v>1.1020603737422138E-2</v>
      </c>
      <c r="S442" s="58">
        <f>'Pitching Data'!W442/'Pitching Data'!P442</f>
        <v>0.68279827503593671</v>
      </c>
    </row>
    <row r="443" spans="2:19" x14ac:dyDescent="0.5">
      <c r="B443" s="2">
        <v>2014</v>
      </c>
      <c r="C443" s="2" t="s">
        <v>82</v>
      </c>
      <c r="D443" s="2" t="str">
        <f t="shared" si="12"/>
        <v>2014 Pittsburgh Pirates</v>
      </c>
      <c r="E443" s="60">
        <f>'Batting Data'!K443/'Batting Data'!J443</f>
        <v>0.17611994219653179</v>
      </c>
      <c r="F443" s="60">
        <f>'Batting Data'!L443/'Batting Data'!J443</f>
        <v>4.9674855491329481E-2</v>
      </c>
      <c r="G443" s="60">
        <f>'Batting Data'!M443/'Batting Data'!J443</f>
        <v>5.4190751445086704E-3</v>
      </c>
      <c r="H443" s="60">
        <f>'Batting Data'!N443/'Batting Data'!J443</f>
        <v>2.8179190751445087E-2</v>
      </c>
      <c r="I443" s="60">
        <f>'Batting Data'!O443/'Batting Data'!J443</f>
        <v>9.3930635838150284E-2</v>
      </c>
      <c r="J443" s="60">
        <f>'Batting Data'!P443/'Batting Data'!J443</f>
        <v>1.4089595375722543E-2</v>
      </c>
      <c r="K443" s="60">
        <f>'Batting Data'!Q443/'Batting Data'!J443</f>
        <v>0.63258670520231219</v>
      </c>
      <c r="L443" s="2" t="str">
        <f t="shared" si="13"/>
        <v>2014 Pittsburgh Pirates</v>
      </c>
      <c r="M443" s="58">
        <f>'Pitching Data'!Q443/'Pitching Data'!P443</f>
        <v>0.15530179445350734</v>
      </c>
      <c r="N443" s="58">
        <f>'Pitching Data'!R443/'Pitching Data'!P443</f>
        <v>3.8336052202283852E-2</v>
      </c>
      <c r="O443" s="58">
        <f>'Pitching Data'!S443/'Pitching Data'!P443</f>
        <v>4.2414355628058731E-3</v>
      </c>
      <c r="P443" s="58">
        <f>'Pitching Data'!T443/'Pitching Data'!P443</f>
        <v>2.0880913539967374E-2</v>
      </c>
      <c r="Q443" s="58">
        <f>'Pitching Data'!U443/'Pitching Data'!P443</f>
        <v>8.1402936378466559E-2</v>
      </c>
      <c r="R443" s="58">
        <f>'Pitching Data'!V443/'Pitching Data'!P443</f>
        <v>1.435562805872757E-2</v>
      </c>
      <c r="S443" s="58">
        <f>'Pitching Data'!W443/'Pitching Data'!P443</f>
        <v>0.68548123980424147</v>
      </c>
    </row>
    <row r="444" spans="2:19" x14ac:dyDescent="0.5">
      <c r="B444" s="2">
        <v>2014</v>
      </c>
      <c r="C444" s="2" t="s">
        <v>84</v>
      </c>
      <c r="D444" s="2" t="str">
        <f t="shared" si="12"/>
        <v>2014 San Diego Padres</v>
      </c>
      <c r="E444" s="60">
        <f>'Batting Data'!K444/'Batting Data'!J444</f>
        <v>0.15791462032489612</v>
      </c>
      <c r="F444" s="60">
        <f>'Batting Data'!L444/'Batting Data'!J444</f>
        <v>4.2312051378919531E-2</v>
      </c>
      <c r="G444" s="60">
        <f>'Batting Data'!M444/'Batting Data'!J444</f>
        <v>5.6667925953910086E-3</v>
      </c>
      <c r="H444" s="60">
        <f>'Batting Data'!N444/'Batting Data'!J444</f>
        <v>2.0589346429920666E-2</v>
      </c>
      <c r="I444" s="60">
        <f>'Batting Data'!O444/'Batting Data'!J444</f>
        <v>8.8401964488099741E-2</v>
      </c>
      <c r="J444" s="60">
        <f>'Batting Data'!P444/'Batting Data'!J444</f>
        <v>7.7446165470343789E-3</v>
      </c>
      <c r="K444" s="60">
        <f>'Batting Data'!Q444/'Batting Data'!J444</f>
        <v>0.67737060823573858</v>
      </c>
      <c r="L444" s="2" t="str">
        <f t="shared" si="13"/>
        <v>2014 San Diego Padres</v>
      </c>
      <c r="M444" s="58">
        <f>'Pitching Data'!Q444/'Pitching Data'!P444</f>
        <v>0.15051615051615053</v>
      </c>
      <c r="N444" s="58">
        <f>'Pitching Data'!R444/'Pitching Data'!P444</f>
        <v>4.295704295704296E-2</v>
      </c>
      <c r="O444" s="58">
        <f>'Pitching Data'!S444/'Pitching Data'!P444</f>
        <v>3.4965034965034965E-3</v>
      </c>
      <c r="P444" s="58">
        <f>'Pitching Data'!T444/'Pitching Data'!P444</f>
        <v>1.948051948051948E-2</v>
      </c>
      <c r="Q444" s="58">
        <f>'Pitching Data'!U444/'Pitching Data'!P444</f>
        <v>7.6923076923076927E-2</v>
      </c>
      <c r="R444" s="58">
        <f>'Pitching Data'!V444/'Pitching Data'!P444</f>
        <v>7.659007659007659E-3</v>
      </c>
      <c r="S444" s="58">
        <f>'Pitching Data'!W444/'Pitching Data'!P444</f>
        <v>0.69896769896769895</v>
      </c>
    </row>
    <row r="445" spans="2:19" x14ac:dyDescent="0.5">
      <c r="B445" s="2">
        <v>2014</v>
      </c>
      <c r="C445" s="2" t="s">
        <v>86</v>
      </c>
      <c r="D445" s="2" t="str">
        <f t="shared" si="12"/>
        <v>2014 Seattle Mariners</v>
      </c>
      <c r="E445" s="60">
        <f>'Batting Data'!K445/'Batting Data'!J445</f>
        <v>0.1675229357798165</v>
      </c>
      <c r="F445" s="60">
        <f>'Batting Data'!L445/'Batting Data'!J445</f>
        <v>4.532110091743119E-2</v>
      </c>
      <c r="G445" s="60">
        <f>'Batting Data'!M445/'Batting Data'!J445</f>
        <v>5.8715596330275229E-3</v>
      </c>
      <c r="H445" s="60">
        <f>'Batting Data'!N445/'Batting Data'!J445</f>
        <v>2.4954128440366971E-2</v>
      </c>
      <c r="I445" s="60">
        <f>'Batting Data'!O445/'Batting Data'!J445</f>
        <v>7.2660550458715598E-2</v>
      </c>
      <c r="J445" s="60">
        <f>'Batting Data'!P445/'Batting Data'!J445</f>
        <v>1.1009174311926606E-2</v>
      </c>
      <c r="K445" s="60">
        <f>'Batting Data'!Q445/'Batting Data'!J445</f>
        <v>0.67266055045871564</v>
      </c>
      <c r="L445" s="2" t="str">
        <f t="shared" si="13"/>
        <v>2014 Seattle Mariners</v>
      </c>
      <c r="M445" s="58">
        <f>'Pitching Data'!Q445/'Pitching Data'!P445</f>
        <v>0.14312018747907598</v>
      </c>
      <c r="N445" s="58">
        <f>'Pitching Data'!R445/'Pitching Data'!P445</f>
        <v>3.7997991295614326E-2</v>
      </c>
      <c r="O445" s="58">
        <f>'Pitching Data'!S445/'Pitching Data'!P445</f>
        <v>3.5152326749246735E-3</v>
      </c>
      <c r="P445" s="58">
        <f>'Pitching Data'!T445/'Pitching Data'!P445</f>
        <v>2.2932708403080013E-2</v>
      </c>
      <c r="Q445" s="58">
        <f>'Pitching Data'!U445/'Pitching Data'!P445</f>
        <v>7.7502510880482087E-2</v>
      </c>
      <c r="R445" s="58">
        <f>'Pitching Data'!V445/'Pitching Data'!P445</f>
        <v>8.7043856712420483E-3</v>
      </c>
      <c r="S445" s="58">
        <f>'Pitching Data'!W445/'Pitching Data'!P445</f>
        <v>0.70622698359558089</v>
      </c>
    </row>
    <row r="446" spans="2:19" x14ac:dyDescent="0.5">
      <c r="B446" s="2">
        <v>2014</v>
      </c>
      <c r="C446" s="2" t="s">
        <v>88</v>
      </c>
      <c r="D446" s="2" t="str">
        <f t="shared" si="12"/>
        <v>2014 San Francisco Giants</v>
      </c>
      <c r="E446" s="60">
        <f>'Batting Data'!K446/'Batting Data'!J446</f>
        <v>0.17671555314140866</v>
      </c>
      <c r="F446" s="60">
        <f>'Batting Data'!L446/'Batting Data'!J446</f>
        <v>4.6532681513670106E-2</v>
      </c>
      <c r="G446" s="60">
        <f>'Batting Data'!M446/'Batting Data'!J446</f>
        <v>7.6045627376425855E-3</v>
      </c>
      <c r="H446" s="60">
        <f>'Batting Data'!N446/'Batting Data'!J446</f>
        <v>2.3900054318305268E-2</v>
      </c>
      <c r="I446" s="60">
        <f>'Batting Data'!O446/'Batting Data'!J446</f>
        <v>7.731305449936629E-2</v>
      </c>
      <c r="J446" s="60">
        <f>'Batting Data'!P446/'Batting Data'!J446</f>
        <v>7.7856237552055042E-3</v>
      </c>
      <c r="K446" s="60">
        <f>'Batting Data'!Q446/'Batting Data'!J446</f>
        <v>0.66014847003440158</v>
      </c>
      <c r="L446" s="2" t="str">
        <f t="shared" si="13"/>
        <v>2014 San Francisco Giants</v>
      </c>
      <c r="M446" s="58">
        <f>'Pitching Data'!Q446/'Pitching Data'!P446</f>
        <v>0.14427442407936775</v>
      </c>
      <c r="N446" s="58">
        <f>'Pitching Data'!R446/'Pitching Data'!P446</f>
        <v>4.472843450479233E-2</v>
      </c>
      <c r="O446" s="58">
        <f>'Pitching Data'!S446/'Pitching Data'!P446</f>
        <v>8.0712964519926017E-3</v>
      </c>
      <c r="P446" s="58">
        <f>'Pitching Data'!T446/'Pitching Data'!P446</f>
        <v>2.2364217252396165E-2</v>
      </c>
      <c r="Q446" s="58">
        <f>'Pitching Data'!U446/'Pitching Data'!P446</f>
        <v>6.541113166302337E-2</v>
      </c>
      <c r="R446" s="58">
        <f>'Pitching Data'!V446/'Pitching Data'!P446</f>
        <v>9.5846645367412137E-3</v>
      </c>
      <c r="S446" s="58">
        <f>'Pitching Data'!W446/'Pitching Data'!P446</f>
        <v>0.70556583151168661</v>
      </c>
    </row>
    <row r="447" spans="2:19" x14ac:dyDescent="0.5">
      <c r="B447" s="2">
        <v>2014</v>
      </c>
      <c r="C447" s="2" t="s">
        <v>90</v>
      </c>
      <c r="D447" s="2" t="str">
        <f t="shared" si="12"/>
        <v>2014 St. Louis Cardinals</v>
      </c>
      <c r="E447" s="60">
        <f>'Batting Data'!K447/'Batting Data'!J447</f>
        <v>0.17876889052709177</v>
      </c>
      <c r="F447" s="60">
        <f>'Batting Data'!L447/'Batting Data'!J447</f>
        <v>5.068190195355695E-2</v>
      </c>
      <c r="G447" s="60">
        <f>'Batting Data'!M447/'Batting Data'!J447</f>
        <v>3.8702543309988941E-3</v>
      </c>
      <c r="H447" s="60">
        <f>'Batting Data'!N447/'Batting Data'!J447</f>
        <v>1.9351271654994472E-2</v>
      </c>
      <c r="I447" s="60">
        <f>'Batting Data'!O447/'Batting Data'!J447</f>
        <v>8.680427570954663E-2</v>
      </c>
      <c r="J447" s="60">
        <f>'Batting Data'!P447/'Batting Data'!J447</f>
        <v>1.5849612974566898E-2</v>
      </c>
      <c r="K447" s="60">
        <f>'Batting Data'!Q447/'Batting Data'!J447</f>
        <v>0.64467379284924442</v>
      </c>
      <c r="L447" s="2" t="str">
        <f t="shared" si="13"/>
        <v>2014 St. Louis Cardinals</v>
      </c>
      <c r="M447" s="58">
        <f>'Pitching Data'!Q447/'Pitching Data'!P447</f>
        <v>0.15142527599275005</v>
      </c>
      <c r="N447" s="58">
        <f>'Pitching Data'!R447/'Pitching Data'!P447</f>
        <v>4.1687263140550337E-2</v>
      </c>
      <c r="O447" s="58">
        <f>'Pitching Data'!S447/'Pitching Data'!P447</f>
        <v>4.2840665678035919E-3</v>
      </c>
      <c r="P447" s="58">
        <f>'Pitching Data'!T447/'Pitching Data'!P447</f>
        <v>2.0266930301532378E-2</v>
      </c>
      <c r="Q447" s="58">
        <f>'Pitching Data'!U447/'Pitching Data'!P447</f>
        <v>7.7442741802603396E-2</v>
      </c>
      <c r="R447" s="58">
        <f>'Pitching Data'!V447/'Pitching Data'!P447</f>
        <v>1.0051079255231504E-2</v>
      </c>
      <c r="S447" s="58">
        <f>'Pitching Data'!W447/'Pitching Data'!P447</f>
        <v>0.6948426429395288</v>
      </c>
    </row>
    <row r="448" spans="2:19" x14ac:dyDescent="0.5">
      <c r="B448" s="2">
        <v>2014</v>
      </c>
      <c r="C448" s="2" t="s">
        <v>92</v>
      </c>
      <c r="D448" s="2" t="str">
        <f t="shared" si="12"/>
        <v>2014 Tampa Bay Devil Rays</v>
      </c>
      <c r="E448" s="60">
        <f>'Batting Data'!K448/'Batting Data'!J448</f>
        <v>0.17349528643944886</v>
      </c>
      <c r="F448" s="60">
        <f>'Batting Data'!L448/'Batting Data'!J448</f>
        <v>4.7679477882523566E-2</v>
      </c>
      <c r="G448" s="60">
        <f>'Batting Data'!M448/'Batting Data'!J448</f>
        <v>4.3509789702683103E-3</v>
      </c>
      <c r="H448" s="60">
        <f>'Batting Data'!N448/'Batting Data'!J448</f>
        <v>2.1211022480058014E-2</v>
      </c>
      <c r="I448" s="60">
        <f>'Batting Data'!O448/'Batting Data'!J448</f>
        <v>9.5540246555474981E-2</v>
      </c>
      <c r="J448" s="60">
        <f>'Batting Data'!P448/'Batting Data'!J448</f>
        <v>1.1965192168237854E-2</v>
      </c>
      <c r="K448" s="60">
        <f>'Batting Data'!Q448/'Batting Data'!J448</f>
        <v>0.64575779550398837</v>
      </c>
      <c r="L448" s="2" t="str">
        <f t="shared" si="13"/>
        <v>2014 Tampa Bay Devil Rays</v>
      </c>
      <c r="M448" s="58">
        <f>'Pitching Data'!Q448/'Pitching Data'!P448</f>
        <v>0.14565323764475616</v>
      </c>
      <c r="N448" s="58">
        <f>'Pitching Data'!R448/'Pitching Data'!P448</f>
        <v>3.8492904909476433E-2</v>
      </c>
      <c r="O448" s="58">
        <f>'Pitching Data'!S448/'Pitching Data'!P448</f>
        <v>2.935899526993965E-3</v>
      </c>
      <c r="P448" s="58">
        <f>'Pitching Data'!T448/'Pitching Data'!P448</f>
        <v>2.3650301745229162E-2</v>
      </c>
      <c r="Q448" s="58">
        <f>'Pitching Data'!U448/'Pitching Data'!P448</f>
        <v>7.8616865111727288E-2</v>
      </c>
      <c r="R448" s="58">
        <f>'Pitching Data'!V448/'Pitching Data'!P448</f>
        <v>9.460120698091665E-3</v>
      </c>
      <c r="S448" s="58">
        <f>'Pitching Data'!W448/'Pitching Data'!P448</f>
        <v>0.70119067036372529</v>
      </c>
    </row>
    <row r="449" spans="2:19" x14ac:dyDescent="0.5">
      <c r="B449" s="2">
        <v>2014</v>
      </c>
      <c r="C449" s="2" t="s">
        <v>94</v>
      </c>
      <c r="D449" s="2" t="str">
        <f t="shared" si="12"/>
        <v>2014 Texas Rangers</v>
      </c>
      <c r="E449" s="60">
        <f>'Batting Data'!K449/'Batting Data'!J449</f>
        <v>0.18333333333333332</v>
      </c>
      <c r="F449" s="60">
        <f>'Batting Data'!L449/'Batting Data'!J449</f>
        <v>4.7619047619047616E-2</v>
      </c>
      <c r="G449" s="60">
        <f>'Batting Data'!M449/'Batting Data'!J449</f>
        <v>5.1282051282051282E-3</v>
      </c>
      <c r="H449" s="60">
        <f>'Batting Data'!N449/'Batting Data'!J449</f>
        <v>2.032967032967033E-2</v>
      </c>
      <c r="I449" s="60">
        <f>'Batting Data'!O449/'Batting Data'!J449</f>
        <v>7.637362637362638E-2</v>
      </c>
      <c r="J449" s="60">
        <f>'Batting Data'!P449/'Batting Data'!J449</f>
        <v>1.1172161172161172E-2</v>
      </c>
      <c r="K449" s="60">
        <f>'Batting Data'!Q449/'Batting Data'!J449</f>
        <v>0.65604395604395604</v>
      </c>
      <c r="L449" s="2" t="str">
        <f t="shared" si="13"/>
        <v>2014 Texas Rangers</v>
      </c>
      <c r="M449" s="58">
        <f>'Pitching Data'!Q449/'Pitching Data'!P449</f>
        <v>0.16012913640032284</v>
      </c>
      <c r="N449" s="58">
        <f>'Pitching Data'!R449/'Pitching Data'!P449</f>
        <v>5.3107344632768359E-2</v>
      </c>
      <c r="O449" s="58">
        <f>'Pitching Data'!S449/'Pitching Data'!P449</f>
        <v>4.681194511702986E-3</v>
      </c>
      <c r="P449" s="58">
        <f>'Pitching Data'!T449/'Pitching Data'!P449</f>
        <v>2.5827280064568199E-2</v>
      </c>
      <c r="Q449" s="58">
        <f>'Pitching Data'!U449/'Pitching Data'!P449</f>
        <v>8.1517352703793386E-2</v>
      </c>
      <c r="R449" s="58">
        <f>'Pitching Data'!V449/'Pitching Data'!P449</f>
        <v>9.8466505246166264E-3</v>
      </c>
      <c r="S449" s="58">
        <f>'Pitching Data'!W449/'Pitching Data'!P449</f>
        <v>0.66489104116222764</v>
      </c>
    </row>
    <row r="450" spans="2:19" x14ac:dyDescent="0.5">
      <c r="B450" s="2">
        <v>2014</v>
      </c>
      <c r="C450" s="2" t="s">
        <v>96</v>
      </c>
      <c r="D450" s="2" t="str">
        <f t="shared" si="12"/>
        <v>2014 Toronto Blue Jays</v>
      </c>
      <c r="E450" s="60">
        <f>'Batting Data'!K450/'Batting Data'!J450</f>
        <v>0.17156244368354659</v>
      </c>
      <c r="F450" s="60">
        <f>'Batting Data'!L450/'Batting Data'!J450</f>
        <v>5.0819967561722836E-2</v>
      </c>
      <c r="G450" s="60">
        <f>'Batting Data'!M450/'Batting Data'!J450</f>
        <v>4.3251036222742836E-3</v>
      </c>
      <c r="H450" s="60">
        <f>'Batting Data'!N450/'Batting Data'!J450</f>
        <v>3.1897639214272841E-2</v>
      </c>
      <c r="I450" s="60">
        <f>'Batting Data'!O450/'Batting Data'!J450</f>
        <v>9.046675076590377E-2</v>
      </c>
      <c r="J450" s="60">
        <f>'Batting Data'!P450/'Batting Data'!J450</f>
        <v>7.3887186880519009E-3</v>
      </c>
      <c r="K450" s="60">
        <f>'Batting Data'!Q450/'Batting Data'!J450</f>
        <v>0.64353937646422776</v>
      </c>
      <c r="L450" s="2" t="str">
        <f t="shared" si="13"/>
        <v>2014 Toronto Blue Jays</v>
      </c>
      <c r="M450" s="58">
        <f>'Pitching Data'!Q450/'Pitching Data'!P450</f>
        <v>0.14406504065040651</v>
      </c>
      <c r="N450" s="58">
        <f>'Pitching Data'!R450/'Pitching Data'!P450</f>
        <v>5.3821138211382111E-2</v>
      </c>
      <c r="O450" s="58">
        <f>'Pitching Data'!S450/'Pitching Data'!P450</f>
        <v>5.2032520325203252E-3</v>
      </c>
      <c r="P450" s="58">
        <f>'Pitching Data'!T450/'Pitching Data'!P450</f>
        <v>2.4552845528455283E-2</v>
      </c>
      <c r="Q450" s="58">
        <f>'Pitching Data'!U450/'Pitching Data'!P450</f>
        <v>7.9674796747967486E-2</v>
      </c>
      <c r="R450" s="58">
        <f>'Pitching Data'!V450/'Pitching Data'!P450</f>
        <v>9.2682926829268288E-3</v>
      </c>
      <c r="S450" s="58">
        <f>'Pitching Data'!W450/'Pitching Data'!P450</f>
        <v>0.68341463414634152</v>
      </c>
    </row>
    <row r="451" spans="2:19" x14ac:dyDescent="0.5">
      <c r="B451" s="2">
        <v>2014</v>
      </c>
      <c r="C451" s="2" t="s">
        <v>100</v>
      </c>
      <c r="D451" s="2" t="str">
        <f t="shared" ref="D451:D514" si="14">$B451&amp;" "&amp;$C451</f>
        <v>2014 Washington Nationals</v>
      </c>
      <c r="E451" s="60">
        <f>'Batting Data'!K451/'Batting Data'!J451</f>
        <v>0.17304222302417899</v>
      </c>
      <c r="F451" s="60">
        <f>'Batting Data'!L451/'Batting Data'!J451</f>
        <v>4.7816672681342473E-2</v>
      </c>
      <c r="G451" s="60">
        <f>'Batting Data'!M451/'Batting Data'!J451</f>
        <v>4.8718874052688559E-3</v>
      </c>
      <c r="H451" s="60">
        <f>'Batting Data'!N451/'Batting Data'!J451</f>
        <v>2.7426921688920969E-2</v>
      </c>
      <c r="I451" s="60">
        <f>'Batting Data'!O451/'Batting Data'!J451</f>
        <v>9.3287621797185138E-2</v>
      </c>
      <c r="J451" s="60">
        <f>'Batting Data'!P451/'Batting Data'!J451</f>
        <v>1.0104655359076146E-2</v>
      </c>
      <c r="K451" s="60">
        <f>'Batting Data'!Q451/'Batting Data'!J451</f>
        <v>0.64345001804402746</v>
      </c>
      <c r="L451" s="2" t="str">
        <f t="shared" ref="L451:L514" si="15">$B451&amp;" "&amp;$C451</f>
        <v>2014 Washington Nationals</v>
      </c>
      <c r="M451" s="58">
        <f>'Pitching Data'!Q451/'Pitching Data'!P451</f>
        <v>0.16129568106312292</v>
      </c>
      <c r="N451" s="58">
        <f>'Pitching Data'!R451/'Pitching Data'!P451</f>
        <v>4.019933554817276E-2</v>
      </c>
      <c r="O451" s="58">
        <f>'Pitching Data'!S451/'Pitching Data'!P451</f>
        <v>4.6511627906976744E-3</v>
      </c>
      <c r="P451" s="58">
        <f>'Pitching Data'!T451/'Pitching Data'!P451</f>
        <v>1.8272425249169437E-2</v>
      </c>
      <c r="Q451" s="58">
        <f>'Pitching Data'!U451/'Pitching Data'!P451</f>
        <v>5.847176079734219E-2</v>
      </c>
      <c r="R451" s="58">
        <f>'Pitching Data'!V451/'Pitching Data'!P451</f>
        <v>8.4717607973421923E-3</v>
      </c>
      <c r="S451" s="58">
        <f>'Pitching Data'!W451/'Pitching Data'!P451</f>
        <v>0.70863787375415277</v>
      </c>
    </row>
    <row r="452" spans="2:19" x14ac:dyDescent="0.5">
      <c r="B452" s="2">
        <v>2015</v>
      </c>
      <c r="C452" s="2" t="s">
        <v>36</v>
      </c>
      <c r="D452" s="2" t="str">
        <f t="shared" si="14"/>
        <v>2015 Anaheim Angels</v>
      </c>
      <c r="E452" s="60">
        <f>'Batting Data'!K452/'Batting Data'!J452</f>
        <v>0.16448218571164852</v>
      </c>
      <c r="F452" s="60">
        <f>'Batting Data'!L452/'Batting Data'!J452</f>
        <v>4.4858777921358686E-2</v>
      </c>
      <c r="G452" s="60">
        <f>'Batting Data'!M452/'Batting Data'!J452</f>
        <v>3.8766845117223555E-3</v>
      </c>
      <c r="H452" s="60">
        <f>'Batting Data'!N452/'Batting Data'!J452</f>
        <v>3.2490308288720696E-2</v>
      </c>
      <c r="I452" s="60">
        <f>'Batting Data'!O452/'Batting Data'!J452</f>
        <v>8.0302750599963085E-2</v>
      </c>
      <c r="J452" s="60">
        <f>'Batting Data'!P452/'Batting Data'!J452</f>
        <v>1.0707033413328411E-2</v>
      </c>
      <c r="K452" s="60">
        <f>'Batting Data'!Q452/'Batting Data'!J452</f>
        <v>0.66328225955325826</v>
      </c>
      <c r="L452" s="2" t="str">
        <f t="shared" si="15"/>
        <v>2015 Anaheim Angels</v>
      </c>
      <c r="M452" s="58">
        <f>'Pitching Data'!Q452/'Pitching Data'!P452</f>
        <v>0.14714566929133857</v>
      </c>
      <c r="N452" s="58">
        <f>'Pitching Data'!R452/'Pitching Data'!P452</f>
        <v>4.4783464566929131E-2</v>
      </c>
      <c r="O452" s="58">
        <f>'Pitching Data'!S452/'Pitching Data'!P452</f>
        <v>3.1167979002624671E-3</v>
      </c>
      <c r="P452" s="58">
        <f>'Pitching Data'!T452/'Pitching Data'!P452</f>
        <v>2.7230971128608925E-2</v>
      </c>
      <c r="Q452" s="58">
        <f>'Pitching Data'!U452/'Pitching Data'!P452</f>
        <v>7.6443569553805768E-2</v>
      </c>
      <c r="R452" s="58">
        <f>'Pitching Data'!V452/'Pitching Data'!P452</f>
        <v>1.1646981627296589E-2</v>
      </c>
      <c r="S452" s="58">
        <f>'Pitching Data'!W452/'Pitching Data'!P452</f>
        <v>0.68963254593175849</v>
      </c>
    </row>
    <row r="453" spans="2:19" x14ac:dyDescent="0.5">
      <c r="B453" s="2">
        <v>2015</v>
      </c>
      <c r="C453" s="2" t="s">
        <v>39</v>
      </c>
      <c r="D453" s="2" t="str">
        <f t="shared" si="14"/>
        <v>2015 Arizona Diamondbacks</v>
      </c>
      <c r="E453" s="60">
        <f>'Batting Data'!K453/'Batting Data'!J453</f>
        <v>0.1775535493007612</v>
      </c>
      <c r="F453" s="60">
        <f>'Batting Data'!L453/'Batting Data'!J453</f>
        <v>5.1159497256151529E-2</v>
      </c>
      <c r="G453" s="60">
        <f>'Batting Data'!M453/'Batting Data'!J453</f>
        <v>8.4970791290493886E-3</v>
      </c>
      <c r="H453" s="60">
        <f>'Batting Data'!N453/'Batting Data'!J453</f>
        <v>2.7261462205700124E-2</v>
      </c>
      <c r="I453" s="60">
        <f>'Batting Data'!O453/'Batting Data'!J453</f>
        <v>8.6741016109045846E-2</v>
      </c>
      <c r="J453" s="60">
        <f>'Batting Data'!P453/'Batting Data'!J453</f>
        <v>5.8417419012214552E-3</v>
      </c>
      <c r="K453" s="60">
        <f>'Batting Data'!Q453/'Batting Data'!J453</f>
        <v>0.64294565409807047</v>
      </c>
      <c r="L453" s="2" t="str">
        <f t="shared" si="15"/>
        <v>2015 Arizona Diamondbacks</v>
      </c>
      <c r="M453" s="58">
        <f>'Pitching Data'!Q453/'Pitching Data'!P453</f>
        <v>0.14703532044110595</v>
      </c>
      <c r="N453" s="58">
        <f>'Pitching Data'!R453/'Pitching Data'!P453</f>
        <v>5.0823078152469232E-2</v>
      </c>
      <c r="O453" s="58">
        <f>'Pitching Data'!S453/'Pitching Data'!P453</f>
        <v>4.7946300143838902E-3</v>
      </c>
      <c r="P453" s="58">
        <f>'Pitching Data'!T453/'Pitching Data'!P453</f>
        <v>2.9087422087262265E-2</v>
      </c>
      <c r="Q453" s="58">
        <f>'Pitching Data'!U453/'Pitching Data'!P453</f>
        <v>7.9910500239731494E-2</v>
      </c>
      <c r="R453" s="58">
        <f>'Pitching Data'!V453/'Pitching Data'!P453</f>
        <v>7.6714080230142244E-3</v>
      </c>
      <c r="S453" s="58">
        <f>'Pitching Data'!W453/'Pitching Data'!P453</f>
        <v>0.68067764104203288</v>
      </c>
    </row>
    <row r="454" spans="2:19" x14ac:dyDescent="0.5">
      <c r="B454" s="2">
        <v>2015</v>
      </c>
      <c r="C454" s="2" t="s">
        <v>41</v>
      </c>
      <c r="D454" s="2" t="str">
        <f t="shared" si="14"/>
        <v>2015 Atlanta Braves</v>
      </c>
      <c r="E454" s="60">
        <f>'Batting Data'!K454/'Batting Data'!J454</f>
        <v>0.18302583025830257</v>
      </c>
      <c r="F454" s="60">
        <f>'Batting Data'!L454/'Batting Data'!J454</f>
        <v>4.6309963099630994E-2</v>
      </c>
      <c r="G454" s="60">
        <f>'Batting Data'!M454/'Batting Data'!J454</f>
        <v>3.3210332103321034E-3</v>
      </c>
      <c r="H454" s="60">
        <f>'Batting Data'!N454/'Batting Data'!J454</f>
        <v>1.8450184501845018E-2</v>
      </c>
      <c r="I454" s="60">
        <f>'Batting Data'!O454/'Batting Data'!J454</f>
        <v>8.6900369003690039E-2</v>
      </c>
      <c r="J454" s="60">
        <f>'Batting Data'!P454/'Batting Data'!J454</f>
        <v>8.1180811808118074E-3</v>
      </c>
      <c r="K454" s="60">
        <f>'Batting Data'!Q454/'Batting Data'!J454</f>
        <v>0.65387453874538748</v>
      </c>
      <c r="L454" s="2" t="str">
        <f t="shared" si="15"/>
        <v>2015 Atlanta Braves</v>
      </c>
      <c r="M454" s="58">
        <f>'Pitching Data'!Q454/'Pitching Data'!P454</f>
        <v>0.15821962313190382</v>
      </c>
      <c r="N454" s="58">
        <f>'Pitching Data'!R454/'Pitching Data'!P454</f>
        <v>4.6296296296296294E-2</v>
      </c>
      <c r="O454" s="58">
        <f>'Pitching Data'!S454/'Pitching Data'!P454</f>
        <v>5.360623781676413E-3</v>
      </c>
      <c r="P454" s="58">
        <f>'Pitching Data'!T454/'Pitching Data'!P454</f>
        <v>2.7615334632878491E-2</v>
      </c>
      <c r="Q454" s="58">
        <f>'Pitching Data'!U454/'Pitching Data'!P454</f>
        <v>8.9343729694606883E-2</v>
      </c>
      <c r="R454" s="58">
        <f>'Pitching Data'!V454/'Pitching Data'!P454</f>
        <v>8.6094866796621178E-3</v>
      </c>
      <c r="S454" s="58">
        <f>'Pitching Data'!W454/'Pitching Data'!P454</f>
        <v>0.66455490578297594</v>
      </c>
    </row>
    <row r="455" spans="2:19" x14ac:dyDescent="0.5">
      <c r="B455" s="2">
        <v>2015</v>
      </c>
      <c r="C455" s="2" t="s">
        <v>44</v>
      </c>
      <c r="D455" s="2" t="str">
        <f t="shared" si="14"/>
        <v>2015 Baltimore Orioles</v>
      </c>
      <c r="E455" s="60">
        <f>'Batting Data'!K455/'Batting Data'!J455</f>
        <v>0.16171376481312671</v>
      </c>
      <c r="F455" s="60">
        <f>'Batting Data'!L455/'Batting Data'!J455</f>
        <v>4.4849589790337284E-2</v>
      </c>
      <c r="G455" s="60">
        <f>'Batting Data'!M455/'Batting Data'!J455</f>
        <v>3.6463081130355514E-3</v>
      </c>
      <c r="H455" s="60">
        <f>'Batting Data'!N455/'Batting Data'!J455</f>
        <v>3.9562443026435731E-2</v>
      </c>
      <c r="I455" s="60">
        <f>'Batting Data'!O455/'Batting Data'!J455</f>
        <v>7.6207839562443022E-2</v>
      </c>
      <c r="J455" s="60">
        <f>'Batting Data'!P455/'Batting Data'!J455</f>
        <v>9.2980856882406565E-3</v>
      </c>
      <c r="K455" s="60">
        <f>'Batting Data'!Q455/'Batting Data'!J455</f>
        <v>0.66472196900638103</v>
      </c>
      <c r="L455" s="2" t="str">
        <f t="shared" si="15"/>
        <v>2015 Baltimore Orioles</v>
      </c>
      <c r="M455" s="58">
        <f>'Pitching Data'!Q455/'Pitching Data'!P455</f>
        <v>0.14658997534921939</v>
      </c>
      <c r="N455" s="58">
        <f>'Pitching Data'!R455/'Pitching Data'!P455</f>
        <v>5.2095316351684469E-2</v>
      </c>
      <c r="O455" s="58">
        <f>'Pitching Data'!S455/'Pitching Data'!P455</f>
        <v>3.7797863599013967E-3</v>
      </c>
      <c r="P455" s="58">
        <f>'Pitching Data'!T455/'Pitching Data'!P455</f>
        <v>2.8594905505341002E-2</v>
      </c>
      <c r="Q455" s="58">
        <f>'Pitching Data'!U455/'Pitching Data'!P455</f>
        <v>7.9375513557929336E-2</v>
      </c>
      <c r="R455" s="58">
        <f>'Pitching Data'!V455/'Pitching Data'!P455</f>
        <v>8.8742810188989323E-3</v>
      </c>
      <c r="S455" s="58">
        <f>'Pitching Data'!W455/'Pitching Data'!P455</f>
        <v>0.68069022185702543</v>
      </c>
    </row>
    <row r="456" spans="2:19" x14ac:dyDescent="0.5">
      <c r="B456" s="2">
        <v>2015</v>
      </c>
      <c r="C456" s="2" t="s">
        <v>46</v>
      </c>
      <c r="D456" s="2" t="str">
        <f t="shared" si="14"/>
        <v>2015 Boston Red Sox</v>
      </c>
      <c r="E456" s="60">
        <f>'Batting Data'!K456/'Batting Data'!J456</f>
        <v>0.17854609929078014</v>
      </c>
      <c r="F456" s="60">
        <f>'Batting Data'!L456/'Batting Data'!J456</f>
        <v>5.2127659574468084E-2</v>
      </c>
      <c r="G456" s="60">
        <f>'Batting Data'!M456/'Batting Data'!J456</f>
        <v>5.8510638297872338E-3</v>
      </c>
      <c r="H456" s="60">
        <f>'Batting Data'!N456/'Batting Data'!J456</f>
        <v>2.8546099290780141E-2</v>
      </c>
      <c r="I456" s="60">
        <f>'Batting Data'!O456/'Batting Data'!J456</f>
        <v>8.4751773049645387E-2</v>
      </c>
      <c r="J456" s="60">
        <f>'Batting Data'!P456/'Batting Data'!J456</f>
        <v>8.1560283687943259E-3</v>
      </c>
      <c r="K456" s="60">
        <f>'Batting Data'!Q456/'Batting Data'!J456</f>
        <v>0.64202127659574471</v>
      </c>
      <c r="L456" s="2" t="str">
        <f t="shared" si="15"/>
        <v>2015 Boston Red Sox</v>
      </c>
      <c r="M456" s="58">
        <f>'Pitching Data'!Q456/'Pitching Data'!P456</f>
        <v>0.15694779116465862</v>
      </c>
      <c r="N456" s="58">
        <f>'Pitching Data'!R456/'Pitching Data'!P456</f>
        <v>4.8032128514056222E-2</v>
      </c>
      <c r="O456" s="58">
        <f>'Pitching Data'!S456/'Pitching Data'!P456</f>
        <v>5.140562248995984E-3</v>
      </c>
      <c r="P456" s="58">
        <f>'Pitching Data'!T456/'Pitching Data'!P456</f>
        <v>2.859437751004016E-2</v>
      </c>
      <c r="Q456" s="58">
        <f>'Pitching Data'!U456/'Pitching Data'!P456</f>
        <v>7.6787148594377505E-2</v>
      </c>
      <c r="R456" s="58">
        <f>'Pitching Data'!V456/'Pitching Data'!P456</f>
        <v>9.9598393574297193E-3</v>
      </c>
      <c r="S456" s="58">
        <f>'Pitching Data'!W456/'Pitching Data'!P456</f>
        <v>0.67453815261044181</v>
      </c>
    </row>
    <row r="457" spans="2:19" x14ac:dyDescent="0.5">
      <c r="B457" s="2">
        <v>2015</v>
      </c>
      <c r="C457" s="2" t="s">
        <v>50</v>
      </c>
      <c r="D457" s="2" t="str">
        <f t="shared" si="14"/>
        <v>2015 Chicago Cubs</v>
      </c>
      <c r="E457" s="60">
        <f>'Batting Data'!K457/'Batting Data'!J457</f>
        <v>0.15807685303223457</v>
      </c>
      <c r="F457" s="60">
        <f>'Batting Data'!L457/'Batting Data'!J457</f>
        <v>4.9535603715170282E-2</v>
      </c>
      <c r="G457" s="60">
        <f>'Batting Data'!M457/'Batting Data'!J457</f>
        <v>5.4634857038790745E-3</v>
      </c>
      <c r="H457" s="60">
        <f>'Batting Data'!N457/'Batting Data'!J457</f>
        <v>3.1141868512110725E-2</v>
      </c>
      <c r="I457" s="60">
        <f>'Batting Data'!O457/'Batting Data'!J457</f>
        <v>0.10325987980331451</v>
      </c>
      <c r="J457" s="60">
        <f>'Batting Data'!P457/'Batting Data'!J457</f>
        <v>1.3476598069568385E-2</v>
      </c>
      <c r="K457" s="60">
        <f>'Batting Data'!Q457/'Batting Data'!J457</f>
        <v>0.63904571116372244</v>
      </c>
      <c r="L457" s="2" t="str">
        <f t="shared" si="15"/>
        <v>2015 Chicago Cubs</v>
      </c>
      <c r="M457" s="58">
        <f>'Pitching Data'!Q457/'Pitching Data'!P457</f>
        <v>0.13656828414207103</v>
      </c>
      <c r="N457" s="58">
        <f>'Pitching Data'!R457/'Pitching Data'!P457</f>
        <v>4.7690511922627979E-2</v>
      </c>
      <c r="O457" s="58">
        <f>'Pitching Data'!S457/'Pitching Data'!P457</f>
        <v>6.1697515424378856E-3</v>
      </c>
      <c r="P457" s="58">
        <f>'Pitching Data'!T457/'Pitching Data'!P457</f>
        <v>2.2344505586126398E-2</v>
      </c>
      <c r="Q457" s="58">
        <f>'Pitching Data'!U457/'Pitching Data'!P457</f>
        <v>6.7867266966816747E-2</v>
      </c>
      <c r="R457" s="58">
        <f>'Pitching Data'!V457/'Pitching Data'!P457</f>
        <v>7.6705019176254797E-3</v>
      </c>
      <c r="S457" s="58">
        <f>'Pitching Data'!W457/'Pitching Data'!P457</f>
        <v>0.71168917792229447</v>
      </c>
    </row>
    <row r="458" spans="2:19" x14ac:dyDescent="0.5">
      <c r="B458" s="2">
        <v>2015</v>
      </c>
      <c r="C458" s="2" t="s">
        <v>48</v>
      </c>
      <c r="D458" s="2" t="str">
        <f t="shared" si="14"/>
        <v>2015 Chicago White Sox</v>
      </c>
      <c r="E458" s="60">
        <f>'Batting Data'!K458/'Batting Data'!J458</f>
        <v>0.17314296041930236</v>
      </c>
      <c r="F458" s="60">
        <f>'Batting Data'!L458/'Batting Data'!J458</f>
        <v>4.699078257726369E-2</v>
      </c>
      <c r="G458" s="60">
        <f>'Batting Data'!M458/'Batting Data'!J458</f>
        <v>4.8798120368696912E-3</v>
      </c>
      <c r="H458" s="60">
        <f>'Batting Data'!N458/'Batting Data'!J458</f>
        <v>2.4579793963491775E-2</v>
      </c>
      <c r="I458" s="60">
        <f>'Batting Data'!O458/'Batting Data'!J458</f>
        <v>7.3016446773902038E-2</v>
      </c>
      <c r="J458" s="60">
        <f>'Batting Data'!P458/'Batting Data'!J458</f>
        <v>1.1747695644315923E-2</v>
      </c>
      <c r="K458" s="60">
        <f>'Batting Data'!Q458/'Batting Data'!J458</f>
        <v>0.66564250858485452</v>
      </c>
      <c r="L458" s="2" t="str">
        <f t="shared" si="15"/>
        <v>2015 Chicago White Sox</v>
      </c>
      <c r="M458" s="58">
        <f>'Pitching Data'!Q458/'Pitching Data'!P458</f>
        <v>0.15693253518848083</v>
      </c>
      <c r="N458" s="58">
        <f>'Pitching Data'!R458/'Pitching Data'!P458</f>
        <v>4.4005824300275033E-2</v>
      </c>
      <c r="O458" s="58">
        <f>'Pitching Data'!S458/'Pitching Data'!P458</f>
        <v>6.3096586312894358E-3</v>
      </c>
      <c r="P458" s="58">
        <f>'Pitching Data'!T458/'Pitching Data'!P458</f>
        <v>2.6209351237663808E-2</v>
      </c>
      <c r="Q458" s="58">
        <f>'Pitching Data'!U458/'Pitching Data'!P458</f>
        <v>7.668662028797929E-2</v>
      </c>
      <c r="R458" s="58">
        <f>'Pitching Data'!V458/'Pitching Data'!P458</f>
        <v>1.0030739362562692E-2</v>
      </c>
      <c r="S458" s="58">
        <f>'Pitching Data'!W458/'Pitching Data'!P458</f>
        <v>0.67982527099174894</v>
      </c>
    </row>
    <row r="459" spans="2:19" x14ac:dyDescent="0.5">
      <c r="B459" s="2">
        <v>2015</v>
      </c>
      <c r="C459" s="2" t="s">
        <v>52</v>
      </c>
      <c r="D459" s="2" t="str">
        <f t="shared" si="14"/>
        <v>2015 Cincinnati Reds</v>
      </c>
      <c r="E459" s="60">
        <f>'Batting Data'!K459/'Batting Data'!J459</f>
        <v>0.16711541913480524</v>
      </c>
      <c r="F459" s="60">
        <f>'Batting Data'!L459/'Batting Data'!J459</f>
        <v>4.6131753724645487E-2</v>
      </c>
      <c r="G459" s="60">
        <f>'Batting Data'!M459/'Batting Data'!J459</f>
        <v>4.8465266558966073E-3</v>
      </c>
      <c r="H459" s="60">
        <f>'Batting Data'!N459/'Batting Data'!J459</f>
        <v>2.9976664871656795E-2</v>
      </c>
      <c r="I459" s="60">
        <f>'Batting Data'!O459/'Batting Data'!J459</f>
        <v>8.9032489678693233E-2</v>
      </c>
      <c r="J459" s="60">
        <f>'Batting Data'!P459/'Batting Data'!J459</f>
        <v>7.5390414647280562E-3</v>
      </c>
      <c r="K459" s="60">
        <f>'Batting Data'!Q459/'Batting Data'!J459</f>
        <v>0.65535810446957454</v>
      </c>
      <c r="L459" s="2" t="str">
        <f t="shared" si="15"/>
        <v>2015 Cincinnati Reds</v>
      </c>
      <c r="M459" s="58">
        <f>'Pitching Data'!Q459/'Pitching Data'!P459</f>
        <v>0.1462286716632116</v>
      </c>
      <c r="N459" s="58">
        <f>'Pitching Data'!R459/'Pitching Data'!P459</f>
        <v>5.0550151490990271E-2</v>
      </c>
      <c r="O459" s="58">
        <f>'Pitching Data'!S459/'Pitching Data'!P459</f>
        <v>3.9866050071758891E-3</v>
      </c>
      <c r="P459" s="58">
        <f>'Pitching Data'!T459/'Pitching Data'!P459</f>
        <v>2.8225163450805293E-2</v>
      </c>
      <c r="Q459" s="58">
        <f>'Pitching Data'!U459/'Pitching Data'!P459</f>
        <v>8.6748524956147349E-2</v>
      </c>
      <c r="R459" s="58">
        <f>'Pitching Data'!V459/'Pitching Data'!P459</f>
        <v>9.2489236166480616E-3</v>
      </c>
      <c r="S459" s="58">
        <f>'Pitching Data'!W459/'Pitching Data'!P459</f>
        <v>0.67501195981502149</v>
      </c>
    </row>
    <row r="460" spans="2:19" x14ac:dyDescent="0.5">
      <c r="B460" s="2">
        <v>2015</v>
      </c>
      <c r="C460" s="2" t="s">
        <v>54</v>
      </c>
      <c r="D460" s="2" t="str">
        <f t="shared" si="14"/>
        <v>2015 Cleveland Indians</v>
      </c>
      <c r="E460" s="60">
        <f>'Batting Data'!K460/'Batting Data'!J460</f>
        <v>0.16951645523074094</v>
      </c>
      <c r="F460" s="60">
        <f>'Batting Data'!L460/'Batting Data'!J460</f>
        <v>5.5708769994484278E-2</v>
      </c>
      <c r="G460" s="60">
        <f>'Batting Data'!M460/'Batting Data'!J460</f>
        <v>5.3318624747196175E-3</v>
      </c>
      <c r="H460" s="60">
        <f>'Batting Data'!N460/'Batting Data'!J460</f>
        <v>2.5923883066740209E-2</v>
      </c>
      <c r="I460" s="60">
        <f>'Batting Data'!O460/'Batting Data'!J460</f>
        <v>9.7995955138812277E-2</v>
      </c>
      <c r="J460" s="60">
        <f>'Batting Data'!P460/'Batting Data'!J460</f>
        <v>7.1704357418643132E-3</v>
      </c>
      <c r="K460" s="60">
        <f>'Batting Data'!Q460/'Batting Data'!J460</f>
        <v>0.63835263835263834</v>
      </c>
      <c r="L460" s="2" t="str">
        <f t="shared" si="15"/>
        <v>2015 Cleveland Indians</v>
      </c>
      <c r="M460" s="58">
        <f>'Pitching Data'!Q460/'Pitching Data'!P460</f>
        <v>0.1402439024390244</v>
      </c>
      <c r="N460" s="58">
        <f>'Pitching Data'!R460/'Pitching Data'!P460</f>
        <v>4.3021680216802166E-2</v>
      </c>
      <c r="O460" s="58">
        <f>'Pitching Data'!S460/'Pitching Data'!P460</f>
        <v>5.2506775067750677E-3</v>
      </c>
      <c r="P460" s="58">
        <f>'Pitching Data'!T460/'Pitching Data'!P460</f>
        <v>2.7269647696476964E-2</v>
      </c>
      <c r="Q460" s="58">
        <f>'Pitching Data'!U460/'Pitching Data'!P460</f>
        <v>7.1985094850948506E-2</v>
      </c>
      <c r="R460" s="58">
        <f>'Pitching Data'!V460/'Pitching Data'!P460</f>
        <v>8.130081300813009E-3</v>
      </c>
      <c r="S460" s="58">
        <f>'Pitching Data'!W460/'Pitching Data'!P460</f>
        <v>0.70409891598915986</v>
      </c>
    </row>
    <row r="461" spans="2:19" x14ac:dyDescent="0.5">
      <c r="B461" s="2">
        <v>2015</v>
      </c>
      <c r="C461" s="2" t="s">
        <v>56</v>
      </c>
      <c r="D461" s="2" t="str">
        <f t="shared" si="14"/>
        <v>2015 Colorado Rockies</v>
      </c>
      <c r="E461" s="60">
        <f>'Batting Data'!K461/'Batting Data'!J461</f>
        <v>0.17408470926058867</v>
      </c>
      <c r="F461" s="60">
        <f>'Batting Data'!L461/'Batting Data'!J461</f>
        <v>4.9174443646805455E-2</v>
      </c>
      <c r="G461" s="60">
        <f>'Batting Data'!M461/'Batting Data'!J461</f>
        <v>8.7939698492462311E-3</v>
      </c>
      <c r="H461" s="60">
        <f>'Batting Data'!N461/'Batting Data'!J461</f>
        <v>3.3381191672648962E-2</v>
      </c>
      <c r="I461" s="60">
        <f>'Batting Data'!O461/'Batting Data'!J461</f>
        <v>6.9633883704235469E-2</v>
      </c>
      <c r="J461" s="60">
        <f>'Batting Data'!P461/'Batting Data'!J461</f>
        <v>5.9224694903086865E-3</v>
      </c>
      <c r="K461" s="60">
        <f>'Batting Data'!Q461/'Batting Data'!J461</f>
        <v>0.65900933237616655</v>
      </c>
      <c r="L461" s="2" t="str">
        <f t="shared" si="15"/>
        <v>2015 Colorado Rockies</v>
      </c>
      <c r="M461" s="58">
        <f>'Pitching Data'!Q461/'Pitching Data'!P461</f>
        <v>0.15726062143310082</v>
      </c>
      <c r="N461" s="58">
        <f>'Pitching Data'!R461/'Pitching Data'!P461</f>
        <v>5.7545973367152822E-2</v>
      </c>
      <c r="O461" s="58">
        <f>'Pitching Data'!S461/'Pitching Data'!P461</f>
        <v>6.4996829422954974E-3</v>
      </c>
      <c r="P461" s="58">
        <f>'Pitching Data'!T461/'Pitching Data'!P461</f>
        <v>2.9010779961953077E-2</v>
      </c>
      <c r="Q461" s="58">
        <f>'Pitching Data'!U461/'Pitching Data'!P461</f>
        <v>9.1788205453392516E-2</v>
      </c>
      <c r="R461" s="58">
        <f>'Pitching Data'!V461/'Pitching Data'!P461</f>
        <v>7.6093849080532657E-3</v>
      </c>
      <c r="S461" s="58">
        <f>'Pitching Data'!W461/'Pitching Data'!P461</f>
        <v>0.65028535193405201</v>
      </c>
    </row>
    <row r="462" spans="2:19" x14ac:dyDescent="0.5">
      <c r="B462" s="2">
        <v>2015</v>
      </c>
      <c r="C462" s="2" t="s">
        <v>58</v>
      </c>
      <c r="D462" s="2" t="str">
        <f t="shared" si="14"/>
        <v>2015 Detroit Tigers</v>
      </c>
      <c r="E462" s="60">
        <f>'Batting Data'!K462/'Batting Data'!J462</f>
        <v>0.18305084745762712</v>
      </c>
      <c r="F462" s="60">
        <f>'Batting Data'!L462/'Batting Data'!J462</f>
        <v>5.1561106155218556E-2</v>
      </c>
      <c r="G462" s="60">
        <f>'Batting Data'!M462/'Batting Data'!J462</f>
        <v>8.742194469223908E-3</v>
      </c>
      <c r="H462" s="60">
        <f>'Batting Data'!N462/'Batting Data'!J462</f>
        <v>2.6940231935771632E-2</v>
      </c>
      <c r="I462" s="60">
        <f>'Batting Data'!O462/'Batting Data'!J462</f>
        <v>8.1177520071364848E-2</v>
      </c>
      <c r="J462" s="60">
        <f>'Batting Data'!P462/'Batting Data'!J462</f>
        <v>7.3148974130240853E-3</v>
      </c>
      <c r="K462" s="60">
        <f>'Batting Data'!Q462/'Batting Data'!J462</f>
        <v>0.64121320249776981</v>
      </c>
      <c r="L462" s="2" t="str">
        <f t="shared" si="15"/>
        <v>2015 Detroit Tigers</v>
      </c>
      <c r="M462" s="58">
        <f>'Pitching Data'!Q462/'Pitching Data'!P462</f>
        <v>0.15481577246283129</v>
      </c>
      <c r="N462" s="58">
        <f>'Pitching Data'!R462/'Pitching Data'!P462</f>
        <v>4.5248868778280542E-2</v>
      </c>
      <c r="O462" s="58">
        <f>'Pitching Data'!S462/'Pitching Data'!P462</f>
        <v>9.6961861667744023E-3</v>
      </c>
      <c r="P462" s="58">
        <f>'Pitching Data'!T462/'Pitching Data'!P462</f>
        <v>3.118939883645766E-2</v>
      </c>
      <c r="Q462" s="58">
        <f>'Pitching Data'!U462/'Pitching Data'!P462</f>
        <v>7.9023917259211374E-2</v>
      </c>
      <c r="R462" s="58">
        <f>'Pitching Data'!V462/'Pitching Data'!P462</f>
        <v>7.4337427278603745E-3</v>
      </c>
      <c r="S462" s="58">
        <f>'Pitching Data'!W462/'Pitching Data'!P462</f>
        <v>0.67259211376858441</v>
      </c>
    </row>
    <row r="463" spans="2:19" x14ac:dyDescent="0.5">
      <c r="B463" s="2">
        <v>2015</v>
      </c>
      <c r="C463" s="2" t="s">
        <v>60</v>
      </c>
      <c r="D463" s="2" t="str">
        <f t="shared" si="14"/>
        <v>2015 Florida Marlins</v>
      </c>
      <c r="E463" s="60">
        <f>'Batting Data'!K463/'Batting Data'!J463</f>
        <v>0.15185931489283752</v>
      </c>
      <c r="F463" s="60">
        <f>'Batting Data'!L463/'Batting Data'!J463</f>
        <v>5.0925077853086649E-2</v>
      </c>
      <c r="G463" s="60">
        <f>'Batting Data'!M463/'Batting Data'!J463</f>
        <v>4.7627770653965928E-3</v>
      </c>
      <c r="H463" s="60">
        <f>'Batting Data'!N463/'Batting Data'!J463</f>
        <v>4.2132258655431395E-2</v>
      </c>
      <c r="I463" s="60">
        <f>'Batting Data'!O463/'Batting Data'!J463</f>
        <v>8.9027294376259392E-2</v>
      </c>
      <c r="J463" s="60">
        <f>'Batting Data'!P463/'Batting Data'!J463</f>
        <v>1.0258289063931123E-2</v>
      </c>
      <c r="K463" s="60">
        <f>'Batting Data'!Q463/'Batting Data'!J463</f>
        <v>0.65103498809305738</v>
      </c>
      <c r="L463" s="2" t="str">
        <f t="shared" si="15"/>
        <v>2015 Florida Marlins</v>
      </c>
      <c r="M463" s="58">
        <f>'Pitching Data'!Q463/'Pitching Data'!P463</f>
        <v>0.14601844090528079</v>
      </c>
      <c r="N463" s="58">
        <f>'Pitching Data'!R463/'Pitching Data'!P463</f>
        <v>4.2246437552388938E-2</v>
      </c>
      <c r="O463" s="58">
        <f>'Pitching Data'!S463/'Pitching Data'!P463</f>
        <v>6.202849958088852E-3</v>
      </c>
      <c r="P463" s="58">
        <f>'Pitching Data'!T463/'Pitching Data'!P463</f>
        <v>2.4811399832355408E-2</v>
      </c>
      <c r="Q463" s="58">
        <f>'Pitching Data'!U463/'Pitching Data'!P463</f>
        <v>7.0913663034367136E-2</v>
      </c>
      <c r="R463" s="58">
        <f>'Pitching Data'!V463/'Pitching Data'!P463</f>
        <v>7.2087175188600165E-3</v>
      </c>
      <c r="S463" s="58">
        <f>'Pitching Data'!W463/'Pitching Data'!P463</f>
        <v>0.7025984911986588</v>
      </c>
    </row>
    <row r="464" spans="2:19" x14ac:dyDescent="0.5">
      <c r="B464" s="2">
        <v>2015</v>
      </c>
      <c r="C464" s="2" t="s">
        <v>62</v>
      </c>
      <c r="D464" s="2" t="str">
        <f t="shared" si="14"/>
        <v>2015 Houston Astros</v>
      </c>
      <c r="E464" s="60">
        <f>'Batting Data'!K464/'Batting Data'!J464</f>
        <v>0.18224215246636771</v>
      </c>
      <c r="F464" s="60">
        <f>'Batting Data'!L464/'Batting Data'!J464</f>
        <v>5.3811659192825115E-2</v>
      </c>
      <c r="G464" s="60">
        <f>'Batting Data'!M464/'Batting Data'!J464</f>
        <v>7.5336322869955161E-3</v>
      </c>
      <c r="H464" s="60">
        <f>'Batting Data'!N464/'Batting Data'!J464</f>
        <v>2.4932735426008969E-2</v>
      </c>
      <c r="I464" s="60">
        <f>'Batting Data'!O464/'Batting Data'!J464</f>
        <v>6.8699551569506731E-2</v>
      </c>
      <c r="J464" s="60">
        <f>'Batting Data'!P464/'Batting Data'!J464</f>
        <v>1.3811659192825112E-2</v>
      </c>
      <c r="K464" s="60">
        <f>'Batting Data'!Q464/'Batting Data'!J464</f>
        <v>0.64896860986547089</v>
      </c>
      <c r="L464" s="2" t="str">
        <f t="shared" si="15"/>
        <v>2015 Houston Astros</v>
      </c>
      <c r="M464" s="58">
        <f>'Pitching Data'!Q464/'Pitching Data'!P464</f>
        <v>0.14986910994764399</v>
      </c>
      <c r="N464" s="58">
        <f>'Pitching Data'!R464/'Pitching Data'!P464</f>
        <v>4.2866492146596859E-2</v>
      </c>
      <c r="O464" s="58">
        <f>'Pitching Data'!S464/'Pitching Data'!P464</f>
        <v>6.3808900523560207E-3</v>
      </c>
      <c r="P464" s="58">
        <f>'Pitching Data'!T464/'Pitching Data'!P464</f>
        <v>2.5359947643979058E-2</v>
      </c>
      <c r="Q464" s="58">
        <f>'Pitching Data'!U464/'Pitching Data'!P464</f>
        <v>8.0006544502617807E-2</v>
      </c>
      <c r="R464" s="58">
        <f>'Pitching Data'!V464/'Pitching Data'!P464</f>
        <v>8.5078534031413616E-3</v>
      </c>
      <c r="S464" s="58">
        <f>'Pitching Data'!W464/'Pitching Data'!P464</f>
        <v>0.68700916230366493</v>
      </c>
    </row>
    <row r="465" spans="2:19" x14ac:dyDescent="0.5">
      <c r="B465" s="2">
        <v>2015</v>
      </c>
      <c r="C465" s="2" t="s">
        <v>64</v>
      </c>
      <c r="D465" s="2" t="str">
        <f t="shared" si="14"/>
        <v>2015 Kansas City Royals</v>
      </c>
      <c r="E465" s="60">
        <f>'Batting Data'!K465/'Batting Data'!J465</f>
        <v>0.16155988857938719</v>
      </c>
      <c r="F465" s="60">
        <f>'Batting Data'!L465/'Batting Data'!J465</f>
        <v>4.8839368616527393E-2</v>
      </c>
      <c r="G465" s="60">
        <f>'Batting Data'!M465/'Batting Data'!J465</f>
        <v>4.8282265552460537E-3</v>
      </c>
      <c r="H465" s="60">
        <f>'Batting Data'!N465/'Batting Data'!J465</f>
        <v>3.4726090993500464E-2</v>
      </c>
      <c r="I465" s="60">
        <f>'Batting Data'!O465/'Batting Data'!J465</f>
        <v>0.10454967502321262</v>
      </c>
      <c r="J465" s="60">
        <f>'Batting Data'!P465/'Batting Data'!J465</f>
        <v>1.1142061281337047E-2</v>
      </c>
      <c r="K465" s="60">
        <f>'Batting Data'!Q465/'Batting Data'!J465</f>
        <v>0.63435468895078928</v>
      </c>
      <c r="L465" s="2" t="str">
        <f t="shared" si="15"/>
        <v>2015 Kansas City Royals</v>
      </c>
      <c r="M465" s="58">
        <f>'Pitching Data'!Q465/'Pitching Data'!P465</f>
        <v>0.15559676331759947</v>
      </c>
      <c r="N465" s="58">
        <f>'Pitching Data'!R465/'Pitching Data'!P465</f>
        <v>3.8604180714767365E-2</v>
      </c>
      <c r="O465" s="58">
        <f>'Pitching Data'!S465/'Pitching Data'!P465</f>
        <v>3.3715441672285905E-3</v>
      </c>
      <c r="P465" s="58">
        <f>'Pitching Data'!T465/'Pitching Data'!P465</f>
        <v>2.4443695212407284E-2</v>
      </c>
      <c r="Q465" s="58">
        <f>'Pitching Data'!U465/'Pitching Data'!P465</f>
        <v>6.658799730276467E-2</v>
      </c>
      <c r="R465" s="58">
        <f>'Pitching Data'!V465/'Pitching Data'!P465</f>
        <v>6.4059339177343225E-3</v>
      </c>
      <c r="S465" s="58">
        <f>'Pitching Data'!W465/'Pitching Data'!P465</f>
        <v>0.70498988536749829</v>
      </c>
    </row>
    <row r="466" spans="2:19" x14ac:dyDescent="0.5">
      <c r="B466" s="2">
        <v>2015</v>
      </c>
      <c r="C466" s="2" t="s">
        <v>66</v>
      </c>
      <c r="D466" s="2" t="str">
        <f t="shared" si="14"/>
        <v>2015 Los Angeles Dodgers</v>
      </c>
      <c r="E466" s="60">
        <f>'Batting Data'!K466/'Batting Data'!J466</f>
        <v>0.18744279699798647</v>
      </c>
      <c r="F466" s="60">
        <f>'Batting Data'!L466/'Batting Data'!J466</f>
        <v>4.3199707120629691E-2</v>
      </c>
      <c r="G466" s="60">
        <f>'Batting Data'!M466/'Batting Data'!J466</f>
        <v>7.3219842577338457E-3</v>
      </c>
      <c r="H466" s="60">
        <f>'Batting Data'!N466/'Batting Data'!J466</f>
        <v>2.1965952773201538E-2</v>
      </c>
      <c r="I466" s="60">
        <f>'Batting Data'!O466/'Batting Data'!J466</f>
        <v>6.8643602416254806E-2</v>
      </c>
      <c r="J466" s="60">
        <f>'Batting Data'!P466/'Batting Data'!J466</f>
        <v>7.1389346512904994E-3</v>
      </c>
      <c r="K466" s="60">
        <f>'Batting Data'!Q466/'Batting Data'!J466</f>
        <v>0.66428702178290322</v>
      </c>
      <c r="L466" s="2" t="str">
        <f t="shared" si="15"/>
        <v>2015 Los Angeles Dodgers</v>
      </c>
      <c r="M466" s="58">
        <f>'Pitching Data'!Q466/'Pitching Data'!P466</f>
        <v>0.15305785123966942</v>
      </c>
      <c r="N466" s="58">
        <f>'Pitching Data'!R466/'Pitching Data'!P466</f>
        <v>4.5950413223140495E-2</v>
      </c>
      <c r="O466" s="58">
        <f>'Pitching Data'!S466/'Pitching Data'!P466</f>
        <v>4.7933884297520664E-3</v>
      </c>
      <c r="P466" s="58">
        <f>'Pitching Data'!T466/'Pitching Data'!P466</f>
        <v>2.3305785123966943E-2</v>
      </c>
      <c r="Q466" s="58">
        <f>'Pitching Data'!U466/'Pitching Data'!P466</f>
        <v>8.3966942148760326E-2</v>
      </c>
      <c r="R466" s="58">
        <f>'Pitching Data'!V466/'Pitching Data'!P466</f>
        <v>8.5950413223140499E-3</v>
      </c>
      <c r="S466" s="58">
        <f>'Pitching Data'!W466/'Pitching Data'!P466</f>
        <v>0.68033057851239664</v>
      </c>
    </row>
    <row r="467" spans="2:19" x14ac:dyDescent="0.5">
      <c r="B467" s="2">
        <v>2015</v>
      </c>
      <c r="C467" s="2" t="s">
        <v>68</v>
      </c>
      <c r="D467" s="2" t="str">
        <f t="shared" si="14"/>
        <v>2015 Milwaukee Brewers</v>
      </c>
      <c r="E467" s="60">
        <f>'Batting Data'!K467/'Batting Data'!J467</f>
        <v>0.16879562043795621</v>
      </c>
      <c r="F467" s="60">
        <f>'Batting Data'!L467/'Batting Data'!J467</f>
        <v>0.05</v>
      </c>
      <c r="G467" s="60">
        <f>'Batting Data'!M467/'Batting Data'!J467</f>
        <v>6.2043795620437955E-3</v>
      </c>
      <c r="H467" s="60">
        <f>'Batting Data'!N467/'Batting Data'!J467</f>
        <v>2.6459854014598539E-2</v>
      </c>
      <c r="I467" s="60">
        <f>'Batting Data'!O467/'Batting Data'!J467</f>
        <v>7.518248175182482E-2</v>
      </c>
      <c r="J467" s="60">
        <f>'Batting Data'!P467/'Batting Data'!J467</f>
        <v>7.4817518248175181E-3</v>
      </c>
      <c r="K467" s="60">
        <f>'Batting Data'!Q467/'Batting Data'!J467</f>
        <v>0.6658759124087591</v>
      </c>
      <c r="L467" s="2" t="str">
        <f t="shared" si="15"/>
        <v>2015 Milwaukee Brewers</v>
      </c>
      <c r="M467" s="58">
        <f>'Pitching Data'!Q467/'Pitching Data'!P467</f>
        <v>0.15224463240078073</v>
      </c>
      <c r="N467" s="58">
        <f>'Pitching Data'!R467/'Pitching Data'!P467</f>
        <v>4.66818477553676E-2</v>
      </c>
      <c r="O467" s="58">
        <f>'Pitching Data'!S467/'Pitching Data'!P467</f>
        <v>5.3675992192582954E-3</v>
      </c>
      <c r="P467" s="58">
        <f>'Pitching Data'!T467/'Pitching Data'!P467</f>
        <v>2.8627195836044242E-2</v>
      </c>
      <c r="Q467" s="58">
        <f>'Pitching Data'!U467/'Pitching Data'!P467</f>
        <v>8.4092387768379961E-2</v>
      </c>
      <c r="R467" s="58">
        <f>'Pitching Data'!V467/'Pitching Data'!P467</f>
        <v>8.9459986987638265E-3</v>
      </c>
      <c r="S467" s="58">
        <f>'Pitching Data'!W467/'Pitching Data'!P467</f>
        <v>0.67404033832140531</v>
      </c>
    </row>
    <row r="468" spans="2:19" x14ac:dyDescent="0.5">
      <c r="B468" s="2">
        <v>2015</v>
      </c>
      <c r="C468" s="2" t="s">
        <v>70</v>
      </c>
      <c r="D468" s="2" t="str">
        <f t="shared" si="14"/>
        <v>2015 Minnesota Twins</v>
      </c>
      <c r="E468" s="60">
        <f>'Batting Data'!K468/'Batting Data'!J468</f>
        <v>0.15950246936162429</v>
      </c>
      <c r="F468" s="60">
        <f>'Batting Data'!L468/'Batting Data'!J468</f>
        <v>5.0667642216937994E-2</v>
      </c>
      <c r="G468" s="60">
        <f>'Batting Data'!M468/'Batting Data'!J468</f>
        <v>8.0482897384305842E-3</v>
      </c>
      <c r="H468" s="60">
        <f>'Batting Data'!N468/'Batting Data'!J468</f>
        <v>2.8534845436253887E-2</v>
      </c>
      <c r="I468" s="60">
        <f>'Batting Data'!O468/'Batting Data'!J468</f>
        <v>8.0299981708432416E-2</v>
      </c>
      <c r="J468" s="60">
        <f>'Batting Data'!P468/'Batting Data'!J468</f>
        <v>7.3166270349368937E-3</v>
      </c>
      <c r="K468" s="60">
        <f>'Batting Data'!Q468/'Batting Data'!J468</f>
        <v>0.66563014450338398</v>
      </c>
      <c r="L468" s="2" t="str">
        <f t="shared" si="15"/>
        <v>2015 Minnesota Twins</v>
      </c>
      <c r="M468" s="58">
        <f>'Pitching Data'!Q468/'Pitching Data'!P468</f>
        <v>0.16663951783678124</v>
      </c>
      <c r="N468" s="58">
        <f>'Pitching Data'!R468/'Pitching Data'!P468</f>
        <v>4.8053428897214527E-2</v>
      </c>
      <c r="O468" s="58">
        <f>'Pitching Data'!S468/'Pitching Data'!P468</f>
        <v>4.0723244828147903E-3</v>
      </c>
      <c r="P468" s="58">
        <f>'Pitching Data'!T468/'Pitching Data'!P468</f>
        <v>2.6551555627952434E-2</v>
      </c>
      <c r="Q468" s="58">
        <f>'Pitching Data'!U468/'Pitching Data'!P468</f>
        <v>6.7274800456100348E-2</v>
      </c>
      <c r="R468" s="58">
        <f>'Pitching Data'!V468/'Pitching Data'!P468</f>
        <v>6.6786121518162571E-3</v>
      </c>
      <c r="S468" s="58">
        <f>'Pitching Data'!W468/'Pitching Data'!P468</f>
        <v>0.68072976054732037</v>
      </c>
    </row>
    <row r="469" spans="2:19" x14ac:dyDescent="0.5">
      <c r="B469" s="2">
        <v>2015</v>
      </c>
      <c r="C469" s="2" t="s">
        <v>76</v>
      </c>
      <c r="D469" s="2" t="str">
        <f t="shared" si="14"/>
        <v>2015 New York Mets</v>
      </c>
      <c r="E469" s="60">
        <f>'Batting Data'!K469/'Batting Data'!J469</f>
        <v>0.15596164284421929</v>
      </c>
      <c r="F469" s="60">
        <f>'Batting Data'!L469/'Batting Data'!J469</f>
        <v>5.3374344128822145E-2</v>
      </c>
      <c r="G469" s="60">
        <f>'Batting Data'!M469/'Batting Data'!J469</f>
        <v>3.0758096616609371E-3</v>
      </c>
      <c r="H469" s="60">
        <f>'Batting Data'!N469/'Batting Data'!J469</f>
        <v>3.2024606477293285E-2</v>
      </c>
      <c r="I469" s="60">
        <f>'Batting Data'!O469/'Batting Data'!J469</f>
        <v>8.8293830287678662E-2</v>
      </c>
      <c r="J469" s="60">
        <f>'Batting Data'!P469/'Batting Data'!J469</f>
        <v>1.2303238646643748E-2</v>
      </c>
      <c r="K469" s="60">
        <f>'Batting Data'!Q469/'Batting Data'!J469</f>
        <v>0.65496652795368193</v>
      </c>
      <c r="L469" s="2" t="str">
        <f t="shared" si="15"/>
        <v>2015 New York Mets</v>
      </c>
      <c r="M469" s="58">
        <f>'Pitching Data'!Q469/'Pitching Data'!P469</f>
        <v>0.15398610651670527</v>
      </c>
      <c r="N469" s="58">
        <f>'Pitching Data'!R469/'Pitching Data'!P469</f>
        <v>3.8868673503142576E-2</v>
      </c>
      <c r="O469" s="58">
        <f>'Pitching Data'!S469/'Pitching Data'!P469</f>
        <v>3.804168044988422E-3</v>
      </c>
      <c r="P469" s="58">
        <f>'Pitching Data'!T469/'Pitching Data'!P469</f>
        <v>2.514058881905392E-2</v>
      </c>
      <c r="Q469" s="58">
        <f>'Pitching Data'!U469/'Pitching Data'!P469</f>
        <v>6.3347667879589814E-2</v>
      </c>
      <c r="R469" s="58">
        <f>'Pitching Data'!V469/'Pitching Data'!P469</f>
        <v>7.277538868673503E-3</v>
      </c>
      <c r="S469" s="58">
        <f>'Pitching Data'!W469/'Pitching Data'!P469</f>
        <v>0.70757525636784646</v>
      </c>
    </row>
    <row r="470" spans="2:19" x14ac:dyDescent="0.5">
      <c r="B470" s="2">
        <v>2015</v>
      </c>
      <c r="C470" s="2" t="s">
        <v>74</v>
      </c>
      <c r="D470" s="2" t="str">
        <f t="shared" si="14"/>
        <v>2015 New York Yankees</v>
      </c>
      <c r="E470" s="60">
        <f>'Batting Data'!K470/'Batting Data'!J470</f>
        <v>0.16058918627627089</v>
      </c>
      <c r="F470" s="60">
        <f>'Batting Data'!L470/'Batting Data'!J470</f>
        <v>4.8859349739536553E-2</v>
      </c>
      <c r="G470" s="60">
        <f>'Batting Data'!M470/'Batting Data'!J470</f>
        <v>3.4129692832764505E-3</v>
      </c>
      <c r="H470" s="60">
        <f>'Batting Data'!N470/'Batting Data'!J470</f>
        <v>3.8081552002874081E-2</v>
      </c>
      <c r="I470" s="60">
        <f>'Batting Data'!O470/'Batting Data'!J470</f>
        <v>9.9514999101850188E-2</v>
      </c>
      <c r="J470" s="60">
        <f>'Batting Data'!P470/'Batting Data'!J470</f>
        <v>1.13166876234956E-2</v>
      </c>
      <c r="K470" s="60">
        <f>'Batting Data'!Q470/'Batting Data'!J470</f>
        <v>0.63822525597269619</v>
      </c>
      <c r="L470" s="2" t="str">
        <f t="shared" si="15"/>
        <v>2015 New York Yankees</v>
      </c>
      <c r="M470" s="58">
        <f>'Pitching Data'!Q470/'Pitching Data'!P470</f>
        <v>0.15328702955903731</v>
      </c>
      <c r="N470" s="58">
        <f>'Pitching Data'!R470/'Pitching Data'!P470</f>
        <v>4.1996446454530774E-2</v>
      </c>
      <c r="O470" s="58">
        <f>'Pitching Data'!S470/'Pitching Data'!P470</f>
        <v>4.0381198513971895E-3</v>
      </c>
      <c r="P470" s="58">
        <f>'Pitching Data'!T470/'Pitching Data'!P470</f>
        <v>2.9397512518171541E-2</v>
      </c>
      <c r="Q470" s="58">
        <f>'Pitching Data'!U470/'Pitching Data'!P470</f>
        <v>7.6562752382490717E-2</v>
      </c>
      <c r="R470" s="58">
        <f>'Pitching Data'!V470/'Pitching Data'!P470</f>
        <v>9.0453884671297044E-3</v>
      </c>
      <c r="S470" s="58">
        <f>'Pitching Data'!W470/'Pitching Data'!P470</f>
        <v>0.68567275076724277</v>
      </c>
    </row>
    <row r="471" spans="2:19" x14ac:dyDescent="0.5">
      <c r="B471" s="2">
        <v>2015</v>
      </c>
      <c r="C471" s="2" t="s">
        <v>78</v>
      </c>
      <c r="D471" s="2" t="str">
        <f t="shared" si="14"/>
        <v>2015 Oakland Athletics</v>
      </c>
      <c r="E471" s="60">
        <f>'Batting Data'!K471/'Batting Data'!J471</f>
        <v>0.16714285714285715</v>
      </c>
      <c r="F471" s="60">
        <f>'Batting Data'!L471/'Batting Data'!J471</f>
        <v>4.9464285714285718E-2</v>
      </c>
      <c r="G471" s="60">
        <f>'Batting Data'!M471/'Batting Data'!J471</f>
        <v>8.2142857142857139E-3</v>
      </c>
      <c r="H471" s="60">
        <f>'Batting Data'!N471/'Batting Data'!J471</f>
        <v>2.6071428571428572E-2</v>
      </c>
      <c r="I471" s="60">
        <f>'Batting Data'!O471/'Batting Data'!J471</f>
        <v>8.4821428571428575E-2</v>
      </c>
      <c r="J471" s="60">
        <f>'Batting Data'!P471/'Batting Data'!J471</f>
        <v>7.1428571428571426E-3</v>
      </c>
      <c r="K471" s="60">
        <f>'Batting Data'!Q471/'Batting Data'!J471</f>
        <v>0.65714285714285714</v>
      </c>
      <c r="L471" s="2" t="str">
        <f t="shared" si="15"/>
        <v>2015 Oakland Athletics</v>
      </c>
      <c r="M471" s="58">
        <f>'Pitching Data'!Q471/'Pitching Data'!P471</f>
        <v>0.15518929503916448</v>
      </c>
      <c r="N471" s="58">
        <f>'Pitching Data'!R471/'Pitching Data'!P471</f>
        <v>4.3407310704960837E-2</v>
      </c>
      <c r="O471" s="58">
        <f>'Pitching Data'!S471/'Pitching Data'!P471</f>
        <v>2.1214099216710185E-3</v>
      </c>
      <c r="P471" s="58">
        <f>'Pitching Data'!T471/'Pitching Data'!P471</f>
        <v>2.8067885117493474E-2</v>
      </c>
      <c r="Q471" s="58">
        <f>'Pitching Data'!U471/'Pitching Data'!P471</f>
        <v>7.7349869451697126E-2</v>
      </c>
      <c r="R471" s="58">
        <f>'Pitching Data'!V471/'Pitching Data'!P471</f>
        <v>7.6697127937336816E-3</v>
      </c>
      <c r="S471" s="58">
        <f>'Pitching Data'!W471/'Pitching Data'!P471</f>
        <v>0.68619451697127942</v>
      </c>
    </row>
    <row r="472" spans="2:19" x14ac:dyDescent="0.5">
      <c r="B472" s="2">
        <v>2015</v>
      </c>
      <c r="C472" s="2" t="s">
        <v>80</v>
      </c>
      <c r="D472" s="2" t="str">
        <f t="shared" si="14"/>
        <v>2015 Philadelphia Phillies</v>
      </c>
      <c r="E472" s="60">
        <f>'Batting Data'!K472/'Batting Data'!J472</f>
        <v>0.16910833785494664</v>
      </c>
      <c r="F472" s="60">
        <f>'Batting Data'!L472/'Batting Data'!J472</f>
        <v>4.9195152830529935E-2</v>
      </c>
      <c r="G472" s="60">
        <f>'Batting Data'!M472/'Batting Data'!J472</f>
        <v>6.6919877012117926E-3</v>
      </c>
      <c r="H472" s="60">
        <f>'Batting Data'!N472/'Batting Data'!J472</f>
        <v>2.3512389220473866E-2</v>
      </c>
      <c r="I472" s="60">
        <f>'Batting Data'!O472/'Batting Data'!J472</f>
        <v>6.9994574064026038E-2</v>
      </c>
      <c r="J472" s="60">
        <f>'Batting Data'!P472/'Batting Data'!J472</f>
        <v>9.7666847531199131E-3</v>
      </c>
      <c r="K472" s="60">
        <f>'Batting Data'!Q472/'Batting Data'!J472</f>
        <v>0.67173087357569183</v>
      </c>
      <c r="L472" s="2" t="str">
        <f t="shared" si="15"/>
        <v>2015 Philadelphia Phillies</v>
      </c>
      <c r="M472" s="58">
        <f>'Pitching Data'!Q472/'Pitching Data'!P472</f>
        <v>0.16866708780795958</v>
      </c>
      <c r="N472" s="58">
        <f>'Pitching Data'!R472/'Pitching Data'!P472</f>
        <v>4.7378395451674035E-2</v>
      </c>
      <c r="O472" s="58">
        <f>'Pitching Data'!S472/'Pitching Data'!P472</f>
        <v>5.2116234996841442E-3</v>
      </c>
      <c r="P472" s="58">
        <f>'Pitching Data'!T472/'Pitching Data'!P472</f>
        <v>3.0164245104232469E-2</v>
      </c>
      <c r="Q472" s="58">
        <f>'Pitching Data'!U472/'Pitching Data'!P472</f>
        <v>7.7068856601389762E-2</v>
      </c>
      <c r="R472" s="58">
        <f>'Pitching Data'!V472/'Pitching Data'!P472</f>
        <v>9.6336070751737203E-3</v>
      </c>
      <c r="S472" s="58">
        <f>'Pitching Data'!W472/'Pitching Data'!P472</f>
        <v>0.66187618445988627</v>
      </c>
    </row>
    <row r="473" spans="2:19" x14ac:dyDescent="0.5">
      <c r="B473" s="2">
        <v>2015</v>
      </c>
      <c r="C473" s="2" t="s">
        <v>82</v>
      </c>
      <c r="D473" s="2" t="str">
        <f t="shared" si="14"/>
        <v>2015 Pittsburgh Pirates</v>
      </c>
      <c r="E473" s="60">
        <f>'Batting Data'!K473/'Batting Data'!J473</f>
        <v>0.17812111525483929</v>
      </c>
      <c r="F473" s="60">
        <f>'Batting Data'!L473/'Batting Data'!J473</f>
        <v>5.185579825963417E-2</v>
      </c>
      <c r="G473" s="60">
        <f>'Batting Data'!M473/'Batting Data'!J473</f>
        <v>4.7948854555141182E-3</v>
      </c>
      <c r="H473" s="60">
        <f>'Batting Data'!N473/'Batting Data'!J473</f>
        <v>2.4862369028591725E-2</v>
      </c>
      <c r="I473" s="60">
        <f>'Batting Data'!O473/'Batting Data'!J473</f>
        <v>8.1868229444148469E-2</v>
      </c>
      <c r="J473" s="60">
        <f>'Batting Data'!P473/'Batting Data'!J473</f>
        <v>1.5805363168176167E-2</v>
      </c>
      <c r="K473" s="60">
        <f>'Batting Data'!Q473/'Batting Data'!J473</f>
        <v>0.64269223938909603</v>
      </c>
      <c r="L473" s="2" t="str">
        <f t="shared" si="15"/>
        <v>2015 Pittsburgh Pirates</v>
      </c>
      <c r="M473" s="58">
        <f>'Pitching Data'!Q473/'Pitching Data'!P473</f>
        <v>0.16106194690265488</v>
      </c>
      <c r="N473" s="58">
        <f>'Pitching Data'!R473/'Pitching Data'!P473</f>
        <v>4.1351568785197107E-2</v>
      </c>
      <c r="O473" s="58">
        <f>'Pitching Data'!S473/'Pitching Data'!P473</f>
        <v>3.8616251005631538E-3</v>
      </c>
      <c r="P473" s="58">
        <f>'Pitching Data'!T473/'Pitching Data'!P473</f>
        <v>1.7699115044247787E-2</v>
      </c>
      <c r="Q473" s="58">
        <f>'Pitching Data'!U473/'Pitching Data'!P473</f>
        <v>7.2888173773129519E-2</v>
      </c>
      <c r="R473" s="58">
        <f>'Pitching Data'!V473/'Pitching Data'!P473</f>
        <v>1.2067578439259855E-2</v>
      </c>
      <c r="S473" s="58">
        <f>'Pitching Data'!W473/'Pitching Data'!P473</f>
        <v>0.69106999195494767</v>
      </c>
    </row>
    <row r="474" spans="2:19" x14ac:dyDescent="0.5">
      <c r="B474" s="2">
        <v>2015</v>
      </c>
      <c r="C474" s="2" t="s">
        <v>84</v>
      </c>
      <c r="D474" s="2" t="str">
        <f t="shared" si="14"/>
        <v>2015 San Diego Padres</v>
      </c>
      <c r="E474" s="60">
        <f>'Batting Data'!K474/'Batting Data'!J474</f>
        <v>0.16126076598863845</v>
      </c>
      <c r="F474" s="60">
        <f>'Batting Data'!L474/'Batting Data'!J474</f>
        <v>4.7645226314824998E-2</v>
      </c>
      <c r="G474" s="60">
        <f>'Batting Data'!M474/'Batting Data'!J474</f>
        <v>6.5970313358988458E-3</v>
      </c>
      <c r="H474" s="60">
        <f>'Batting Data'!N474/'Batting Data'!J474</f>
        <v>2.7121128825361919E-2</v>
      </c>
      <c r="I474" s="60">
        <f>'Batting Data'!O474/'Batting Data'!J474</f>
        <v>7.8064870808136344E-2</v>
      </c>
      <c r="J474" s="60">
        <f>'Batting Data'!P474/'Batting Data'!J474</f>
        <v>7.3300348176653842E-3</v>
      </c>
      <c r="K474" s="60">
        <f>'Batting Data'!Q474/'Batting Data'!J474</f>
        <v>0.67198094190947411</v>
      </c>
      <c r="L474" s="2" t="str">
        <f t="shared" si="15"/>
        <v>2015 San Diego Padres</v>
      </c>
      <c r="M474" s="58">
        <f>'Pitching Data'!Q474/'Pitching Data'!P474</f>
        <v>0.14475627769571639</v>
      </c>
      <c r="N474" s="58">
        <f>'Pitching Data'!R474/'Pitching Data'!P474</f>
        <v>4.3984900705727886E-2</v>
      </c>
      <c r="O474" s="58">
        <f>'Pitching Data'!S474/'Pitching Data'!P474</f>
        <v>8.2061381913671426E-3</v>
      </c>
      <c r="P474" s="58">
        <f>'Pitching Data'!T474/'Pitching Data'!P474</f>
        <v>2.8064992614475627E-2</v>
      </c>
      <c r="Q474" s="58">
        <f>'Pitching Data'!U474/'Pitching Data'!P474</f>
        <v>8.4687346134908914E-2</v>
      </c>
      <c r="R474" s="58">
        <f>'Pitching Data'!V474/'Pitching Data'!P474</f>
        <v>8.8626292466765146E-3</v>
      </c>
      <c r="S474" s="58">
        <f>'Pitching Data'!W474/'Pitching Data'!P474</f>
        <v>0.68143771541112752</v>
      </c>
    </row>
    <row r="475" spans="2:19" x14ac:dyDescent="0.5">
      <c r="B475" s="2">
        <v>2015</v>
      </c>
      <c r="C475" s="2" t="s">
        <v>86</v>
      </c>
      <c r="D475" s="2" t="str">
        <f t="shared" si="14"/>
        <v>2015 Seattle Mariners</v>
      </c>
      <c r="E475" s="60">
        <f>'Batting Data'!K475/'Batting Data'!J475</f>
        <v>0.1617965367965368</v>
      </c>
      <c r="F475" s="60">
        <f>'Batting Data'!L475/'Batting Data'!J475</f>
        <v>4.7258297258297256E-2</v>
      </c>
      <c r="G475" s="60">
        <f>'Batting Data'!M475/'Batting Data'!J475</f>
        <v>3.968253968253968E-3</v>
      </c>
      <c r="H475" s="60">
        <f>'Batting Data'!N475/'Batting Data'!J475</f>
        <v>3.5714285714285712E-2</v>
      </c>
      <c r="I475" s="60">
        <f>'Batting Data'!O475/'Batting Data'!J475</f>
        <v>8.6219336219336223E-2</v>
      </c>
      <c r="J475" s="60">
        <f>'Batting Data'!P475/'Batting Data'!J475</f>
        <v>6.4935064935064939E-3</v>
      </c>
      <c r="K475" s="60">
        <f>'Batting Data'!Q475/'Batting Data'!J475</f>
        <v>0.65854978354978355</v>
      </c>
      <c r="L475" s="2" t="str">
        <f t="shared" si="15"/>
        <v>2015 Seattle Mariners</v>
      </c>
      <c r="M475" s="58">
        <f>'Pitching Data'!Q475/'Pitching Data'!P475</f>
        <v>0.15121324120199262</v>
      </c>
      <c r="N475" s="58">
        <f>'Pitching Data'!R475/'Pitching Data'!P475</f>
        <v>4.5797846697734214E-2</v>
      </c>
      <c r="O475" s="58">
        <f>'Pitching Data'!S475/'Pitching Data'!P475</f>
        <v>3.6959665756066207E-3</v>
      </c>
      <c r="P475" s="58">
        <f>'Pitching Data'!T475/'Pitching Data'!P475</f>
        <v>2.9085650008034709E-2</v>
      </c>
      <c r="Q475" s="58">
        <f>'Pitching Data'!U475/'Pitching Data'!P475</f>
        <v>7.8900851679254383E-2</v>
      </c>
      <c r="R475" s="58">
        <f>'Pitching Data'!V475/'Pitching Data'!P475</f>
        <v>1.1248593925759279E-2</v>
      </c>
      <c r="S475" s="58">
        <f>'Pitching Data'!W475/'Pitching Data'!P475</f>
        <v>0.68005784991161822</v>
      </c>
    </row>
    <row r="476" spans="2:19" x14ac:dyDescent="0.5">
      <c r="B476" s="2">
        <v>2015</v>
      </c>
      <c r="C476" s="2" t="s">
        <v>88</v>
      </c>
      <c r="D476" s="2" t="str">
        <f t="shared" si="14"/>
        <v>2015 San Francisco Giants</v>
      </c>
      <c r="E476" s="60">
        <f>'Batting Data'!K476/'Batting Data'!J476</f>
        <v>0.18382749326145553</v>
      </c>
      <c r="F476" s="60">
        <f>'Batting Data'!L476/'Batting Data'!J476</f>
        <v>5.1752021563342319E-2</v>
      </c>
      <c r="G476" s="60">
        <f>'Batting Data'!M476/'Batting Data'!J476</f>
        <v>7.0080862533692719E-3</v>
      </c>
      <c r="H476" s="60">
        <f>'Batting Data'!N476/'Batting Data'!J476</f>
        <v>2.4438454627133871E-2</v>
      </c>
      <c r="I476" s="60">
        <f>'Batting Data'!O476/'Batting Data'!J476</f>
        <v>8.2120395327942491E-2</v>
      </c>
      <c r="J476" s="60">
        <f>'Batting Data'!P476/'Batting Data'!J476</f>
        <v>8.8050314465408803E-3</v>
      </c>
      <c r="K476" s="60">
        <f>'Batting Data'!Q476/'Batting Data'!J476</f>
        <v>0.64204851752021563</v>
      </c>
      <c r="L476" s="2" t="str">
        <f t="shared" si="15"/>
        <v>2015 San Francisco Giants</v>
      </c>
      <c r="M476" s="58">
        <f>'Pitching Data'!Q476/'Pitching Data'!P476</f>
        <v>0.14844400066566815</v>
      </c>
      <c r="N476" s="58">
        <f>'Pitching Data'!R476/'Pitching Data'!P476</f>
        <v>4.0938592111832255E-2</v>
      </c>
      <c r="O476" s="58">
        <f>'Pitching Data'!S476/'Pitching Data'!P476</f>
        <v>8.4872690963554674E-3</v>
      </c>
      <c r="P476" s="58">
        <f>'Pitching Data'!T476/'Pitching Data'!P476</f>
        <v>2.5794641371276419E-2</v>
      </c>
      <c r="Q476" s="58">
        <f>'Pitching Data'!U476/'Pitching Data'!P476</f>
        <v>7.1725744716258949E-2</v>
      </c>
      <c r="R476" s="58">
        <f>'Pitching Data'!V476/'Pitching Data'!P476</f>
        <v>8.3208520552504571E-3</v>
      </c>
      <c r="S476" s="58">
        <f>'Pitching Data'!W476/'Pitching Data'!P476</f>
        <v>0.6962888999833583</v>
      </c>
    </row>
    <row r="477" spans="2:19" x14ac:dyDescent="0.5">
      <c r="B477" s="2">
        <v>2015</v>
      </c>
      <c r="C477" s="2" t="s">
        <v>90</v>
      </c>
      <c r="D477" s="2" t="str">
        <f t="shared" si="14"/>
        <v>2015 St. Louis Cardinals</v>
      </c>
      <c r="E477" s="60">
        <f>'Batting Data'!K477/'Batting Data'!J477</f>
        <v>0.16812545587162656</v>
      </c>
      <c r="F477" s="60">
        <f>'Batting Data'!L477/'Batting Data'!J477</f>
        <v>5.2516411378555797E-2</v>
      </c>
      <c r="G477" s="60">
        <f>'Batting Data'!M477/'Batting Data'!J477</f>
        <v>7.1115973741794312E-3</v>
      </c>
      <c r="H477" s="60">
        <f>'Batting Data'!N477/'Batting Data'!J477</f>
        <v>2.4981765134938001E-2</v>
      </c>
      <c r="I477" s="60">
        <f>'Batting Data'!O477/'Batting Data'!J477</f>
        <v>9.2268417213712622E-2</v>
      </c>
      <c r="J477" s="60">
        <f>'Batting Data'!P477/'Batting Data'!J477</f>
        <v>1.2035010940919038E-2</v>
      </c>
      <c r="K477" s="60">
        <f>'Batting Data'!Q477/'Batting Data'!J477</f>
        <v>0.64296134208606859</v>
      </c>
      <c r="L477" s="2" t="str">
        <f t="shared" si="15"/>
        <v>2015 St. Louis Cardinals</v>
      </c>
      <c r="M477" s="58">
        <f>'Pitching Data'!Q477/'Pitching Data'!P477</f>
        <v>0.15813498532768178</v>
      </c>
      <c r="N477" s="58">
        <f>'Pitching Data'!R477/'Pitching Data'!P477</f>
        <v>3.9126181936746003E-2</v>
      </c>
      <c r="O477" s="58">
        <f>'Pitching Data'!S477/'Pitching Data'!P477</f>
        <v>4.2386697098141506E-3</v>
      </c>
      <c r="P477" s="58">
        <f>'Pitching Data'!T477/'Pitching Data'!P477</f>
        <v>2.0052168242582328E-2</v>
      </c>
      <c r="Q477" s="58">
        <f>'Pitching Data'!U477/'Pitching Data'!P477</f>
        <v>7.776328659928268E-2</v>
      </c>
      <c r="R477" s="58">
        <f>'Pitching Data'!V477/'Pitching Data'!P477</f>
        <v>7.336159113139876E-3</v>
      </c>
      <c r="S477" s="58">
        <f>'Pitching Data'!W477/'Pitching Data'!P477</f>
        <v>0.69334854907075316</v>
      </c>
    </row>
    <row r="478" spans="2:19" x14ac:dyDescent="0.5">
      <c r="B478" s="2">
        <v>2015</v>
      </c>
      <c r="C478" s="2" t="s">
        <v>92</v>
      </c>
      <c r="D478" s="2" t="str">
        <f t="shared" si="14"/>
        <v>2015 Tampa Bay Devil Rays</v>
      </c>
      <c r="E478" s="60">
        <f>'Batting Data'!K478/'Batting Data'!J478</f>
        <v>0.16517775752051048</v>
      </c>
      <c r="F478" s="60">
        <f>'Batting Data'!L478/'Batting Data'!J478</f>
        <v>5.0683682771194165E-2</v>
      </c>
      <c r="G478" s="60">
        <f>'Batting Data'!M478/'Batting Data'!J478</f>
        <v>5.8340929808568826E-3</v>
      </c>
      <c r="H478" s="60">
        <f>'Batting Data'!N478/'Batting Data'!J478</f>
        <v>3.0446672743846857E-2</v>
      </c>
      <c r="I478" s="60">
        <f>'Batting Data'!O478/'Batting Data'!J478</f>
        <v>7.9489516864175019E-2</v>
      </c>
      <c r="J478" s="60">
        <f>'Batting Data'!P478/'Batting Data'!J478</f>
        <v>1.5314494074749316E-2</v>
      </c>
      <c r="K478" s="60">
        <f>'Batting Data'!Q478/'Batting Data'!J478</f>
        <v>0.65305378304466732</v>
      </c>
      <c r="L478" s="2" t="str">
        <f t="shared" si="15"/>
        <v>2015 Tampa Bay Devil Rays</v>
      </c>
      <c r="M478" s="58">
        <f>'Pitching Data'!Q478/'Pitching Data'!P478</f>
        <v>0.14631735046959959</v>
      </c>
      <c r="N478" s="58">
        <f>'Pitching Data'!R478/'Pitching Data'!P478</f>
        <v>3.8227055528093593E-2</v>
      </c>
      <c r="O478" s="58">
        <f>'Pitching Data'!S478/'Pitching Data'!P478</f>
        <v>3.1306640303180094E-3</v>
      </c>
      <c r="P478" s="58">
        <f>'Pitching Data'!T478/'Pitching Data'!P478</f>
        <v>2.8835063437139562E-2</v>
      </c>
      <c r="Q478" s="58">
        <f>'Pitching Data'!U478/'Pitching Data'!P478</f>
        <v>7.8596144340088978E-2</v>
      </c>
      <c r="R478" s="58">
        <f>'Pitching Data'!V478/'Pitching Data'!P478</f>
        <v>7.5795023891909704E-3</v>
      </c>
      <c r="S478" s="58">
        <f>'Pitching Data'!W478/'Pitching Data'!P478</f>
        <v>0.69731421980556929</v>
      </c>
    </row>
    <row r="479" spans="2:19" x14ac:dyDescent="0.5">
      <c r="B479" s="2">
        <v>2015</v>
      </c>
      <c r="C479" s="2" t="s">
        <v>94</v>
      </c>
      <c r="D479" s="2" t="str">
        <f t="shared" si="14"/>
        <v>2015 Texas Rangers</v>
      </c>
      <c r="E479" s="60">
        <f>'Batting Data'!K479/'Batting Data'!J479</f>
        <v>0.1698421339139902</v>
      </c>
      <c r="F479" s="60">
        <f>'Batting Data'!L479/'Batting Data'!J479</f>
        <v>5.0626020685900927E-2</v>
      </c>
      <c r="G479" s="60">
        <f>'Batting Data'!M479/'Batting Data'!J479</f>
        <v>5.8065686808201778E-3</v>
      </c>
      <c r="H479" s="60">
        <f>'Batting Data'!N479/'Batting Data'!J479</f>
        <v>3.1210306659408455E-2</v>
      </c>
      <c r="I479" s="60">
        <f>'Batting Data'!O479/'Batting Data'!J479</f>
        <v>9.1272001451642173E-2</v>
      </c>
      <c r="J479" s="60">
        <f>'Batting Data'!P479/'Batting Data'!J479</f>
        <v>1.3790600616947922E-2</v>
      </c>
      <c r="K479" s="60">
        <f>'Batting Data'!Q479/'Batting Data'!J479</f>
        <v>0.63745236799129013</v>
      </c>
      <c r="L479" s="2" t="str">
        <f t="shared" si="15"/>
        <v>2015 Texas Rangers</v>
      </c>
      <c r="M479" s="58">
        <f>'Pitching Data'!Q479/'Pitching Data'!P479</f>
        <v>0.15575221238938053</v>
      </c>
      <c r="N479" s="58">
        <f>'Pitching Data'!R479/'Pitching Data'!P479</f>
        <v>4.505229283990346E-2</v>
      </c>
      <c r="O479" s="58">
        <f>'Pitching Data'!S479/'Pitching Data'!P479</f>
        <v>6.4360418342719224E-3</v>
      </c>
      <c r="P479" s="58">
        <f>'Pitching Data'!T479/'Pitching Data'!P479</f>
        <v>2.7514078841512468E-2</v>
      </c>
      <c r="Q479" s="58">
        <f>'Pitching Data'!U479/'Pitching Data'!P479</f>
        <v>8.1737731295253413E-2</v>
      </c>
      <c r="R479" s="58">
        <f>'Pitching Data'!V479/'Pitching Data'!P479</f>
        <v>1.0136765888978279E-2</v>
      </c>
      <c r="S479" s="58">
        <f>'Pitching Data'!W479/'Pitching Data'!P479</f>
        <v>0.67337087691069997</v>
      </c>
    </row>
    <row r="480" spans="2:19" x14ac:dyDescent="0.5">
      <c r="B480" s="2">
        <v>2015</v>
      </c>
      <c r="C480" s="2" t="s">
        <v>96</v>
      </c>
      <c r="D480" s="2" t="str">
        <f t="shared" si="14"/>
        <v>2015 Toronto Blue Jays</v>
      </c>
      <c r="E480" s="60">
        <f>'Batting Data'!K480/'Batting Data'!J480</f>
        <v>0.16754401887819931</v>
      </c>
      <c r="F480" s="60">
        <f>'Batting Data'!L480/'Batting Data'!J480</f>
        <v>5.5908513341804321E-2</v>
      </c>
      <c r="G480" s="60">
        <f>'Batting Data'!M480/'Batting Data'!J480</f>
        <v>3.0858595026320565E-3</v>
      </c>
      <c r="H480" s="60">
        <f>'Batting Data'!N480/'Batting Data'!J480</f>
        <v>4.2112906153566894E-2</v>
      </c>
      <c r="I480" s="60">
        <f>'Batting Data'!O480/'Batting Data'!J480</f>
        <v>0.10346705391178072</v>
      </c>
      <c r="J480" s="60">
        <f>'Batting Data'!P480/'Batting Data'!J480</f>
        <v>9.8021419495371211E-3</v>
      </c>
      <c r="K480" s="60">
        <f>'Batting Data'!Q480/'Batting Data'!J480</f>
        <v>0.61807950626247954</v>
      </c>
      <c r="L480" s="2" t="str">
        <f t="shared" si="15"/>
        <v>2015 Toronto Blue Jays</v>
      </c>
      <c r="M480" s="58">
        <f>'Pitching Data'!Q480/'Pitching Data'!P480</f>
        <v>0.14756016042780748</v>
      </c>
      <c r="N480" s="58">
        <f>'Pitching Data'!R480/'Pitching Data'!P480</f>
        <v>4.4618983957219249E-2</v>
      </c>
      <c r="O480" s="58">
        <f>'Pitching Data'!S480/'Pitching Data'!P480</f>
        <v>5.0133689839572193E-3</v>
      </c>
      <c r="P480" s="58">
        <f>'Pitching Data'!T480/'Pitching Data'!P480</f>
        <v>2.8910427807486632E-2</v>
      </c>
      <c r="Q480" s="58">
        <f>'Pitching Data'!U480/'Pitching Data'!P480</f>
        <v>6.6343582887700536E-2</v>
      </c>
      <c r="R480" s="58">
        <f>'Pitching Data'!V480/'Pitching Data'!P480</f>
        <v>9.8596256684491974E-3</v>
      </c>
      <c r="S480" s="58">
        <f>'Pitching Data'!W480/'Pitching Data'!P480</f>
        <v>0.69769385026737973</v>
      </c>
    </row>
    <row r="481" spans="2:19" x14ac:dyDescent="0.5">
      <c r="B481" s="2">
        <v>2015</v>
      </c>
      <c r="C481" s="2" t="s">
        <v>100</v>
      </c>
      <c r="D481" s="2" t="str">
        <f t="shared" si="14"/>
        <v>2015 Washington Nationals</v>
      </c>
      <c r="E481" s="60">
        <f>'Batting Data'!K481/'Batting Data'!J481</f>
        <v>0.16728076639646278</v>
      </c>
      <c r="F481" s="60">
        <f>'Batting Data'!L481/'Batting Data'!J481</f>
        <v>4.8820928518791454E-2</v>
      </c>
      <c r="G481" s="60">
        <f>'Batting Data'!M481/'Batting Data'!J481</f>
        <v>2.3949889462048638E-3</v>
      </c>
      <c r="H481" s="60">
        <f>'Batting Data'!N481/'Batting Data'!J481</f>
        <v>3.2608695652173912E-2</v>
      </c>
      <c r="I481" s="60">
        <f>'Batting Data'!O481/'Batting Data'!J481</f>
        <v>9.929992630803243E-2</v>
      </c>
      <c r="J481" s="60">
        <f>'Batting Data'!P481/'Batting Data'!J481</f>
        <v>8.1061164333087691E-3</v>
      </c>
      <c r="K481" s="60">
        <f>'Batting Data'!Q481/'Batting Data'!J481</f>
        <v>0.64148857774502577</v>
      </c>
      <c r="L481" s="2" t="str">
        <f t="shared" si="15"/>
        <v>2015 Washington Nationals</v>
      </c>
      <c r="M481" s="58">
        <f>'Pitching Data'!Q481/'Pitching Data'!P481</f>
        <v>0.1594979079497908</v>
      </c>
      <c r="N481" s="58">
        <f>'Pitching Data'!R481/'Pitching Data'!P481</f>
        <v>0.04</v>
      </c>
      <c r="O481" s="58">
        <f>'Pitching Data'!S481/'Pitching Data'!P481</f>
        <v>4.8535564853556482E-3</v>
      </c>
      <c r="P481" s="58">
        <f>'Pitching Data'!T481/'Pitching Data'!P481</f>
        <v>2.4267782426778243E-2</v>
      </c>
      <c r="Q481" s="58">
        <f>'Pitching Data'!U481/'Pitching Data'!P481</f>
        <v>6.0920502092050209E-2</v>
      </c>
      <c r="R481" s="58">
        <f>'Pitching Data'!V481/'Pitching Data'!P481</f>
        <v>9.2050209205020925E-3</v>
      </c>
      <c r="S481" s="58">
        <f>'Pitching Data'!W481/'Pitching Data'!P481</f>
        <v>0.70125523012552304</v>
      </c>
    </row>
    <row r="482" spans="2:19" x14ac:dyDescent="0.5">
      <c r="B482" s="2">
        <v>2016</v>
      </c>
      <c r="C482" s="2" t="s">
        <v>36</v>
      </c>
      <c r="D482" s="2" t="str">
        <f t="shared" si="14"/>
        <v>2016 Anaheim Angels</v>
      </c>
      <c r="E482" s="60">
        <f>'Batting Data'!K482/'Batting Data'!J482</f>
        <v>0.17584238630086541</v>
      </c>
      <c r="F482" s="60">
        <f>'Batting Data'!L482/'Batting Data'!J482</f>
        <v>5.1371754741299944E-2</v>
      </c>
      <c r="G482" s="60">
        <f>'Batting Data'!M482/'Batting Data'!J482</f>
        <v>3.6825630638924692E-3</v>
      </c>
      <c r="H482" s="60">
        <f>'Batting Data'!N482/'Batting Data'!J482</f>
        <v>2.8723991898361258E-2</v>
      </c>
      <c r="I482" s="60">
        <f>'Batting Data'!O482/'Batting Data'!J482</f>
        <v>8.6724360154667654E-2</v>
      </c>
      <c r="J482" s="60">
        <f>'Batting Data'!P482/'Batting Data'!J482</f>
        <v>9.3905358129257963E-3</v>
      </c>
      <c r="K482" s="60">
        <f>'Batting Data'!Q482/'Batting Data'!J482</f>
        <v>0.64426440802798746</v>
      </c>
      <c r="L482" s="2" t="str">
        <f t="shared" si="15"/>
        <v>2016 Anaheim Angels</v>
      </c>
      <c r="M482" s="58">
        <f>'Pitching Data'!Q482/'Pitching Data'!P482</f>
        <v>0.15964052287581698</v>
      </c>
      <c r="N482" s="58">
        <f>'Pitching Data'!R482/'Pitching Data'!P482</f>
        <v>4.4934640522875817E-2</v>
      </c>
      <c r="O482" s="58">
        <f>'Pitching Data'!S482/'Pitching Data'!P482</f>
        <v>3.2679738562091504E-3</v>
      </c>
      <c r="P482" s="58">
        <f>'Pitching Data'!T482/'Pitching Data'!P482</f>
        <v>3.3986928104575161E-2</v>
      </c>
      <c r="Q482" s="58">
        <f>'Pitching Data'!U482/'Pitching Data'!P482</f>
        <v>8.1372549019607845E-2</v>
      </c>
      <c r="R482" s="58">
        <f>'Pitching Data'!V482/'Pitching Data'!P482</f>
        <v>9.1503267973856214E-3</v>
      </c>
      <c r="S482" s="58">
        <f>'Pitching Data'!W482/'Pitching Data'!P482</f>
        <v>0.66764705882352937</v>
      </c>
    </row>
    <row r="483" spans="2:19" x14ac:dyDescent="0.5">
      <c r="B483" s="2">
        <v>2016</v>
      </c>
      <c r="C483" s="2" t="s">
        <v>39</v>
      </c>
      <c r="D483" s="2" t="str">
        <f t="shared" si="14"/>
        <v>2016 Arizona Diamondbacks</v>
      </c>
      <c r="E483" s="60">
        <f>'Batting Data'!K483/'Batting Data'!J483</f>
        <v>0.16734333627537512</v>
      </c>
      <c r="F483" s="60">
        <f>'Batting Data'!L483/'Batting Data'!J483</f>
        <v>5.0308914386584289E-2</v>
      </c>
      <c r="G483" s="60">
        <f>'Batting Data'!M483/'Batting Data'!J483</f>
        <v>9.8852603706972644E-3</v>
      </c>
      <c r="H483" s="60">
        <f>'Batting Data'!N483/'Batting Data'!J483</f>
        <v>3.3539276257722857E-2</v>
      </c>
      <c r="I483" s="60">
        <f>'Batting Data'!O483/'Batting Data'!J483</f>
        <v>8.1729920564872022E-2</v>
      </c>
      <c r="J483" s="60">
        <f>'Batting Data'!P483/'Batting Data'!J483</f>
        <v>8.8261253309796991E-3</v>
      </c>
      <c r="K483" s="60">
        <f>'Batting Data'!Q483/'Batting Data'!J483</f>
        <v>0.64836716681376871</v>
      </c>
      <c r="L483" s="2" t="str">
        <f t="shared" si="15"/>
        <v>2016 Arizona Diamondbacks</v>
      </c>
      <c r="M483" s="58">
        <f>'Pitching Data'!Q483/'Pitching Data'!P483</f>
        <v>0.15317694578219668</v>
      </c>
      <c r="N483" s="58">
        <f>'Pitching Data'!R483/'Pitching Data'!P483</f>
        <v>5.2353580860649368E-2</v>
      </c>
      <c r="O483" s="58">
        <f>'Pitching Data'!S483/'Pitching Data'!P483</f>
        <v>5.9033711356221846E-3</v>
      </c>
      <c r="P483" s="58">
        <f>'Pitching Data'!T483/'Pitching Data'!P483</f>
        <v>3.1381078141991613E-2</v>
      </c>
      <c r="Q483" s="58">
        <f>'Pitching Data'!U483/'Pitching Data'!P483</f>
        <v>9.367717881000466E-2</v>
      </c>
      <c r="R483" s="58">
        <f>'Pitching Data'!V483/'Pitching Data'!P483</f>
        <v>8.8550567034332769E-3</v>
      </c>
      <c r="S483" s="58">
        <f>'Pitching Data'!W483/'Pitching Data'!P483</f>
        <v>0.65465278856610221</v>
      </c>
    </row>
    <row r="484" spans="2:19" x14ac:dyDescent="0.5">
      <c r="B484" s="2">
        <v>2016</v>
      </c>
      <c r="C484" s="2" t="s">
        <v>41</v>
      </c>
      <c r="D484" s="2" t="str">
        <f t="shared" si="14"/>
        <v>2016 Atlanta Braves</v>
      </c>
      <c r="E484" s="60">
        <f>'Batting Data'!K484/'Batting Data'!J484</f>
        <v>0.17410228509249184</v>
      </c>
      <c r="F484" s="60">
        <f>'Batting Data'!L484/'Batting Data'!J484</f>
        <v>5.3500181356546973E-2</v>
      </c>
      <c r="G484" s="60">
        <f>'Batting Data'!M484/'Batting Data'!J484</f>
        <v>4.8966267682263327E-3</v>
      </c>
      <c r="H484" s="60">
        <f>'Batting Data'!N484/'Batting Data'!J484</f>
        <v>2.2125498730504171E-2</v>
      </c>
      <c r="I484" s="60">
        <f>'Batting Data'!O484/'Batting Data'!J484</f>
        <v>9.1040986579615527E-2</v>
      </c>
      <c r="J484" s="60">
        <f>'Batting Data'!P484/'Batting Data'!J484</f>
        <v>1.0700036271309395E-2</v>
      </c>
      <c r="K484" s="60">
        <f>'Batting Data'!Q484/'Batting Data'!J484</f>
        <v>0.64363438520130578</v>
      </c>
      <c r="L484" s="2" t="str">
        <f t="shared" si="15"/>
        <v>2016 Atlanta Braves</v>
      </c>
      <c r="M484" s="58">
        <f>'Pitching Data'!Q484/'Pitching Data'!P484</f>
        <v>0.14832000000000001</v>
      </c>
      <c r="N484" s="58">
        <f>'Pitching Data'!R484/'Pitching Data'!P484</f>
        <v>4.2079999999999999E-2</v>
      </c>
      <c r="O484" s="58">
        <f>'Pitching Data'!S484/'Pitching Data'!P484</f>
        <v>7.5199999999999998E-3</v>
      </c>
      <c r="P484" s="58">
        <f>'Pitching Data'!T484/'Pitching Data'!P484</f>
        <v>2.8320000000000001E-2</v>
      </c>
      <c r="Q484" s="58">
        <f>'Pitching Data'!U484/'Pitching Data'!P484</f>
        <v>8.7520000000000001E-2</v>
      </c>
      <c r="R484" s="58">
        <f>'Pitching Data'!V484/'Pitching Data'!P484</f>
        <v>1.12E-2</v>
      </c>
      <c r="S484" s="58">
        <f>'Pitching Data'!W484/'Pitching Data'!P484</f>
        <v>0.67503999999999997</v>
      </c>
    </row>
    <row r="485" spans="2:19" x14ac:dyDescent="0.5">
      <c r="B485" s="2">
        <v>2016</v>
      </c>
      <c r="C485" s="2" t="s">
        <v>44</v>
      </c>
      <c r="D485" s="2" t="str">
        <f t="shared" si="14"/>
        <v>2016 Baltimore Orioles</v>
      </c>
      <c r="E485" s="60">
        <f>'Batting Data'!K485/'Batting Data'!J485</f>
        <v>0.16093410572049241</v>
      </c>
      <c r="F485" s="60">
        <f>'Batting Data'!L485/'Batting Data'!J485</f>
        <v>4.7972483707458366E-2</v>
      </c>
      <c r="G485" s="60">
        <f>'Batting Data'!M485/'Batting Data'!J485</f>
        <v>1.0861694424330196E-3</v>
      </c>
      <c r="H485" s="60">
        <f>'Batting Data'!N485/'Batting Data'!J485</f>
        <v>4.5800144822592322E-2</v>
      </c>
      <c r="I485" s="60">
        <f>'Batting Data'!O485/'Batting Data'!J485</f>
        <v>8.4721216509775529E-2</v>
      </c>
      <c r="J485" s="60">
        <f>'Batting Data'!P485/'Batting Data'!J485</f>
        <v>7.965242577842143E-3</v>
      </c>
      <c r="K485" s="60">
        <f>'Batting Data'!Q485/'Batting Data'!J485</f>
        <v>0.65152063721940623</v>
      </c>
      <c r="L485" s="2" t="str">
        <f t="shared" si="15"/>
        <v>2016 Baltimore Orioles</v>
      </c>
      <c r="M485" s="58">
        <f>'Pitching Data'!Q485/'Pitching Data'!P485</f>
        <v>0.14668409016661221</v>
      </c>
      <c r="N485" s="58">
        <f>'Pitching Data'!R485/'Pitching Data'!P485</f>
        <v>5.0473701404769686E-2</v>
      </c>
      <c r="O485" s="58">
        <f>'Pitching Data'!S485/'Pitching Data'!P485</f>
        <v>2.9402156158118264E-3</v>
      </c>
      <c r="P485" s="58">
        <f>'Pitching Data'!T485/'Pitching Data'!P485</f>
        <v>2.9892192094086899E-2</v>
      </c>
      <c r="Q485" s="58">
        <f>'Pitching Data'!U485/'Pitching Data'!P485</f>
        <v>8.9023195034302519E-2</v>
      </c>
      <c r="R485" s="58">
        <f>'Pitching Data'!V485/'Pitching Data'!P485</f>
        <v>8.3306109114668417E-3</v>
      </c>
      <c r="S485" s="58">
        <f>'Pitching Data'!W485/'Pitching Data'!P485</f>
        <v>0.67265599477295002</v>
      </c>
    </row>
    <row r="486" spans="2:19" x14ac:dyDescent="0.5">
      <c r="B486" s="2">
        <v>2016</v>
      </c>
      <c r="C486" s="2" t="s">
        <v>46</v>
      </c>
      <c r="D486" s="2" t="str">
        <f t="shared" si="14"/>
        <v>2016 Boston Red Sox</v>
      </c>
      <c r="E486" s="60">
        <f>'Batting Data'!K486/'Batting Data'!J486</f>
        <v>0.18024691358024691</v>
      </c>
      <c r="F486" s="60">
        <f>'Batting Data'!L486/'Batting Data'!J486</f>
        <v>6.0493827160493827E-2</v>
      </c>
      <c r="G486" s="60">
        <f>'Batting Data'!M486/'Batting Data'!J486</f>
        <v>4.4091710758377423E-3</v>
      </c>
      <c r="H486" s="60">
        <f>'Batting Data'!N486/'Batting Data'!J486</f>
        <v>3.6684303350970018E-2</v>
      </c>
      <c r="I486" s="60">
        <f>'Batting Data'!O486/'Batting Data'!J486</f>
        <v>9.841269841269841E-2</v>
      </c>
      <c r="J486" s="60">
        <f>'Batting Data'!P486/'Batting Data'!J486</f>
        <v>7.5837742504409169E-3</v>
      </c>
      <c r="K486" s="60">
        <f>'Batting Data'!Q486/'Batting Data'!J486</f>
        <v>0.61216931216931214</v>
      </c>
      <c r="L486" s="2" t="str">
        <f t="shared" si="15"/>
        <v>2016 Boston Red Sox</v>
      </c>
      <c r="M486" s="58">
        <f>'Pitching Data'!Q486/'Pitching Data'!P486</f>
        <v>0.14687963115428948</v>
      </c>
      <c r="N486" s="58">
        <f>'Pitching Data'!R486/'Pitching Data'!P486</f>
        <v>4.1330479170097148E-2</v>
      </c>
      <c r="O486" s="58">
        <f>'Pitching Data'!S486/'Pitching Data'!P486</f>
        <v>3.7872550633953565E-3</v>
      </c>
      <c r="P486" s="58">
        <f>'Pitching Data'!T486/'Pitching Data'!P486</f>
        <v>2.898073439815577E-2</v>
      </c>
      <c r="Q486" s="58">
        <f>'Pitching Data'!U486/'Pitching Data'!P486</f>
        <v>8.0684999176683675E-2</v>
      </c>
      <c r="R486" s="58">
        <f>'Pitching Data'!V486/'Pitching Data'!P486</f>
        <v>1.0703112135682528E-2</v>
      </c>
      <c r="S486" s="58">
        <f>'Pitching Data'!W486/'Pitching Data'!P486</f>
        <v>0.68763378890169602</v>
      </c>
    </row>
    <row r="487" spans="2:19" x14ac:dyDescent="0.5">
      <c r="B487" s="2">
        <v>2016</v>
      </c>
      <c r="C487" s="2" t="s">
        <v>50</v>
      </c>
      <c r="D487" s="2" t="str">
        <f t="shared" si="14"/>
        <v>2016 Chicago Cubs</v>
      </c>
      <c r="E487" s="60">
        <f>'Batting Data'!K487/'Batting Data'!J487</f>
        <v>0.16118480828638923</v>
      </c>
      <c r="F487" s="60">
        <f>'Batting Data'!L487/'Batting Data'!J487</f>
        <v>5.3243685262584044E-2</v>
      </c>
      <c r="G487" s="60">
        <f>'Batting Data'!M487/'Batting Data'!J487</f>
        <v>5.4515718698891517E-3</v>
      </c>
      <c r="H487" s="60">
        <f>'Batting Data'!N487/'Batting Data'!J487</f>
        <v>3.6162093403598036E-2</v>
      </c>
      <c r="I487" s="60">
        <f>'Batting Data'!O487/'Batting Data'!J487</f>
        <v>0.11920770488824278</v>
      </c>
      <c r="J487" s="60">
        <f>'Batting Data'!P487/'Batting Data'!J487</f>
        <v>1.7445029983645284E-2</v>
      </c>
      <c r="K487" s="60">
        <f>'Batting Data'!Q487/'Batting Data'!J487</f>
        <v>0.60730510630565149</v>
      </c>
      <c r="L487" s="2" t="str">
        <f t="shared" si="15"/>
        <v>2016 Chicago Cubs</v>
      </c>
      <c r="M487" s="58">
        <f>'Pitching Data'!Q487/'Pitching Data'!P487</f>
        <v>0.12506320579807853</v>
      </c>
      <c r="N487" s="58">
        <f>'Pitching Data'!R487/'Pitching Data'!P487</f>
        <v>3.4552502949603908E-2</v>
      </c>
      <c r="O487" s="58">
        <f>'Pitching Data'!S487/'Pitching Data'!P487</f>
        <v>2.5282319231417494E-3</v>
      </c>
      <c r="P487" s="58">
        <f>'Pitching Data'!T487/'Pitching Data'!P487</f>
        <v>2.7473453564807012E-2</v>
      </c>
      <c r="Q487" s="58">
        <f>'Pitching Data'!U487/'Pitching Data'!P487</f>
        <v>8.343165346367773E-2</v>
      </c>
      <c r="R487" s="58">
        <f>'Pitching Data'!V487/'Pitching Data'!P487</f>
        <v>1.0618574077195348E-2</v>
      </c>
      <c r="S487" s="58">
        <f>'Pitching Data'!W487/'Pitching Data'!P487</f>
        <v>0.71633237822349571</v>
      </c>
    </row>
    <row r="488" spans="2:19" x14ac:dyDescent="0.5">
      <c r="B488" s="2">
        <v>2016</v>
      </c>
      <c r="C488" s="2" t="s">
        <v>48</v>
      </c>
      <c r="D488" s="2" t="str">
        <f t="shared" si="14"/>
        <v>2016 Chicago White Sox</v>
      </c>
      <c r="E488" s="60">
        <f>'Batting Data'!K488/'Batting Data'!J488</f>
        <v>0.17117117117117117</v>
      </c>
      <c r="F488" s="60">
        <f>'Batting Data'!L488/'Batting Data'!J488</f>
        <v>4.9909909909909907E-2</v>
      </c>
      <c r="G488" s="60">
        <f>'Batting Data'!M488/'Batting Data'!J488</f>
        <v>5.9459459459459459E-3</v>
      </c>
      <c r="H488" s="60">
        <f>'Batting Data'!N488/'Batting Data'!J488</f>
        <v>3.027027027027027E-2</v>
      </c>
      <c r="I488" s="60">
        <f>'Batting Data'!O488/'Batting Data'!J488</f>
        <v>8.1981981981981977E-2</v>
      </c>
      <c r="J488" s="60">
        <f>'Batting Data'!P488/'Batting Data'!J488</f>
        <v>9.5495495495495492E-3</v>
      </c>
      <c r="K488" s="60">
        <f>'Batting Data'!Q488/'Batting Data'!J488</f>
        <v>0.65117117117117118</v>
      </c>
      <c r="L488" s="2" t="str">
        <f t="shared" si="15"/>
        <v>2016 Chicago White Sox</v>
      </c>
      <c r="M488" s="58">
        <f>'Pitching Data'!Q488/'Pitching Data'!P488</f>
        <v>0.14880568108457068</v>
      </c>
      <c r="N488" s="58">
        <f>'Pitching Data'!R488/'Pitching Data'!P488</f>
        <v>4.6804389928986445E-2</v>
      </c>
      <c r="O488" s="58">
        <f>'Pitching Data'!S488/'Pitching Data'!P488</f>
        <v>4.0348612007746936E-3</v>
      </c>
      <c r="P488" s="58">
        <f>'Pitching Data'!T488/'Pitching Data'!P488</f>
        <v>2.985797288573273E-2</v>
      </c>
      <c r="Q488" s="58">
        <f>'Pitching Data'!U488/'Pitching Data'!P488</f>
        <v>8.4086507424144613E-2</v>
      </c>
      <c r="R488" s="58">
        <f>'Pitching Data'!V488/'Pitching Data'!P488</f>
        <v>1.0974822466107165E-2</v>
      </c>
      <c r="S488" s="58">
        <f>'Pitching Data'!W488/'Pitching Data'!P488</f>
        <v>0.67543576500968372</v>
      </c>
    </row>
    <row r="489" spans="2:19" x14ac:dyDescent="0.5">
      <c r="B489" s="2">
        <v>2016</v>
      </c>
      <c r="C489" s="2" t="s">
        <v>52</v>
      </c>
      <c r="D489" s="2" t="str">
        <f t="shared" si="14"/>
        <v>2016 Cincinnati Reds</v>
      </c>
      <c r="E489" s="60">
        <f>'Batting Data'!K489/'Batting Data'!J489</f>
        <v>0.16930927647166027</v>
      </c>
      <c r="F489" s="60">
        <f>'Batting Data'!L489/'Batting Data'!J489</f>
        <v>5.0482959722981592E-2</v>
      </c>
      <c r="G489" s="60">
        <f>'Batting Data'!M489/'Batting Data'!J489</f>
        <v>6.0142154182613447E-3</v>
      </c>
      <c r="H489" s="60">
        <f>'Batting Data'!N489/'Batting Data'!J489</f>
        <v>2.98888281392382E-2</v>
      </c>
      <c r="I489" s="60">
        <f>'Batting Data'!O489/'Batting Data'!J489</f>
        <v>8.2376526334973568E-2</v>
      </c>
      <c r="J489" s="60">
        <f>'Batting Data'!P489/'Batting Data'!J489</f>
        <v>9.4769455075633321E-3</v>
      </c>
      <c r="K489" s="60">
        <f>'Batting Data'!Q489/'Batting Data'!J489</f>
        <v>0.65245124840532165</v>
      </c>
      <c r="L489" s="2" t="str">
        <f t="shared" si="15"/>
        <v>2016 Cincinnati Reds</v>
      </c>
      <c r="M489" s="58">
        <f>'Pitching Data'!Q489/'Pitching Data'!P489</f>
        <v>0.14492753623188406</v>
      </c>
      <c r="N489" s="58">
        <f>'Pitching Data'!R489/'Pitching Data'!P489</f>
        <v>4.1115311909262757E-2</v>
      </c>
      <c r="O489" s="58">
        <f>'Pitching Data'!S489/'Pitching Data'!P489</f>
        <v>2.8355387523629491E-3</v>
      </c>
      <c r="P489" s="58">
        <f>'Pitching Data'!T489/'Pitching Data'!P489</f>
        <v>4.0642722117202268E-2</v>
      </c>
      <c r="Q489" s="58">
        <f>'Pitching Data'!U489/'Pitching Data'!P489</f>
        <v>0.1001890359168242</v>
      </c>
      <c r="R489" s="58">
        <f>'Pitching Data'!V489/'Pitching Data'!P489</f>
        <v>1.2287334593572778E-2</v>
      </c>
      <c r="S489" s="58">
        <f>'Pitching Data'!W489/'Pitching Data'!P489</f>
        <v>0.65800252047889096</v>
      </c>
    </row>
    <row r="490" spans="2:19" x14ac:dyDescent="0.5">
      <c r="B490" s="2">
        <v>2016</v>
      </c>
      <c r="C490" s="2" t="s">
        <v>54</v>
      </c>
      <c r="D490" s="2" t="str">
        <f t="shared" si="14"/>
        <v>2016 Cleveland Indians</v>
      </c>
      <c r="E490" s="60">
        <f>'Batting Data'!K490/'Batting Data'!J490</f>
        <v>0.16648431801604668</v>
      </c>
      <c r="F490" s="60">
        <f>'Batting Data'!L490/'Batting Data'!J490</f>
        <v>5.6163384390955508E-2</v>
      </c>
      <c r="G490" s="60">
        <f>'Batting Data'!M490/'Batting Data'!J490</f>
        <v>5.2881108679795766E-3</v>
      </c>
      <c r="H490" s="60">
        <f>'Batting Data'!N490/'Batting Data'!J490</f>
        <v>3.3734500364697301E-2</v>
      </c>
      <c r="I490" s="60">
        <f>'Batting Data'!O490/'Batting Data'!J490</f>
        <v>9.6827133479212249E-2</v>
      </c>
      <c r="J490" s="60">
        <f>'Batting Data'!P490/'Batting Data'!J490</f>
        <v>8.935083880379285E-3</v>
      </c>
      <c r="K490" s="60">
        <f>'Batting Data'!Q490/'Batting Data'!J490</f>
        <v>0.63256746900072935</v>
      </c>
      <c r="L490" s="2" t="str">
        <f t="shared" si="15"/>
        <v>2016 Cleveland Indians</v>
      </c>
      <c r="M490" s="58">
        <f>'Pitching Data'!Q490/'Pitching Data'!P490</f>
        <v>0.13757666169401625</v>
      </c>
      <c r="N490" s="58">
        <f>'Pitching Data'!R490/'Pitching Data'!P490</f>
        <v>4.7571689043593567E-2</v>
      </c>
      <c r="O490" s="58">
        <f>'Pitching Data'!S490/'Pitching Data'!P490</f>
        <v>4.4753853804077575E-3</v>
      </c>
      <c r="P490" s="58">
        <f>'Pitching Data'!T490/'Pitching Data'!P490</f>
        <v>3.0830432620586774E-2</v>
      </c>
      <c r="Q490" s="58">
        <f>'Pitching Data'!U490/'Pitching Data'!P490</f>
        <v>7.6413061495110221E-2</v>
      </c>
      <c r="R490" s="58">
        <f>'Pitching Data'!V490/'Pitching Data'!P490</f>
        <v>5.6356704790319909E-3</v>
      </c>
      <c r="S490" s="58">
        <f>'Pitching Data'!W490/'Pitching Data'!P490</f>
        <v>0.69749709928725345</v>
      </c>
    </row>
    <row r="491" spans="2:19" x14ac:dyDescent="0.5">
      <c r="B491" s="2">
        <v>2016</v>
      </c>
      <c r="C491" s="2" t="s">
        <v>56</v>
      </c>
      <c r="D491" s="2" t="str">
        <f t="shared" si="14"/>
        <v>2016 Colorado Rockies</v>
      </c>
      <c r="E491" s="60">
        <f>'Batting Data'!K491/'Batting Data'!J491</f>
        <v>0.17367296045600286</v>
      </c>
      <c r="F491" s="60">
        <f>'Batting Data'!L491/'Batting Data'!J491</f>
        <v>5.6644104025650163E-2</v>
      </c>
      <c r="G491" s="60">
        <f>'Batting Data'!M491/'Batting Data'!J491</f>
        <v>8.3719273245457786E-3</v>
      </c>
      <c r="H491" s="60">
        <f>'Batting Data'!N491/'Batting Data'!J491</f>
        <v>3.6337727110794443E-2</v>
      </c>
      <c r="I491" s="60">
        <f>'Batting Data'!O491/'Batting Data'!J491</f>
        <v>8.7994299964374773E-2</v>
      </c>
      <c r="J491" s="60">
        <f>'Batting Data'!P491/'Batting Data'!J491</f>
        <v>7.1250445315283219E-3</v>
      </c>
      <c r="K491" s="60">
        <f>'Batting Data'!Q491/'Batting Data'!J491</f>
        <v>0.62985393658710365</v>
      </c>
      <c r="L491" s="2" t="str">
        <f t="shared" si="15"/>
        <v>2016 Colorado Rockies</v>
      </c>
      <c r="M491" s="58">
        <f>'Pitching Data'!Q491/'Pitching Data'!P491</f>
        <v>0.15709969788519637</v>
      </c>
      <c r="N491" s="58">
        <f>'Pitching Data'!R491/'Pitching Data'!P491</f>
        <v>4.9610430911114646E-2</v>
      </c>
      <c r="O491" s="58">
        <f>'Pitching Data'!S491/'Pitching Data'!P491</f>
        <v>8.1093973604706628E-3</v>
      </c>
      <c r="P491" s="58">
        <f>'Pitching Data'!T491/'Pitching Data'!P491</f>
        <v>2.8780410240101764E-2</v>
      </c>
      <c r="Q491" s="58">
        <f>'Pitching Data'!U491/'Pitching Data'!P491</f>
        <v>8.6977261885832408E-2</v>
      </c>
      <c r="R491" s="58">
        <f>'Pitching Data'!V491/'Pitching Data'!P491</f>
        <v>1.113054539672444E-2</v>
      </c>
      <c r="S491" s="58">
        <f>'Pitching Data'!W491/'Pitching Data'!P491</f>
        <v>0.65829225632055965</v>
      </c>
    </row>
    <row r="492" spans="2:19" x14ac:dyDescent="0.5">
      <c r="B492" s="2">
        <v>2016</v>
      </c>
      <c r="C492" s="2" t="s">
        <v>58</v>
      </c>
      <c r="D492" s="2" t="str">
        <f t="shared" si="14"/>
        <v>2016 Detroit Tigers</v>
      </c>
      <c r="E492" s="60">
        <f>'Batting Data'!K492/'Batting Data'!J492</f>
        <v>0.17788635541078537</v>
      </c>
      <c r="F492" s="60">
        <f>'Batting Data'!L492/'Batting Data'!J492</f>
        <v>4.5602605863192182E-2</v>
      </c>
      <c r="G492" s="60">
        <f>'Batting Data'!M492/'Batting Data'!J492</f>
        <v>5.4288816503800215E-3</v>
      </c>
      <c r="H492" s="60">
        <f>'Batting Data'!N492/'Batting Data'!J492</f>
        <v>3.8183134274339489E-2</v>
      </c>
      <c r="I492" s="60">
        <f>'Batting Data'!O492/'Batting Data'!J492</f>
        <v>8.9214621787911688E-2</v>
      </c>
      <c r="J492" s="60">
        <f>'Batting Data'!P492/'Batting Data'!J492</f>
        <v>9.5910242490047058E-3</v>
      </c>
      <c r="K492" s="60">
        <f>'Batting Data'!Q492/'Batting Data'!J492</f>
        <v>0.63409337676438648</v>
      </c>
      <c r="L492" s="2" t="str">
        <f t="shared" si="15"/>
        <v>2016 Detroit Tigers</v>
      </c>
      <c r="M492" s="58">
        <f>'Pitching Data'!Q492/'Pitching Data'!P492</f>
        <v>0.15591931216931218</v>
      </c>
      <c r="N492" s="58">
        <f>'Pitching Data'!R492/'Pitching Data'!P492</f>
        <v>4.1335978835978837E-2</v>
      </c>
      <c r="O492" s="58">
        <f>'Pitching Data'!S492/'Pitching Data'!P492</f>
        <v>6.9444444444444441E-3</v>
      </c>
      <c r="P492" s="58">
        <f>'Pitching Data'!T492/'Pitching Data'!P492</f>
        <v>3.0092592592592591E-2</v>
      </c>
      <c r="Q492" s="58">
        <f>'Pitching Data'!U492/'Pitching Data'!P492</f>
        <v>7.6388888888888895E-2</v>
      </c>
      <c r="R492" s="58">
        <f>'Pitching Data'!V492/'Pitching Data'!P492</f>
        <v>8.4325396825396821E-3</v>
      </c>
      <c r="S492" s="58">
        <f>'Pitching Data'!W492/'Pitching Data'!P492</f>
        <v>0.68088624338624337</v>
      </c>
    </row>
    <row r="493" spans="2:19" x14ac:dyDescent="0.5">
      <c r="B493" s="2">
        <v>2016</v>
      </c>
      <c r="C493" s="2" t="s">
        <v>60</v>
      </c>
      <c r="D493" s="2" t="str">
        <f t="shared" si="14"/>
        <v>2016 Florida Marlins</v>
      </c>
      <c r="E493" s="60">
        <f>'Batting Data'!K493/'Batting Data'!J493</f>
        <v>0.15311091073038774</v>
      </c>
      <c r="F493" s="60">
        <f>'Batting Data'!L493/'Batting Data'!J493</f>
        <v>5.2479711451758337E-2</v>
      </c>
      <c r="G493" s="60">
        <f>'Batting Data'!M493/'Batting Data'!J493</f>
        <v>5.2299368800721368E-3</v>
      </c>
      <c r="H493" s="60">
        <f>'Batting Data'!N493/'Batting Data'!J493</f>
        <v>3.5707844905320106E-2</v>
      </c>
      <c r="I493" s="60">
        <f>'Batting Data'!O493/'Batting Data'!J493</f>
        <v>9.9909828674481518E-2</v>
      </c>
      <c r="J493" s="60">
        <f>'Batting Data'!P493/'Batting Data'!J493</f>
        <v>8.4761045987376011E-3</v>
      </c>
      <c r="K493" s="60">
        <f>'Batting Data'!Q493/'Batting Data'!J493</f>
        <v>0.64508566275924251</v>
      </c>
      <c r="L493" s="2" t="str">
        <f t="shared" si="15"/>
        <v>2016 Florida Marlins</v>
      </c>
      <c r="M493" s="58">
        <f>'Pitching Data'!Q493/'Pitching Data'!P493</f>
        <v>0.14530744336569579</v>
      </c>
      <c r="N493" s="58">
        <f>'Pitching Data'!R493/'Pitching Data'!P493</f>
        <v>5.1779935275080909E-2</v>
      </c>
      <c r="O493" s="58">
        <f>'Pitching Data'!S493/'Pitching Data'!P493</f>
        <v>6.7961165048543689E-3</v>
      </c>
      <c r="P493" s="58">
        <f>'Pitching Data'!T493/'Pitching Data'!P493</f>
        <v>2.9288025889967637E-2</v>
      </c>
      <c r="Q493" s="58">
        <f>'Pitching Data'!U493/'Pitching Data'!P493</f>
        <v>7.3300970873786411E-2</v>
      </c>
      <c r="R493" s="58">
        <f>'Pitching Data'!V493/'Pitching Data'!P493</f>
        <v>6.3106796116504851E-3</v>
      </c>
      <c r="S493" s="58">
        <f>'Pitching Data'!W493/'Pitching Data'!P493</f>
        <v>0.68721682847896437</v>
      </c>
    </row>
    <row r="494" spans="2:19" x14ac:dyDescent="0.5">
      <c r="B494" s="2">
        <v>2016</v>
      </c>
      <c r="C494" s="2" t="s">
        <v>62</v>
      </c>
      <c r="D494" s="2" t="str">
        <f t="shared" si="14"/>
        <v>2016 Houston Astros</v>
      </c>
      <c r="E494" s="60">
        <f>'Batting Data'!K494/'Batting Data'!J494</f>
        <v>0.18119596541786742</v>
      </c>
      <c r="F494" s="60">
        <f>'Batting Data'!L494/'Batting Data'!J494</f>
        <v>4.7550432276657062E-2</v>
      </c>
      <c r="G494" s="60">
        <f>'Batting Data'!M494/'Batting Data'!J494</f>
        <v>5.9438040345821327E-3</v>
      </c>
      <c r="H494" s="60">
        <f>'Batting Data'!N494/'Batting Data'!J494</f>
        <v>2.6476945244956772E-2</v>
      </c>
      <c r="I494" s="60">
        <f>'Batting Data'!O494/'Batting Data'!J494</f>
        <v>6.8804034582132564E-2</v>
      </c>
      <c r="J494" s="60">
        <f>'Batting Data'!P494/'Batting Data'!J494</f>
        <v>8.1051873198847262E-3</v>
      </c>
      <c r="K494" s="60">
        <f>'Batting Data'!Q494/'Batting Data'!J494</f>
        <v>0.66192363112391928</v>
      </c>
      <c r="L494" s="2" t="str">
        <f t="shared" si="15"/>
        <v>2016 Houston Astros</v>
      </c>
      <c r="M494" s="58">
        <f>'Pitching Data'!Q494/'Pitching Data'!P494</f>
        <v>0.15496603041087026</v>
      </c>
      <c r="N494" s="58">
        <f>'Pitching Data'!R494/'Pitching Data'!P494</f>
        <v>4.0116467162730506E-2</v>
      </c>
      <c r="O494" s="58">
        <f>'Pitching Data'!S494/'Pitching Data'!P494</f>
        <v>3.3969589129731479E-3</v>
      </c>
      <c r="P494" s="58">
        <f>'Pitching Data'!T494/'Pitching Data'!P494</f>
        <v>3.3322549336784212E-2</v>
      </c>
      <c r="Q494" s="58">
        <f>'Pitching Data'!U494/'Pitching Data'!P494</f>
        <v>8.3629893238434158E-2</v>
      </c>
      <c r="R494" s="58">
        <f>'Pitching Data'!V494/'Pitching Data'!P494</f>
        <v>9.7055968942089937E-3</v>
      </c>
      <c r="S494" s="58">
        <f>'Pitching Data'!W494/'Pitching Data'!P494</f>
        <v>0.67486250404399872</v>
      </c>
    </row>
    <row r="495" spans="2:19" x14ac:dyDescent="0.5">
      <c r="B495" s="2">
        <v>2016</v>
      </c>
      <c r="C495" s="2" t="s">
        <v>64</v>
      </c>
      <c r="D495" s="2" t="str">
        <f t="shared" si="14"/>
        <v>2016 Kansas City Royals</v>
      </c>
      <c r="E495" s="60">
        <f>'Batting Data'!K495/'Batting Data'!J495</f>
        <v>0.1620152229068503</v>
      </c>
      <c r="F495" s="60">
        <f>'Batting Data'!L495/'Batting Data'!J495</f>
        <v>4.9293222181949981E-2</v>
      </c>
      <c r="G495" s="60">
        <f>'Batting Data'!M495/'Batting Data'!J495</f>
        <v>3.8057267125770206E-3</v>
      </c>
      <c r="H495" s="60">
        <f>'Batting Data'!N495/'Batting Data'!J495</f>
        <v>3.4251540413193185E-2</v>
      </c>
      <c r="I495" s="60">
        <f>'Batting Data'!O495/'Batting Data'!J495</f>
        <v>9.5143167814425514E-2</v>
      </c>
      <c r="J495" s="60">
        <f>'Batting Data'!P495/'Batting Data'!J495</f>
        <v>1.0511054729974628E-2</v>
      </c>
      <c r="K495" s="60">
        <f>'Batting Data'!Q495/'Batting Data'!J495</f>
        <v>0.64498006524102935</v>
      </c>
      <c r="L495" s="2" t="str">
        <f t="shared" si="15"/>
        <v>2016 Kansas City Royals</v>
      </c>
      <c r="M495" s="58">
        <f>'Pitching Data'!Q495/'Pitching Data'!P495</f>
        <v>0.14133688061190555</v>
      </c>
      <c r="N495" s="58">
        <f>'Pitching Data'!R495/'Pitching Data'!P495</f>
        <v>3.7412703691386766E-2</v>
      </c>
      <c r="O495" s="58">
        <f>'Pitching Data'!S495/'Pitching Data'!P495</f>
        <v>4.323245759893582E-3</v>
      </c>
      <c r="P495" s="58">
        <f>'Pitching Data'!T495/'Pitching Data'!P495</f>
        <v>2.743598270701696E-2</v>
      </c>
      <c r="Q495" s="58">
        <f>'Pitching Data'!U495/'Pitching Data'!P495</f>
        <v>7.7153308945793156E-2</v>
      </c>
      <c r="R495" s="58">
        <f>'Pitching Data'!V495/'Pitching Data'!P495</f>
        <v>8.8127702028599937E-3</v>
      </c>
      <c r="S495" s="58">
        <f>'Pitching Data'!W495/'Pitching Data'!P495</f>
        <v>0.70352510808114399</v>
      </c>
    </row>
    <row r="496" spans="2:19" x14ac:dyDescent="0.5">
      <c r="B496" s="2">
        <v>2016</v>
      </c>
      <c r="C496" s="2" t="s">
        <v>66</v>
      </c>
      <c r="D496" s="2" t="str">
        <f t="shared" si="14"/>
        <v>2016 Los Angeles Dodgers</v>
      </c>
      <c r="E496" s="60">
        <f>'Batting Data'!K496/'Batting Data'!J496</f>
        <v>0.18586623400036056</v>
      </c>
      <c r="F496" s="60">
        <f>'Batting Data'!L496/'Batting Data'!J496</f>
        <v>4.6691905534523168E-2</v>
      </c>
      <c r="G496" s="60">
        <f>'Batting Data'!M496/'Batting Data'!J496</f>
        <v>7.5716603569497025E-3</v>
      </c>
      <c r="H496" s="60">
        <f>'Batting Data'!N496/'Batting Data'!J496</f>
        <v>2.3075536325941951E-2</v>
      </c>
      <c r="I496" s="60">
        <f>'Batting Data'!O496/'Batting Data'!J496</f>
        <v>8.0584099513250407E-2</v>
      </c>
      <c r="J496" s="60">
        <f>'Batting Data'!P496/'Batting Data'!J496</f>
        <v>9.7349918875067609E-3</v>
      </c>
      <c r="K496" s="60">
        <f>'Batting Data'!Q496/'Batting Data'!J496</f>
        <v>0.64647557238146747</v>
      </c>
      <c r="L496" s="2" t="str">
        <f t="shared" si="15"/>
        <v>2016 Los Angeles Dodgers</v>
      </c>
      <c r="M496" s="58">
        <f>'Pitching Data'!Q496/'Pitching Data'!P496</f>
        <v>0.14909149902660609</v>
      </c>
      <c r="N496" s="58">
        <f>'Pitching Data'!R496/'Pitching Data'!P496</f>
        <v>4.1531473069435429E-2</v>
      </c>
      <c r="O496" s="58">
        <f>'Pitching Data'!S496/'Pitching Data'!P496</f>
        <v>5.0292018170019466E-3</v>
      </c>
      <c r="P496" s="58">
        <f>'Pitching Data'!T496/'Pitching Data'!P496</f>
        <v>2.4659312134977289E-2</v>
      </c>
      <c r="Q496" s="58">
        <f>'Pitching Data'!U496/'Pitching Data'!P496</f>
        <v>9.6528228423101881E-2</v>
      </c>
      <c r="R496" s="58">
        <f>'Pitching Data'!V496/'Pitching Data'!P496</f>
        <v>9.8961713173264122E-3</v>
      </c>
      <c r="S496" s="58">
        <f>'Pitching Data'!W496/'Pitching Data'!P496</f>
        <v>0.67326411421155097</v>
      </c>
    </row>
    <row r="497" spans="2:19" x14ac:dyDescent="0.5">
      <c r="B497" s="2">
        <v>2016</v>
      </c>
      <c r="C497" s="2" t="s">
        <v>68</v>
      </c>
      <c r="D497" s="2" t="str">
        <f t="shared" si="14"/>
        <v>2016 Milwaukee Brewers</v>
      </c>
      <c r="E497" s="60">
        <f>'Batting Data'!K497/'Batting Data'!J497</f>
        <v>0.15703564727954972</v>
      </c>
      <c r="F497" s="60">
        <f>'Batting Data'!L497/'Batting Data'!J497</f>
        <v>4.6716697936210132E-2</v>
      </c>
      <c r="G497" s="60">
        <f>'Batting Data'!M497/'Batting Data'!J497</f>
        <v>3.5647279549718574E-3</v>
      </c>
      <c r="H497" s="60">
        <f>'Batting Data'!N497/'Batting Data'!J497</f>
        <v>3.6397748592870545E-2</v>
      </c>
      <c r="I497" s="60">
        <f>'Batting Data'!O497/'Batting Data'!J497</f>
        <v>0.1123827392120075</v>
      </c>
      <c r="J497" s="60">
        <f>'Batting Data'!P497/'Batting Data'!J497</f>
        <v>6.9418386491557228E-3</v>
      </c>
      <c r="K497" s="60">
        <f>'Batting Data'!Q497/'Batting Data'!J497</f>
        <v>0.6369606003752345</v>
      </c>
      <c r="L497" s="2" t="str">
        <f t="shared" si="15"/>
        <v>2016 Milwaukee Brewers</v>
      </c>
      <c r="M497" s="58">
        <f>'Pitching Data'!Q497/'Pitching Data'!P497</f>
        <v>0.1523917259211377</v>
      </c>
      <c r="N497" s="58">
        <f>'Pitching Data'!R497/'Pitching Data'!P497</f>
        <v>4.7349709114414995E-2</v>
      </c>
      <c r="O497" s="58">
        <f>'Pitching Data'!S497/'Pitching Data'!P497</f>
        <v>5.8177117000646414E-3</v>
      </c>
      <c r="P497" s="58">
        <f>'Pitching Data'!T497/'Pitching Data'!P497</f>
        <v>2.8765352294764058E-2</v>
      </c>
      <c r="Q497" s="58">
        <f>'Pitching Data'!U497/'Pitching Data'!P497</f>
        <v>8.5972850678733032E-2</v>
      </c>
      <c r="R497" s="58">
        <f>'Pitching Data'!V497/'Pitching Data'!P497</f>
        <v>1.0665804783451843E-2</v>
      </c>
      <c r="S497" s="58">
        <f>'Pitching Data'!W497/'Pitching Data'!P497</f>
        <v>0.6690368455074337</v>
      </c>
    </row>
    <row r="498" spans="2:19" x14ac:dyDescent="0.5">
      <c r="B498" s="2">
        <v>2016</v>
      </c>
      <c r="C498" s="2" t="s">
        <v>70</v>
      </c>
      <c r="D498" s="2" t="str">
        <f t="shared" si="14"/>
        <v>2016 Minnesota Twins</v>
      </c>
      <c r="E498" s="60">
        <f>'Batting Data'!K498/'Batting Data'!J498</f>
        <v>0.15770736917052333</v>
      </c>
      <c r="F498" s="60">
        <f>'Batting Data'!L498/'Batting Data'!J498</f>
        <v>5.1263794944820223E-2</v>
      </c>
      <c r="G498" s="60">
        <f>'Batting Data'!M498/'Batting Data'!J498</f>
        <v>6.2299750800996799E-3</v>
      </c>
      <c r="H498" s="60">
        <f>'Batting Data'!N498/'Batting Data'!J498</f>
        <v>3.55998576005696E-2</v>
      </c>
      <c r="I498" s="60">
        <f>'Batting Data'!O498/'Batting Data'!J498</f>
        <v>9.1313634745461017E-2</v>
      </c>
      <c r="J498" s="60">
        <f>'Batting Data'!P498/'Batting Data'!J498</f>
        <v>7.8319686721253119E-3</v>
      </c>
      <c r="K498" s="60">
        <f>'Batting Data'!Q498/'Batting Data'!J498</f>
        <v>0.65005339978640087</v>
      </c>
      <c r="L498" s="2" t="str">
        <f t="shared" si="15"/>
        <v>2016 Minnesota Twins</v>
      </c>
      <c r="M498" s="58">
        <f>'Pitching Data'!Q498/'Pitching Data'!P498</f>
        <v>0.16471333544504277</v>
      </c>
      <c r="N498" s="58">
        <f>'Pitching Data'!R498/'Pitching Data'!P498</f>
        <v>5.1631295533734557E-2</v>
      </c>
      <c r="O498" s="58">
        <f>'Pitching Data'!S498/'Pitching Data'!P498</f>
        <v>4.7513462147608489E-3</v>
      </c>
      <c r="P498" s="58">
        <f>'Pitching Data'!T498/'Pitching Data'!P498</f>
        <v>3.5001583782071584E-2</v>
      </c>
      <c r="Q498" s="58">
        <f>'Pitching Data'!U498/'Pitching Data'!P498</f>
        <v>7.5863161229014889E-2</v>
      </c>
      <c r="R498" s="58">
        <f>'Pitching Data'!V498/'Pitching Data'!P498</f>
        <v>6.4935064935064939E-3</v>
      </c>
      <c r="S498" s="58">
        <f>'Pitching Data'!W498/'Pitching Data'!P498</f>
        <v>0.66154577130186887</v>
      </c>
    </row>
    <row r="499" spans="2:19" x14ac:dyDescent="0.5">
      <c r="B499" s="2">
        <v>2016</v>
      </c>
      <c r="C499" s="2" t="s">
        <v>76</v>
      </c>
      <c r="D499" s="2" t="str">
        <f t="shared" si="14"/>
        <v>2016 New York Mets</v>
      </c>
      <c r="E499" s="60">
        <f>'Batting Data'!K499/'Batting Data'!J499</f>
        <v>0.15845392929107896</v>
      </c>
      <c r="F499" s="60">
        <f>'Batting Data'!L499/'Batting Data'!J499</f>
        <v>4.396409598827624E-2</v>
      </c>
      <c r="G499" s="60">
        <f>'Batting Data'!M499/'Batting Data'!J499</f>
        <v>3.4804909324052022E-3</v>
      </c>
      <c r="H499" s="60">
        <f>'Batting Data'!N499/'Batting Data'!J499</f>
        <v>3.9934053856017587E-2</v>
      </c>
      <c r="I499" s="60">
        <f>'Batting Data'!O499/'Batting Data'!J499</f>
        <v>9.4705990108078397E-2</v>
      </c>
      <c r="J499" s="60">
        <f>'Batting Data'!P499/'Batting Data'!J499</f>
        <v>1.1357391463638029E-2</v>
      </c>
      <c r="K499" s="60">
        <f>'Batting Data'!Q499/'Batting Data'!J499</f>
        <v>0.64810404836050561</v>
      </c>
      <c r="L499" s="2" t="str">
        <f t="shared" si="15"/>
        <v>2016 New York Mets</v>
      </c>
      <c r="M499" s="58">
        <f>'Pitching Data'!Q499/'Pitching Data'!P499</f>
        <v>0.15790341190044502</v>
      </c>
      <c r="N499" s="58">
        <f>'Pitching Data'!R499/'Pitching Data'!P499</f>
        <v>4.2525135981539473E-2</v>
      </c>
      <c r="O499" s="58">
        <f>'Pitching Data'!S499/'Pitching Data'!P499</f>
        <v>4.7799571452118014E-3</v>
      </c>
      <c r="P499" s="58">
        <f>'Pitching Data'!T499/'Pitching Data'!P499</f>
        <v>2.5053568485248062E-2</v>
      </c>
      <c r="Q499" s="58">
        <f>'Pitching Data'!U499/'Pitching Data'!P499</f>
        <v>7.2358661611999345E-2</v>
      </c>
      <c r="R499" s="58">
        <f>'Pitching Data'!V499/'Pitching Data'!P499</f>
        <v>5.7689137959452781E-3</v>
      </c>
      <c r="S499" s="58">
        <f>'Pitching Data'!W499/'Pitching Data'!P499</f>
        <v>0.691610351079611</v>
      </c>
    </row>
    <row r="500" spans="2:19" x14ac:dyDescent="0.5">
      <c r="B500" s="2">
        <v>2016</v>
      </c>
      <c r="C500" s="2" t="s">
        <v>74</v>
      </c>
      <c r="D500" s="2" t="str">
        <f t="shared" si="14"/>
        <v>2016 New York Yankees</v>
      </c>
      <c r="E500" s="60">
        <f>'Batting Data'!K500/'Batting Data'!J500</f>
        <v>0.17039208501282521</v>
      </c>
      <c r="F500" s="60">
        <f>'Batting Data'!L500/'Batting Data'!J500</f>
        <v>4.4888237449615245E-2</v>
      </c>
      <c r="G500" s="60">
        <f>'Batting Data'!M500/'Batting Data'!J500</f>
        <v>3.6643459142543058E-3</v>
      </c>
      <c r="H500" s="60">
        <f>'Batting Data'!N500/'Batting Data'!J500</f>
        <v>3.3528765115426899E-2</v>
      </c>
      <c r="I500" s="60">
        <f>'Batting Data'!O500/'Batting Data'!J500</f>
        <v>8.7028215463539754E-2</v>
      </c>
      <c r="J500" s="60">
        <f>'Batting Data'!P500/'Batting Data'!J500</f>
        <v>7.6951264199340416E-3</v>
      </c>
      <c r="K500" s="60">
        <f>'Batting Data'!Q500/'Batting Data'!J500</f>
        <v>0.65280322462440454</v>
      </c>
      <c r="L500" s="2" t="str">
        <f t="shared" si="15"/>
        <v>2016 New York Yankees</v>
      </c>
      <c r="M500" s="58">
        <f>'Pitching Data'!Q500/'Pitching Data'!P500</f>
        <v>0.13996347335215009</v>
      </c>
      <c r="N500" s="58">
        <f>'Pitching Data'!R500/'Pitching Data'!P500</f>
        <v>4.6322430682384196E-2</v>
      </c>
      <c r="O500" s="58">
        <f>'Pitching Data'!S500/'Pitching Data'!P500</f>
        <v>3.6526647849908682E-3</v>
      </c>
      <c r="P500" s="58">
        <f>'Pitching Data'!T500/'Pitching Data'!P500</f>
        <v>3.5530466544911175E-2</v>
      </c>
      <c r="Q500" s="58">
        <f>'Pitching Data'!U500/'Pitching Data'!P500</f>
        <v>7.3717416569815702E-2</v>
      </c>
      <c r="R500" s="58">
        <f>'Pitching Data'!V500/'Pitching Data'!P500</f>
        <v>9.4637223974763408E-3</v>
      </c>
      <c r="S500" s="58">
        <f>'Pitching Data'!W500/'Pitching Data'!P500</f>
        <v>0.69134982566827163</v>
      </c>
    </row>
    <row r="501" spans="2:19" x14ac:dyDescent="0.5">
      <c r="B501" s="2">
        <v>2016</v>
      </c>
      <c r="C501" s="2" t="s">
        <v>78</v>
      </c>
      <c r="D501" s="2" t="str">
        <f t="shared" si="14"/>
        <v>2016 Oakland Athletics</v>
      </c>
      <c r="E501" s="60">
        <f>'Batting Data'!K501/'Batting Data'!J501</f>
        <v>0.16218181818181818</v>
      </c>
      <c r="F501" s="60">
        <f>'Batting Data'!L501/'Batting Data'!J501</f>
        <v>4.9090909090909088E-2</v>
      </c>
      <c r="G501" s="60">
        <f>'Batting Data'!M501/'Batting Data'!J501</f>
        <v>3.8181818181818182E-3</v>
      </c>
      <c r="H501" s="60">
        <f>'Batting Data'!N501/'Batting Data'!J501</f>
        <v>3.0727272727272728E-2</v>
      </c>
      <c r="I501" s="60">
        <f>'Batting Data'!O501/'Batting Data'!J501</f>
        <v>8.0363636363636359E-2</v>
      </c>
      <c r="J501" s="60">
        <f>'Batting Data'!P501/'Batting Data'!J501</f>
        <v>6.0000000000000001E-3</v>
      </c>
      <c r="K501" s="60">
        <f>'Batting Data'!Q501/'Batting Data'!J501</f>
        <v>0.66781818181818187</v>
      </c>
      <c r="L501" s="2" t="str">
        <f t="shared" si="15"/>
        <v>2016 Oakland Athletics</v>
      </c>
      <c r="M501" s="58">
        <f>'Pitching Data'!Q501/'Pitching Data'!P501</f>
        <v>0.15804036458333334</v>
      </c>
      <c r="N501" s="58">
        <f>'Pitching Data'!R501/'Pitching Data'!P501</f>
        <v>4.5084635416666664E-2</v>
      </c>
      <c r="O501" s="58">
        <f>'Pitching Data'!S501/'Pitching Data'!P501</f>
        <v>4.231770833333333E-3</v>
      </c>
      <c r="P501" s="58">
        <f>'Pitching Data'!T501/'Pitching Data'!P501</f>
        <v>3.0110677083333332E-2</v>
      </c>
      <c r="Q501" s="58">
        <f>'Pitching Data'!U501/'Pitching Data'!P501</f>
        <v>7.5520833333333329E-2</v>
      </c>
      <c r="R501" s="58">
        <f>'Pitching Data'!V501/'Pitching Data'!P501</f>
        <v>8.1380208333333339E-3</v>
      </c>
      <c r="S501" s="58">
        <f>'Pitching Data'!W501/'Pitching Data'!P501</f>
        <v>0.67887369791666663</v>
      </c>
    </row>
    <row r="502" spans="2:19" x14ac:dyDescent="0.5">
      <c r="B502" s="2">
        <v>2016</v>
      </c>
      <c r="C502" s="2" t="s">
        <v>80</v>
      </c>
      <c r="D502" s="2" t="str">
        <f t="shared" si="14"/>
        <v>2016 Philadelphia Phillies</v>
      </c>
      <c r="E502" s="60">
        <f>'Batting Data'!K502/'Batting Data'!J502</f>
        <v>0.16157526683842474</v>
      </c>
      <c r="F502" s="60">
        <f>'Batting Data'!L502/'Batting Data'!J502</f>
        <v>4.2510121457489877E-2</v>
      </c>
      <c r="G502" s="60">
        <f>'Batting Data'!M502/'Batting Data'!J502</f>
        <v>6.4409274935590729E-3</v>
      </c>
      <c r="H502" s="60">
        <f>'Batting Data'!N502/'Batting Data'!J502</f>
        <v>2.9628266470371735E-2</v>
      </c>
      <c r="I502" s="60">
        <f>'Batting Data'!O502/'Batting Data'!J502</f>
        <v>7.8027235921972762E-2</v>
      </c>
      <c r="J502" s="60">
        <f>'Batting Data'!P502/'Batting Data'!J502</f>
        <v>1.0673536989326464E-2</v>
      </c>
      <c r="K502" s="60">
        <f>'Batting Data'!Q502/'Batting Data'!J502</f>
        <v>0.67114464482885539</v>
      </c>
      <c r="L502" s="2" t="str">
        <f t="shared" si="15"/>
        <v>2016 Philadelphia Phillies</v>
      </c>
      <c r="M502" s="58">
        <f>'Pitching Data'!Q502/'Pitching Data'!P502</f>
        <v>0.1482803374432187</v>
      </c>
      <c r="N502" s="58">
        <f>'Pitching Data'!R502/'Pitching Data'!P502</f>
        <v>4.9967553536664502E-2</v>
      </c>
      <c r="O502" s="58">
        <f>'Pitching Data'!S502/'Pitching Data'!P502</f>
        <v>5.3536664503569115E-3</v>
      </c>
      <c r="P502" s="58">
        <f>'Pitching Data'!T502/'Pitching Data'!P502</f>
        <v>3.4555483452303699E-2</v>
      </c>
      <c r="Q502" s="58">
        <f>'Pitching Data'!U502/'Pitching Data'!P502</f>
        <v>7.5600259571706685E-2</v>
      </c>
      <c r="R502" s="58">
        <f>'Pitching Data'!V502/'Pitching Data'!P502</f>
        <v>8.2738481505515906E-3</v>
      </c>
      <c r="S502" s="58">
        <f>'Pitching Data'!W502/'Pitching Data'!P502</f>
        <v>0.67796885139519791</v>
      </c>
    </row>
    <row r="503" spans="2:19" x14ac:dyDescent="0.5">
      <c r="B503" s="2">
        <v>2016</v>
      </c>
      <c r="C503" s="2" t="s">
        <v>82</v>
      </c>
      <c r="D503" s="2" t="str">
        <f t="shared" si="14"/>
        <v>2016 Pittsburgh Pirates</v>
      </c>
      <c r="E503" s="60">
        <f>'Batting Data'!K503/'Batting Data'!J503</f>
        <v>0.17394442439552507</v>
      </c>
      <c r="F503" s="60">
        <f>'Batting Data'!L503/'Batting Data'!J503</f>
        <v>4.9981955972573079E-2</v>
      </c>
      <c r="G503" s="60">
        <f>'Batting Data'!M503/'Batting Data'!J503</f>
        <v>5.77408877661494E-3</v>
      </c>
      <c r="H503" s="60">
        <f>'Batting Data'!N503/'Batting Data'!J503</f>
        <v>2.7607361963190184E-2</v>
      </c>
      <c r="I503" s="60">
        <f>'Batting Data'!O503/'Batting Data'!J503</f>
        <v>0.10122699386503067</v>
      </c>
      <c r="J503" s="60">
        <f>'Batting Data'!P503/'Batting Data'!J503</f>
        <v>1.4615662215806569E-2</v>
      </c>
      <c r="K503" s="60">
        <f>'Batting Data'!Q503/'Batting Data'!J503</f>
        <v>0.62684951281125945</v>
      </c>
      <c r="L503" s="2" t="str">
        <f t="shared" si="15"/>
        <v>2016 Pittsburgh Pirates</v>
      </c>
      <c r="M503" s="58">
        <f>'Pitching Data'!Q503/'Pitching Data'!P503</f>
        <v>0.15066751430387795</v>
      </c>
      <c r="N503" s="58">
        <f>'Pitching Data'!R503/'Pitching Data'!P503</f>
        <v>5.1176096630642084E-2</v>
      </c>
      <c r="O503" s="58">
        <f>'Pitching Data'!S503/'Pitching Data'!P503</f>
        <v>6.3572790845518121E-3</v>
      </c>
      <c r="P503" s="58">
        <f>'Pitching Data'!T503/'Pitching Data'!P503</f>
        <v>2.8607755880483154E-2</v>
      </c>
      <c r="Q503" s="58">
        <f>'Pitching Data'!U503/'Pitching Data'!P503</f>
        <v>8.4710743801652888E-2</v>
      </c>
      <c r="R503" s="58">
        <f>'Pitching Data'!V503/'Pitching Data'!P503</f>
        <v>1.0807374443738081E-2</v>
      </c>
      <c r="S503" s="58">
        <f>'Pitching Data'!W503/'Pitching Data'!P503</f>
        <v>0.667673235855054</v>
      </c>
    </row>
    <row r="504" spans="2:19" x14ac:dyDescent="0.5">
      <c r="B504" s="2">
        <v>2016</v>
      </c>
      <c r="C504" s="2" t="s">
        <v>84</v>
      </c>
      <c r="D504" s="2" t="str">
        <f t="shared" si="14"/>
        <v>2016 San Diego Padres</v>
      </c>
      <c r="E504" s="60">
        <f>'Batting Data'!K504/'Batting Data'!J504</f>
        <v>0.15039675216829673</v>
      </c>
      <c r="F504" s="60">
        <f>'Batting Data'!L504/'Batting Data'!J504</f>
        <v>4.7425724303377007E-2</v>
      </c>
      <c r="G504" s="60">
        <f>'Batting Data'!M504/'Batting Data'!J504</f>
        <v>4.7979331980070126E-3</v>
      </c>
      <c r="H504" s="60">
        <f>'Batting Data'!N504/'Batting Data'!J504</f>
        <v>3.266285292489389E-2</v>
      </c>
      <c r="I504" s="60">
        <f>'Batting Data'!O504/'Batting Data'!J504</f>
        <v>8.2856615611736489E-2</v>
      </c>
      <c r="J504" s="60">
        <f>'Batting Data'!P504/'Batting Data'!J504</f>
        <v>1.0703081749400259E-2</v>
      </c>
      <c r="K504" s="60">
        <f>'Batting Data'!Q504/'Batting Data'!J504</f>
        <v>0.67115704004428867</v>
      </c>
      <c r="L504" s="2" t="str">
        <f t="shared" si="15"/>
        <v>2016 San Diego Padres</v>
      </c>
      <c r="M504" s="58">
        <f>'Pitching Data'!Q504/'Pitching Data'!P504</f>
        <v>0.14820166987797045</v>
      </c>
      <c r="N504" s="58">
        <f>'Pitching Data'!R504/'Pitching Data'!P504</f>
        <v>4.4155427103403984E-2</v>
      </c>
      <c r="O504" s="58">
        <f>'Pitching Data'!S504/'Pitching Data'!P504</f>
        <v>7.064868336544637E-3</v>
      </c>
      <c r="P504" s="58">
        <f>'Pitching Data'!T504/'Pitching Data'!P504</f>
        <v>2.9383429672447014E-2</v>
      </c>
      <c r="Q504" s="58">
        <f>'Pitching Data'!U504/'Pitching Data'!P504</f>
        <v>9.1361592806679506E-2</v>
      </c>
      <c r="R504" s="58">
        <f>'Pitching Data'!V504/'Pitching Data'!P504</f>
        <v>8.5099550417469493E-3</v>
      </c>
      <c r="S504" s="58">
        <f>'Pitching Data'!W504/'Pitching Data'!P504</f>
        <v>0.67132305716120744</v>
      </c>
    </row>
    <row r="505" spans="2:19" x14ac:dyDescent="0.5">
      <c r="B505" s="2">
        <v>2016</v>
      </c>
      <c r="C505" s="2" t="s">
        <v>86</v>
      </c>
      <c r="D505" s="2" t="str">
        <f t="shared" si="14"/>
        <v>2016 Seattle Mariners</v>
      </c>
      <c r="E505" s="60">
        <f>'Batting Data'!K505/'Batting Data'!J505</f>
        <v>0.17105498835751387</v>
      </c>
      <c r="F505" s="60">
        <f>'Batting Data'!L505/'Batting Data'!J505</f>
        <v>4.4957907934802074E-2</v>
      </c>
      <c r="G505" s="60">
        <f>'Batting Data'!M505/'Batting Data'!J505</f>
        <v>3.044957907934802E-3</v>
      </c>
      <c r="H505" s="60">
        <f>'Batting Data'!N505/'Batting Data'!J505</f>
        <v>3.9942683145262406E-2</v>
      </c>
      <c r="I505" s="60">
        <f>'Batting Data'!O505/'Batting Data'!J505</f>
        <v>9.0632276553824109E-2</v>
      </c>
      <c r="J505" s="60">
        <f>'Batting Data'!P505/'Batting Data'!J505</f>
        <v>1.2896292315959162E-2</v>
      </c>
      <c r="K505" s="60">
        <f>'Batting Data'!Q505/'Batting Data'!J505</f>
        <v>0.63747089378470356</v>
      </c>
      <c r="L505" s="2" t="str">
        <f t="shared" si="15"/>
        <v>2016 Seattle Mariners</v>
      </c>
      <c r="M505" s="58">
        <f>'Pitching Data'!Q505/'Pitching Data'!P505</f>
        <v>0.14657556531641452</v>
      </c>
      <c r="N505" s="58">
        <f>'Pitching Data'!R505/'Pitching Data'!P505</f>
        <v>4.4411908247925819E-2</v>
      </c>
      <c r="O505" s="58">
        <f>'Pitching Data'!S505/'Pitching Data'!P505</f>
        <v>3.7416625996421018E-3</v>
      </c>
      <c r="P505" s="58">
        <f>'Pitching Data'!T505/'Pitching Data'!P505</f>
        <v>3.4651049292337727E-2</v>
      </c>
      <c r="Q505" s="58">
        <f>'Pitching Data'!U505/'Pitching Data'!P505</f>
        <v>7.4833251992842034E-2</v>
      </c>
      <c r="R505" s="58">
        <f>'Pitching Data'!V505/'Pitching Data'!P505</f>
        <v>8.9474540426224183E-3</v>
      </c>
      <c r="S505" s="58">
        <f>'Pitching Data'!W505/'Pitching Data'!P505</f>
        <v>0.68683910850821539</v>
      </c>
    </row>
    <row r="506" spans="2:19" x14ac:dyDescent="0.5">
      <c r="B506" s="2">
        <v>2016</v>
      </c>
      <c r="C506" s="2" t="s">
        <v>88</v>
      </c>
      <c r="D506" s="2" t="str">
        <f t="shared" si="14"/>
        <v>2016 San Francisco Giants</v>
      </c>
      <c r="E506" s="60">
        <f>'Batting Data'!K506/'Batting Data'!J506</f>
        <v>0.17484276729559747</v>
      </c>
      <c r="F506" s="60">
        <f>'Batting Data'!L506/'Batting Data'!J506</f>
        <v>5.0314465408805034E-2</v>
      </c>
      <c r="G506" s="60">
        <f>'Batting Data'!M506/'Batting Data'!J506</f>
        <v>9.7035040431266845E-3</v>
      </c>
      <c r="H506" s="60">
        <f>'Batting Data'!N506/'Batting Data'!J506</f>
        <v>2.3360287511230909E-2</v>
      </c>
      <c r="I506" s="60">
        <f>'Batting Data'!O506/'Batting Data'!J506</f>
        <v>0.102785265049416</v>
      </c>
      <c r="J506" s="60">
        <f>'Batting Data'!P506/'Batting Data'!J506</f>
        <v>7.5471698113207548E-3</v>
      </c>
      <c r="K506" s="60">
        <f>'Batting Data'!Q506/'Batting Data'!J506</f>
        <v>0.63144654088050312</v>
      </c>
      <c r="L506" s="2" t="str">
        <f t="shared" si="15"/>
        <v>2016 San Francisco Giants</v>
      </c>
      <c r="M506" s="58">
        <f>'Pitching Data'!Q506/'Pitching Data'!P506</f>
        <v>0.14415605885270294</v>
      </c>
      <c r="N506" s="58">
        <f>'Pitching Data'!R506/'Pitching Data'!P506</f>
        <v>4.3312944288312116E-2</v>
      </c>
      <c r="O506" s="58">
        <f>'Pitching Data'!S506/'Pitching Data'!P506</f>
        <v>6.9432964126301868E-3</v>
      </c>
      <c r="P506" s="58">
        <f>'Pitching Data'!T506/'Pitching Data'!P506</f>
        <v>2.6120019837989752E-2</v>
      </c>
      <c r="Q506" s="58">
        <f>'Pitching Data'!U506/'Pitching Data'!P506</f>
        <v>7.2573979170110756E-2</v>
      </c>
      <c r="R506" s="58">
        <f>'Pitching Data'!V506/'Pitching Data'!P506</f>
        <v>7.6045627376425855E-3</v>
      </c>
      <c r="S506" s="58">
        <f>'Pitching Data'!W506/'Pitching Data'!P506</f>
        <v>0.69928913870061171</v>
      </c>
    </row>
    <row r="507" spans="2:19" x14ac:dyDescent="0.5">
      <c r="B507" s="2">
        <v>2016</v>
      </c>
      <c r="C507" s="2" t="s">
        <v>90</v>
      </c>
      <c r="D507" s="2" t="str">
        <f t="shared" si="14"/>
        <v>2016 St. Louis Cardinals</v>
      </c>
      <c r="E507" s="60">
        <f>'Batting Data'!K507/'Batting Data'!J507</f>
        <v>0.15483056957462149</v>
      </c>
      <c r="F507" s="60">
        <f>'Batting Data'!L507/'Batting Data'!J507</f>
        <v>5.3893294881038209E-2</v>
      </c>
      <c r="G507" s="60">
        <f>'Batting Data'!M507/'Batting Data'!J507</f>
        <v>5.7678442682047582E-3</v>
      </c>
      <c r="H507" s="60">
        <f>'Batting Data'!N507/'Batting Data'!J507</f>
        <v>4.0555155010814706E-2</v>
      </c>
      <c r="I507" s="60">
        <f>'Batting Data'!O507/'Batting Data'!J507</f>
        <v>9.4808940158615712E-2</v>
      </c>
      <c r="J507" s="60">
        <f>'Batting Data'!P507/'Batting Data'!J507</f>
        <v>1.2617159336697908E-2</v>
      </c>
      <c r="K507" s="60">
        <f>'Batting Data'!Q507/'Batting Data'!J507</f>
        <v>0.63752703677000722</v>
      </c>
      <c r="L507" s="2" t="str">
        <f t="shared" si="15"/>
        <v>2016 St. Louis Cardinals</v>
      </c>
      <c r="M507" s="58">
        <f>'Pitching Data'!Q507/'Pitching Data'!P507</f>
        <v>0.15785204412719014</v>
      </c>
      <c r="N507" s="58">
        <f>'Pitching Data'!R507/'Pitching Data'!P507</f>
        <v>4.5100584036340041E-2</v>
      </c>
      <c r="O507" s="58">
        <f>'Pitching Data'!S507/'Pitching Data'!P507</f>
        <v>3.5691109669046075E-3</v>
      </c>
      <c r="P507" s="58">
        <f>'Pitching Data'!T507/'Pitching Data'!P507</f>
        <v>2.5794938351719664E-2</v>
      </c>
      <c r="Q507" s="58">
        <f>'Pitching Data'!U507/'Pitching Data'!P507</f>
        <v>7.7060350421804022E-2</v>
      </c>
      <c r="R507" s="58">
        <f>'Pitching Data'!V507/'Pitching Data'!P507</f>
        <v>8.4360804672290717E-3</v>
      </c>
      <c r="S507" s="58">
        <f>'Pitching Data'!W507/'Pitching Data'!P507</f>
        <v>0.68218689162881241</v>
      </c>
    </row>
    <row r="508" spans="2:19" x14ac:dyDescent="0.5">
      <c r="B508" s="2">
        <v>2016</v>
      </c>
      <c r="C508" s="2" t="s">
        <v>92</v>
      </c>
      <c r="D508" s="2" t="str">
        <f t="shared" si="14"/>
        <v>2016 Tampa Bay Devil Rays</v>
      </c>
      <c r="E508" s="60">
        <f>'Batting Data'!K508/'Batting Data'!J508</f>
        <v>0.14541142127349024</v>
      </c>
      <c r="F508" s="60">
        <f>'Batting Data'!L508/'Batting Data'!J508</f>
        <v>5.2545155993431854E-2</v>
      </c>
      <c r="G508" s="60">
        <f>'Batting Data'!M508/'Batting Data'!J508</f>
        <v>5.8383506659368724E-3</v>
      </c>
      <c r="H508" s="60">
        <f>'Batting Data'!N508/'Batting Data'!J508</f>
        <v>3.9408866995073892E-2</v>
      </c>
      <c r="I508" s="60">
        <f>'Batting Data'!O508/'Batting Data'!J508</f>
        <v>8.1919357781426741E-2</v>
      </c>
      <c r="J508" s="60">
        <f>'Batting Data'!P508/'Batting Data'!J508</f>
        <v>1.2588943623426382E-2</v>
      </c>
      <c r="K508" s="60">
        <f>'Batting Data'!Q508/'Batting Data'!J508</f>
        <v>0.66228790366721402</v>
      </c>
      <c r="L508" s="2" t="str">
        <f t="shared" si="15"/>
        <v>2016 Tampa Bay Devil Rays</v>
      </c>
      <c r="M508" s="58">
        <f>'Pitching Data'!Q508/'Pitching Data'!P508</f>
        <v>0.15520078999341672</v>
      </c>
      <c r="N508" s="58">
        <f>'Pitching Data'!R508/'Pitching Data'!P508</f>
        <v>3.8347597103357473E-2</v>
      </c>
      <c r="O508" s="58">
        <f>'Pitching Data'!S508/'Pitching Data'!P508</f>
        <v>1.4812376563528638E-3</v>
      </c>
      <c r="P508" s="58">
        <f>'Pitching Data'!T508/'Pitching Data'!P508</f>
        <v>3.4562211981566823E-2</v>
      </c>
      <c r="Q508" s="58">
        <f>'Pitching Data'!U508/'Pitching Data'!P508</f>
        <v>8.0809743252139563E-2</v>
      </c>
      <c r="R508" s="58">
        <f>'Pitching Data'!V508/'Pitching Data'!P508</f>
        <v>5.2666227781435152E-3</v>
      </c>
      <c r="S508" s="58">
        <f>'Pitching Data'!W508/'Pitching Data'!P508</f>
        <v>0.68433179723502302</v>
      </c>
    </row>
    <row r="509" spans="2:19" x14ac:dyDescent="0.5">
      <c r="B509" s="2">
        <v>2016</v>
      </c>
      <c r="C509" s="2" t="s">
        <v>94</v>
      </c>
      <c r="D509" s="2" t="str">
        <f t="shared" si="14"/>
        <v>2016 Texas Rangers</v>
      </c>
      <c r="E509" s="60">
        <f>'Batting Data'!K509/'Batting Data'!J509</f>
        <v>0.1721266968325792</v>
      </c>
      <c r="F509" s="60">
        <f>'Batting Data'!L509/'Batting Data'!J509</f>
        <v>4.6515837104072401E-2</v>
      </c>
      <c r="G509" s="60">
        <f>'Batting Data'!M509/'Batting Data'!J509</f>
        <v>4.1628959276018103E-3</v>
      </c>
      <c r="H509" s="60">
        <f>'Batting Data'!N509/'Batting Data'!J509</f>
        <v>3.8914027149321267E-2</v>
      </c>
      <c r="I509" s="60">
        <f>'Batting Data'!O509/'Batting Data'!J509</f>
        <v>7.8914027149321261E-2</v>
      </c>
      <c r="J509" s="60">
        <f>'Batting Data'!P509/'Batting Data'!J509</f>
        <v>1.2669683257918552E-2</v>
      </c>
      <c r="K509" s="60">
        <f>'Batting Data'!Q509/'Batting Data'!J509</f>
        <v>0.64669683257918553</v>
      </c>
      <c r="L509" s="2" t="str">
        <f t="shared" si="15"/>
        <v>2016 Texas Rangers</v>
      </c>
      <c r="M509" s="58">
        <f>'Pitching Data'!Q509/'Pitching Data'!P509</f>
        <v>0.15486582605884255</v>
      </c>
      <c r="N509" s="58">
        <f>'Pitching Data'!R509/'Pitching Data'!P509</f>
        <v>4.2030391205948918E-2</v>
      </c>
      <c r="O509" s="58">
        <f>'Pitching Data'!S509/'Pitching Data'!P509</f>
        <v>3.5564177174264469E-3</v>
      </c>
      <c r="P509" s="58">
        <f>'Pitching Data'!T509/'Pitching Data'!P509</f>
        <v>3.2492725509214358E-2</v>
      </c>
      <c r="Q509" s="58">
        <f>'Pitching Data'!U509/'Pitching Data'!P509</f>
        <v>8.6323957322987394E-2</v>
      </c>
      <c r="R509" s="58">
        <f>'Pitching Data'!V509/'Pitching Data'!P509</f>
        <v>8.567733591981895E-3</v>
      </c>
      <c r="S509" s="58">
        <f>'Pitching Data'!W509/'Pitching Data'!P509</f>
        <v>0.67216294859359849</v>
      </c>
    </row>
    <row r="510" spans="2:19" x14ac:dyDescent="0.5">
      <c r="B510" s="2">
        <v>2016</v>
      </c>
      <c r="C510" s="2" t="s">
        <v>96</v>
      </c>
      <c r="D510" s="2" t="str">
        <f t="shared" si="14"/>
        <v>2016 Toronto Blue Jays</v>
      </c>
      <c r="E510" s="60">
        <f>'Batting Data'!K510/'Batting Data'!J510</f>
        <v>0.15386019346596094</v>
      </c>
      <c r="F510" s="60">
        <f>'Batting Data'!L510/'Batting Data'!J510</f>
        <v>5.0374155867859101E-2</v>
      </c>
      <c r="G510" s="60">
        <f>'Batting Data'!M510/'Batting Data'!J510</f>
        <v>3.2852710348603761E-3</v>
      </c>
      <c r="H510" s="60">
        <f>'Batting Data'!N510/'Batting Data'!J510</f>
        <v>4.0335827705785726E-2</v>
      </c>
      <c r="I510" s="60">
        <f>'Batting Data'!O510/'Batting Data'!J510</f>
        <v>0.11534951633509764</v>
      </c>
      <c r="J510" s="60">
        <f>'Batting Data'!P510/'Batting Data'!J510</f>
        <v>1.0038328162073371E-2</v>
      </c>
      <c r="K510" s="60">
        <f>'Batting Data'!Q510/'Batting Data'!J510</f>
        <v>0.62675670742836287</v>
      </c>
      <c r="L510" s="2" t="str">
        <f t="shared" si="15"/>
        <v>2016 Toronto Blue Jays</v>
      </c>
      <c r="M510" s="58">
        <f>'Pitching Data'!Q510/'Pitching Data'!P510</f>
        <v>0.1413381318501554</v>
      </c>
      <c r="N510" s="58">
        <f>'Pitching Data'!R510/'Pitching Data'!P510</f>
        <v>4.400458040242107E-2</v>
      </c>
      <c r="O510" s="58">
        <f>'Pitching Data'!S510/'Pitching Data'!P510</f>
        <v>3.9260592180598722E-3</v>
      </c>
      <c r="P510" s="58">
        <f>'Pitching Data'!T510/'Pitching Data'!P510</f>
        <v>2.9936201537706528E-2</v>
      </c>
      <c r="Q510" s="58">
        <f>'Pitching Data'!U510/'Pitching Data'!P510</f>
        <v>7.5413054146900055E-2</v>
      </c>
      <c r="R510" s="58">
        <f>'Pitching Data'!V510/'Pitching Data'!P510</f>
        <v>9.6515622443971855E-3</v>
      </c>
      <c r="S510" s="58">
        <f>'Pitching Data'!W510/'Pitching Data'!P510</f>
        <v>0.69573041060035989</v>
      </c>
    </row>
    <row r="511" spans="2:19" x14ac:dyDescent="0.5">
      <c r="B511" s="2">
        <v>2016</v>
      </c>
      <c r="C511" s="2" t="s">
        <v>100</v>
      </c>
      <c r="D511" s="2" t="str">
        <f t="shared" si="14"/>
        <v>2016 Washington Nationals</v>
      </c>
      <c r="E511" s="60">
        <f>'Batting Data'!K511/'Batting Data'!J511</f>
        <v>0.16448087431693989</v>
      </c>
      <c r="F511" s="60">
        <f>'Batting Data'!L511/'Batting Data'!J511</f>
        <v>4.8816029143897995E-2</v>
      </c>
      <c r="G511" s="60">
        <f>'Batting Data'!M511/'Batting Data'!J511</f>
        <v>5.282331511839709E-3</v>
      </c>
      <c r="H511" s="60">
        <f>'Batting Data'!N511/'Batting Data'!J511</f>
        <v>3.6976320582877961E-2</v>
      </c>
      <c r="I511" s="60">
        <f>'Batting Data'!O511/'Batting Data'!J511</f>
        <v>9.7632058287795989E-2</v>
      </c>
      <c r="J511" s="60">
        <f>'Batting Data'!P511/'Batting Data'!J511</f>
        <v>1.1657559198542805E-2</v>
      </c>
      <c r="K511" s="60">
        <f>'Batting Data'!Q511/'Batting Data'!J511</f>
        <v>0.63515482695810566</v>
      </c>
      <c r="L511" s="2" t="str">
        <f t="shared" si="15"/>
        <v>2016 Washington Nationals</v>
      </c>
      <c r="M511" s="58">
        <f>'Pitching Data'!Q511/'Pitching Data'!P511</f>
        <v>0.13883366467859509</v>
      </c>
      <c r="N511" s="58">
        <f>'Pitching Data'!R511/'Pitching Data'!P511</f>
        <v>4.1749502982107355E-2</v>
      </c>
      <c r="O511" s="58">
        <f>'Pitching Data'!S511/'Pitching Data'!P511</f>
        <v>4.4731610337972166E-3</v>
      </c>
      <c r="P511" s="58">
        <f>'Pitching Data'!T511/'Pitching Data'!P511</f>
        <v>2.5679257786613653E-2</v>
      </c>
      <c r="Q511" s="58">
        <f>'Pitching Data'!U511/'Pitching Data'!P511</f>
        <v>7.7534791252485094E-2</v>
      </c>
      <c r="R511" s="58">
        <f>'Pitching Data'!V511/'Pitching Data'!P511</f>
        <v>9.4433399602385677E-3</v>
      </c>
      <c r="S511" s="58">
        <f>'Pitching Data'!W511/'Pitching Data'!P511</f>
        <v>0.70228628230616297</v>
      </c>
    </row>
    <row r="512" spans="2:19" x14ac:dyDescent="0.5">
      <c r="B512" s="2">
        <v>2017</v>
      </c>
      <c r="C512" s="2" t="s">
        <v>36</v>
      </c>
      <c r="D512" s="2" t="str">
        <f t="shared" si="14"/>
        <v>2017 Anaheim Angels</v>
      </c>
      <c r="E512" s="60">
        <f>'Batting Data'!K512/'Batting Data'!J512</f>
        <v>0.15937211449676825</v>
      </c>
      <c r="F512" s="60">
        <f>'Batting Data'!L512/'Batting Data'!J512</f>
        <v>4.6352723915050784E-2</v>
      </c>
      <c r="G512" s="60">
        <f>'Batting Data'!M512/'Batting Data'!J512</f>
        <v>2.5854108956602033E-3</v>
      </c>
      <c r="H512" s="60">
        <f>'Batting Data'!N512/'Batting Data'!J512</f>
        <v>3.434903047091413E-2</v>
      </c>
      <c r="I512" s="60">
        <f>'Batting Data'!O512/'Batting Data'!J512</f>
        <v>9.6583564173591874E-2</v>
      </c>
      <c r="J512" s="60">
        <f>'Batting Data'!P512/'Batting Data'!J512</f>
        <v>1.2927054478301015E-2</v>
      </c>
      <c r="K512" s="60">
        <f>'Batting Data'!Q512/'Batting Data'!J512</f>
        <v>0.64783010156971377</v>
      </c>
      <c r="L512" s="2" t="str">
        <f t="shared" si="15"/>
        <v>2017 Anaheim Angels</v>
      </c>
      <c r="M512" s="58">
        <f>'Pitching Data'!Q512/'Pitching Data'!P512</f>
        <v>0.14378109452736318</v>
      </c>
      <c r="N512" s="58">
        <f>'Pitching Data'!R512/'Pitching Data'!P512</f>
        <v>4.39469320066335E-2</v>
      </c>
      <c r="O512" s="58">
        <f>'Pitching Data'!S512/'Pitching Data'!P512</f>
        <v>2.8192371475953566E-3</v>
      </c>
      <c r="P512" s="58">
        <f>'Pitching Data'!T512/'Pitching Data'!P512</f>
        <v>3.7147595356550579E-2</v>
      </c>
      <c r="Q512" s="58">
        <f>'Pitching Data'!U512/'Pitching Data'!P512</f>
        <v>7.7943615257048099E-2</v>
      </c>
      <c r="R512" s="58">
        <f>'Pitching Data'!V512/'Pitching Data'!P512</f>
        <v>7.2968490878938643E-3</v>
      </c>
      <c r="S512" s="58">
        <f>'Pitching Data'!W512/'Pitching Data'!P512</f>
        <v>0.68706467661691539</v>
      </c>
    </row>
    <row r="513" spans="2:19" x14ac:dyDescent="0.5">
      <c r="B513" s="2">
        <v>2017</v>
      </c>
      <c r="C513" s="2" t="s">
        <v>39</v>
      </c>
      <c r="D513" s="2" t="str">
        <f t="shared" si="14"/>
        <v>2017 Arizona Diamondbacks</v>
      </c>
      <c r="E513" s="60">
        <f>'Batting Data'!K513/'Batting Data'!J513</f>
        <v>0.15058823529411763</v>
      </c>
      <c r="F513" s="60">
        <f>'Batting Data'!L513/'Batting Data'!J513</f>
        <v>5.6832579185520364E-2</v>
      </c>
      <c r="G513" s="60">
        <f>'Batting Data'!M513/'Batting Data'!J513</f>
        <v>7.058823529411765E-3</v>
      </c>
      <c r="H513" s="60">
        <f>'Batting Data'!N513/'Batting Data'!J513</f>
        <v>3.9819004524886875E-2</v>
      </c>
      <c r="I513" s="60">
        <f>'Batting Data'!O513/'Batting Data'!J513</f>
        <v>0.10461538461538461</v>
      </c>
      <c r="J513" s="60">
        <f>'Batting Data'!P513/'Batting Data'!J513</f>
        <v>9.7737556561085966E-3</v>
      </c>
      <c r="K513" s="60">
        <f>'Batting Data'!Q513/'Batting Data'!J513</f>
        <v>0.63131221719457009</v>
      </c>
      <c r="L513" s="2" t="str">
        <f t="shared" si="15"/>
        <v>2017 Arizona Diamondbacks</v>
      </c>
      <c r="M513" s="58">
        <f>'Pitching Data'!Q513/'Pitching Data'!P513</f>
        <v>0.13636363636363635</v>
      </c>
      <c r="N513" s="58">
        <f>'Pitching Data'!R513/'Pitching Data'!P513</f>
        <v>4.5454545454545456E-2</v>
      </c>
      <c r="O513" s="58">
        <f>'Pitching Data'!S513/'Pitching Data'!P513</f>
        <v>5.5994729907773389E-3</v>
      </c>
      <c r="P513" s="58">
        <f>'Pitching Data'!T513/'Pitching Data'!P513</f>
        <v>2.816205533596838E-2</v>
      </c>
      <c r="Q513" s="58">
        <f>'Pitching Data'!U513/'Pitching Data'!P513</f>
        <v>8.4980237154150193E-2</v>
      </c>
      <c r="R513" s="58">
        <f>'Pitching Data'!V513/'Pitching Data'!P513</f>
        <v>6.258234519104084E-3</v>
      </c>
      <c r="S513" s="58">
        <f>'Pitching Data'!W513/'Pitching Data'!P513</f>
        <v>0.69318181818181823</v>
      </c>
    </row>
    <row r="514" spans="2:19" x14ac:dyDescent="0.5">
      <c r="B514" s="2">
        <v>2017</v>
      </c>
      <c r="C514" s="2" t="s">
        <v>41</v>
      </c>
      <c r="D514" s="2" t="str">
        <f t="shared" si="14"/>
        <v>2017 Atlanta Braves</v>
      </c>
      <c r="E514" s="60">
        <f>'Batting Data'!K514/'Batting Data'!J514</f>
        <v>0.17675501432664756</v>
      </c>
      <c r="F514" s="60">
        <f>'Batting Data'!L514/'Batting Data'!J514</f>
        <v>5.1755014326647565E-2</v>
      </c>
      <c r="G514" s="60">
        <f>'Batting Data'!M514/'Batting Data'!J514</f>
        <v>4.6561604584527223E-3</v>
      </c>
      <c r="H514" s="60">
        <f>'Batting Data'!N514/'Batting Data'!J514</f>
        <v>2.9548710601719198E-2</v>
      </c>
      <c r="I514" s="60">
        <f>'Batting Data'!O514/'Batting Data'!J514</f>
        <v>8.4885386819484238E-2</v>
      </c>
      <c r="J514" s="60">
        <f>'Batting Data'!P514/'Batting Data'!J514</f>
        <v>1.181948424068768E-2</v>
      </c>
      <c r="K514" s="60">
        <f>'Batting Data'!Q514/'Batting Data'!J514</f>
        <v>0.64058022922636104</v>
      </c>
      <c r="L514" s="2" t="str">
        <f t="shared" si="15"/>
        <v>2017 Atlanta Braves</v>
      </c>
      <c r="M514" s="58">
        <f>'Pitching Data'!Q514/'Pitching Data'!P514</f>
        <v>0.14414843006660324</v>
      </c>
      <c r="N514" s="58">
        <f>'Pitching Data'!R514/'Pitching Data'!P514</f>
        <v>5.1696796701554075E-2</v>
      </c>
      <c r="O514" s="58">
        <f>'Pitching Data'!S514/'Pitching Data'!P514</f>
        <v>5.708848715509039E-3</v>
      </c>
      <c r="P514" s="58">
        <f>'Pitching Data'!T514/'Pitching Data'!P514</f>
        <v>3.0447193149381543E-2</v>
      </c>
      <c r="Q514" s="58">
        <f>'Pitching Data'!U514/'Pitching Data'!P514</f>
        <v>9.2610212496035516E-2</v>
      </c>
      <c r="R514" s="58">
        <f>'Pitching Data'!V514/'Pitching Data'!P514</f>
        <v>1.1100539169045354E-2</v>
      </c>
      <c r="S514" s="58">
        <f>'Pitching Data'!W514/'Pitching Data'!P514</f>
        <v>0.66428797970187126</v>
      </c>
    </row>
    <row r="515" spans="2:19" x14ac:dyDescent="0.5">
      <c r="B515" s="2">
        <v>2017</v>
      </c>
      <c r="C515" s="2" t="s">
        <v>44</v>
      </c>
      <c r="D515" s="2" t="str">
        <f t="shared" ref="D515:D571" si="16">$B515&amp;" "&amp;$C515</f>
        <v>2017 Baltimore Orioles</v>
      </c>
      <c r="E515" s="60">
        <f>'Batting Data'!K515/'Batting Data'!J515</f>
        <v>0.16920353982300884</v>
      </c>
      <c r="F515" s="60">
        <f>'Batting Data'!L515/'Batting Data'!J515</f>
        <v>4.7610619469026547E-2</v>
      </c>
      <c r="G515" s="60">
        <f>'Batting Data'!M515/'Batting Data'!J515</f>
        <v>2.1238938053097347E-3</v>
      </c>
      <c r="H515" s="60">
        <f>'Batting Data'!N515/'Batting Data'!J515</f>
        <v>4.1061946902654869E-2</v>
      </c>
      <c r="I515" s="60">
        <f>'Batting Data'!O515/'Batting Data'!J515</f>
        <v>6.9380530973451329E-2</v>
      </c>
      <c r="J515" s="60">
        <f>'Batting Data'!P515/'Batting Data'!J515</f>
        <v>8.8495575221238937E-3</v>
      </c>
      <c r="K515" s="60">
        <f>'Batting Data'!Q515/'Batting Data'!J515</f>
        <v>0.66176991150442477</v>
      </c>
      <c r="L515" s="2" t="str">
        <f t="shared" ref="L515:L571" si="17">$B515&amp;" "&amp;$C515</f>
        <v>2017 Baltimore Orioles</v>
      </c>
      <c r="M515" s="58">
        <f>'Pitching Data'!Q515/'Pitching Data'!P515</f>
        <v>0.1514381058318767</v>
      </c>
      <c r="N515" s="58">
        <f>'Pitching Data'!R515/'Pitching Data'!P515</f>
        <v>4.6559669474018753E-2</v>
      </c>
      <c r="O515" s="58">
        <f>'Pitching Data'!S515/'Pitching Data'!P515</f>
        <v>2.7014142698236136E-3</v>
      </c>
      <c r="P515" s="58">
        <f>'Pitching Data'!T515/'Pitching Data'!P515</f>
        <v>3.8455426664547911E-2</v>
      </c>
      <c r="Q515" s="58">
        <f>'Pitching Data'!U515/'Pitching Data'!P515</f>
        <v>9.2006991895757187E-2</v>
      </c>
      <c r="R515" s="58">
        <f>'Pitching Data'!V515/'Pitching Data'!P515</f>
        <v>9.5344033052598125E-3</v>
      </c>
      <c r="S515" s="58">
        <f>'Pitching Data'!W515/'Pitching Data'!P515</f>
        <v>0.65930398855871608</v>
      </c>
    </row>
    <row r="516" spans="2:19" x14ac:dyDescent="0.5">
      <c r="B516" s="2">
        <v>2017</v>
      </c>
      <c r="C516" s="2" t="s">
        <v>46</v>
      </c>
      <c r="D516" s="2" t="str">
        <f t="shared" si="16"/>
        <v>2017 Boston Red Sox</v>
      </c>
      <c r="E516" s="60">
        <f>'Batting Data'!K516/'Batting Data'!J516</f>
        <v>0.17145881107779148</v>
      </c>
      <c r="F516" s="60">
        <f>'Batting Data'!L516/'Batting Data'!J516</f>
        <v>5.3272182042688306E-2</v>
      </c>
      <c r="G516" s="60">
        <f>'Batting Data'!M516/'Batting Data'!J516</f>
        <v>3.3515611218909859E-3</v>
      </c>
      <c r="H516" s="60">
        <f>'Batting Data'!N516/'Batting Data'!J516</f>
        <v>2.9634856235667667E-2</v>
      </c>
      <c r="I516" s="60">
        <f>'Batting Data'!O516/'Batting Data'!J516</f>
        <v>0.10072323161051332</v>
      </c>
      <c r="J516" s="60">
        <f>'Batting Data'!P516/'Batting Data'!J516</f>
        <v>9.3490915505380131E-3</v>
      </c>
      <c r="K516" s="60">
        <f>'Batting Data'!Q516/'Batting Data'!J516</f>
        <v>0.63221026636091027</v>
      </c>
      <c r="L516" s="2" t="str">
        <f t="shared" si="17"/>
        <v>2017 Boston Red Sox</v>
      </c>
      <c r="M516" s="58">
        <f>'Pitching Data'!Q516/'Pitching Data'!P516</f>
        <v>0.14283416438796848</v>
      </c>
      <c r="N516" s="58">
        <f>'Pitching Data'!R516/'Pitching Data'!P516</f>
        <v>4.4716101013350489E-2</v>
      </c>
      <c r="O516" s="58">
        <f>'Pitching Data'!S516/'Pitching Data'!P516</f>
        <v>3.6995335370757598E-3</v>
      </c>
      <c r="P516" s="58">
        <f>'Pitching Data'!T516/'Pitching Data'!P516</f>
        <v>3.1365610423033617E-2</v>
      </c>
      <c r="Q516" s="58">
        <f>'Pitching Data'!U516/'Pitching Data'!P516</f>
        <v>7.4794917162618629E-2</v>
      </c>
      <c r="R516" s="58">
        <f>'Pitching Data'!V516/'Pitching Data'!P516</f>
        <v>7.8816149268135759E-3</v>
      </c>
      <c r="S516" s="58">
        <f>'Pitching Data'!W516/'Pitching Data'!P516</f>
        <v>0.69470805854913942</v>
      </c>
    </row>
    <row r="517" spans="2:19" x14ac:dyDescent="0.5">
      <c r="B517" s="2">
        <v>2017</v>
      </c>
      <c r="C517" s="2" t="s">
        <v>50</v>
      </c>
      <c r="D517" s="2" t="str">
        <f t="shared" si="16"/>
        <v>2017 Chicago Cubs</v>
      </c>
      <c r="E517" s="60">
        <f>'Batting Data'!K517/'Batting Data'!J517</f>
        <v>0.15938864628820962</v>
      </c>
      <c r="F517" s="60">
        <f>'Batting Data'!L517/'Batting Data'!J517</f>
        <v>4.9854439592430862E-2</v>
      </c>
      <c r="G517" s="60">
        <f>'Batting Data'!M517/'Batting Data'!J517</f>
        <v>5.2765647743813681E-3</v>
      </c>
      <c r="H517" s="60">
        <f>'Batting Data'!N517/'Batting Data'!J517</f>
        <v>4.057496360989811E-2</v>
      </c>
      <c r="I517" s="60">
        <f>'Batting Data'!O517/'Batting Data'!J517</f>
        <v>0.11317321688500728</v>
      </c>
      <c r="J517" s="60">
        <f>'Batting Data'!P517/'Batting Data'!J517</f>
        <v>1.4919941775836972E-2</v>
      </c>
      <c r="K517" s="60">
        <f>'Batting Data'!Q517/'Batting Data'!J517</f>
        <v>0.61681222707423577</v>
      </c>
      <c r="L517" s="2" t="str">
        <f t="shared" si="17"/>
        <v>2017 Chicago Cubs</v>
      </c>
      <c r="M517" s="58">
        <f>'Pitching Data'!Q517/'Pitching Data'!P517</f>
        <v>0.13637851997380485</v>
      </c>
      <c r="N517" s="58">
        <f>'Pitching Data'!R517/'Pitching Data'!P517</f>
        <v>4.0929927963326784E-2</v>
      </c>
      <c r="O517" s="58">
        <f>'Pitching Data'!S517/'Pitching Data'!P517</f>
        <v>2.7832351015062212E-3</v>
      </c>
      <c r="P517" s="58">
        <f>'Pitching Data'!T517/'Pitching Data'!P517</f>
        <v>3.1761624099541585E-2</v>
      </c>
      <c r="Q517" s="58">
        <f>'Pitching Data'!U517/'Pitching Data'!P517</f>
        <v>9.0700720366732157E-2</v>
      </c>
      <c r="R517" s="58">
        <f>'Pitching Data'!V517/'Pitching Data'!P517</f>
        <v>1.0805500982318271E-2</v>
      </c>
      <c r="S517" s="58">
        <f>'Pitching Data'!W517/'Pitching Data'!P517</f>
        <v>0.68664047151277019</v>
      </c>
    </row>
    <row r="518" spans="2:19" x14ac:dyDescent="0.5">
      <c r="B518" s="2">
        <v>2017</v>
      </c>
      <c r="C518" s="2" t="s">
        <v>48</v>
      </c>
      <c r="D518" s="2" t="str">
        <f t="shared" si="16"/>
        <v>2017 Chicago White Sox</v>
      </c>
      <c r="E518" s="60">
        <f>'Batting Data'!K518/'Batting Data'!J518</f>
        <v>0.16923635044440413</v>
      </c>
      <c r="F518" s="60">
        <f>'Batting Data'!L518/'Batting Data'!J518</f>
        <v>4.6435697442408851E-2</v>
      </c>
      <c r="G518" s="60">
        <f>'Batting Data'!M518/'Batting Data'!J518</f>
        <v>6.7114093959731542E-3</v>
      </c>
      <c r="H518" s="60">
        <f>'Batting Data'!N518/'Batting Data'!J518</f>
        <v>3.373843642300018E-2</v>
      </c>
      <c r="I518" s="60">
        <f>'Batting Data'!O518/'Batting Data'!J518</f>
        <v>7.2737166696898239E-2</v>
      </c>
      <c r="J518" s="60">
        <f>'Batting Data'!P518/'Batting Data'!J518</f>
        <v>1.3785597678215128E-2</v>
      </c>
      <c r="K518" s="60">
        <f>'Batting Data'!Q518/'Batting Data'!J518</f>
        <v>0.65735534191910028</v>
      </c>
      <c r="L518" s="2" t="str">
        <f t="shared" si="17"/>
        <v>2017 Chicago White Sox</v>
      </c>
      <c r="M518" s="58">
        <f>'Pitching Data'!Q518/'Pitching Data'!P518</f>
        <v>0.13467741935483871</v>
      </c>
      <c r="N518" s="58">
        <f>'Pitching Data'!R518/'Pitching Data'!P518</f>
        <v>4.4354838709677422E-2</v>
      </c>
      <c r="O518" s="58">
        <f>'Pitching Data'!S518/'Pitching Data'!P518</f>
        <v>5.1612903225806452E-3</v>
      </c>
      <c r="P518" s="58">
        <f>'Pitching Data'!T518/'Pitching Data'!P518</f>
        <v>3.9032258064516129E-2</v>
      </c>
      <c r="Q518" s="58">
        <f>'Pitching Data'!U518/'Pitching Data'!P518</f>
        <v>0.10193548387096774</v>
      </c>
      <c r="R518" s="58">
        <f>'Pitching Data'!V518/'Pitching Data'!P518</f>
        <v>1.0967741935483871E-2</v>
      </c>
      <c r="S518" s="58">
        <f>'Pitching Data'!W518/'Pitching Data'!P518</f>
        <v>0.66387096774193544</v>
      </c>
    </row>
    <row r="519" spans="2:19" x14ac:dyDescent="0.5">
      <c r="B519" s="2">
        <v>2017</v>
      </c>
      <c r="C519" s="2" t="s">
        <v>52</v>
      </c>
      <c r="D519" s="2" t="str">
        <f t="shared" si="16"/>
        <v>2017 Cincinnati Reds</v>
      </c>
      <c r="E519" s="60">
        <f>'Batting Data'!K519/'Batting Data'!J519</f>
        <v>0.16119620714806709</v>
      </c>
      <c r="F519" s="60">
        <f>'Batting Data'!L519/'Batting Data'!J519</f>
        <v>4.5404814004376369E-2</v>
      </c>
      <c r="G519" s="60">
        <f>'Batting Data'!M519/'Batting Data'!J519</f>
        <v>6.9292487235594457E-3</v>
      </c>
      <c r="H519" s="60">
        <f>'Batting Data'!N519/'Batting Data'!J519</f>
        <v>3.9934354485776806E-2</v>
      </c>
      <c r="I519" s="60">
        <f>'Batting Data'!O519/'Batting Data'!J519</f>
        <v>0.10302698760029176</v>
      </c>
      <c r="J519" s="60">
        <f>'Batting Data'!P519/'Batting Data'!J519</f>
        <v>1.3129102844638949E-2</v>
      </c>
      <c r="K519" s="60">
        <f>'Batting Data'!Q519/'Batting Data'!J519</f>
        <v>0.63037928519328956</v>
      </c>
      <c r="L519" s="2" t="str">
        <f t="shared" si="17"/>
        <v>2017 Cincinnati Reds</v>
      </c>
      <c r="M519" s="58">
        <f>'Pitching Data'!Q519/'Pitching Data'!P519</f>
        <v>0.13633471205854281</v>
      </c>
      <c r="N519" s="58">
        <f>'Pitching Data'!R519/'Pitching Data'!P519</f>
        <v>5.0111358574610243E-2</v>
      </c>
      <c r="O519" s="58">
        <f>'Pitching Data'!S519/'Pitching Data'!P519</f>
        <v>3.4998409163219855E-3</v>
      </c>
      <c r="P519" s="58">
        <f>'Pitching Data'!T519/'Pitching Data'!P519</f>
        <v>3.9452752147629652E-2</v>
      </c>
      <c r="Q519" s="58">
        <f>'Pitching Data'!U519/'Pitching Data'!P519</f>
        <v>0.10038180082723512</v>
      </c>
      <c r="R519" s="58">
        <f>'Pitching Data'!V519/'Pitching Data'!P519</f>
        <v>1.2249443207126948E-2</v>
      </c>
      <c r="S519" s="58">
        <f>'Pitching Data'!W519/'Pitching Data'!P519</f>
        <v>0.6579700922685332</v>
      </c>
    </row>
    <row r="520" spans="2:19" x14ac:dyDescent="0.5">
      <c r="B520" s="2">
        <v>2017</v>
      </c>
      <c r="C520" s="2" t="s">
        <v>54</v>
      </c>
      <c r="D520" s="2" t="str">
        <f t="shared" si="16"/>
        <v>2017 Cleveland Indians</v>
      </c>
      <c r="E520" s="60">
        <f>'Batting Data'!K520/'Batting Data'!J520</f>
        <v>0.15877336236617673</v>
      </c>
      <c r="F520" s="60">
        <f>'Batting Data'!L520/'Batting Data'!J520</f>
        <v>6.0424605334784977E-2</v>
      </c>
      <c r="G520" s="60">
        <f>'Batting Data'!M520/'Batting Data'!J520</f>
        <v>5.2622028669932859E-3</v>
      </c>
      <c r="H520" s="60">
        <f>'Batting Data'!N520/'Batting Data'!J520</f>
        <v>3.8468517510433675E-2</v>
      </c>
      <c r="I520" s="60">
        <f>'Batting Data'!O520/'Batting Data'!J520</f>
        <v>0.10959898385048086</v>
      </c>
      <c r="J520" s="60">
        <f>'Batting Data'!P520/'Batting Data'!J520</f>
        <v>9.0727635637815277E-3</v>
      </c>
      <c r="K520" s="60">
        <f>'Batting Data'!Q520/'Batting Data'!J520</f>
        <v>0.6183995645073489</v>
      </c>
      <c r="L520" s="2" t="str">
        <f t="shared" si="17"/>
        <v>2017 Cleveland Indians</v>
      </c>
      <c r="M520" s="58">
        <f>'Pitching Data'!Q520/'Pitching Data'!P520</f>
        <v>0.14149335151721787</v>
      </c>
      <c r="N520" s="58">
        <f>'Pitching Data'!R520/'Pitching Data'!P520</f>
        <v>4.4664166382543474E-2</v>
      </c>
      <c r="O520" s="58">
        <f>'Pitching Data'!S520/'Pitching Data'!P520</f>
        <v>2.0456870098874871E-3</v>
      </c>
      <c r="P520" s="58">
        <f>'Pitching Data'!T520/'Pitching Data'!P520</f>
        <v>2.7787248550971703E-2</v>
      </c>
      <c r="Q520" s="58">
        <f>'Pitching Data'!U520/'Pitching Data'!P520</f>
        <v>6.9212410501193311E-2</v>
      </c>
      <c r="R520" s="58">
        <f>'Pitching Data'!V520/'Pitching Data'!P520</f>
        <v>7.6713262870780775E-3</v>
      </c>
      <c r="S520" s="58">
        <f>'Pitching Data'!W520/'Pitching Data'!P520</f>
        <v>0.70712580975110806</v>
      </c>
    </row>
    <row r="521" spans="2:19" x14ac:dyDescent="0.5">
      <c r="B521" s="2">
        <v>2017</v>
      </c>
      <c r="C521" s="2" t="s">
        <v>56</v>
      </c>
      <c r="D521" s="2" t="str">
        <f t="shared" si="16"/>
        <v>2017 Colorado Rockies</v>
      </c>
      <c r="E521" s="60">
        <f>'Batting Data'!K521/'Batting Data'!J521</f>
        <v>0.17835200578243585</v>
      </c>
      <c r="F521" s="60">
        <f>'Batting Data'!L521/'Batting Data'!J521</f>
        <v>5.2945428261655221E-2</v>
      </c>
      <c r="G521" s="60">
        <f>'Batting Data'!M521/'Batting Data'!J521</f>
        <v>6.8666425731839535E-3</v>
      </c>
      <c r="H521" s="60">
        <f>'Batting Data'!N521/'Batting Data'!J521</f>
        <v>3.469461510661366E-2</v>
      </c>
      <c r="I521" s="60">
        <f>'Batting Data'!O521/'Batting Data'!J521</f>
        <v>9.3783881460065055E-2</v>
      </c>
      <c r="J521" s="60">
        <f>'Batting Data'!P521/'Batting Data'!J521</f>
        <v>7.9508492952656308E-3</v>
      </c>
      <c r="K521" s="60">
        <f>'Batting Data'!Q521/'Batting Data'!J521</f>
        <v>0.62540657752078066</v>
      </c>
      <c r="L521" s="2" t="str">
        <f t="shared" si="17"/>
        <v>2017 Colorado Rockies</v>
      </c>
      <c r="M521" s="58">
        <f>'Pitching Data'!Q521/'Pitching Data'!P521</f>
        <v>0.14942528735632185</v>
      </c>
      <c r="N521" s="58">
        <f>'Pitching Data'!R521/'Pitching Data'!P521</f>
        <v>4.6948356807511735E-2</v>
      </c>
      <c r="O521" s="58">
        <f>'Pitching Data'!S521/'Pitching Data'!P521</f>
        <v>8.0945442771571969E-3</v>
      </c>
      <c r="P521" s="58">
        <f>'Pitching Data'!T521/'Pitching Data'!P521</f>
        <v>3.0759268253197344E-2</v>
      </c>
      <c r="Q521" s="58">
        <f>'Pitching Data'!U521/'Pitching Data'!P521</f>
        <v>8.6125951108952561E-2</v>
      </c>
      <c r="R521" s="58">
        <f>'Pitching Data'!V521/'Pitching Data'!P521</f>
        <v>8.0945442771571969E-3</v>
      </c>
      <c r="S521" s="58">
        <f>'Pitching Data'!W521/'Pitching Data'!P521</f>
        <v>0.67055204791970213</v>
      </c>
    </row>
    <row r="522" spans="2:19" x14ac:dyDescent="0.5">
      <c r="B522" s="2">
        <v>2017</v>
      </c>
      <c r="C522" s="2" t="s">
        <v>58</v>
      </c>
      <c r="D522" s="2" t="str">
        <f t="shared" si="16"/>
        <v>2017 Detroit Tigers</v>
      </c>
      <c r="E522" s="60">
        <f>'Batting Data'!K522/'Batting Data'!J522</f>
        <v>0.16630669546436286</v>
      </c>
      <c r="F522" s="60">
        <f>'Batting Data'!L522/'Batting Data'!J522</f>
        <v>5.2015838732901366E-2</v>
      </c>
      <c r="G522" s="60">
        <f>'Batting Data'!M522/'Batting Data'!J522</f>
        <v>6.299496040316775E-3</v>
      </c>
      <c r="H522" s="60">
        <f>'Batting Data'!N522/'Batting Data'!J522</f>
        <v>3.3657307415406769E-2</v>
      </c>
      <c r="I522" s="60">
        <f>'Batting Data'!O522/'Batting Data'!J522</f>
        <v>9.0532757379409648E-2</v>
      </c>
      <c r="J522" s="60">
        <f>'Batting Data'!P522/'Batting Data'!J522</f>
        <v>9.3592512598992088E-3</v>
      </c>
      <c r="K522" s="60">
        <f>'Batting Data'!Q522/'Batting Data'!J522</f>
        <v>0.64182865370770337</v>
      </c>
      <c r="L522" s="2" t="str">
        <f t="shared" si="17"/>
        <v>2017 Detroit Tigers</v>
      </c>
      <c r="M522" s="58">
        <f>'Pitching Data'!Q522/'Pitching Data'!P522</f>
        <v>0.16576691013020006</v>
      </c>
      <c r="N522" s="58">
        <f>'Pitching Data'!R522/'Pitching Data'!P522</f>
        <v>4.6046363925055574E-2</v>
      </c>
      <c r="O522" s="58">
        <f>'Pitching Data'!S522/'Pitching Data'!P522</f>
        <v>5.5573197840584308E-3</v>
      </c>
      <c r="P522" s="58">
        <f>'Pitching Data'!T522/'Pitching Data'!P522</f>
        <v>3.4614163226421087E-2</v>
      </c>
      <c r="Q522" s="58">
        <f>'Pitching Data'!U522/'Pitching Data'!P522</f>
        <v>8.5423944109241035E-2</v>
      </c>
      <c r="R522" s="58">
        <f>'Pitching Data'!V522/'Pitching Data'!P522</f>
        <v>9.6856144807875508E-3</v>
      </c>
      <c r="S522" s="58">
        <f>'Pitching Data'!W522/'Pitching Data'!P522</f>
        <v>0.65290568434423624</v>
      </c>
    </row>
    <row r="523" spans="2:19" x14ac:dyDescent="0.5">
      <c r="B523" s="2">
        <v>2017</v>
      </c>
      <c r="C523" s="2" t="s">
        <v>60</v>
      </c>
      <c r="D523" s="2" t="str">
        <f t="shared" si="16"/>
        <v>2017 Florida Marlins</v>
      </c>
      <c r="E523" s="60">
        <f>'Batting Data'!K523/'Batting Data'!J523</f>
        <v>0.17412225984672963</v>
      </c>
      <c r="F523" s="60">
        <f>'Batting Data'!L523/'Batting Data'!J523</f>
        <v>6.1664587417572622E-2</v>
      </c>
      <c r="G523" s="60">
        <f>'Batting Data'!M523/'Batting Data'!J523</f>
        <v>3.5644270183567989E-3</v>
      </c>
      <c r="H523" s="60">
        <f>'Batting Data'!N523/'Batting Data'!J523</f>
        <v>4.2416681518445909E-2</v>
      </c>
      <c r="I523" s="60">
        <f>'Batting Data'!O523/'Batting Data'!J523</f>
        <v>9.0714667617180542E-2</v>
      </c>
      <c r="J523" s="60">
        <f>'Batting Data'!P523/'Batting Data'!J523</f>
        <v>1.2475494564248797E-2</v>
      </c>
      <c r="K523" s="60">
        <f>'Batting Data'!Q523/'Batting Data'!J523</f>
        <v>0.61504188201746568</v>
      </c>
      <c r="L523" s="2" t="str">
        <f t="shared" si="17"/>
        <v>2017 Florida Marlins</v>
      </c>
      <c r="M523" s="58">
        <f>'Pitching Data'!Q523/'Pitching Data'!P523</f>
        <v>0.13189330715103911</v>
      </c>
      <c r="N523" s="58">
        <f>'Pitching Data'!R523/'Pitching Data'!P523</f>
        <v>4.7946326296841764E-2</v>
      </c>
      <c r="O523" s="58">
        <f>'Pitching Data'!S523/'Pitching Data'!P523</f>
        <v>3.7637047946326298E-3</v>
      </c>
      <c r="P523" s="58">
        <f>'Pitching Data'!T523/'Pitching Data'!P523</f>
        <v>3.1418753068237604E-2</v>
      </c>
      <c r="Q523" s="58">
        <f>'Pitching Data'!U523/'Pitching Data'!P523</f>
        <v>8.5419734904270989E-2</v>
      </c>
      <c r="R523" s="58">
        <f>'Pitching Data'!V523/'Pitching Data'!P523</f>
        <v>1.1454753722794959E-2</v>
      </c>
      <c r="S523" s="58">
        <f>'Pitching Data'!W523/'Pitching Data'!P523</f>
        <v>0.68810342006218295</v>
      </c>
    </row>
    <row r="524" spans="2:19" x14ac:dyDescent="0.5">
      <c r="B524" s="2">
        <v>2017</v>
      </c>
      <c r="C524" s="2" t="s">
        <v>62</v>
      </c>
      <c r="D524" s="2" t="str">
        <f t="shared" si="16"/>
        <v>2017 Houston Astros</v>
      </c>
      <c r="E524" s="60">
        <f>'Batting Data'!K524/'Batting Data'!J524</f>
        <v>0.17322976878612717</v>
      </c>
      <c r="F524" s="60">
        <f>'Batting Data'!L524/'Batting Data'!J524</f>
        <v>4.6965317919075142E-2</v>
      </c>
      <c r="G524" s="60">
        <f>'Batting Data'!M524/'Batting Data'!J524</f>
        <v>4.335260115606936E-3</v>
      </c>
      <c r="H524" s="60">
        <f>'Batting Data'!N524/'Batting Data'!J524</f>
        <v>3.4862716763005779E-2</v>
      </c>
      <c r="I524" s="60">
        <f>'Batting Data'!O524/'Batting Data'!J524</f>
        <v>7.044797687861272E-2</v>
      </c>
      <c r="J524" s="60">
        <f>'Batting Data'!P524/'Batting Data'!J524</f>
        <v>8.1286127167630052E-3</v>
      </c>
      <c r="K524" s="60">
        <f>'Batting Data'!Q524/'Batting Data'!J524</f>
        <v>0.6620303468208093</v>
      </c>
      <c r="L524" s="2" t="str">
        <f t="shared" si="17"/>
        <v>2017 Houston Astros</v>
      </c>
      <c r="M524" s="58">
        <f>'Pitching Data'!Q524/'Pitching Data'!P524</f>
        <v>0.15599871341267288</v>
      </c>
      <c r="N524" s="58">
        <f>'Pitching Data'!R524/'Pitching Data'!P524</f>
        <v>4.4065615953682857E-2</v>
      </c>
      <c r="O524" s="58">
        <f>'Pitching Data'!S524/'Pitching Data'!P524</f>
        <v>6.4329366355741395E-3</v>
      </c>
      <c r="P524" s="58">
        <f>'Pitching Data'!T524/'Pitching Data'!P524</f>
        <v>3.1521389514313283E-2</v>
      </c>
      <c r="Q524" s="58">
        <f>'Pitching Data'!U524/'Pitching Data'!P524</f>
        <v>8.3467352846574458E-2</v>
      </c>
      <c r="R524" s="58">
        <f>'Pitching Data'!V524/'Pitching Data'!P524</f>
        <v>8.362817626246381E-3</v>
      </c>
      <c r="S524" s="58">
        <f>'Pitching Data'!W524/'Pitching Data'!P524</f>
        <v>0.67015117401093605</v>
      </c>
    </row>
    <row r="525" spans="2:19" x14ac:dyDescent="0.5">
      <c r="B525" s="2">
        <v>2017</v>
      </c>
      <c r="C525" s="2" t="s">
        <v>64</v>
      </c>
      <c r="D525" s="2" t="str">
        <f t="shared" si="16"/>
        <v>2017 Kansas City Royals</v>
      </c>
      <c r="E525" s="60">
        <f>'Batting Data'!K525/'Batting Data'!J525</f>
        <v>0.14681952662721892</v>
      </c>
      <c r="F525" s="60">
        <f>'Batting Data'!L525/'Batting Data'!J525</f>
        <v>5.7692307692307696E-2</v>
      </c>
      <c r="G525" s="60">
        <f>'Batting Data'!M525/'Batting Data'!J525</f>
        <v>3.6982248520710057E-3</v>
      </c>
      <c r="H525" s="60">
        <f>'Batting Data'!N525/'Batting Data'!J525</f>
        <v>4.0865384615384616E-2</v>
      </c>
      <c r="I525" s="60">
        <f>'Batting Data'!O525/'Batting Data'!J525</f>
        <v>0.12000739644970414</v>
      </c>
      <c r="J525" s="60">
        <f>'Batting Data'!P525/'Batting Data'!J525</f>
        <v>1.1834319526627219E-2</v>
      </c>
      <c r="K525" s="60">
        <f>'Batting Data'!Q525/'Batting Data'!J525</f>
        <v>0.61908284023668636</v>
      </c>
      <c r="L525" s="2" t="str">
        <f t="shared" si="17"/>
        <v>2017 Kansas City Royals</v>
      </c>
      <c r="M525" s="58">
        <f>'Pitching Data'!Q525/'Pitching Data'!P525</f>
        <v>0.1338396624472574</v>
      </c>
      <c r="N525" s="58">
        <f>'Pitching Data'!R525/'Pitching Data'!P525</f>
        <v>3.8649789029535864E-2</v>
      </c>
      <c r="O525" s="58">
        <f>'Pitching Data'!S525/'Pitching Data'!P525</f>
        <v>3.3755274261603376E-3</v>
      </c>
      <c r="P525" s="58">
        <f>'Pitching Data'!T525/'Pitching Data'!P525</f>
        <v>3.1054852320675105E-2</v>
      </c>
      <c r="Q525" s="58">
        <f>'Pitching Data'!U525/'Pitching Data'!P525</f>
        <v>7.4599156118143453E-2</v>
      </c>
      <c r="R525" s="58">
        <f>'Pitching Data'!V525/'Pitching Data'!P525</f>
        <v>6.7510548523206752E-3</v>
      </c>
      <c r="S525" s="58">
        <f>'Pitching Data'!W525/'Pitching Data'!P525</f>
        <v>0.7117299578059072</v>
      </c>
    </row>
    <row r="526" spans="2:19" x14ac:dyDescent="0.5">
      <c r="B526" s="2">
        <v>2017</v>
      </c>
      <c r="C526" s="2" t="s">
        <v>66</v>
      </c>
      <c r="D526" s="2" t="str">
        <f t="shared" si="16"/>
        <v>2017 Los Angeles Dodgers</v>
      </c>
      <c r="E526" s="60">
        <f>'Batting Data'!K526/'Batting Data'!J526</f>
        <v>0.17868618350589074</v>
      </c>
      <c r="F526" s="60">
        <f>'Batting Data'!L526/'Batting Data'!J526</f>
        <v>4.8375580149946446E-2</v>
      </c>
      <c r="G526" s="60">
        <f>'Batting Data'!M526/'Batting Data'!J526</f>
        <v>5.5337379507318816E-3</v>
      </c>
      <c r="H526" s="60">
        <f>'Batting Data'!N526/'Batting Data'!J526</f>
        <v>3.4630489111031774E-2</v>
      </c>
      <c r="I526" s="60">
        <f>'Batting Data'!O526/'Batting Data'!J526</f>
        <v>8.6754730453409493E-2</v>
      </c>
      <c r="J526" s="60">
        <f>'Batting Data'!P526/'Batting Data'!J526</f>
        <v>1.1960014280614066E-2</v>
      </c>
      <c r="K526" s="60">
        <f>'Batting Data'!Q526/'Batting Data'!J526</f>
        <v>0.63405926454837558</v>
      </c>
      <c r="L526" s="2" t="str">
        <f t="shared" si="17"/>
        <v>2017 Los Angeles Dodgers</v>
      </c>
      <c r="M526" s="58">
        <f>'Pitching Data'!Q526/'Pitching Data'!P526</f>
        <v>0.14878125989237101</v>
      </c>
      <c r="N526" s="58">
        <f>'Pitching Data'!R526/'Pitching Data'!P526</f>
        <v>4.4317822095599875E-2</v>
      </c>
      <c r="O526" s="58">
        <f>'Pitching Data'!S526/'Pitching Data'!P526</f>
        <v>5.8562836340614122E-3</v>
      </c>
      <c r="P526" s="58">
        <f>'Pitching Data'!T526/'Pitching Data'!P526</f>
        <v>3.0547641658752771E-2</v>
      </c>
      <c r="Q526" s="58">
        <f>'Pitching Data'!U526/'Pitching Data'!P526</f>
        <v>9.9240265906932579E-2</v>
      </c>
      <c r="R526" s="58">
        <f>'Pitching Data'!V526/'Pitching Data'!P526</f>
        <v>1.1870845204178538E-2</v>
      </c>
      <c r="S526" s="58">
        <f>'Pitching Data'!W526/'Pitching Data'!P526</f>
        <v>0.65938588160810385</v>
      </c>
    </row>
    <row r="527" spans="2:19" x14ac:dyDescent="0.5">
      <c r="B527" s="2">
        <v>2017</v>
      </c>
      <c r="C527" s="2" t="s">
        <v>68</v>
      </c>
      <c r="D527" s="2" t="str">
        <f t="shared" si="16"/>
        <v>2017 Milwaukee Brewers</v>
      </c>
      <c r="E527" s="60">
        <f>'Batting Data'!K527/'Batting Data'!J527</f>
        <v>0.155478324492409</v>
      </c>
      <c r="F527" s="60">
        <f>'Batting Data'!L527/'Batting Data'!J527</f>
        <v>4.8838485458203768E-2</v>
      </c>
      <c r="G527" s="60">
        <f>'Batting Data'!M527/'Batting Data'!J527</f>
        <v>4.0241448692152921E-3</v>
      </c>
      <c r="H527" s="60">
        <f>'Batting Data'!N527/'Batting Data'!J527</f>
        <v>4.0973111395646605E-2</v>
      </c>
      <c r="I527" s="60">
        <f>'Batting Data'!O527/'Batting Data'!J527</f>
        <v>0.10005487470276203</v>
      </c>
      <c r="J527" s="60">
        <f>'Batting Data'!P527/'Batting Data'!J527</f>
        <v>9.6945308212913854E-3</v>
      </c>
      <c r="K527" s="60">
        <f>'Batting Data'!Q527/'Batting Data'!J527</f>
        <v>0.64093652826047187</v>
      </c>
      <c r="L527" s="2" t="str">
        <f t="shared" si="17"/>
        <v>2017 Milwaukee Brewers</v>
      </c>
      <c r="M527" s="58">
        <f>'Pitching Data'!Q527/'Pitching Data'!P527</f>
        <v>0.1445489941596366</v>
      </c>
      <c r="N527" s="58">
        <f>'Pitching Data'!R527/'Pitching Data'!P527</f>
        <v>4.4776119402985072E-2</v>
      </c>
      <c r="O527" s="58">
        <f>'Pitching Data'!S527/'Pitching Data'!P527</f>
        <v>4.7047371836469827E-3</v>
      </c>
      <c r="P527" s="58">
        <f>'Pitching Data'!T527/'Pitching Data'!P527</f>
        <v>3.0012978585334197E-2</v>
      </c>
      <c r="Q527" s="58">
        <f>'Pitching Data'!U527/'Pitching Data'!P527</f>
        <v>8.9714471122647632E-2</v>
      </c>
      <c r="R527" s="58">
        <f>'Pitching Data'!V527/'Pitching Data'!P527</f>
        <v>1.0382868267358857E-2</v>
      </c>
      <c r="S527" s="58">
        <f>'Pitching Data'!W527/'Pitching Data'!P527</f>
        <v>0.67585983127839067</v>
      </c>
    </row>
    <row r="528" spans="2:19" x14ac:dyDescent="0.5">
      <c r="B528" s="2">
        <v>2017</v>
      </c>
      <c r="C528" s="2" t="s">
        <v>70</v>
      </c>
      <c r="D528" s="2" t="str">
        <f t="shared" si="16"/>
        <v>2017 Minnesota Twins</v>
      </c>
      <c r="E528" s="60">
        <f>'Batting Data'!K528/'Batting Data'!J528</f>
        <v>0.165736908403815</v>
      </c>
      <c r="F528" s="60">
        <f>'Batting Data'!L528/'Batting Data'!J528</f>
        <v>5.1466618679143421E-2</v>
      </c>
      <c r="G528" s="60">
        <f>'Batting Data'!M528/'Batting Data'!J528</f>
        <v>5.5785495771099513E-3</v>
      </c>
      <c r="H528" s="60">
        <f>'Batting Data'!N528/'Batting Data'!J528</f>
        <v>3.7070361705956449E-2</v>
      </c>
      <c r="I528" s="60">
        <f>'Batting Data'!O528/'Batting Data'!J528</f>
        <v>0.10671225481374842</v>
      </c>
      <c r="J528" s="60">
        <f>'Batting Data'!P528/'Batting Data'!J528</f>
        <v>8.2778477595825094E-3</v>
      </c>
      <c r="K528" s="60">
        <f>'Batting Data'!Q528/'Batting Data'!J528</f>
        <v>0.62515745906064424</v>
      </c>
      <c r="L528" s="2" t="str">
        <f t="shared" si="17"/>
        <v>2017 Minnesota Twins</v>
      </c>
      <c r="M528" s="58">
        <f>'Pitching Data'!Q528/'Pitching Data'!P528</f>
        <v>0.15390813859790492</v>
      </c>
      <c r="N528" s="58">
        <f>'Pitching Data'!R528/'Pitching Data'!P528</f>
        <v>4.5447219983883964E-2</v>
      </c>
      <c r="O528" s="58">
        <f>'Pitching Data'!S528/'Pitching Data'!P528</f>
        <v>4.19016921837228E-3</v>
      </c>
      <c r="P528" s="58">
        <f>'Pitching Data'!T528/'Pitching Data'!P528</f>
        <v>3.6099919419822726E-2</v>
      </c>
      <c r="Q528" s="58">
        <f>'Pitching Data'!U528/'Pitching Data'!P528</f>
        <v>7.7840451248992748E-2</v>
      </c>
      <c r="R528" s="58">
        <f>'Pitching Data'!V528/'Pitching Data'!P528</f>
        <v>1.1120064464141821E-2</v>
      </c>
      <c r="S528" s="58">
        <f>'Pitching Data'!W528/'Pitching Data'!P528</f>
        <v>0.6713940370668815</v>
      </c>
    </row>
    <row r="529" spans="2:19" x14ac:dyDescent="0.5">
      <c r="B529" s="2">
        <v>2017</v>
      </c>
      <c r="C529" s="2" t="s">
        <v>76</v>
      </c>
      <c r="D529" s="2" t="str">
        <f t="shared" si="16"/>
        <v>2017 New York Mets</v>
      </c>
      <c r="E529" s="60">
        <f>'Batting Data'!K529/'Batting Data'!J529</f>
        <v>0.15263157894736842</v>
      </c>
      <c r="F529" s="60">
        <f>'Batting Data'!L529/'Batting Data'!J529</f>
        <v>5.1905626134301268E-2</v>
      </c>
      <c r="G529" s="60">
        <f>'Batting Data'!M529/'Batting Data'!J529</f>
        <v>5.0816696914700544E-3</v>
      </c>
      <c r="H529" s="60">
        <f>'Batting Data'!N529/'Batting Data'!J529</f>
        <v>4.0653357531760435E-2</v>
      </c>
      <c r="I529" s="60">
        <f>'Batting Data'!O529/'Batting Data'!J529</f>
        <v>9.6007259528130676E-2</v>
      </c>
      <c r="J529" s="60">
        <f>'Batting Data'!P529/'Batting Data'!J529</f>
        <v>1.0344827586206896E-2</v>
      </c>
      <c r="K529" s="60">
        <f>'Batting Data'!Q529/'Batting Data'!J529</f>
        <v>0.64337568058076222</v>
      </c>
      <c r="L529" s="2" t="str">
        <f t="shared" si="17"/>
        <v>2017 New York Mets</v>
      </c>
      <c r="M529" s="58">
        <f>'Pitching Data'!Q529/'Pitching Data'!P529</f>
        <v>0.15945437441204138</v>
      </c>
      <c r="N529" s="58">
        <f>'Pitching Data'!R529/'Pitching Data'!P529</f>
        <v>4.3587331451865788E-2</v>
      </c>
      <c r="O529" s="58">
        <f>'Pitching Data'!S529/'Pitching Data'!P529</f>
        <v>3.6061461273126372E-3</v>
      </c>
      <c r="P529" s="58">
        <f>'Pitching Data'!T529/'Pitching Data'!P529</f>
        <v>3.4493571652555663E-2</v>
      </c>
      <c r="Q529" s="58">
        <f>'Pitching Data'!U529/'Pitching Data'!P529</f>
        <v>9.2975854499843205E-2</v>
      </c>
      <c r="R529" s="58">
        <f>'Pitching Data'!V529/'Pitching Data'!P529</f>
        <v>8.6233929131389157E-3</v>
      </c>
      <c r="S529" s="58">
        <f>'Pitching Data'!W529/'Pitching Data'!P529</f>
        <v>0.65725932894324235</v>
      </c>
    </row>
    <row r="530" spans="2:19" x14ac:dyDescent="0.5">
      <c r="B530" s="2">
        <v>2017</v>
      </c>
      <c r="C530" s="2" t="s">
        <v>74</v>
      </c>
      <c r="D530" s="2" t="str">
        <f t="shared" si="16"/>
        <v>2017 New York Yankees</v>
      </c>
      <c r="E530" s="60">
        <f>'Batting Data'!K530/'Batting Data'!J530</f>
        <v>0.16678584197354307</v>
      </c>
      <c r="F530" s="60">
        <f>'Batting Data'!L530/'Batting Data'!J530</f>
        <v>4.7550947443689665E-2</v>
      </c>
      <c r="G530" s="60">
        <f>'Batting Data'!M530/'Batting Data'!J530</f>
        <v>4.1115480872363245E-3</v>
      </c>
      <c r="H530" s="60">
        <f>'Batting Data'!N530/'Batting Data'!J530</f>
        <v>4.3081873435824099E-2</v>
      </c>
      <c r="I530" s="60">
        <f>'Batting Data'!O530/'Batting Data'!J530</f>
        <v>0.11011798355380766</v>
      </c>
      <c r="J530" s="60">
        <f>'Batting Data'!P530/'Batting Data'!J530</f>
        <v>1.144082946013586E-2</v>
      </c>
      <c r="K530" s="60">
        <f>'Batting Data'!Q530/'Batting Data'!J530</f>
        <v>0.61691097604576328</v>
      </c>
      <c r="L530" s="2" t="str">
        <f t="shared" si="17"/>
        <v>2017 New York Yankees</v>
      </c>
      <c r="M530" s="58">
        <f>'Pitching Data'!Q530/'Pitching Data'!P530</f>
        <v>0.13178677196446201</v>
      </c>
      <c r="N530" s="58">
        <f>'Pitching Data'!R530/'Pitching Data'!P530</f>
        <v>3.998025666337611E-2</v>
      </c>
      <c r="O530" s="58">
        <f>'Pitching Data'!S530/'Pitching Data'!P530</f>
        <v>1.9743336623889436E-3</v>
      </c>
      <c r="P530" s="58">
        <f>'Pitching Data'!T530/'Pitching Data'!P530</f>
        <v>3.1589338598223098E-2</v>
      </c>
      <c r="Q530" s="58">
        <f>'Pitching Data'!U530/'Pitching Data'!P530</f>
        <v>8.2922013820335636E-2</v>
      </c>
      <c r="R530" s="58">
        <f>'Pitching Data'!V530/'Pitching Data'!P530</f>
        <v>8.7199736755511677E-3</v>
      </c>
      <c r="S530" s="58">
        <f>'Pitching Data'!W530/'Pitching Data'!P530</f>
        <v>0.70302731161566301</v>
      </c>
    </row>
    <row r="531" spans="2:19" x14ac:dyDescent="0.5">
      <c r="B531" s="2">
        <v>2017</v>
      </c>
      <c r="C531" s="2" t="s">
        <v>78</v>
      </c>
      <c r="D531" s="2" t="str">
        <f t="shared" si="16"/>
        <v>2017 Oakland Athletics</v>
      </c>
      <c r="E531" s="60">
        <f>'Batting Data'!K531/'Batting Data'!J531</f>
        <v>0.14458272327964861</v>
      </c>
      <c r="F531" s="60">
        <f>'Batting Data'!L531/'Batting Data'!J531</f>
        <v>5.5819912152269398E-2</v>
      </c>
      <c r="G531" s="60">
        <f>'Batting Data'!M531/'Batting Data'!J531</f>
        <v>2.7452415812591509E-3</v>
      </c>
      <c r="H531" s="60">
        <f>'Batting Data'!N531/'Batting Data'!J531</f>
        <v>4.2825768667642754E-2</v>
      </c>
      <c r="I531" s="60">
        <f>'Batting Data'!O531/'Batting Data'!J531</f>
        <v>0.10340409956076135</v>
      </c>
      <c r="J531" s="60">
        <f>'Batting Data'!P531/'Batting Data'!J531</f>
        <v>7.8696925329428992E-3</v>
      </c>
      <c r="K531" s="60">
        <f>'Batting Data'!Q531/'Batting Data'!J531</f>
        <v>0.64275256222547583</v>
      </c>
      <c r="L531" s="2" t="str">
        <f t="shared" si="17"/>
        <v>2017 Oakland Athletics</v>
      </c>
      <c r="M531" s="58">
        <f>'Pitching Data'!Q531/'Pitching Data'!P531</f>
        <v>0.1469109777849846</v>
      </c>
      <c r="N531" s="58">
        <f>'Pitching Data'!R531/'Pitching Data'!P531</f>
        <v>4.8646019134100861E-2</v>
      </c>
      <c r="O531" s="58">
        <f>'Pitching Data'!S531/'Pitching Data'!P531</f>
        <v>4.5402951191827468E-3</v>
      </c>
      <c r="P531" s="58">
        <f>'Pitching Data'!T531/'Pitching Data'!P531</f>
        <v>3.4052213393870601E-2</v>
      </c>
      <c r="Q531" s="58">
        <f>'Pitching Data'!U531/'Pitching Data'!P531</f>
        <v>8.1401005351062108E-2</v>
      </c>
      <c r="R531" s="58">
        <f>'Pitching Data'!V531/'Pitching Data'!P531</f>
        <v>9.8913572239338419E-3</v>
      </c>
      <c r="S531" s="58">
        <f>'Pitching Data'!W531/'Pitching Data'!P531</f>
        <v>0.6745581319928653</v>
      </c>
    </row>
    <row r="532" spans="2:19" x14ac:dyDescent="0.5">
      <c r="B532" s="2">
        <v>2017</v>
      </c>
      <c r="C532" s="2" t="s">
        <v>80</v>
      </c>
      <c r="D532" s="2" t="str">
        <f t="shared" si="16"/>
        <v>2017 Philadelphia Phillies</v>
      </c>
      <c r="E532" s="60">
        <f>'Batting Data'!K532/'Batting Data'!J532</f>
        <v>0.15989159891598917</v>
      </c>
      <c r="F532" s="60">
        <f>'Batting Data'!L532/'Batting Data'!J532</f>
        <v>5.185185185185185E-2</v>
      </c>
      <c r="G532" s="60">
        <f>'Batting Data'!M532/'Batting Data'!J532</f>
        <v>6.5040650406504065E-3</v>
      </c>
      <c r="H532" s="60">
        <f>'Batting Data'!N532/'Batting Data'!J532</f>
        <v>3.1436314363143633E-2</v>
      </c>
      <c r="I532" s="60">
        <f>'Batting Data'!O532/'Batting Data'!J532</f>
        <v>8.9250225835591696E-2</v>
      </c>
      <c r="J532" s="60">
        <f>'Batting Data'!P532/'Batting Data'!J532</f>
        <v>8.4914182475158088E-3</v>
      </c>
      <c r="K532" s="60">
        <f>'Batting Data'!Q532/'Batting Data'!J532</f>
        <v>0.65257452574525743</v>
      </c>
      <c r="L532" s="2" t="str">
        <f t="shared" si="17"/>
        <v>2017 Philadelphia Phillies</v>
      </c>
      <c r="M532" s="58">
        <f>'Pitching Data'!Q532/'Pitching Data'!P532</f>
        <v>0.14851643945469126</v>
      </c>
      <c r="N532" s="58">
        <f>'Pitching Data'!R532/'Pitching Data'!P532</f>
        <v>4.7473937449879711E-2</v>
      </c>
      <c r="O532" s="58">
        <f>'Pitching Data'!S532/'Pitching Data'!P532</f>
        <v>4.4907778668805132E-3</v>
      </c>
      <c r="P532" s="58">
        <f>'Pitching Data'!T532/'Pitching Data'!P532</f>
        <v>3.5445068163592622E-2</v>
      </c>
      <c r="Q532" s="58">
        <f>'Pitching Data'!U532/'Pitching Data'!P532</f>
        <v>8.4522854851643944E-2</v>
      </c>
      <c r="R532" s="58">
        <f>'Pitching Data'!V532/'Pitching Data'!P532</f>
        <v>1.0104250200481155E-2</v>
      </c>
      <c r="S532" s="58">
        <f>'Pitching Data'!W532/'Pitching Data'!P532</f>
        <v>0.66944667201283081</v>
      </c>
    </row>
    <row r="533" spans="2:19" x14ac:dyDescent="0.5">
      <c r="B533" s="2">
        <v>2017</v>
      </c>
      <c r="C533" s="2" t="s">
        <v>82</v>
      </c>
      <c r="D533" s="2" t="str">
        <f t="shared" si="16"/>
        <v>2017 Pittsburgh Pirates</v>
      </c>
      <c r="E533" s="60">
        <f>'Batting Data'!K533/'Batting Data'!J533</f>
        <v>0.16397947966288018</v>
      </c>
      <c r="F533" s="60">
        <f>'Batting Data'!L533/'Batting Data'!J533</f>
        <v>4.5621106632466102E-2</v>
      </c>
      <c r="G533" s="60">
        <f>'Batting Data'!M533/'Batting Data'!J533</f>
        <v>6.5958226456577498E-3</v>
      </c>
      <c r="H533" s="60">
        <f>'Batting Data'!N533/'Batting Data'!J533</f>
        <v>2.7665811652620009E-2</v>
      </c>
      <c r="I533" s="60">
        <f>'Batting Data'!O533/'Batting Data'!J533</f>
        <v>9.5089776474899232E-2</v>
      </c>
      <c r="J533" s="60">
        <f>'Batting Data'!P533/'Batting Data'!J533</f>
        <v>1.6123122022718945E-2</v>
      </c>
      <c r="K533" s="60">
        <f>'Batting Data'!Q533/'Batting Data'!J533</f>
        <v>0.64492488090875777</v>
      </c>
      <c r="L533" s="2" t="str">
        <f t="shared" si="17"/>
        <v>2017 Pittsburgh Pirates</v>
      </c>
      <c r="M533" s="58">
        <f>'Pitching Data'!Q533/'Pitching Data'!P533</f>
        <v>0.14996778350515463</v>
      </c>
      <c r="N533" s="58">
        <f>'Pitching Data'!R533/'Pitching Data'!P533</f>
        <v>5.1546391752577317E-2</v>
      </c>
      <c r="O533" s="58">
        <f>'Pitching Data'!S533/'Pitching Data'!P533</f>
        <v>4.9935567010309274E-3</v>
      </c>
      <c r="P533" s="58">
        <f>'Pitching Data'!T533/'Pitching Data'!P533</f>
        <v>2.931701030927835E-2</v>
      </c>
      <c r="Q533" s="58">
        <f>'Pitching Data'!U533/'Pitching Data'!P533</f>
        <v>8.2313144329896906E-2</v>
      </c>
      <c r="R533" s="58">
        <f>'Pitching Data'!V533/'Pitching Data'!P533</f>
        <v>9.3427835051546389E-3</v>
      </c>
      <c r="S533" s="58">
        <f>'Pitching Data'!W533/'Pitching Data'!P533</f>
        <v>0.67251932989690721</v>
      </c>
    </row>
    <row r="534" spans="2:19" x14ac:dyDescent="0.5">
      <c r="B534" s="2">
        <v>2017</v>
      </c>
      <c r="C534" s="2" t="s">
        <v>84</v>
      </c>
      <c r="D534" s="2" t="str">
        <f t="shared" si="16"/>
        <v>2017 San Diego Padres</v>
      </c>
      <c r="E534" s="60">
        <f>'Batting Data'!K534/'Batting Data'!J534</f>
        <v>0.15011202389843167</v>
      </c>
      <c r="F534" s="60">
        <f>'Batting Data'!L534/'Batting Data'!J534</f>
        <v>4.2382374906646751E-2</v>
      </c>
      <c r="G534" s="60">
        <f>'Batting Data'!M534/'Batting Data'!J534</f>
        <v>5.7879014189693798E-3</v>
      </c>
      <c r="H534" s="60">
        <f>'Batting Data'!N534/'Batting Data'!J534</f>
        <v>3.5287528005974608E-2</v>
      </c>
      <c r="I534" s="60">
        <f>'Batting Data'!O534/'Batting Data'!J534</f>
        <v>8.5884988797610154E-2</v>
      </c>
      <c r="J534" s="60">
        <f>'Batting Data'!P534/'Batting Data'!J534</f>
        <v>9.8954443614637788E-3</v>
      </c>
      <c r="K534" s="60">
        <f>'Batting Data'!Q534/'Batting Data'!J534</f>
        <v>0.67064973861090371</v>
      </c>
      <c r="L534" s="2" t="str">
        <f t="shared" si="17"/>
        <v>2017 San Diego Padres</v>
      </c>
      <c r="M534" s="58">
        <f>'Pitching Data'!Q534/'Pitching Data'!P534</f>
        <v>0.14475603825579511</v>
      </c>
      <c r="N534" s="58">
        <f>'Pitching Data'!R534/'Pitching Data'!P534</f>
        <v>4.4577727346409468E-2</v>
      </c>
      <c r="O534" s="58">
        <f>'Pitching Data'!S534/'Pitching Data'!P534</f>
        <v>3.7283190144269734E-3</v>
      </c>
      <c r="P534" s="58">
        <f>'Pitching Data'!T534/'Pitching Data'!P534</f>
        <v>3.6634786837412871E-2</v>
      </c>
      <c r="Q534" s="58">
        <f>'Pitching Data'!U534/'Pitching Data'!P534</f>
        <v>8.9803857999675801E-2</v>
      </c>
      <c r="R534" s="58">
        <f>'Pitching Data'!V534/'Pitching Data'!P534</f>
        <v>1.2157562003566219E-2</v>
      </c>
      <c r="S534" s="58">
        <f>'Pitching Data'!W534/'Pitching Data'!P534</f>
        <v>0.66834170854271358</v>
      </c>
    </row>
    <row r="535" spans="2:19" x14ac:dyDescent="0.5">
      <c r="B535" s="2">
        <v>2017</v>
      </c>
      <c r="C535" s="2" t="s">
        <v>86</v>
      </c>
      <c r="D535" s="2" t="str">
        <f t="shared" si="16"/>
        <v>2017 Seattle Mariners</v>
      </c>
      <c r="E535" s="60">
        <f>'Batting Data'!K535/'Batting Data'!J535</f>
        <v>0.16897856242118536</v>
      </c>
      <c r="F535" s="60">
        <f>'Batting Data'!L535/'Batting Data'!J535</f>
        <v>5.062150963790308E-2</v>
      </c>
      <c r="G535" s="60">
        <f>'Batting Data'!M535/'Batting Data'!J535</f>
        <v>3.0625112592325707E-3</v>
      </c>
      <c r="H535" s="60">
        <f>'Batting Data'!N535/'Batting Data'!J535</f>
        <v>3.6029544226265538E-2</v>
      </c>
      <c r="I535" s="60">
        <f>'Batting Data'!O535/'Batting Data'!J535</f>
        <v>8.7731940190956578E-2</v>
      </c>
      <c r="J535" s="60">
        <f>'Batting Data'!P535/'Batting Data'!J535</f>
        <v>1.405152224824356E-2</v>
      </c>
      <c r="K535" s="60">
        <f>'Batting Data'!Q535/'Batting Data'!J535</f>
        <v>0.6395244100162133</v>
      </c>
      <c r="L535" s="2" t="str">
        <f t="shared" si="17"/>
        <v>2017 Seattle Mariners</v>
      </c>
      <c r="M535" s="58">
        <f>'Pitching Data'!Q535/'Pitching Data'!P535</f>
        <v>0.14481409001956946</v>
      </c>
      <c r="N535" s="58">
        <f>'Pitching Data'!R535/'Pitching Data'!P535</f>
        <v>4.272667971298108E-2</v>
      </c>
      <c r="O535" s="58">
        <f>'Pitching Data'!S535/'Pitching Data'!P535</f>
        <v>1.9569471624266144E-3</v>
      </c>
      <c r="P535" s="58">
        <f>'Pitching Data'!T535/'Pitching Data'!P535</f>
        <v>3.8649706457925634E-2</v>
      </c>
      <c r="Q535" s="58">
        <f>'Pitching Data'!U535/'Pitching Data'!P535</f>
        <v>7.9908675799086754E-2</v>
      </c>
      <c r="R535" s="58">
        <f>'Pitching Data'!V535/'Pitching Data'!P535</f>
        <v>8.6431833007175468E-3</v>
      </c>
      <c r="S535" s="58">
        <f>'Pitching Data'!W535/'Pitching Data'!P535</f>
        <v>0.68330071754729294</v>
      </c>
    </row>
    <row r="536" spans="2:19" x14ac:dyDescent="0.5">
      <c r="B536" s="2">
        <v>2017</v>
      </c>
      <c r="C536" s="2" t="s">
        <v>88</v>
      </c>
      <c r="D536" s="2" t="str">
        <f t="shared" si="16"/>
        <v>2017 San Francisco Giants</v>
      </c>
      <c r="E536" s="60">
        <f>'Batting Data'!K536/'Batting Data'!J536</f>
        <v>0.16861826697892271</v>
      </c>
      <c r="F536" s="60">
        <f>'Batting Data'!L536/'Batting Data'!J536</f>
        <v>5.2242839128085028E-2</v>
      </c>
      <c r="G536" s="60">
        <f>'Batting Data'!M536/'Batting Data'!J536</f>
        <v>5.0441361916771753E-3</v>
      </c>
      <c r="H536" s="60">
        <f>'Batting Data'!N536/'Batting Data'!J536</f>
        <v>2.3058908304809944E-2</v>
      </c>
      <c r="I536" s="60">
        <f>'Batting Data'!O536/'Batting Data'!J536</f>
        <v>8.4128985768330028E-2</v>
      </c>
      <c r="J536" s="60">
        <f>'Batting Data'!P536/'Batting Data'!J536</f>
        <v>6.4853179607277968E-3</v>
      </c>
      <c r="K536" s="60">
        <f>'Batting Data'!Q536/'Batting Data'!J536</f>
        <v>0.66042154566744726</v>
      </c>
      <c r="L536" s="2" t="str">
        <f t="shared" si="17"/>
        <v>2017 San Francisco Giants</v>
      </c>
      <c r="M536" s="58">
        <f>'Pitching Data'!Q536/'Pitching Data'!P536</f>
        <v>0.15555909018609829</v>
      </c>
      <c r="N536" s="58">
        <f>'Pitching Data'!R536/'Pitching Data'!P536</f>
        <v>4.7240337203753778E-2</v>
      </c>
      <c r="O536" s="58">
        <f>'Pitching Data'!S536/'Pitching Data'!P536</f>
        <v>9.225385716557977E-3</v>
      </c>
      <c r="P536" s="58">
        <f>'Pitching Data'!T536/'Pitching Data'!P536</f>
        <v>2.8948624145061237E-2</v>
      </c>
      <c r="Q536" s="58">
        <f>'Pitching Data'!U536/'Pitching Data'!P536</f>
        <v>7.8892953714013045E-2</v>
      </c>
      <c r="R536" s="58">
        <f>'Pitching Data'!V536/'Pitching Data'!P536</f>
        <v>7.9529187211706698E-3</v>
      </c>
      <c r="S536" s="58">
        <f>'Pitching Data'!W536/'Pitching Data'!P536</f>
        <v>0.67218069031334504</v>
      </c>
    </row>
    <row r="537" spans="2:19" x14ac:dyDescent="0.5">
      <c r="B537" s="2">
        <v>2017</v>
      </c>
      <c r="C537" s="2" t="s">
        <v>90</v>
      </c>
      <c r="D537" s="2" t="str">
        <f t="shared" si="16"/>
        <v>2017 St. Louis Cardinals</v>
      </c>
      <c r="E537" s="60">
        <f>'Batting Data'!K537/'Batting Data'!J537</f>
        <v>0.16343692870201096</v>
      </c>
      <c r="F537" s="60">
        <f>'Batting Data'!L537/'Batting Data'!J537</f>
        <v>5.1919561243144424E-2</v>
      </c>
      <c r="G537" s="60">
        <f>'Batting Data'!M537/'Batting Data'!J537</f>
        <v>5.1188299817184644E-3</v>
      </c>
      <c r="H537" s="60">
        <f>'Batting Data'!N537/'Batting Data'!J537</f>
        <v>3.5831809872029254E-2</v>
      </c>
      <c r="I537" s="60">
        <f>'Batting Data'!O537/'Batting Data'!J537</f>
        <v>0.10840950639853748</v>
      </c>
      <c r="J537" s="60">
        <f>'Batting Data'!P537/'Batting Data'!J537</f>
        <v>1.1882998171846435E-2</v>
      </c>
      <c r="K537" s="60">
        <f>'Batting Data'!Q537/'Batting Data'!J537</f>
        <v>0.62340036563071299</v>
      </c>
      <c r="L537" s="2" t="str">
        <f t="shared" si="17"/>
        <v>2017 St. Louis Cardinals</v>
      </c>
      <c r="M537" s="58">
        <f>'Pitching Data'!Q537/'Pitching Data'!P537</f>
        <v>0.14903299203640499</v>
      </c>
      <c r="N537" s="58">
        <f>'Pitching Data'!R537/'Pitching Data'!P537</f>
        <v>4.2580854867544288E-2</v>
      </c>
      <c r="O537" s="58">
        <f>'Pitching Data'!S537/'Pitching Data'!P537</f>
        <v>5.0381927515033313E-3</v>
      </c>
      <c r="P537" s="58">
        <f>'Pitching Data'!T537/'Pitching Data'!P537</f>
        <v>2.9741589468551925E-2</v>
      </c>
      <c r="Q537" s="58">
        <f>'Pitching Data'!U537/'Pitching Data'!P537</f>
        <v>8.0123516983585247E-2</v>
      </c>
      <c r="R537" s="58">
        <f>'Pitching Data'!V537/'Pitching Data'!P537</f>
        <v>1.0888997237120104E-2</v>
      </c>
      <c r="S537" s="58">
        <f>'Pitching Data'!W537/'Pitching Data'!P537</f>
        <v>0.68259385665529015</v>
      </c>
    </row>
    <row r="538" spans="2:19" x14ac:dyDescent="0.5">
      <c r="B538" s="2">
        <v>2017</v>
      </c>
      <c r="C538" s="2" t="s">
        <v>92</v>
      </c>
      <c r="D538" s="2" t="str">
        <f t="shared" si="16"/>
        <v>2017 Tampa Bay Devil Rays</v>
      </c>
      <c r="E538" s="60">
        <f>'Batting Data'!K538/'Batting Data'!J538</f>
        <v>0.15589631252281855</v>
      </c>
      <c r="F538" s="60">
        <f>'Batting Data'!L538/'Batting Data'!J538</f>
        <v>4.1255932822197881E-2</v>
      </c>
      <c r="G538" s="60">
        <f>'Batting Data'!M538/'Batting Data'!J538</f>
        <v>5.8415480102227092E-3</v>
      </c>
      <c r="H538" s="60">
        <f>'Batting Data'!N538/'Batting Data'!J538</f>
        <v>4.1621029572836803E-2</v>
      </c>
      <c r="I538" s="60">
        <f>'Batting Data'!O538/'Batting Data'!J538</f>
        <v>9.9488864549105507E-2</v>
      </c>
      <c r="J538" s="60">
        <f>'Batting Data'!P538/'Batting Data'!J538</f>
        <v>1.0040160642570281E-2</v>
      </c>
      <c r="K538" s="60">
        <f>'Batting Data'!Q538/'Batting Data'!J538</f>
        <v>0.64585615188024825</v>
      </c>
      <c r="L538" s="2" t="str">
        <f t="shared" si="17"/>
        <v>2017 Tampa Bay Devil Rays</v>
      </c>
      <c r="M538" s="58">
        <f>'Pitching Data'!Q538/'Pitching Data'!P538</f>
        <v>0.13838334153139858</v>
      </c>
      <c r="N538" s="58">
        <f>'Pitching Data'!R538/'Pitching Data'!P538</f>
        <v>4.4269552385636991E-2</v>
      </c>
      <c r="O538" s="58">
        <f>'Pitching Data'!S538/'Pitching Data'!P538</f>
        <v>2.7873421872438102E-3</v>
      </c>
      <c r="P538" s="58">
        <f>'Pitching Data'!T538/'Pitching Data'!P538</f>
        <v>3.1644531890473851E-2</v>
      </c>
      <c r="Q538" s="58">
        <f>'Pitching Data'!U538/'Pitching Data'!P538</f>
        <v>8.2472536481390385E-2</v>
      </c>
      <c r="R538" s="58">
        <f>'Pitching Data'!V538/'Pitching Data'!P538</f>
        <v>7.8701426463354644E-3</v>
      </c>
      <c r="S538" s="58">
        <f>'Pitching Data'!W538/'Pitching Data'!P538</f>
        <v>0.69257255287752095</v>
      </c>
    </row>
    <row r="539" spans="2:19" x14ac:dyDescent="0.5">
      <c r="B539" s="2">
        <v>2017</v>
      </c>
      <c r="C539" s="2" t="s">
        <v>94</v>
      </c>
      <c r="D539" s="2" t="str">
        <f t="shared" si="16"/>
        <v>2017 Texas Rangers</v>
      </c>
      <c r="E539" s="60">
        <f>'Batting Data'!K539/'Batting Data'!J539</f>
        <v>0.14972375690607734</v>
      </c>
      <c r="F539" s="60">
        <f>'Batting Data'!L539/'Batting Data'!J539</f>
        <v>4.6961325966850827E-2</v>
      </c>
      <c r="G539" s="60">
        <f>'Batting Data'!M539/'Batting Data'!J539</f>
        <v>3.8674033149171273E-3</v>
      </c>
      <c r="H539" s="60">
        <f>'Batting Data'!N539/'Batting Data'!J539</f>
        <v>4.3646408839779008E-2</v>
      </c>
      <c r="I539" s="60">
        <f>'Batting Data'!O539/'Batting Data'!J539</f>
        <v>0.1001841620626151</v>
      </c>
      <c r="J539" s="60">
        <f>'Batting Data'!P539/'Batting Data'!J539</f>
        <v>1.4917127071823204E-2</v>
      </c>
      <c r="K539" s="60">
        <f>'Batting Data'!Q539/'Batting Data'!J539</f>
        <v>0.64069981583793734</v>
      </c>
      <c r="L539" s="2" t="str">
        <f t="shared" si="17"/>
        <v>2017 Texas Rangers</v>
      </c>
      <c r="M539" s="58">
        <f>'Pitching Data'!Q539/'Pitching Data'!P539</f>
        <v>0.14957333762679118</v>
      </c>
      <c r="N539" s="58">
        <f>'Pitching Data'!R539/'Pitching Data'!P539</f>
        <v>4.6208340041861216E-2</v>
      </c>
      <c r="O539" s="58">
        <f>'Pitching Data'!S539/'Pitching Data'!P539</f>
        <v>2.0930606987602639E-3</v>
      </c>
      <c r="P539" s="58">
        <f>'Pitching Data'!T539/'Pitching Data'!P539</f>
        <v>3.4454999194976653E-2</v>
      </c>
      <c r="Q539" s="58">
        <f>'Pitching Data'!U539/'Pitching Data'!P539</f>
        <v>9.0001610046691355E-2</v>
      </c>
      <c r="R539" s="58">
        <f>'Pitching Data'!V539/'Pitching Data'!P539</f>
        <v>1.1914345516019964E-2</v>
      </c>
      <c r="S539" s="58">
        <f>'Pitching Data'!W539/'Pitching Data'!P539</f>
        <v>0.66575430687489934</v>
      </c>
    </row>
    <row r="540" spans="2:19" x14ac:dyDescent="0.5">
      <c r="B540" s="2">
        <v>2017</v>
      </c>
      <c r="C540" s="2" t="s">
        <v>96</v>
      </c>
      <c r="D540" s="2" t="str">
        <f t="shared" si="16"/>
        <v>2017 Toronto Blue Jays</v>
      </c>
      <c r="E540" s="60">
        <f>'Batting Data'!K540/'Batting Data'!J540</f>
        <v>0.14984542644117113</v>
      </c>
      <c r="F540" s="60">
        <f>'Batting Data'!L540/'Batting Data'!J540</f>
        <v>4.8917985088197856E-2</v>
      </c>
      <c r="G540" s="60">
        <f>'Batting Data'!M540/'Batting Data'!J540</f>
        <v>9.0925622840516457E-4</v>
      </c>
      <c r="H540" s="60">
        <f>'Batting Data'!N540/'Batting Data'!J540</f>
        <v>4.0370976541189305E-2</v>
      </c>
      <c r="I540" s="60">
        <f>'Batting Data'!O540/'Batting Data'!J540</f>
        <v>9.8563375159119837E-2</v>
      </c>
      <c r="J540" s="60">
        <f>'Batting Data'!P540/'Batting Data'!J540</f>
        <v>9.2744135297326783E-3</v>
      </c>
      <c r="K540" s="60">
        <f>'Batting Data'!Q540/'Batting Data'!J540</f>
        <v>0.65211856701218407</v>
      </c>
      <c r="L540" s="2" t="str">
        <f t="shared" si="17"/>
        <v>2017 Toronto Blue Jays</v>
      </c>
      <c r="M540" s="58">
        <f>'Pitching Data'!Q540/'Pitching Data'!P540</f>
        <v>0.14582013932868904</v>
      </c>
      <c r="N540" s="58">
        <f>'Pitching Data'!R540/'Pitching Data'!P540</f>
        <v>4.9081697276757444E-2</v>
      </c>
      <c r="O540" s="58">
        <f>'Pitching Data'!S540/'Pitching Data'!P540</f>
        <v>4.1165294490183657E-3</v>
      </c>
      <c r="P540" s="58">
        <f>'Pitching Data'!T540/'Pitching Data'!P540</f>
        <v>3.2140595313489548E-2</v>
      </c>
      <c r="Q540" s="58">
        <f>'Pitching Data'!U540/'Pitching Data'!P540</f>
        <v>8.692210259658012E-2</v>
      </c>
      <c r="R540" s="58">
        <f>'Pitching Data'!V540/'Pitching Data'!P540</f>
        <v>7.5997466751108293E-3</v>
      </c>
      <c r="S540" s="58">
        <f>'Pitching Data'!W540/'Pitching Data'!P540</f>
        <v>0.67431918936035462</v>
      </c>
    </row>
    <row r="541" spans="2:19" x14ac:dyDescent="0.5">
      <c r="B541" s="2">
        <v>2017</v>
      </c>
      <c r="C541" s="2" t="s">
        <v>100</v>
      </c>
      <c r="D541" s="2" t="str">
        <f t="shared" si="16"/>
        <v>2017 Washington Nationals</v>
      </c>
      <c r="E541" s="60">
        <f>'Batting Data'!K541/'Batting Data'!J541</f>
        <v>0.16567621105708627</v>
      </c>
      <c r="F541" s="60">
        <f>'Batting Data'!L541/'Batting Data'!J541</f>
        <v>5.6005762650819378E-2</v>
      </c>
      <c r="G541" s="60">
        <f>'Batting Data'!M541/'Batting Data'!J541</f>
        <v>5.5825679812713845E-3</v>
      </c>
      <c r="H541" s="60">
        <f>'Batting Data'!N541/'Batting Data'!J541</f>
        <v>3.8717810192688634E-2</v>
      </c>
      <c r="I541" s="60">
        <f>'Batting Data'!O541/'Batting Data'!J541</f>
        <v>9.7604898253196473E-2</v>
      </c>
      <c r="J541" s="60">
        <f>'Batting Data'!P541/'Batting Data'!J541</f>
        <v>5.5825679812713845E-3</v>
      </c>
      <c r="K541" s="60">
        <f>'Batting Data'!Q541/'Batting Data'!J541</f>
        <v>0.63083018188366646</v>
      </c>
      <c r="L541" s="2" t="str">
        <f t="shared" si="17"/>
        <v>2017 Washington Nationals</v>
      </c>
      <c r="M541" s="58">
        <f>'Pitching Data'!Q541/'Pitching Data'!P541</f>
        <v>0.13925510876730388</v>
      </c>
      <c r="N541" s="58">
        <f>'Pitching Data'!R541/'Pitching Data'!P541</f>
        <v>4.0046143704680293E-2</v>
      </c>
      <c r="O541" s="58">
        <f>'Pitching Data'!S541/'Pitching Data'!P541</f>
        <v>3.7903757415952539E-3</v>
      </c>
      <c r="P541" s="58">
        <f>'Pitching Data'!T541/'Pitching Data'!P541</f>
        <v>3.1147000659195782E-2</v>
      </c>
      <c r="Q541" s="58">
        <f>'Pitching Data'!U541/'Pitching Data'!P541</f>
        <v>8.1575477916941336E-2</v>
      </c>
      <c r="R541" s="58">
        <f>'Pitching Data'!V541/'Pitching Data'!P541</f>
        <v>9.8879367172050106E-3</v>
      </c>
      <c r="S541" s="58">
        <f>'Pitching Data'!W541/'Pitching Data'!P541</f>
        <v>0.69429795649307846</v>
      </c>
    </row>
    <row r="542" spans="2:19" x14ac:dyDescent="0.5">
      <c r="B542" s="2">
        <v>2018</v>
      </c>
      <c r="C542" s="2" t="s">
        <v>36</v>
      </c>
      <c r="D542" s="2" t="str">
        <f t="shared" si="16"/>
        <v>2018 Anaheim Angels</v>
      </c>
      <c r="E542" s="60">
        <f>'Batting Data'!K542/'Batting Data'!J542</f>
        <v>0.15296052631578946</v>
      </c>
      <c r="F542" s="60">
        <f>'Batting Data'!L542/'Batting Data'!J542</f>
        <v>4.5504385964912283E-2</v>
      </c>
      <c r="G542" s="60">
        <f>'Batting Data'!M542/'Batting Data'!J542</f>
        <v>4.2032163742690056E-3</v>
      </c>
      <c r="H542" s="60">
        <f>'Batting Data'!N542/'Batting Data'!J542</f>
        <v>3.9108187134502925E-2</v>
      </c>
      <c r="I542" s="60">
        <f>'Batting Data'!O542/'Batting Data'!J542</f>
        <v>9.3932748538011701E-2</v>
      </c>
      <c r="J542" s="60">
        <f>'Batting Data'!P542/'Batting Data'!J542</f>
        <v>1.33406432748538E-2</v>
      </c>
      <c r="K542" s="60">
        <f>'Batting Data'!Q542/'Batting Data'!J542</f>
        <v>0.65095029239766078</v>
      </c>
      <c r="L542" s="2" t="str">
        <f t="shared" si="17"/>
        <v>2018 Anaheim Angels</v>
      </c>
      <c r="M542" s="58">
        <f>'Pitching Data'!Q542/'Pitching Data'!P542</f>
        <v>0.14292730844793713</v>
      </c>
      <c r="N542" s="58">
        <f>'Pitching Data'!R542/'Pitching Data'!P542</f>
        <v>4.1912246234446629E-2</v>
      </c>
      <c r="O542" s="58">
        <f>'Pitching Data'!S542/'Pitching Data'!P542</f>
        <v>3.1106745252128358E-3</v>
      </c>
      <c r="P542" s="58">
        <f>'Pitching Data'!T542/'Pitching Data'!P542</f>
        <v>3.3562540929927963E-2</v>
      </c>
      <c r="Q542" s="58">
        <f>'Pitching Data'!U542/'Pitching Data'!P542</f>
        <v>8.9390962671905702E-2</v>
      </c>
      <c r="R542" s="58">
        <f>'Pitching Data'!V542/'Pitching Data'!P542</f>
        <v>1.0641781270464964E-2</v>
      </c>
      <c r="S542" s="58">
        <f>'Pitching Data'!W542/'Pitching Data'!P542</f>
        <v>0.67845448592010482</v>
      </c>
    </row>
    <row r="543" spans="2:19" x14ac:dyDescent="0.5">
      <c r="B543" s="2">
        <v>2018</v>
      </c>
      <c r="C543" s="2" t="s">
        <v>39</v>
      </c>
      <c r="D543" s="2" t="str">
        <f t="shared" si="16"/>
        <v>2018 Arizona Diamondbacks</v>
      </c>
      <c r="E543" s="60">
        <f>'Batting Data'!K543/'Batting Data'!J543</f>
        <v>0.14615384615384616</v>
      </c>
      <c r="F543" s="60">
        <f>'Batting Data'!L543/'Batting Data'!J543</f>
        <v>4.7435897435897434E-2</v>
      </c>
      <c r="G543" s="60">
        <f>'Batting Data'!M543/'Batting Data'!J543</f>
        <v>9.1575091575091579E-3</v>
      </c>
      <c r="H543" s="60">
        <f>'Batting Data'!N543/'Batting Data'!J543</f>
        <v>3.2234432234432238E-2</v>
      </c>
      <c r="I543" s="60">
        <f>'Batting Data'!O543/'Batting Data'!J543</f>
        <v>0.10256410256410256</v>
      </c>
      <c r="J543" s="60">
        <f>'Batting Data'!P543/'Batting Data'!J543</f>
        <v>9.5238095238095247E-3</v>
      </c>
      <c r="K543" s="60">
        <f>'Batting Data'!Q543/'Batting Data'!J543</f>
        <v>0.65293040293040294</v>
      </c>
      <c r="L543" s="2" t="str">
        <f t="shared" si="17"/>
        <v>2018 Arizona Diamondbacks</v>
      </c>
      <c r="M543" s="58">
        <f>'Pitching Data'!Q543/'Pitching Data'!P543</f>
        <v>0.1402508551881414</v>
      </c>
      <c r="N543" s="58">
        <f>'Pitching Data'!R543/'Pitching Data'!P543</f>
        <v>4.2189281641961229E-2</v>
      </c>
      <c r="O543" s="58">
        <f>'Pitching Data'!S543/'Pitching Data'!P543</f>
        <v>3.0949666069392408E-3</v>
      </c>
      <c r="P543" s="58">
        <f>'Pitching Data'!T543/'Pitching Data'!P543</f>
        <v>2.8343378400390942E-2</v>
      </c>
      <c r="Q543" s="58">
        <f>'Pitching Data'!U543/'Pitching Data'!P543</f>
        <v>8.5030135201172835E-2</v>
      </c>
      <c r="R543" s="58">
        <f>'Pitching Data'!V543/'Pitching Data'!P543</f>
        <v>9.2848998208177221E-3</v>
      </c>
      <c r="S543" s="58">
        <f>'Pitching Data'!W543/'Pitching Data'!P543</f>
        <v>0.69180648314057669</v>
      </c>
    </row>
    <row r="544" spans="2:19" x14ac:dyDescent="0.5">
      <c r="B544" s="2">
        <v>2018</v>
      </c>
      <c r="C544" s="2" t="s">
        <v>41</v>
      </c>
      <c r="D544" s="2" t="str">
        <f t="shared" si="16"/>
        <v>2018 Atlanta Braves</v>
      </c>
      <c r="E544" s="60">
        <f>'Batting Data'!K544/'Batting Data'!J544</f>
        <v>0.16391974202794699</v>
      </c>
      <c r="F544" s="60">
        <f>'Batting Data'!L544/'Batting Data'!J544</f>
        <v>5.6252239340738086E-2</v>
      </c>
      <c r="G544" s="60">
        <f>'Batting Data'!M544/'Batting Data'!J544</f>
        <v>5.1952705123611605E-3</v>
      </c>
      <c r="H544" s="60">
        <f>'Batting Data'!N544/'Batting Data'!J544</f>
        <v>3.1350770333213901E-2</v>
      </c>
      <c r="I544" s="60">
        <f>'Batting Data'!O544/'Batting Data'!J544</f>
        <v>9.1544249372984596E-2</v>
      </c>
      <c r="J544" s="60">
        <f>'Batting Data'!P544/'Batting Data'!J544</f>
        <v>1.1823719097097814E-2</v>
      </c>
      <c r="K544" s="60">
        <f>'Batting Data'!Q544/'Batting Data'!J544</f>
        <v>0.63991400931565745</v>
      </c>
      <c r="L544" s="2" t="str">
        <f t="shared" si="17"/>
        <v>2018 Atlanta Braves</v>
      </c>
      <c r="M544" s="58">
        <f>'Pitching Data'!Q544/'Pitching Data'!P544</f>
        <v>0.13143785540211211</v>
      </c>
      <c r="N544" s="58">
        <f>'Pitching Data'!R544/'Pitching Data'!P544</f>
        <v>4.0292445166531278E-2</v>
      </c>
      <c r="O544" s="58">
        <f>'Pitching Data'!S544/'Pitching Data'!P544</f>
        <v>4.2242079610073108E-3</v>
      </c>
      <c r="P544" s="58">
        <f>'Pitching Data'!T544/'Pitching Data'!P544</f>
        <v>2.4857839155158407E-2</v>
      </c>
      <c r="Q544" s="58">
        <f>'Pitching Data'!U544/'Pitching Data'!P544</f>
        <v>0.10316815597075549</v>
      </c>
      <c r="R544" s="58">
        <f>'Pitching Data'!V544/'Pitching Data'!P544</f>
        <v>8.4484159220146217E-3</v>
      </c>
      <c r="S544" s="58">
        <f>'Pitching Data'!W544/'Pitching Data'!P544</f>
        <v>0.68757108042242077</v>
      </c>
    </row>
    <row r="545" spans="2:19" x14ac:dyDescent="0.5">
      <c r="B545" s="2">
        <v>2018</v>
      </c>
      <c r="C545" s="2" t="s">
        <v>44</v>
      </c>
      <c r="D545" s="2" t="str">
        <f t="shared" si="16"/>
        <v>2018 Baltimore Orioles</v>
      </c>
      <c r="E545" s="60">
        <f>'Batting Data'!K545/'Batting Data'!J545</f>
        <v>0.15834392591247504</v>
      </c>
      <c r="F545" s="60">
        <f>'Batting Data'!L545/'Batting Data'!J545</f>
        <v>4.3944071182131832E-2</v>
      </c>
      <c r="G545" s="60">
        <f>'Batting Data'!M545/'Batting Data'!J545</f>
        <v>2.7238060650081712E-3</v>
      </c>
      <c r="H545" s="60">
        <f>'Batting Data'!N545/'Batting Data'!J545</f>
        <v>3.4138369348102417E-2</v>
      </c>
      <c r="I545" s="60">
        <f>'Batting Data'!O545/'Batting Data'!J545</f>
        <v>7.6629743962229893E-2</v>
      </c>
      <c r="J545" s="60">
        <f>'Batting Data'!P545/'Batting Data'!J545</f>
        <v>1.0350463047031052E-2</v>
      </c>
      <c r="K545" s="60">
        <f>'Batting Data'!Q545/'Batting Data'!J545</f>
        <v>0.67386962048302157</v>
      </c>
      <c r="L545" s="2" t="str">
        <f t="shared" si="17"/>
        <v>2018 Baltimore Orioles</v>
      </c>
      <c r="M545" s="58">
        <f>'Pitching Data'!Q545/'Pitching Data'!P545</f>
        <v>0.15126182965299684</v>
      </c>
      <c r="N545" s="58">
        <f>'Pitching Data'!R545/'Pitching Data'!P545</f>
        <v>5.1261829652996846E-2</v>
      </c>
      <c r="O545" s="58">
        <f>'Pitching Data'!S545/'Pitching Data'!P545</f>
        <v>5.3627760252365929E-3</v>
      </c>
      <c r="P545" s="58">
        <f>'Pitching Data'!T545/'Pitching Data'!P545</f>
        <v>3.6908517350157731E-2</v>
      </c>
      <c r="Q545" s="58">
        <f>'Pitching Data'!U545/'Pitching Data'!P545</f>
        <v>9.2902208201892739E-2</v>
      </c>
      <c r="R545" s="58">
        <f>'Pitching Data'!V545/'Pitching Data'!P545</f>
        <v>1.056782334384858E-2</v>
      </c>
      <c r="S545" s="58">
        <f>'Pitching Data'!W545/'Pitching Data'!P545</f>
        <v>0.65173501577287063</v>
      </c>
    </row>
    <row r="546" spans="2:19" x14ac:dyDescent="0.5">
      <c r="B546" s="2">
        <v>2018</v>
      </c>
      <c r="C546" s="2" t="s">
        <v>46</v>
      </c>
      <c r="D546" s="2" t="str">
        <f t="shared" si="16"/>
        <v>2018 Boston Red Sox</v>
      </c>
      <c r="E546" s="60">
        <f>'Batting Data'!K546/'Batting Data'!J546</f>
        <v>0.16272452427529788</v>
      </c>
      <c r="F546" s="60">
        <f>'Batting Data'!L546/'Batting Data'!J546</f>
        <v>6.3133558598612846E-2</v>
      </c>
      <c r="G546" s="60">
        <f>'Batting Data'!M546/'Batting Data'!J546</f>
        <v>5.5130713142450653E-3</v>
      </c>
      <c r="H546" s="60">
        <f>'Batting Data'!N546/'Batting Data'!J546</f>
        <v>3.6990930108483019E-2</v>
      </c>
      <c r="I546" s="60">
        <f>'Batting Data'!O546/'Batting Data'!J546</f>
        <v>0.10119153476791748</v>
      </c>
      <c r="J546" s="60">
        <f>'Batting Data'!P546/'Batting Data'!J546</f>
        <v>9.7812555575315669E-3</v>
      </c>
      <c r="K546" s="60">
        <f>'Batting Data'!Q546/'Batting Data'!J546</f>
        <v>0.62066512537791219</v>
      </c>
      <c r="L546" s="2" t="str">
        <f t="shared" si="17"/>
        <v>2018 Boston Red Sox</v>
      </c>
      <c r="M546" s="58">
        <f>'Pitching Data'!Q546/'Pitching Data'!P546</f>
        <v>0.13752838144664287</v>
      </c>
      <c r="N546" s="58">
        <f>'Pitching Data'!R546/'Pitching Data'!P546</f>
        <v>3.9896204995134611E-2</v>
      </c>
      <c r="O546" s="58">
        <f>'Pitching Data'!S546/'Pitching Data'!P546</f>
        <v>5.6762893285760624E-3</v>
      </c>
      <c r="P546" s="58">
        <f>'Pitching Data'!T546/'Pitching Data'!P546</f>
        <v>2.8543626337982485E-2</v>
      </c>
      <c r="Q546" s="58">
        <f>'Pitching Data'!U546/'Pitching Data'!P546</f>
        <v>8.3036003892312679E-2</v>
      </c>
      <c r="R546" s="58">
        <f>'Pitching Data'!V546/'Pitching Data'!P546</f>
        <v>1.3623094388582549E-2</v>
      </c>
      <c r="S546" s="58">
        <f>'Pitching Data'!W546/'Pitching Data'!P546</f>
        <v>0.69169639961076879</v>
      </c>
    </row>
    <row r="547" spans="2:19" x14ac:dyDescent="0.5">
      <c r="B547" s="2">
        <v>2018</v>
      </c>
      <c r="C547" s="2" t="s">
        <v>50</v>
      </c>
      <c r="D547" s="2" t="str">
        <f t="shared" si="16"/>
        <v>2018 Chicago Cubs</v>
      </c>
      <c r="E547" s="60">
        <f>'Batting Data'!K547/'Batting Data'!J547</f>
        <v>0.17176386913229019</v>
      </c>
      <c r="F547" s="60">
        <f>'Batting Data'!L547/'Batting Data'!J547</f>
        <v>5.0853485064011376E-2</v>
      </c>
      <c r="G547" s="60">
        <f>'Batting Data'!M547/'Batting Data'!J547</f>
        <v>6.0455192034139403E-3</v>
      </c>
      <c r="H547" s="60">
        <f>'Batting Data'!N547/'Batting Data'!J547</f>
        <v>2.9694167852062588E-2</v>
      </c>
      <c r="I547" s="60">
        <f>'Batting Data'!O547/'Batting Data'!J547</f>
        <v>0.10241820768136557</v>
      </c>
      <c r="J547" s="60">
        <f>'Batting Data'!P547/'Batting Data'!J547</f>
        <v>1.3869132290184922E-2</v>
      </c>
      <c r="K547" s="60">
        <f>'Batting Data'!Q547/'Batting Data'!J547</f>
        <v>0.62535561877667145</v>
      </c>
      <c r="L547" s="2" t="str">
        <f t="shared" si="17"/>
        <v>2018 Chicago Cubs</v>
      </c>
      <c r="M547" s="58">
        <f>'Pitching Data'!Q547/'Pitching Data'!P547</f>
        <v>0.14575351213282248</v>
      </c>
      <c r="N547" s="58">
        <f>'Pitching Data'!R547/'Pitching Data'!P547</f>
        <v>3.5280970625798214E-2</v>
      </c>
      <c r="O547" s="58">
        <f>'Pitching Data'!S547/'Pitching Data'!P547</f>
        <v>4.4699872286079181E-3</v>
      </c>
      <c r="P547" s="58">
        <f>'Pitching Data'!T547/'Pitching Data'!P547</f>
        <v>2.5063856960408686E-2</v>
      </c>
      <c r="Q547" s="58">
        <f>'Pitching Data'!U547/'Pitching Data'!P547</f>
        <v>9.9297573435504466E-2</v>
      </c>
      <c r="R547" s="58">
        <f>'Pitching Data'!V547/'Pitching Data'!P547</f>
        <v>1.0536398467432951E-2</v>
      </c>
      <c r="S547" s="58">
        <f>'Pitching Data'!W547/'Pitching Data'!P547</f>
        <v>0.6795977011494253</v>
      </c>
    </row>
    <row r="548" spans="2:19" x14ac:dyDescent="0.5">
      <c r="B548" s="2">
        <v>2018</v>
      </c>
      <c r="C548" s="2" t="s">
        <v>48</v>
      </c>
      <c r="D548" s="2" t="str">
        <f t="shared" si="16"/>
        <v>2018 Chicago White Sox</v>
      </c>
      <c r="E548" s="60">
        <f>'Batting Data'!K548/'Batting Data'!J548</f>
        <v>0.15408292594604381</v>
      </c>
      <c r="F548" s="60">
        <f>'Batting Data'!L548/'Batting Data'!J548</f>
        <v>4.6894803548795945E-2</v>
      </c>
      <c r="G548" s="60">
        <f>'Batting Data'!M548/'Batting Data'!J548</f>
        <v>7.2424407025167481E-3</v>
      </c>
      <c r="H548" s="60">
        <f>'Batting Data'!N548/'Batting Data'!J548</f>
        <v>3.2953105196451206E-2</v>
      </c>
      <c r="I548" s="60">
        <f>'Batting Data'!O548/'Batting Data'!J548</f>
        <v>7.6950932464240451E-2</v>
      </c>
      <c r="J548" s="60">
        <f>'Batting Data'!P548/'Batting Data'!J548</f>
        <v>1.1950027159152634E-2</v>
      </c>
      <c r="K548" s="60">
        <f>'Batting Data'!Q548/'Batting Data'!J548</f>
        <v>0.66992576498279921</v>
      </c>
      <c r="L548" s="2" t="str">
        <f t="shared" si="17"/>
        <v>2018 Chicago White Sox</v>
      </c>
      <c r="M548" s="58">
        <f>'Pitching Data'!Q548/'Pitching Data'!P548</f>
        <v>0.14087395488247359</v>
      </c>
      <c r="N548" s="58">
        <f>'Pitching Data'!R548/'Pitching Data'!P548</f>
        <v>4.6064047957091021E-2</v>
      </c>
      <c r="O548" s="58">
        <f>'Pitching Data'!S548/'Pitching Data'!P548</f>
        <v>3.7860861334595361E-3</v>
      </c>
      <c r="P548" s="58">
        <f>'Pitching Data'!T548/'Pitching Data'!P548</f>
        <v>3.091970342325288E-2</v>
      </c>
      <c r="Q548" s="58">
        <f>'Pitching Data'!U548/'Pitching Data'!P548</f>
        <v>0.10301309354787822</v>
      </c>
      <c r="R548" s="58">
        <f>'Pitching Data'!V548/'Pitching Data'!P548</f>
        <v>1.4040069411579113E-2</v>
      </c>
      <c r="S548" s="58">
        <f>'Pitching Data'!W548/'Pitching Data'!P548</f>
        <v>0.6613030446442657</v>
      </c>
    </row>
    <row r="549" spans="2:19" x14ac:dyDescent="0.5">
      <c r="B549" s="2">
        <v>2018</v>
      </c>
      <c r="C549" s="2" t="s">
        <v>52</v>
      </c>
      <c r="D549" s="2" t="str">
        <f t="shared" si="16"/>
        <v>2018 Cincinnati Reds</v>
      </c>
      <c r="E549" s="60">
        <f>'Batting Data'!K549/'Batting Data'!J549</f>
        <v>0.17281272595806219</v>
      </c>
      <c r="F549" s="60">
        <f>'Batting Data'!L549/'Batting Data'!J549</f>
        <v>4.5372378886478666E-2</v>
      </c>
      <c r="G549" s="60">
        <f>'Batting Data'!M549/'Batting Data'!J549</f>
        <v>4.5191612436731744E-3</v>
      </c>
      <c r="H549" s="60">
        <f>'Batting Data'!N549/'Batting Data'!J549</f>
        <v>3.1091829356471441E-2</v>
      </c>
      <c r="I549" s="60">
        <f>'Batting Data'!O549/'Batting Data'!J549</f>
        <v>0.10104844540853218</v>
      </c>
      <c r="J549" s="60">
        <f>'Batting Data'!P549/'Batting Data'!J549</f>
        <v>1.1749819233550254E-2</v>
      </c>
      <c r="K549" s="60">
        <f>'Batting Data'!Q549/'Batting Data'!J549</f>
        <v>0.63340563991323207</v>
      </c>
      <c r="L549" s="2" t="str">
        <f t="shared" si="17"/>
        <v>2018 Cincinnati Reds</v>
      </c>
      <c r="M549" s="58">
        <f>'Pitching Data'!Q549/'Pitching Data'!P549</f>
        <v>0.15050167224080269</v>
      </c>
      <c r="N549" s="58">
        <f>'Pitching Data'!R549/'Pitching Data'!P549</f>
        <v>4.6344959388437648E-2</v>
      </c>
      <c r="O549" s="58">
        <f>'Pitching Data'!S549/'Pitching Data'!P549</f>
        <v>4.300047778308648E-3</v>
      </c>
      <c r="P549" s="58">
        <f>'Pitching Data'!T549/'Pitching Data'!P549</f>
        <v>3.6311514572384136E-2</v>
      </c>
      <c r="Q549" s="58">
        <f>'Pitching Data'!U549/'Pitching Data'!P549</f>
        <v>8.4726867335562991E-2</v>
      </c>
      <c r="R549" s="58">
        <f>'Pitching Data'!V549/'Pitching Data'!P549</f>
        <v>7.9630514413123101E-3</v>
      </c>
      <c r="S549" s="58">
        <f>'Pitching Data'!W549/'Pitching Data'!P549</f>
        <v>0.66985188724319156</v>
      </c>
    </row>
    <row r="550" spans="2:19" x14ac:dyDescent="0.5">
      <c r="B550" s="2">
        <v>2018</v>
      </c>
      <c r="C550" s="2" t="s">
        <v>54</v>
      </c>
      <c r="D550" s="2" t="str">
        <f t="shared" si="16"/>
        <v>2018 Cleveland Indians</v>
      </c>
      <c r="E550" s="60">
        <f>'Batting Data'!K550/'Batting Data'!J550</f>
        <v>0.16353887399463807</v>
      </c>
      <c r="F550" s="60">
        <f>'Batting Data'!L550/'Batting Data'!J550</f>
        <v>5.3083109919571048E-2</v>
      </c>
      <c r="G550" s="60">
        <f>'Batting Data'!M550/'Batting Data'!J550</f>
        <v>3.3958891867739054E-3</v>
      </c>
      <c r="H550" s="60">
        <f>'Batting Data'!N550/'Batting Data'!J550</f>
        <v>3.8605898123324399E-2</v>
      </c>
      <c r="I550" s="60">
        <f>'Batting Data'!O550/'Batting Data'!J550</f>
        <v>9.9016979445933864E-2</v>
      </c>
      <c r="J550" s="60">
        <f>'Batting Data'!P550/'Batting Data'!J550</f>
        <v>1.4298480786416443E-2</v>
      </c>
      <c r="K550" s="60">
        <f>'Batting Data'!Q550/'Batting Data'!J550</f>
        <v>0.62806076854334225</v>
      </c>
      <c r="L550" s="2" t="str">
        <f t="shared" si="17"/>
        <v>2018 Cleveland Indians</v>
      </c>
      <c r="M550" s="58">
        <f>'Pitching Data'!Q550/'Pitching Data'!P550</f>
        <v>0.1342447702190743</v>
      </c>
      <c r="N550" s="58">
        <f>'Pitching Data'!R550/'Pitching Data'!P550</f>
        <v>5.1227145445560861E-2</v>
      </c>
      <c r="O550" s="58">
        <f>'Pitching Data'!S550/'Pitching Data'!P550</f>
        <v>3.7885027178389064E-3</v>
      </c>
      <c r="P550" s="58">
        <f>'Pitching Data'!T550/'Pitching Data'!P550</f>
        <v>3.294350189425136E-2</v>
      </c>
      <c r="Q550" s="58">
        <f>'Pitching Data'!U550/'Pitching Data'!P550</f>
        <v>6.704002635480151E-2</v>
      </c>
      <c r="R550" s="58">
        <f>'Pitching Data'!V550/'Pitching Data'!P550</f>
        <v>9.7183330588041517E-3</v>
      </c>
      <c r="S550" s="58">
        <f>'Pitching Data'!W550/'Pitching Data'!P550</f>
        <v>0.70103772030966893</v>
      </c>
    </row>
    <row r="551" spans="2:19" x14ac:dyDescent="0.5">
      <c r="B551" s="2">
        <v>2018</v>
      </c>
      <c r="C551" s="2" t="s">
        <v>56</v>
      </c>
      <c r="D551" s="2" t="str">
        <f t="shared" si="16"/>
        <v>2018 Colorado Rockies</v>
      </c>
      <c r="E551" s="60">
        <f>'Batting Data'!K551/'Batting Data'!J551</f>
        <v>0.15989893521025086</v>
      </c>
      <c r="F551" s="60">
        <f>'Batting Data'!L551/'Batting Data'!J551</f>
        <v>5.0532394874571375E-2</v>
      </c>
      <c r="G551" s="60">
        <f>'Batting Data'!M551/'Batting Data'!J551</f>
        <v>7.5798592311857064E-3</v>
      </c>
      <c r="H551" s="60">
        <f>'Batting Data'!N551/'Batting Data'!J551</f>
        <v>3.7899296155928533E-2</v>
      </c>
      <c r="I551" s="60">
        <f>'Batting Data'!O551/'Batting Data'!J551</f>
        <v>9.1499729290741738E-2</v>
      </c>
      <c r="J551" s="60">
        <f>'Batting Data'!P551/'Batting Data'!J551</f>
        <v>9.204114780725501E-3</v>
      </c>
      <c r="K551" s="60">
        <f>'Batting Data'!Q551/'Batting Data'!J551</f>
        <v>0.64338567045659634</v>
      </c>
      <c r="L551" s="2" t="str">
        <f t="shared" si="17"/>
        <v>2018 Colorado Rockies</v>
      </c>
      <c r="M551" s="58">
        <f>'Pitching Data'!Q551/'Pitching Data'!P551</f>
        <v>0.14267143321416964</v>
      </c>
      <c r="N551" s="58">
        <f>'Pitching Data'!R551/'Pitching Data'!P551</f>
        <v>4.3548911277218071E-2</v>
      </c>
      <c r="O551" s="58">
        <f>'Pitching Data'!S551/'Pitching Data'!P551</f>
        <v>7.7998050048748782E-3</v>
      </c>
      <c r="P551" s="58">
        <f>'Pitching Data'!T551/'Pitching Data'!P551</f>
        <v>2.9899252518687032E-2</v>
      </c>
      <c r="Q551" s="58">
        <f>'Pitching Data'!U551/'Pitching Data'!P551</f>
        <v>8.5310367240818974E-2</v>
      </c>
      <c r="R551" s="58">
        <f>'Pitching Data'!V551/'Pitching Data'!P551</f>
        <v>8.4497887552811186E-3</v>
      </c>
      <c r="S551" s="58">
        <f>'Pitching Data'!W551/'Pitching Data'!P551</f>
        <v>0.68232044198895025</v>
      </c>
    </row>
    <row r="552" spans="2:19" x14ac:dyDescent="0.5">
      <c r="B552" s="2">
        <v>2018</v>
      </c>
      <c r="C552" s="2" t="s">
        <v>58</v>
      </c>
      <c r="D552" s="2" t="str">
        <f t="shared" si="16"/>
        <v>2018 Detroit Tigers</v>
      </c>
      <c r="E552" s="60">
        <f>'Batting Data'!K552/'Batting Data'!J552</f>
        <v>0.15871860211139424</v>
      </c>
      <c r="F552" s="60">
        <f>'Batting Data'!L552/'Batting Data'!J552</f>
        <v>5.1692755733527482E-2</v>
      </c>
      <c r="G552" s="60">
        <f>'Batting Data'!M552/'Batting Data'!J552</f>
        <v>6.3705860939206405E-3</v>
      </c>
      <c r="H552" s="60">
        <f>'Batting Data'!N552/'Batting Data'!J552</f>
        <v>2.4572260647979613E-2</v>
      </c>
      <c r="I552" s="60">
        <f>'Batting Data'!O552/'Batting Data'!J552</f>
        <v>7.7903167091372405E-2</v>
      </c>
      <c r="J552" s="60">
        <f>'Batting Data'!P552/'Batting Data'!J552</f>
        <v>9.4648707681106656E-3</v>
      </c>
      <c r="K552" s="60">
        <f>'Batting Data'!Q552/'Batting Data'!J552</f>
        <v>0.6712777575536949</v>
      </c>
      <c r="L552" s="2" t="str">
        <f t="shared" si="17"/>
        <v>2018 Detroit Tigers</v>
      </c>
      <c r="M552" s="58">
        <f>'Pitching Data'!Q552/'Pitching Data'!P552</f>
        <v>0.14600326264274063</v>
      </c>
      <c r="N552" s="58">
        <f>'Pitching Data'!R552/'Pitching Data'!P552</f>
        <v>4.5350734094616638E-2</v>
      </c>
      <c r="O552" s="58">
        <f>'Pitching Data'!S552/'Pitching Data'!P552</f>
        <v>5.5464926590538333E-3</v>
      </c>
      <c r="P552" s="58">
        <f>'Pitching Data'!T552/'Pitching Data'!P552</f>
        <v>3.5236541598694944E-2</v>
      </c>
      <c r="Q552" s="58">
        <f>'Pitching Data'!U552/'Pitching Data'!P552</f>
        <v>8.0097879282218593E-2</v>
      </c>
      <c r="R552" s="58">
        <f>'Pitching Data'!V552/'Pitching Data'!P552</f>
        <v>9.7879282218597055E-3</v>
      </c>
      <c r="S552" s="58">
        <f>'Pitching Data'!W552/'Pitching Data'!P552</f>
        <v>0.67797716150081566</v>
      </c>
    </row>
    <row r="553" spans="2:19" x14ac:dyDescent="0.5">
      <c r="B553" s="2">
        <v>2018</v>
      </c>
      <c r="C553" s="2" t="s">
        <v>60</v>
      </c>
      <c r="D553" s="2" t="str">
        <f t="shared" si="16"/>
        <v>2018 Florida Marlins</v>
      </c>
      <c r="E553" s="60">
        <f>'Batting Data'!K553/'Batting Data'!J553</f>
        <v>0.16302952503209242</v>
      </c>
      <c r="F553" s="60">
        <f>'Batting Data'!L553/'Batting Data'!J553</f>
        <v>5.0981111314872547E-2</v>
      </c>
      <c r="G553" s="60">
        <f>'Batting Data'!M553/'Batting Data'!J553</f>
        <v>3.3009352649917478E-3</v>
      </c>
      <c r="H553" s="60">
        <f>'Batting Data'!N553/'Batting Data'!J553</f>
        <v>3.7593984962406013E-2</v>
      </c>
      <c r="I553" s="60">
        <f>'Batting Data'!O553/'Batting Data'!J553</f>
        <v>0.10361269026224097</v>
      </c>
      <c r="J553" s="60">
        <f>'Batting Data'!P553/'Batting Data'!J553</f>
        <v>1.1186502842472034E-2</v>
      </c>
      <c r="K553" s="60">
        <f>'Batting Data'!Q553/'Batting Data'!J553</f>
        <v>0.63029525032092426</v>
      </c>
      <c r="L553" s="2" t="str">
        <f t="shared" si="17"/>
        <v>2018 Florida Marlins</v>
      </c>
      <c r="M553" s="58">
        <f>'Pitching Data'!Q553/'Pitching Data'!P553</f>
        <v>0.12413326568577709</v>
      </c>
      <c r="N553" s="58">
        <f>'Pitching Data'!R553/'Pitching Data'!P553</f>
        <v>4.3463554879079991E-2</v>
      </c>
      <c r="O553" s="58">
        <f>'Pitching Data'!S553/'Pitching Data'!P553</f>
        <v>3.5514967021816335E-3</v>
      </c>
      <c r="P553" s="58">
        <f>'Pitching Data'!T553/'Pitching Data'!P553</f>
        <v>2.5706071368171823E-2</v>
      </c>
      <c r="Q553" s="58">
        <f>'Pitching Data'!U553/'Pitching Data'!P553</f>
        <v>7.3566717402333837E-2</v>
      </c>
      <c r="R553" s="58">
        <f>'Pitching Data'!V553/'Pitching Data'!P553</f>
        <v>1.1161846778285134E-2</v>
      </c>
      <c r="S553" s="58">
        <f>'Pitching Data'!W553/'Pitching Data'!P553</f>
        <v>0.71841704718417043</v>
      </c>
    </row>
    <row r="554" spans="2:19" x14ac:dyDescent="0.5">
      <c r="B554" s="2">
        <v>2018</v>
      </c>
      <c r="C554" s="2" t="s">
        <v>62</v>
      </c>
      <c r="D554" s="2" t="str">
        <f t="shared" si="16"/>
        <v>2018 Houston Astros</v>
      </c>
      <c r="E554" s="60">
        <f>'Batting Data'!K554/'Batting Data'!J554</f>
        <v>0.16039963669391463</v>
      </c>
      <c r="F554" s="60">
        <f>'Batting Data'!L554/'Batting Data'!J554</f>
        <v>5.1407811080835607E-2</v>
      </c>
      <c r="G554" s="60">
        <f>'Batting Data'!M554/'Batting Data'!J554</f>
        <v>5.2679382379654856E-3</v>
      </c>
      <c r="H554" s="60">
        <f>'Batting Data'!N554/'Batting Data'!J554</f>
        <v>2.8156221616712079E-2</v>
      </c>
      <c r="I554" s="60">
        <f>'Batting Data'!O554/'Batting Data'!J554</f>
        <v>7.7565849227974562E-2</v>
      </c>
      <c r="J554" s="60">
        <f>'Batting Data'!P554/'Batting Data'!J554</f>
        <v>1.2170753860127156E-2</v>
      </c>
      <c r="K554" s="60">
        <f>'Batting Data'!Q554/'Batting Data'!J554</f>
        <v>0.66503178928247053</v>
      </c>
      <c r="L554" s="2" t="str">
        <f t="shared" si="17"/>
        <v>2018 Houston Astros</v>
      </c>
      <c r="M554" s="58">
        <f>'Pitching Data'!Q554/'Pitching Data'!P554</f>
        <v>0.16390833863781032</v>
      </c>
      <c r="N554" s="58">
        <f>'Pitching Data'!R554/'Pitching Data'!P554</f>
        <v>4.3125397835773391E-2</v>
      </c>
      <c r="O554" s="58">
        <f>'Pitching Data'!S554/'Pitching Data'!P554</f>
        <v>5.7288351368555059E-3</v>
      </c>
      <c r="P554" s="58">
        <f>'Pitching Data'!T554/'Pitching Data'!P554</f>
        <v>3.2622533418204966E-2</v>
      </c>
      <c r="Q554" s="58">
        <f>'Pitching Data'!U554/'Pitching Data'!P554</f>
        <v>8.7364735837046473E-2</v>
      </c>
      <c r="R554" s="58">
        <f>'Pitching Data'!V554/'Pitching Data'!P554</f>
        <v>8.1158497772119663E-3</v>
      </c>
      <c r="S554" s="58">
        <f>'Pitching Data'!W554/'Pitching Data'!P554</f>
        <v>0.65913430935709738</v>
      </c>
    </row>
    <row r="555" spans="2:19" x14ac:dyDescent="0.5">
      <c r="B555" s="2">
        <v>2018</v>
      </c>
      <c r="C555" s="2" t="s">
        <v>64</v>
      </c>
      <c r="D555" s="2" t="str">
        <f t="shared" si="16"/>
        <v>2018 Kansas City Royals</v>
      </c>
      <c r="E555" s="60">
        <f>'Batting Data'!K555/'Batting Data'!J555</f>
        <v>0.14895908111988515</v>
      </c>
      <c r="F555" s="60">
        <f>'Batting Data'!L555/'Batting Data'!J555</f>
        <v>5.3122756640344583E-2</v>
      </c>
      <c r="G555" s="60">
        <f>'Batting Data'!M555/'Batting Data'!J555</f>
        <v>5.9224694903086865E-3</v>
      </c>
      <c r="H555" s="60">
        <f>'Batting Data'!N555/'Batting Data'!J555</f>
        <v>4.2175161521895189E-2</v>
      </c>
      <c r="I555" s="60">
        <f>'Batting Data'!O555/'Batting Data'!J555</f>
        <v>0.11611629576453697</v>
      </c>
      <c r="J555" s="60">
        <f>'Batting Data'!P555/'Batting Data'!J555</f>
        <v>1.094759511844939E-2</v>
      </c>
      <c r="K555" s="60">
        <f>'Batting Data'!Q555/'Batting Data'!J555</f>
        <v>0.62275664034458</v>
      </c>
      <c r="L555" s="2" t="str">
        <f t="shared" si="17"/>
        <v>2018 Kansas City Royals</v>
      </c>
      <c r="M555" s="58">
        <f>'Pitching Data'!Q555/'Pitching Data'!P555</f>
        <v>0.13664698162729658</v>
      </c>
      <c r="N555" s="58">
        <f>'Pitching Data'!R555/'Pitching Data'!P555</f>
        <v>3.9698162729658794E-2</v>
      </c>
      <c r="O555" s="58">
        <f>'Pitching Data'!S555/'Pitching Data'!P555</f>
        <v>4.1010498687664041E-3</v>
      </c>
      <c r="P555" s="58">
        <f>'Pitching Data'!T555/'Pitching Data'!P555</f>
        <v>2.9363517060367453E-2</v>
      </c>
      <c r="Q555" s="58">
        <f>'Pitching Data'!U555/'Pitching Data'!P555</f>
        <v>6.92257217847769E-2</v>
      </c>
      <c r="R555" s="58">
        <f>'Pitching Data'!V555/'Pitching Data'!P555</f>
        <v>1.0006561679790027E-2</v>
      </c>
      <c r="S555" s="58">
        <f>'Pitching Data'!W555/'Pitching Data'!P555</f>
        <v>0.71095800524934383</v>
      </c>
    </row>
    <row r="556" spans="2:19" x14ac:dyDescent="0.5">
      <c r="B556" s="2">
        <v>2018</v>
      </c>
      <c r="C556" s="2" t="s">
        <v>66</v>
      </c>
      <c r="D556" s="2" t="str">
        <f t="shared" si="16"/>
        <v>2018 Los Angeles Dodgers</v>
      </c>
      <c r="E556" s="60">
        <f>'Batting Data'!K556/'Batting Data'!J556</f>
        <v>0.16927842565597667</v>
      </c>
      <c r="F556" s="60">
        <f>'Batting Data'!L556/'Batting Data'!J556</f>
        <v>4.0451895043731777E-2</v>
      </c>
      <c r="G556" s="60">
        <f>'Batting Data'!M556/'Batting Data'!J556</f>
        <v>4.3731778425655978E-3</v>
      </c>
      <c r="H556" s="60">
        <f>'Batting Data'!N556/'Batting Data'!J556</f>
        <v>2.3323615160349854E-2</v>
      </c>
      <c r="I556" s="60">
        <f>'Batting Data'!O556/'Batting Data'!J556</f>
        <v>8.2908163265306117E-2</v>
      </c>
      <c r="J556" s="60">
        <f>'Batting Data'!P556/'Batting Data'!J556</f>
        <v>1.3301749271137026E-2</v>
      </c>
      <c r="K556" s="60">
        <f>'Batting Data'!Q556/'Batting Data'!J556</f>
        <v>0.6663629737609329</v>
      </c>
      <c r="L556" s="2" t="str">
        <f t="shared" si="17"/>
        <v>2018 Los Angeles Dodgers</v>
      </c>
      <c r="M556" s="58">
        <f>'Pitching Data'!Q556/'Pitching Data'!P556</f>
        <v>0.13855035279025016</v>
      </c>
      <c r="N556" s="58">
        <f>'Pitching Data'!R556/'Pitching Data'!P556</f>
        <v>4.9550994227068636E-2</v>
      </c>
      <c r="O556" s="58">
        <f>'Pitching Data'!S556/'Pitching Data'!P556</f>
        <v>3.6882617062219372E-3</v>
      </c>
      <c r="P556" s="58">
        <f>'Pitching Data'!T556/'Pitching Data'!P556</f>
        <v>3.0788967286722257E-2</v>
      </c>
      <c r="Q556" s="58">
        <f>'Pitching Data'!U556/'Pitching Data'!P556</f>
        <v>9.7017318794098778E-2</v>
      </c>
      <c r="R556" s="58">
        <f>'Pitching Data'!V556/'Pitching Data'!P556</f>
        <v>1.1385503527902501E-2</v>
      </c>
      <c r="S556" s="58">
        <f>'Pitching Data'!W556/'Pitching Data'!P556</f>
        <v>0.66901860166773575</v>
      </c>
    </row>
    <row r="557" spans="2:19" x14ac:dyDescent="0.5">
      <c r="B557" s="2">
        <v>2018</v>
      </c>
      <c r="C557" s="2" t="s">
        <v>68</v>
      </c>
      <c r="D557" s="2" t="str">
        <f t="shared" si="16"/>
        <v>2018 Milwaukee Brewers</v>
      </c>
      <c r="E557" s="60">
        <f>'Batting Data'!K557/'Batting Data'!J557</f>
        <v>0.16311800793937206</v>
      </c>
      <c r="F557" s="60">
        <f>'Batting Data'!L557/'Batting Data'!J557</f>
        <v>4.5470949115842658E-2</v>
      </c>
      <c r="G557" s="60">
        <f>'Batting Data'!M557/'Batting Data'!J557</f>
        <v>4.3305665824612052E-3</v>
      </c>
      <c r="H557" s="60">
        <f>'Batting Data'!N557/'Batting Data'!J557</f>
        <v>3.9335979790689285E-2</v>
      </c>
      <c r="I557" s="60">
        <f>'Batting Data'!O557/'Batting Data'!J557</f>
        <v>9.6896427282569475E-2</v>
      </c>
      <c r="J557" s="60">
        <f>'Batting Data'!P557/'Batting Data'!J557</f>
        <v>1.0465535907614579E-2</v>
      </c>
      <c r="K557" s="60">
        <f>'Batting Data'!Q557/'Batting Data'!J557</f>
        <v>0.64038253338145079</v>
      </c>
      <c r="L557" s="2" t="str">
        <f t="shared" si="17"/>
        <v>2018 Milwaukee Brewers</v>
      </c>
      <c r="M557" s="58">
        <f>'Pitching Data'!Q557/'Pitching Data'!P557</f>
        <v>0.13199214916584887</v>
      </c>
      <c r="N557" s="58">
        <f>'Pitching Data'!R557/'Pitching Data'!P557</f>
        <v>3.9090611710827609E-2</v>
      </c>
      <c r="O557" s="58">
        <f>'Pitching Data'!S557/'Pitching Data'!P557</f>
        <v>6.542361792607131E-3</v>
      </c>
      <c r="P557" s="58">
        <f>'Pitching Data'!T557/'Pitching Data'!P557</f>
        <v>2.8295714753025843E-2</v>
      </c>
      <c r="Q557" s="58">
        <f>'Pitching Data'!U557/'Pitching Data'!P557</f>
        <v>9.0448151782793584E-2</v>
      </c>
      <c r="R557" s="58">
        <f>'Pitching Data'!V557/'Pitching Data'!P557</f>
        <v>9.9771017337258756E-3</v>
      </c>
      <c r="S557" s="58">
        <f>'Pitching Data'!W557/'Pitching Data'!P557</f>
        <v>0.69365390906117108</v>
      </c>
    </row>
    <row r="558" spans="2:19" x14ac:dyDescent="0.5">
      <c r="B558" s="2">
        <v>2018</v>
      </c>
      <c r="C558" s="2" t="s">
        <v>70</v>
      </c>
      <c r="D558" s="2" t="str">
        <f t="shared" si="16"/>
        <v>2018 Minnesota Twins</v>
      </c>
      <c r="E558" s="60">
        <f>'Batting Data'!K558/'Batting Data'!J558</f>
        <v>0.15816141874773795</v>
      </c>
      <c r="F558" s="60">
        <f>'Batting Data'!L558/'Batting Data'!J558</f>
        <v>5.7546145494028228E-2</v>
      </c>
      <c r="G558" s="60">
        <f>'Batting Data'!M558/'Batting Data'!J558</f>
        <v>3.9811798769453493E-3</v>
      </c>
      <c r="H558" s="60">
        <f>'Batting Data'!N558/'Batting Data'!J558</f>
        <v>3.0039811798769453E-2</v>
      </c>
      <c r="I558" s="60">
        <f>'Batting Data'!O558/'Batting Data'!J558</f>
        <v>9.6634093376764388E-2</v>
      </c>
      <c r="J558" s="60">
        <f>'Batting Data'!P558/'Batting Data'!J558</f>
        <v>6.6956207021353605E-3</v>
      </c>
      <c r="K558" s="60">
        <f>'Batting Data'!Q558/'Batting Data'!J558</f>
        <v>0.64694173000361921</v>
      </c>
      <c r="L558" s="2" t="str">
        <f t="shared" si="17"/>
        <v>2018 Minnesota Twins</v>
      </c>
      <c r="M558" s="58">
        <f>'Pitching Data'!Q558/'Pitching Data'!P558</f>
        <v>0.14649276284396373</v>
      </c>
      <c r="N558" s="58">
        <f>'Pitching Data'!R558/'Pitching Data'!P558</f>
        <v>4.4536344838555751E-2</v>
      </c>
      <c r="O558" s="58">
        <f>'Pitching Data'!S558/'Pitching Data'!P558</f>
        <v>4.1355177350087483E-3</v>
      </c>
      <c r="P558" s="58">
        <f>'Pitching Data'!T558/'Pitching Data'!P558</f>
        <v>3.1493558135835854E-2</v>
      </c>
      <c r="Q558" s="58">
        <f>'Pitching Data'!U558/'Pitching Data'!P558</f>
        <v>9.1140448544615879E-2</v>
      </c>
      <c r="R558" s="58">
        <f>'Pitching Data'!V558/'Pitching Data'!P558</f>
        <v>1.2724669953873072E-2</v>
      </c>
      <c r="S558" s="58">
        <f>'Pitching Data'!W558/'Pitching Data'!P558</f>
        <v>0.66947669794814701</v>
      </c>
    </row>
    <row r="559" spans="2:19" x14ac:dyDescent="0.5">
      <c r="B559" s="2">
        <v>2018</v>
      </c>
      <c r="C559" s="2" t="s">
        <v>76</v>
      </c>
      <c r="D559" s="2" t="str">
        <f t="shared" si="16"/>
        <v>2018 New York Mets</v>
      </c>
      <c r="E559" s="60">
        <f>'Batting Data'!K559/'Batting Data'!J559</f>
        <v>0.14868324798829555</v>
      </c>
      <c r="F559" s="60">
        <f>'Batting Data'!L559/'Batting Data'!J559</f>
        <v>4.8463789319678124E-2</v>
      </c>
      <c r="G559" s="60">
        <f>'Batting Data'!M559/'Batting Data'!J559</f>
        <v>6.2179956108266276E-3</v>
      </c>
      <c r="H559" s="60">
        <f>'Batting Data'!N559/'Batting Data'!J559</f>
        <v>3.108997805413314E-2</v>
      </c>
      <c r="I559" s="60">
        <f>'Batting Data'!O559/'Batting Data'!J559</f>
        <v>0.10351133869787857</v>
      </c>
      <c r="J559" s="60">
        <f>'Batting Data'!P559/'Batting Data'!J559</f>
        <v>1.3350402340892466E-2</v>
      </c>
      <c r="K559" s="60">
        <f>'Batting Data'!Q559/'Batting Data'!J559</f>
        <v>0.64868324798829557</v>
      </c>
      <c r="L559" s="2" t="str">
        <f t="shared" si="17"/>
        <v>2018 New York Mets</v>
      </c>
      <c r="M559" s="58">
        <f>'Pitching Data'!Q559/'Pitching Data'!P559</f>
        <v>0.14794431854969245</v>
      </c>
      <c r="N559" s="58">
        <f>'Pitching Data'!R559/'Pitching Data'!P559</f>
        <v>3.9009388151505342E-2</v>
      </c>
      <c r="O559" s="58">
        <f>'Pitching Data'!S559/'Pitching Data'!P559</f>
        <v>3.8847523470378763E-3</v>
      </c>
      <c r="P559" s="58">
        <f>'Pitching Data'!T559/'Pitching Data'!P559</f>
        <v>2.9944966008416965E-2</v>
      </c>
      <c r="Q559" s="58">
        <f>'Pitching Data'!U559/'Pitching Data'!P559</f>
        <v>7.8342505665263837E-2</v>
      </c>
      <c r="R559" s="58">
        <f>'Pitching Data'!V559/'Pitching Data'!P559</f>
        <v>1.1492392359987051E-2</v>
      </c>
      <c r="S559" s="58">
        <f>'Pitching Data'!W559/'Pitching Data'!P559</f>
        <v>0.68938167691809649</v>
      </c>
    </row>
    <row r="560" spans="2:19" x14ac:dyDescent="0.5">
      <c r="B560" s="2">
        <v>2018</v>
      </c>
      <c r="C560" s="2" t="s">
        <v>74</v>
      </c>
      <c r="D560" s="2" t="str">
        <f t="shared" si="16"/>
        <v>2018 New York Yankees</v>
      </c>
      <c r="E560" s="60">
        <f>'Batting Data'!K560/'Batting Data'!J560</f>
        <v>0.14777878513145964</v>
      </c>
      <c r="F560" s="60">
        <f>'Batting Data'!L560/'Batting Data'!J560</f>
        <v>4.8776065276518586E-2</v>
      </c>
      <c r="G560" s="60">
        <f>'Batting Data'!M560/'Batting Data'!J560</f>
        <v>4.1704442429737077E-3</v>
      </c>
      <c r="H560" s="60">
        <f>'Batting Data'!N560/'Batting Data'!J560</f>
        <v>4.8413417951042613E-2</v>
      </c>
      <c r="I560" s="60">
        <f>'Batting Data'!O560/'Batting Data'!J560</f>
        <v>0.11332728921124206</v>
      </c>
      <c r="J560" s="60">
        <f>'Batting Data'!P560/'Batting Data'!J560</f>
        <v>1.1242067089755213E-2</v>
      </c>
      <c r="K560" s="60">
        <f>'Batting Data'!Q560/'Batting Data'!J560</f>
        <v>0.6262919310970082</v>
      </c>
      <c r="L560" s="2" t="str">
        <f t="shared" si="17"/>
        <v>2018 New York Yankees</v>
      </c>
      <c r="M560" s="58">
        <f>'Pitching Data'!Q560/'Pitching Data'!P560</f>
        <v>0.1348314606741573</v>
      </c>
      <c r="N560" s="58">
        <f>'Pitching Data'!R560/'Pitching Data'!P560</f>
        <v>4.7712099006676438E-2</v>
      </c>
      <c r="O560" s="58">
        <f>'Pitching Data'!S560/'Pitching Data'!P560</f>
        <v>2.1169190685556096E-3</v>
      </c>
      <c r="P560" s="58">
        <f>'Pitching Data'!T560/'Pitching Data'!P560</f>
        <v>2.8822667318026379E-2</v>
      </c>
      <c r="Q560" s="58">
        <f>'Pitching Data'!U560/'Pitching Data'!P560</f>
        <v>8.0442924605113167E-2</v>
      </c>
      <c r="R560" s="58">
        <f>'Pitching Data'!V560/'Pitching Data'!P560</f>
        <v>9.4447158443250277E-3</v>
      </c>
      <c r="S560" s="58">
        <f>'Pitching Data'!W560/'Pitching Data'!P560</f>
        <v>0.6966292134831461</v>
      </c>
    </row>
    <row r="561" spans="2:19" x14ac:dyDescent="0.5">
      <c r="B561" s="2">
        <v>2018</v>
      </c>
      <c r="C561" s="2" t="s">
        <v>78</v>
      </c>
      <c r="D561" s="2" t="str">
        <f t="shared" si="16"/>
        <v>2018 Oakland Athletics</v>
      </c>
      <c r="E561" s="60">
        <f>'Batting Data'!K561/'Batting Data'!J561</f>
        <v>0.15020613013084783</v>
      </c>
      <c r="F561" s="60">
        <f>'Batting Data'!L561/'Batting Data'!J561</f>
        <v>5.7716436637390213E-2</v>
      </c>
      <c r="G561" s="60">
        <f>'Batting Data'!M561/'Batting Data'!J561</f>
        <v>3.5848718408316902E-3</v>
      </c>
      <c r="H561" s="60">
        <f>'Batting Data'!N561/'Batting Data'!J561</f>
        <v>4.0688295393439683E-2</v>
      </c>
      <c r="I561" s="60">
        <f>'Batting Data'!O561/'Batting Data'!J561</f>
        <v>9.8583975622871481E-2</v>
      </c>
      <c r="J561" s="60">
        <f>'Batting Data'!P561/'Batting Data'!J561</f>
        <v>1.3622512995160423E-2</v>
      </c>
      <c r="K561" s="60">
        <f>'Batting Data'!Q561/'Batting Data'!J561</f>
        <v>0.63559777737945866</v>
      </c>
      <c r="L561" s="2" t="str">
        <f t="shared" si="17"/>
        <v>2018 Oakland Athletics</v>
      </c>
      <c r="M561" s="58">
        <f>'Pitching Data'!Q561/'Pitching Data'!P561</f>
        <v>0.13641580586981472</v>
      </c>
      <c r="N561" s="58">
        <f>'Pitching Data'!R561/'Pitching Data'!P561</f>
        <v>4.3941629775373012E-2</v>
      </c>
      <c r="O561" s="58">
        <f>'Pitching Data'!S561/'Pitching Data'!P561</f>
        <v>3.1152647975077881E-3</v>
      </c>
      <c r="P561" s="58">
        <f>'Pitching Data'!T561/'Pitching Data'!P561</f>
        <v>3.016888014428595E-2</v>
      </c>
      <c r="Q561" s="58">
        <f>'Pitching Data'!U561/'Pitching Data'!P561</f>
        <v>7.7717658632562719E-2</v>
      </c>
      <c r="R561" s="58">
        <f>'Pitching Data'!V561/'Pitching Data'!P561</f>
        <v>8.6899491719954099E-3</v>
      </c>
      <c r="S561" s="58">
        <f>'Pitching Data'!W561/'Pitching Data'!P561</f>
        <v>0.6999508116084604</v>
      </c>
    </row>
    <row r="562" spans="2:19" x14ac:dyDescent="0.5">
      <c r="B562" s="2">
        <v>2018</v>
      </c>
      <c r="C562" s="2" t="s">
        <v>80</v>
      </c>
      <c r="D562" s="2" t="str">
        <f t="shared" si="16"/>
        <v>2018 Philadelphia Phillies</v>
      </c>
      <c r="E562" s="60">
        <f>'Batting Data'!K562/'Batting Data'!J562</f>
        <v>0.15007374631268436</v>
      </c>
      <c r="F562" s="60">
        <f>'Batting Data'!L562/'Batting Data'!J562</f>
        <v>4.4432153392330385E-2</v>
      </c>
      <c r="G562" s="60">
        <f>'Batting Data'!M562/'Batting Data'!J562</f>
        <v>5.5309734513274336E-3</v>
      </c>
      <c r="H562" s="60">
        <f>'Batting Data'!N562/'Batting Data'!J562</f>
        <v>3.4292035398230086E-2</v>
      </c>
      <c r="I562" s="60">
        <f>'Batting Data'!O562/'Batting Data'!J562</f>
        <v>0.10730088495575221</v>
      </c>
      <c r="J562" s="60">
        <f>'Batting Data'!P562/'Batting Data'!J562</f>
        <v>1.1799410029498525E-2</v>
      </c>
      <c r="K562" s="60">
        <f>'Batting Data'!Q562/'Batting Data'!J562</f>
        <v>0.64657079646017701</v>
      </c>
      <c r="L562" s="2" t="str">
        <f t="shared" si="17"/>
        <v>2018 Philadelphia Phillies</v>
      </c>
      <c r="M562" s="58">
        <f>'Pitching Data'!Q562/'Pitching Data'!P562</f>
        <v>0.14190289996741609</v>
      </c>
      <c r="N562" s="58">
        <f>'Pitching Data'!R562/'Pitching Data'!P562</f>
        <v>4.7572499185402413E-2</v>
      </c>
      <c r="O562" s="58">
        <f>'Pitching Data'!S562/'Pitching Data'!P562</f>
        <v>5.2134245682632779E-3</v>
      </c>
      <c r="P562" s="58">
        <f>'Pitching Data'!T562/'Pitching Data'!P562</f>
        <v>2.7859237536656891E-2</v>
      </c>
      <c r="Q562" s="58">
        <f>'Pitching Data'!U562/'Pitching Data'!P562</f>
        <v>8.1459758879113719E-2</v>
      </c>
      <c r="R562" s="58">
        <f>'Pitching Data'!V562/'Pitching Data'!P562</f>
        <v>9.7751710654936461E-3</v>
      </c>
      <c r="S562" s="58">
        <f>'Pitching Data'!W562/'Pitching Data'!P562</f>
        <v>0.6862170087976539</v>
      </c>
    </row>
    <row r="563" spans="2:19" x14ac:dyDescent="0.5">
      <c r="B563" s="2">
        <v>2018</v>
      </c>
      <c r="C563" s="2" t="s">
        <v>82</v>
      </c>
      <c r="D563" s="2" t="str">
        <f t="shared" si="16"/>
        <v>2018 Pittsburgh Pirates</v>
      </c>
      <c r="E563" s="60">
        <f>'Batting Data'!K563/'Batting Data'!J563</f>
        <v>0.16449421700018357</v>
      </c>
      <c r="F563" s="60">
        <f>'Batting Data'!L563/'Batting Data'!J563</f>
        <v>5.3240315770148705E-2</v>
      </c>
      <c r="G563" s="60">
        <f>'Batting Data'!M563/'Batting Data'!J563</f>
        <v>6.9763172388470716E-3</v>
      </c>
      <c r="H563" s="60">
        <f>'Batting Data'!N563/'Batting Data'!J563</f>
        <v>2.8823205434183954E-2</v>
      </c>
      <c r="I563" s="60">
        <f>'Batting Data'!O563/'Batting Data'!J563</f>
        <v>8.7020378189829259E-2</v>
      </c>
      <c r="J563" s="60">
        <f>'Batting Data'!P563/'Batting Data'!J563</f>
        <v>1.0831650449788875E-2</v>
      </c>
      <c r="K563" s="60">
        <f>'Batting Data'!Q563/'Batting Data'!J563</f>
        <v>0.64861391591701856</v>
      </c>
      <c r="L563" s="2" t="str">
        <f t="shared" si="17"/>
        <v>2018 Pittsburgh Pirates</v>
      </c>
      <c r="M563" s="58">
        <f>'Pitching Data'!Q563/'Pitching Data'!P563</f>
        <v>0.14534505208333334</v>
      </c>
      <c r="N563" s="58">
        <f>'Pitching Data'!R563/'Pitching Data'!P563</f>
        <v>4.6712239583333336E-2</v>
      </c>
      <c r="O563" s="58">
        <f>'Pitching Data'!S563/'Pitching Data'!P563</f>
        <v>4.231770833333333E-3</v>
      </c>
      <c r="P563" s="58">
        <f>'Pitching Data'!T563/'Pitching Data'!P563</f>
        <v>2.83203125E-2</v>
      </c>
      <c r="Q563" s="58">
        <f>'Pitching Data'!U563/'Pitching Data'!P563</f>
        <v>8.0891927083333329E-2</v>
      </c>
      <c r="R563" s="58">
        <f>'Pitching Data'!V563/'Pitching Data'!P563</f>
        <v>1.123046875E-2</v>
      </c>
      <c r="S563" s="58">
        <f>'Pitching Data'!W563/'Pitching Data'!P563</f>
        <v>0.68326822916666663</v>
      </c>
    </row>
    <row r="564" spans="2:19" x14ac:dyDescent="0.5">
      <c r="B564" s="2">
        <v>2018</v>
      </c>
      <c r="C564" s="2" t="s">
        <v>84</v>
      </c>
      <c r="D564" s="2" t="str">
        <f t="shared" si="16"/>
        <v>2018 San Diego Padres</v>
      </c>
      <c r="E564" s="60">
        <f>'Batting Data'!K564/'Batting Data'!J564</f>
        <v>0.15439300036456435</v>
      </c>
      <c r="F564" s="60">
        <f>'Batting Data'!L564/'Batting Data'!J564</f>
        <v>4.5570543200874954E-2</v>
      </c>
      <c r="G564" s="60">
        <f>'Batting Data'!M564/'Batting Data'!J564</f>
        <v>5.4684651841049947E-3</v>
      </c>
      <c r="H564" s="60">
        <f>'Batting Data'!N564/'Batting Data'!J564</f>
        <v>2.9529711994166971E-2</v>
      </c>
      <c r="I564" s="60">
        <f>'Batting Data'!O564/'Batting Data'!J564</f>
        <v>8.585490339044842E-2</v>
      </c>
      <c r="J564" s="60">
        <f>'Batting Data'!P564/'Batting Data'!J564</f>
        <v>5.6507473569084943E-3</v>
      </c>
      <c r="K564" s="60">
        <f>'Batting Data'!Q564/'Batting Data'!J564</f>
        <v>0.67353262850893181</v>
      </c>
      <c r="L564" s="2" t="str">
        <f t="shared" si="17"/>
        <v>2018 San Diego Padres</v>
      </c>
      <c r="M564" s="58">
        <f>'Pitching Data'!Q564/'Pitching Data'!P564</f>
        <v>0.14870482890949793</v>
      </c>
      <c r="N564" s="58">
        <f>'Pitching Data'!R564/'Pitching Data'!P564</f>
        <v>4.5251039334825709E-2</v>
      </c>
      <c r="O564" s="58">
        <f>'Pitching Data'!S564/'Pitching Data'!P564</f>
        <v>5.1167252958106814E-3</v>
      </c>
      <c r="P564" s="58">
        <f>'Pitching Data'!T564/'Pitching Data'!P564</f>
        <v>2.9581068116405502E-2</v>
      </c>
      <c r="Q564" s="58">
        <f>'Pitching Data'!U564/'Pitching Data'!P564</f>
        <v>8.2986888391429481E-2</v>
      </c>
      <c r="R564" s="58">
        <f>'Pitching Data'!V564/'Pitching Data'!P564</f>
        <v>1.0873041253597697E-2</v>
      </c>
      <c r="S564" s="58">
        <f>'Pitching Data'!W564/'Pitching Data'!P564</f>
        <v>0.67748640869843302</v>
      </c>
    </row>
    <row r="565" spans="2:19" x14ac:dyDescent="0.5">
      <c r="B565" s="2">
        <v>2018</v>
      </c>
      <c r="C565" s="2" t="s">
        <v>86</v>
      </c>
      <c r="D565" s="2" t="str">
        <f t="shared" si="16"/>
        <v>2018 Seattle Mariners</v>
      </c>
      <c r="E565" s="60">
        <f>'Batting Data'!K565/'Batting Data'!J565</f>
        <v>0.17014329766007619</v>
      </c>
      <c r="F565" s="60">
        <f>'Batting Data'!L565/'Batting Data'!J565</f>
        <v>4.6435697442408851E-2</v>
      </c>
      <c r="G565" s="60">
        <f>'Batting Data'!M565/'Batting Data'!J565</f>
        <v>5.8044621803011063E-3</v>
      </c>
      <c r="H565" s="60">
        <f>'Batting Data'!N565/'Batting Data'!J565</f>
        <v>3.1924541991656084E-2</v>
      </c>
      <c r="I565" s="60">
        <f>'Batting Data'!O565/'Batting Data'!J565</f>
        <v>7.7997460547796119E-2</v>
      </c>
      <c r="J565" s="60">
        <f>'Batting Data'!P565/'Batting Data'!J565</f>
        <v>1.269726101940867E-2</v>
      </c>
      <c r="K565" s="60">
        <f>'Batting Data'!Q565/'Batting Data'!J565</f>
        <v>0.65499727915835293</v>
      </c>
      <c r="L565" s="2" t="str">
        <f t="shared" si="17"/>
        <v>2018 Seattle Mariners</v>
      </c>
      <c r="M565" s="58">
        <f>'Pitching Data'!Q565/'Pitching Data'!P565</f>
        <v>0.14638564136341181</v>
      </c>
      <c r="N565" s="58">
        <f>'Pitching Data'!R565/'Pitching Data'!P565</f>
        <v>4.7587683187880786E-2</v>
      </c>
      <c r="O565" s="58">
        <f>'Pitching Data'!S565/'Pitching Data'!P565</f>
        <v>3.7872550633953565E-3</v>
      </c>
      <c r="P565" s="58">
        <f>'Pitching Data'!T565/'Pitching Data'!P565</f>
        <v>3.2109336407047585E-2</v>
      </c>
      <c r="Q565" s="58">
        <f>'Pitching Data'!U565/'Pitching Data'!P565</f>
        <v>6.5865305450354031E-2</v>
      </c>
      <c r="R565" s="58">
        <f>'Pitching Data'!V565/'Pitching Data'!P565</f>
        <v>1.1855754981063725E-2</v>
      </c>
      <c r="S565" s="58">
        <f>'Pitching Data'!W565/'Pitching Data'!P565</f>
        <v>0.69240902354684675</v>
      </c>
    </row>
    <row r="566" spans="2:19" x14ac:dyDescent="0.5">
      <c r="B566" s="2">
        <v>2018</v>
      </c>
      <c r="C566" s="2" t="s">
        <v>88</v>
      </c>
      <c r="D566" s="2" t="str">
        <f t="shared" si="16"/>
        <v>2018 San Francisco Giants</v>
      </c>
      <c r="E566" s="60">
        <f>'Batting Data'!K566/'Batting Data'!J566</f>
        <v>0.16350839198700595</v>
      </c>
      <c r="F566" s="60">
        <f>'Batting Data'!L566/'Batting Data'!J566</f>
        <v>4.6020573903627501E-2</v>
      </c>
      <c r="G566" s="60">
        <f>'Batting Data'!M566/'Batting Data'!J566</f>
        <v>5.4141851651326473E-3</v>
      </c>
      <c r="H566" s="60">
        <f>'Batting Data'!N566/'Batting Data'!J566</f>
        <v>2.4002887565421405E-2</v>
      </c>
      <c r="I566" s="60">
        <f>'Batting Data'!O566/'Batting Data'!J566</f>
        <v>8.0851831799314197E-2</v>
      </c>
      <c r="J566" s="60">
        <f>'Batting Data'!P566/'Batting Data'!J566</f>
        <v>8.8431691030499918E-3</v>
      </c>
      <c r="K566" s="60">
        <f>'Batting Data'!Q566/'Batting Data'!J566</f>
        <v>0.67135896047644827</v>
      </c>
      <c r="L566" s="2" t="str">
        <f t="shared" si="17"/>
        <v>2018 San Francisco Giants</v>
      </c>
      <c r="M566" s="58">
        <f>'Pitching Data'!Q566/'Pitching Data'!P566</f>
        <v>0.14504926506218704</v>
      </c>
      <c r="N566" s="58">
        <f>'Pitching Data'!R566/'Pitching Data'!P566</f>
        <v>4.7003715070263283E-2</v>
      </c>
      <c r="O566" s="58">
        <f>'Pitching Data'!S566/'Pitching Data'!P566</f>
        <v>6.7840413503472783E-3</v>
      </c>
      <c r="P566" s="58">
        <f>'Pitching Data'!T566/'Pitching Data'!P566</f>
        <v>2.5197867872718462E-2</v>
      </c>
      <c r="Q566" s="58">
        <f>'Pitching Data'!U566/'Pitching Data'!P566</f>
        <v>8.4638992085285095E-2</v>
      </c>
      <c r="R566" s="58">
        <f>'Pitching Data'!V566/'Pitching Data'!P566</f>
        <v>7.268615732514941E-3</v>
      </c>
      <c r="S566" s="58">
        <f>'Pitching Data'!W566/'Pitching Data'!P566</f>
        <v>0.68405750282668387</v>
      </c>
    </row>
    <row r="567" spans="2:19" x14ac:dyDescent="0.5">
      <c r="B567" s="2">
        <v>2018</v>
      </c>
      <c r="C567" s="2" t="s">
        <v>90</v>
      </c>
      <c r="D567" s="2" t="str">
        <f t="shared" si="16"/>
        <v>2018 St. Louis Cardinals</v>
      </c>
      <c r="E567" s="60">
        <f>'Batting Data'!K567/'Batting Data'!J567</f>
        <v>0.16496907966533284</v>
      </c>
      <c r="F567" s="60">
        <f>'Batting Data'!L567/'Batting Data'!J567</f>
        <v>4.5107311749727173E-2</v>
      </c>
      <c r="G567" s="60">
        <f>'Batting Data'!M567/'Batting Data'!J567</f>
        <v>1.6369588941433249E-3</v>
      </c>
      <c r="H567" s="60">
        <f>'Batting Data'!N567/'Batting Data'!J567</f>
        <v>3.7286285922153509E-2</v>
      </c>
      <c r="I567" s="60">
        <f>'Batting Data'!O567/'Batting Data'!J567</f>
        <v>9.5489268825027285E-2</v>
      </c>
      <c r="J567" s="60">
        <f>'Batting Data'!P567/'Batting Data'!J567</f>
        <v>1.4550745725718442E-2</v>
      </c>
      <c r="K567" s="60">
        <f>'Batting Data'!Q567/'Batting Data'!J567</f>
        <v>0.64096034921789746</v>
      </c>
      <c r="L567" s="2" t="str">
        <f t="shared" si="17"/>
        <v>2018 St. Louis Cardinals</v>
      </c>
      <c r="M567" s="58">
        <f>'Pitching Data'!Q567/'Pitching Data'!P567</f>
        <v>0.1502152766703875</v>
      </c>
      <c r="N567" s="58">
        <f>'Pitching Data'!R567/'Pitching Data'!P567</f>
        <v>3.8590336469462604E-2</v>
      </c>
      <c r="O567" s="58">
        <f>'Pitching Data'!S567/'Pitching Data'!P567</f>
        <v>4.1460692074629249E-3</v>
      </c>
      <c r="P567" s="58">
        <f>'Pitching Data'!T567/'Pitching Data'!P567</f>
        <v>2.2962844841333121E-2</v>
      </c>
      <c r="Q567" s="58">
        <f>'Pitching Data'!U567/'Pitching Data'!P567</f>
        <v>9.4562270770212092E-2</v>
      </c>
      <c r="R567" s="58">
        <f>'Pitching Data'!V567/'Pitching Data'!P567</f>
        <v>1.0684101419231382E-2</v>
      </c>
      <c r="S567" s="58">
        <f>'Pitching Data'!W567/'Pitching Data'!P567</f>
        <v>0.67883910062191033</v>
      </c>
    </row>
    <row r="568" spans="2:19" x14ac:dyDescent="0.5">
      <c r="B568" s="2">
        <v>2018</v>
      </c>
      <c r="C568" s="2" t="s">
        <v>92</v>
      </c>
      <c r="D568" s="2" t="str">
        <f t="shared" si="16"/>
        <v>2018 Tampa Bay Devil Rays</v>
      </c>
      <c r="E568" s="60">
        <f>'Batting Data'!K568/'Batting Data'!J568</f>
        <v>0.17315068493150684</v>
      </c>
      <c r="F568" s="60">
        <f>'Batting Data'!L568/'Batting Data'!J568</f>
        <v>5.004566210045662E-2</v>
      </c>
      <c r="G568" s="60">
        <f>'Batting Data'!M568/'Batting Data'!J568</f>
        <v>7.8538812785388136E-3</v>
      </c>
      <c r="H568" s="60">
        <f>'Batting Data'!N568/'Batting Data'!J568</f>
        <v>2.7397260273972601E-2</v>
      </c>
      <c r="I568" s="60">
        <f>'Batting Data'!O568/'Batting Data'!J568</f>
        <v>9.8630136986301367E-2</v>
      </c>
      <c r="J568" s="60">
        <f>'Batting Data'!P568/'Batting Data'!J568</f>
        <v>1.8447488584474887E-2</v>
      </c>
      <c r="K568" s="60">
        <f>'Batting Data'!Q568/'Batting Data'!J568</f>
        <v>0.62447488584474886</v>
      </c>
      <c r="L568" s="2" t="str">
        <f t="shared" si="17"/>
        <v>2018 Tampa Bay Devil Rays</v>
      </c>
      <c r="M568" s="58">
        <f>'Pitching Data'!Q568/'Pitching Data'!P568</f>
        <v>0.13184245660881175</v>
      </c>
      <c r="N568" s="58">
        <f>'Pitching Data'!R568/'Pitching Data'!P568</f>
        <v>4.3724966622162881E-2</v>
      </c>
      <c r="O568" s="58">
        <f>'Pitching Data'!S568/'Pitching Data'!P568</f>
        <v>3.3377837116154874E-3</v>
      </c>
      <c r="P568" s="58">
        <f>'Pitching Data'!T568/'Pitching Data'!P568</f>
        <v>2.7369826435246995E-2</v>
      </c>
      <c r="Q568" s="58">
        <f>'Pitching Data'!U568/'Pitching Data'!P568</f>
        <v>8.3611481975967961E-2</v>
      </c>
      <c r="R568" s="58">
        <f>'Pitching Data'!V568/'Pitching Data'!P568</f>
        <v>8.8451268357810416E-3</v>
      </c>
      <c r="S568" s="58">
        <f>'Pitching Data'!W568/'Pitching Data'!P568</f>
        <v>0.70126835781041386</v>
      </c>
    </row>
    <row r="569" spans="2:19" x14ac:dyDescent="0.5">
      <c r="B569" s="2">
        <v>2018</v>
      </c>
      <c r="C569" s="2" t="s">
        <v>94</v>
      </c>
      <c r="D569" s="2" t="str">
        <f t="shared" si="16"/>
        <v>2018 Texas Rangers</v>
      </c>
      <c r="E569" s="60">
        <f>'Batting Data'!K569/'Batting Data'!J569</f>
        <v>0.15110948101962224</v>
      </c>
      <c r="F569" s="60">
        <f>'Batting Data'!L569/'Batting Data'!J569</f>
        <v>4.878048780487805E-2</v>
      </c>
      <c r="G569" s="60">
        <f>'Batting Data'!M569/'Batting Data'!J569</f>
        <v>4.4012470199889971E-3</v>
      </c>
      <c r="H569" s="60">
        <f>'Batting Data'!N569/'Batting Data'!J569</f>
        <v>3.5576746744911056E-2</v>
      </c>
      <c r="I569" s="60">
        <f>'Batting Data'!O569/'Batting Data'!J569</f>
        <v>0.10177883733724555</v>
      </c>
      <c r="J569" s="60">
        <f>'Batting Data'!P569/'Batting Data'!J569</f>
        <v>1.6137905739959654E-2</v>
      </c>
      <c r="K569" s="60">
        <f>'Batting Data'!Q569/'Batting Data'!J569</f>
        <v>0.64221529433339442</v>
      </c>
      <c r="L569" s="2" t="str">
        <f t="shared" si="17"/>
        <v>2018 Texas Rangers</v>
      </c>
      <c r="M569" s="58">
        <f>'Pitching Data'!Q569/'Pitching Data'!P569</f>
        <v>0.14845129192745948</v>
      </c>
      <c r="N569" s="58">
        <f>'Pitching Data'!R569/'Pitching Data'!P569</f>
        <v>5.2158562028566842E-2</v>
      </c>
      <c r="O569" s="58">
        <f>'Pitching Data'!S569/'Pitching Data'!P569</f>
        <v>7.0614668592521267E-3</v>
      </c>
      <c r="P569" s="58">
        <f>'Pitching Data'!T569/'Pitching Data'!P569</f>
        <v>3.5628310062590277E-2</v>
      </c>
      <c r="Q569" s="58">
        <f>'Pitching Data'!U569/'Pitching Data'!P569</f>
        <v>7.8799550633927143E-2</v>
      </c>
      <c r="R569" s="58">
        <f>'Pitching Data'!V569/'Pitching Data'!P569</f>
        <v>1.1555127587867116E-2</v>
      </c>
      <c r="S569" s="58">
        <f>'Pitching Data'!W569/'Pitching Data'!P569</f>
        <v>0.66634569090033702</v>
      </c>
    </row>
    <row r="570" spans="2:19" x14ac:dyDescent="0.5">
      <c r="B570" s="2">
        <v>2018</v>
      </c>
      <c r="C570" s="2" t="s">
        <v>96</v>
      </c>
      <c r="D570" s="2" t="str">
        <f t="shared" si="16"/>
        <v>2018 Toronto Blue Jays</v>
      </c>
      <c r="E570" s="60">
        <f>'Batting Data'!K570/'Batting Data'!J570</f>
        <v>0.14296147526017894</v>
      </c>
      <c r="F570" s="60">
        <f>'Batting Data'!L570/'Batting Data'!J570</f>
        <v>5.8426145700200841E-2</v>
      </c>
      <c r="G570" s="60">
        <f>'Batting Data'!M570/'Batting Data'!J570</f>
        <v>2.9213072850100422E-3</v>
      </c>
      <c r="H570" s="60">
        <f>'Batting Data'!N570/'Batting Data'!J570</f>
        <v>3.9620230052948693E-2</v>
      </c>
      <c r="I570" s="60">
        <f>'Batting Data'!O570/'Batting Data'!J570</f>
        <v>9.1108270951250681E-2</v>
      </c>
      <c r="J570" s="60">
        <f>'Batting Data'!P570/'Batting Data'!J570</f>
        <v>1.0589738908161402E-2</v>
      </c>
      <c r="K570" s="60">
        <f>'Batting Data'!Q570/'Batting Data'!J570</f>
        <v>0.65437283184224937</v>
      </c>
      <c r="L570" s="2" t="str">
        <f t="shared" si="17"/>
        <v>2018 Toronto Blue Jays</v>
      </c>
      <c r="M570" s="58">
        <f>'Pitching Data'!Q570/'Pitching Data'!P570</f>
        <v>0.14541101356743816</v>
      </c>
      <c r="N570" s="58">
        <f>'Pitching Data'!R570/'Pitching Data'!P570</f>
        <v>5.1875498802873107E-2</v>
      </c>
      <c r="O570" s="58">
        <f>'Pitching Data'!S570/'Pitching Data'!P570</f>
        <v>5.1077414205905822E-3</v>
      </c>
      <c r="P570" s="58">
        <f>'Pitching Data'!T570/'Pitching Data'!P570</f>
        <v>3.3200319233838788E-2</v>
      </c>
      <c r="Q570" s="58">
        <f>'Pitching Data'!U570/'Pitching Data'!P570</f>
        <v>8.7948922585794093E-2</v>
      </c>
      <c r="R570" s="58">
        <f>'Pitching Data'!V570/'Pitching Data'!P570</f>
        <v>1.0694333599361533E-2</v>
      </c>
      <c r="S570" s="58">
        <f>'Pitching Data'!W570/'Pitching Data'!P570</f>
        <v>0.6657621707901038</v>
      </c>
    </row>
    <row r="571" spans="2:19" x14ac:dyDescent="0.5">
      <c r="B571" s="2">
        <v>2018</v>
      </c>
      <c r="C571" s="2" t="s">
        <v>100</v>
      </c>
      <c r="D571" s="2" t="str">
        <f t="shared" si="16"/>
        <v>2018 Washington Nationals</v>
      </c>
      <c r="E571" s="60">
        <f>'Batting Data'!K571/'Batting Data'!J571</f>
        <v>0.16349465289106399</v>
      </c>
      <c r="F571" s="60">
        <f>'Batting Data'!L571/'Batting Data'!J571</f>
        <v>5.147725212978068E-2</v>
      </c>
      <c r="G571" s="60">
        <f>'Batting Data'!M571/'Batting Data'!J571</f>
        <v>4.5314482508609748E-3</v>
      </c>
      <c r="H571" s="60">
        <f>'Batting Data'!N571/'Batting Data'!J571</f>
        <v>3.4620264636577851E-2</v>
      </c>
      <c r="I571" s="60">
        <f>'Batting Data'!O571/'Batting Data'!J571</f>
        <v>0.11437375385173101</v>
      </c>
      <c r="J571" s="60">
        <f>'Batting Data'!P571/'Batting Data'!J571</f>
        <v>1.0694217872031902E-2</v>
      </c>
      <c r="K571" s="60">
        <f>'Batting Data'!Q571/'Batting Data'!J571</f>
        <v>0.62080841036795364</v>
      </c>
      <c r="L571" s="2" t="str">
        <f t="shared" si="17"/>
        <v>2018 Washington Nationals</v>
      </c>
      <c r="M571" s="58">
        <f>'Pitching Data'!Q571/'Pitching Data'!P571</f>
        <v>0.135206177098735</v>
      </c>
      <c r="N571" s="58">
        <f>'Pitching Data'!R571/'Pitching Data'!P571</f>
        <v>4.4849679645145392E-2</v>
      </c>
      <c r="O571" s="58">
        <f>'Pitching Data'!S571/'Pitching Data'!P571</f>
        <v>4.271398061442418E-3</v>
      </c>
      <c r="P571" s="58">
        <f>'Pitching Data'!T571/'Pitching Data'!P571</f>
        <v>3.2528339083292265E-2</v>
      </c>
      <c r="Q571" s="58">
        <f>'Pitching Data'!U571/'Pitching Data'!P571</f>
        <v>8.0006571381632988E-2</v>
      </c>
      <c r="R571" s="58">
        <f>'Pitching Data'!V571/'Pitching Data'!P571</f>
        <v>1.2485625102677839E-2</v>
      </c>
      <c r="S571" s="58">
        <f>'Pitching Data'!W571/'Pitching Data'!P571</f>
        <v>0.69065220962707408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57D-BE6F-7A45-B625-7043D3FB2ED8}">
  <sheetPr codeName="Sheet2"/>
  <dimension ref="A2:P25"/>
  <sheetViews>
    <sheetView topLeftCell="B1" zoomScale="69" zoomScaleNormal="69" workbookViewId="0">
      <selection activeCell="H4" sqref="H4"/>
    </sheetView>
  </sheetViews>
  <sheetFormatPr defaultColWidth="11" defaultRowHeight="15.75" x14ac:dyDescent="0.5"/>
  <cols>
    <col min="1" max="1" width="14.125" style="113" hidden="1" customWidth="1"/>
    <col min="2" max="2" width="20.625" style="113" customWidth="1"/>
    <col min="3" max="3" width="18.375" style="113" customWidth="1"/>
    <col min="4" max="4" width="11.625" style="113" customWidth="1"/>
    <col min="5" max="5" width="11" style="113"/>
    <col min="6" max="6" width="19.125" style="113" customWidth="1"/>
    <col min="7" max="7" width="11" style="113"/>
    <col min="8" max="8" width="27.375" style="113" bestFit="1" customWidth="1"/>
    <col min="9" max="11" width="11" style="113"/>
    <col min="12" max="12" width="15" style="113" bestFit="1" customWidth="1"/>
    <col min="13" max="13" width="17.875" style="113" bestFit="1" customWidth="1"/>
    <col min="14" max="16384" width="11" style="113"/>
  </cols>
  <sheetData>
    <row r="2" spans="1:16" ht="16.149999999999999" thickBot="1" x14ac:dyDescent="0.55000000000000004">
      <c r="A2" s="113">
        <v>18</v>
      </c>
      <c r="L2" s="115"/>
      <c r="M2" s="130"/>
      <c r="N2" s="115"/>
      <c r="O2" s="115"/>
      <c r="P2" s="115"/>
    </row>
    <row r="3" spans="1:16" x14ac:dyDescent="0.5">
      <c r="A3" s="113">
        <v>3</v>
      </c>
      <c r="H3" s="133" t="s">
        <v>824</v>
      </c>
      <c r="I3" s="134" t="s">
        <v>106</v>
      </c>
      <c r="J3" s="134" t="s">
        <v>3</v>
      </c>
      <c r="K3" s="134" t="s">
        <v>107</v>
      </c>
      <c r="L3" s="134" t="s">
        <v>109</v>
      </c>
      <c r="M3" s="134" t="s">
        <v>825</v>
      </c>
      <c r="N3" s="134" t="s">
        <v>24</v>
      </c>
      <c r="O3" s="134" t="s">
        <v>240</v>
      </c>
      <c r="P3" s="135" t="s">
        <v>826</v>
      </c>
    </row>
    <row r="4" spans="1:16" ht="16.149999999999999" thickBot="1" x14ac:dyDescent="0.55000000000000004">
      <c r="H4" s="144" t="str">
        <f>INDEX(Data!BD2:BD34,'Team &amp; Year'!A2)</f>
        <v>Minnesota Twins</v>
      </c>
      <c r="I4" s="116">
        <v>2005</v>
      </c>
      <c r="J4" s="116">
        <f t="array" ref="J4">IFERROR(INDEX([1]Data!$E$2:$E$571,MATCH($H$4&amp;$I$4,[1]Data!$C$2:$C$571&amp;[1]Data!$B$2:$B$571,0)),"")</f>
        <v>3</v>
      </c>
      <c r="K4" s="116">
        <f t="array" ref="K4">IFERROR(INDEX([1]Data!$J$2:$J$571,MATCH($H$4&amp;$I$4,[1]Data!$C$2:$C$571&amp;[1]Data!$B$2:$B$571,0)),"")</f>
        <v>83</v>
      </c>
      <c r="L4" s="116">
        <f t="array" ref="L4">IFERROR(INDEX([1]Data!$K$2:$K$571,MATCH($H$4&amp;$I$4,[1]Data!$C$2:$C$571&amp;[1]Data!$B$2:$B$571,0)),"")</f>
        <v>79</v>
      </c>
      <c r="M4" s="129">
        <f>IFERROR(K4/(K4+L4),"")</f>
        <v>0.51234567901234573</v>
      </c>
      <c r="N4" s="116">
        <f t="array" ref="N4">IFERROR(INDEX([1]Data!$AB$2:$AB$571,MATCH($H$4&amp;$I$4,[1]Data!$C$2:$C$571&amp;[1]Data!$B$2:$B$571,0)),"")</f>
        <v>3.71</v>
      </c>
      <c r="O4" s="116">
        <f t="array" ref="O4">IFERROR(INDEX([1]Data!$L$2:$L$571,MATCH($H$4&amp;$I$4,[1]Data!$C$2:$C$571&amp;[1]Data!$B$2:$B$571,0)),"")</f>
        <v>688</v>
      </c>
      <c r="P4" s="128">
        <f t="array" ref="P4">IFERROR(INDEX([1]Data!$R$2:$R$571,MATCH($H$4&amp;$I$4,[1]Data!$C$2:$C$571&amp;[1]Data!$B$2:$B$571,0)),"")</f>
        <v>134</v>
      </c>
    </row>
    <row r="8" spans="1:16" ht="16.149999999999999" thickBot="1" x14ac:dyDescent="0.55000000000000004">
      <c r="M8" s="131"/>
    </row>
    <row r="9" spans="1:16" x14ac:dyDescent="0.5">
      <c r="H9" s="133" t="s">
        <v>827</v>
      </c>
      <c r="I9" s="134" t="s">
        <v>106</v>
      </c>
      <c r="J9" s="134" t="s">
        <v>3</v>
      </c>
      <c r="K9" s="134" t="s">
        <v>107</v>
      </c>
      <c r="L9" s="134" t="s">
        <v>109</v>
      </c>
      <c r="M9" s="134" t="s">
        <v>825</v>
      </c>
      <c r="N9" s="134" t="s">
        <v>24</v>
      </c>
      <c r="O9" s="134" t="s">
        <v>240</v>
      </c>
      <c r="P9" s="135" t="s">
        <v>826</v>
      </c>
    </row>
    <row r="10" spans="1:16" ht="16.149999999999999" thickBot="1" x14ac:dyDescent="0.55000000000000004">
      <c r="H10" s="144" t="str">
        <f>INDEX(Data!BD2:BD35,'Team &amp; Year'!A3)</f>
        <v>Atlanta Braves</v>
      </c>
      <c r="I10" s="116">
        <v>2010</v>
      </c>
      <c r="J10" s="116">
        <f t="array" ref="J10">IFERROR(INDEX([1]Data!$E$2:$E$571,MATCH($H$10&amp;$I$10,[1]Data!$C$2:$C$571&amp;[1]Data!$B$2:$B$571,0)),"")</f>
        <v>2</v>
      </c>
      <c r="K10" s="116">
        <f t="array" ref="K10">IFERROR(INDEX([1]Data!$J$2:$J$571,MATCH($H$10&amp;$I$10,[1]Data!$C$2:$C$571&amp;[1]Data!$B$2:$B$571,0)),"")</f>
        <v>91</v>
      </c>
      <c r="L10" s="116">
        <f t="array" ref="L10">IFERROR(INDEX([1]Data!$K$2:$K$571,MATCH($H$10&amp;$I$10,[1]Data!$C$2:$C$571&amp;[1]Data!$B$2:$B$571,0)),"")</f>
        <v>71</v>
      </c>
      <c r="M10" s="129">
        <f>IFERROR(K10/(K10+L10), "")</f>
        <v>0.56172839506172845</v>
      </c>
      <c r="N10" s="116">
        <f t="array" ref="N10">IFERROR(INDEX([1]Data!$AB$2:$AB$571,MATCH($H$10&amp;$I$10,[1]Data!$C$2:$C$571&amp;[1]Data!$B$2:$B$571,0)),"")</f>
        <v>3.56</v>
      </c>
      <c r="O10" s="116">
        <f t="array" ref="O10">IFERROR(INDEX([1]Data!$L$2:$L$571,MATCH($H$10&amp;$I$10,[1]Data!$C$2:$C$571&amp;[1]Data!$B$2:$B$571,0)),"")</f>
        <v>738</v>
      </c>
      <c r="P10" s="128">
        <f t="array" ref="P10">IFERROR(INDEX([1]Data!$R$2:$R$571,MATCH($H$10&amp;$I$10,[1]Data!$C$2:$C$571&amp;[1]Data!$B$2:$B$571,0)),"")</f>
        <v>139</v>
      </c>
    </row>
    <row r="12" spans="1:16" ht="16.149999999999999" thickBot="1" x14ac:dyDescent="0.55000000000000004"/>
    <row r="13" spans="1:16" x14ac:dyDescent="0.5">
      <c r="H13" s="136" t="str">
        <f>"Prob "&amp;TeamA &amp;" Wins"</f>
        <v>Prob Minnesota Twins Wins</v>
      </c>
    </row>
    <row r="14" spans="1:16" ht="16.149999999999999" thickBot="1" x14ac:dyDescent="0.55000000000000004">
      <c r="H14" s="145">
        <f>IFERROR((M4-M4*M10)/(M4+M10-2*M4*M10), "")</f>
        <v>0.45046628955817153</v>
      </c>
    </row>
    <row r="17" spans="1:11" x14ac:dyDescent="0.5">
      <c r="A17" s="113">
        <v>1</v>
      </c>
      <c r="B17" s="113" t="s">
        <v>24</v>
      </c>
    </row>
    <row r="18" spans="1:11" x14ac:dyDescent="0.5">
      <c r="A18" s="113">
        <v>2</v>
      </c>
      <c r="B18" s="113" t="s">
        <v>825</v>
      </c>
      <c r="H18" s="154" t="str">
        <f>INDEX(B17:B20,A25)</f>
        <v>Home Runs</v>
      </c>
      <c r="I18" s="154"/>
      <c r="J18" s="154"/>
    </row>
    <row r="19" spans="1:11" ht="23.25" x14ac:dyDescent="0.5">
      <c r="A19" s="113">
        <v>3</v>
      </c>
      <c r="B19" s="113" t="s">
        <v>240</v>
      </c>
      <c r="G19" s="137"/>
      <c r="H19" s="154"/>
      <c r="I19" s="154"/>
      <c r="J19" s="154"/>
      <c r="K19" s="137"/>
    </row>
    <row r="20" spans="1:11" ht="23.25" x14ac:dyDescent="0.5">
      <c r="A20" s="113">
        <v>4</v>
      </c>
      <c r="B20" s="113" t="s">
        <v>826</v>
      </c>
      <c r="G20" s="137"/>
      <c r="H20" s="137"/>
      <c r="I20" s="137"/>
      <c r="J20" s="137"/>
      <c r="K20" s="137"/>
    </row>
    <row r="22" spans="1:11" x14ac:dyDescent="0.5">
      <c r="B22" s="113" t="s">
        <v>824</v>
      </c>
      <c r="C22" s="113" t="s">
        <v>827</v>
      </c>
    </row>
    <row r="23" spans="1:11" x14ac:dyDescent="0.5">
      <c r="B23" s="113" t="str">
        <f>I4&amp;" "&amp;H4</f>
        <v>2005 Minnesota Twins</v>
      </c>
      <c r="C23" s="113" t="str">
        <f>I10&amp;" "&amp;H10</f>
        <v>2010 Atlanta Braves</v>
      </c>
    </row>
    <row r="24" spans="1:11" x14ac:dyDescent="0.5">
      <c r="A24" s="113" t="str">
        <f>IF(A17=1, B17, IF(A17=2, B18, IF(A17=3, B19, IF(A17=4, B20, ""))))</f>
        <v>ERA</v>
      </c>
      <c r="B24" s="132">
        <f>IF(A25=1, N4, IF(A25=2, M4, IF(A25=3, O4, IF(A25=4, P4, ""))))</f>
        <v>134</v>
      </c>
      <c r="C24" s="113">
        <f>IF(A25=1, N10, IF(A25=2, M10, IF(A25=3, O10, IF(A25=4, P10, ""))))</f>
        <v>139</v>
      </c>
    </row>
    <row r="25" spans="1:11" x14ac:dyDescent="0.5">
      <c r="A25" s="113">
        <v>4</v>
      </c>
    </row>
  </sheetData>
  <mergeCells count="1">
    <mergeCell ref="H18:J19"/>
  </mergeCells>
  <conditionalFormatting sqref="H14">
    <cfRule type="colorScale" priority="1">
      <colorScale>
        <cfvo type="min"/>
        <cfvo type="num" val="0.5"/>
        <cfvo type="max"/>
        <color rgb="FFEA402E"/>
        <color rgb="FFFFFF00"/>
        <color theme="9" tint="0.39997558519241921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List Box 10">
              <controlPr defaultSize="0" autoLine="0" autoPict="0">
                <anchor moveWithCells="1">
                  <from>
                    <xdr:col>2</xdr:col>
                    <xdr:colOff>38100</xdr:colOff>
                    <xdr:row>1</xdr:row>
                    <xdr:rowOff>38100</xdr:rowOff>
                  </from>
                  <to>
                    <xdr:col>4</xdr:col>
                    <xdr:colOff>76200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Scroll Bar 11">
              <controlPr defaultSize="0" autoPict="0">
                <anchor moveWithCells="1">
                  <from>
                    <xdr:col>4</xdr:col>
                    <xdr:colOff>266700</xdr:colOff>
                    <xdr:row>2</xdr:row>
                    <xdr:rowOff>9525</xdr:rowOff>
                  </from>
                  <to>
                    <xdr:col>6</xdr:col>
                    <xdr:colOff>523875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List Box 12">
              <controlPr defaultSize="0" autoLine="0" autoPict="0">
                <anchor moveWithCells="1">
                  <from>
                    <xdr:col>2</xdr:col>
                    <xdr:colOff>47625</xdr:colOff>
                    <xdr:row>6</xdr:row>
                    <xdr:rowOff>180975</xdr:rowOff>
                  </from>
                  <to>
                    <xdr:col>4</xdr:col>
                    <xdr:colOff>47625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Scroll Bar 13">
              <controlPr defaultSize="0" autoPict="0">
                <anchor moveWithCells="1">
                  <from>
                    <xdr:col>4</xdr:col>
                    <xdr:colOff>266700</xdr:colOff>
                    <xdr:row>8</xdr:row>
                    <xdr:rowOff>9525</xdr:rowOff>
                  </from>
                  <to>
                    <xdr:col>6</xdr:col>
                    <xdr:colOff>504825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Expected Winner">
              <controlPr defaultSize="0" print="0" autoFill="0" autoPict="0" macro="[1]!WinPrediction" altText="Expected Winner">
                <anchor moveWithCells="1" sizeWithCells="1">
                  <from>
                    <xdr:col>4</xdr:col>
                    <xdr:colOff>600075</xdr:colOff>
                    <xdr:row>11</xdr:row>
                    <xdr:rowOff>114300</xdr:rowOff>
                  </from>
                  <to>
                    <xdr:col>6</xdr:col>
                    <xdr:colOff>333375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Scroll Bar 15">
              <controlPr defaultSize="0" autoPict="0">
                <anchor moveWithCells="1">
                  <from>
                    <xdr:col>5</xdr:col>
                    <xdr:colOff>1019175</xdr:colOff>
                    <xdr:row>20</xdr:row>
                    <xdr:rowOff>9525</xdr:rowOff>
                  </from>
                  <to>
                    <xdr:col>6</xdr:col>
                    <xdr:colOff>9525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F568-998B-7D41-BEF5-7A1AADE16469}">
  <sheetPr codeName="Sheet3"/>
  <dimension ref="A2:I39"/>
  <sheetViews>
    <sheetView workbookViewId="0">
      <selection activeCell="B4" sqref="B4"/>
    </sheetView>
  </sheetViews>
  <sheetFormatPr defaultColWidth="11" defaultRowHeight="15.75" x14ac:dyDescent="0.5"/>
  <cols>
    <col min="1" max="1" width="26.25" bestFit="1" customWidth="1"/>
    <col min="2" max="2" width="9.25" bestFit="1" customWidth="1"/>
    <col min="3" max="3" width="8.125" bestFit="1" customWidth="1"/>
    <col min="4" max="5" width="9" bestFit="1" customWidth="1"/>
    <col min="6" max="6" width="9.25" bestFit="1" customWidth="1"/>
    <col min="9" max="9" width="16.375" bestFit="1" customWidth="1"/>
  </cols>
  <sheetData>
    <row r="2" spans="1:9" ht="16.149999999999999" thickBot="1" x14ac:dyDescent="0.55000000000000004"/>
    <row r="3" spans="1:9" x14ac:dyDescent="0.5">
      <c r="A3" s="7" t="s">
        <v>105</v>
      </c>
      <c r="B3" t="s">
        <v>111</v>
      </c>
      <c r="C3" t="s">
        <v>112</v>
      </c>
      <c r="D3" t="s">
        <v>113</v>
      </c>
      <c r="E3" t="s">
        <v>114</v>
      </c>
      <c r="F3" t="s">
        <v>115</v>
      </c>
      <c r="H3" s="11" t="s">
        <v>116</v>
      </c>
      <c r="I3" s="9" t="str">
        <f>INDEX($A$4:$A$37,MATCH(C39,$C$4:$C$37,0))</f>
        <v>Boston Red Sox</v>
      </c>
    </row>
    <row r="4" spans="1:9" x14ac:dyDescent="0.5">
      <c r="A4" s="8" t="s">
        <v>46</v>
      </c>
      <c r="B4" s="16">
        <v>107101</v>
      </c>
      <c r="C4" s="16">
        <v>29100</v>
      </c>
      <c r="D4" s="16">
        <v>6418</v>
      </c>
      <c r="E4" s="3">
        <v>519</v>
      </c>
      <c r="F4" s="16">
        <v>3569</v>
      </c>
      <c r="H4" s="12" t="s">
        <v>117</v>
      </c>
      <c r="I4" s="10" t="str">
        <f>INDEX($A$4:$A$37,MATCH(D39,$D$4:$D$37,0))</f>
        <v>Boston Red Sox</v>
      </c>
    </row>
    <row r="5" spans="1:9" x14ac:dyDescent="0.5">
      <c r="A5" s="8" t="s">
        <v>94</v>
      </c>
      <c r="B5" s="16">
        <v>106262</v>
      </c>
      <c r="C5" s="16">
        <v>28334</v>
      </c>
      <c r="D5" s="16">
        <v>5655</v>
      </c>
      <c r="E5" s="3">
        <v>545</v>
      </c>
      <c r="F5" s="16">
        <v>3832</v>
      </c>
      <c r="H5" s="12" t="s">
        <v>118</v>
      </c>
      <c r="I5" s="10" t="str">
        <f>INDEX($A$4:$A$37,MATCH(E39,$E$4:$E$37,0))</f>
        <v>Colorado Rockies</v>
      </c>
    </row>
    <row r="6" spans="1:9" ht="16.149999999999999" thickBot="1" x14ac:dyDescent="0.55000000000000004">
      <c r="A6" s="8" t="s">
        <v>58</v>
      </c>
      <c r="B6" s="16">
        <v>106086</v>
      </c>
      <c r="C6" s="16">
        <v>28324</v>
      </c>
      <c r="D6" s="16">
        <v>5430</v>
      </c>
      <c r="E6" s="3">
        <v>745</v>
      </c>
      <c r="F6" s="16">
        <v>3224</v>
      </c>
      <c r="H6" s="13" t="s">
        <v>119</v>
      </c>
      <c r="I6" s="5" t="str">
        <f>INDEX($A$4:$A$37,MATCH(F39,$F$4:$F$37,0))</f>
        <v>New York Yankees</v>
      </c>
    </row>
    <row r="7" spans="1:9" x14ac:dyDescent="0.5">
      <c r="A7" s="8" t="s">
        <v>44</v>
      </c>
      <c r="B7" s="16">
        <v>105963</v>
      </c>
      <c r="C7" s="16">
        <v>27633</v>
      </c>
      <c r="D7" s="16">
        <v>5389</v>
      </c>
      <c r="E7" s="3">
        <v>374</v>
      </c>
      <c r="F7" s="16">
        <v>3484</v>
      </c>
    </row>
    <row r="8" spans="1:9" x14ac:dyDescent="0.5">
      <c r="A8" s="8" t="s">
        <v>64</v>
      </c>
      <c r="B8" s="16">
        <v>105933</v>
      </c>
      <c r="C8" s="16">
        <v>28084</v>
      </c>
      <c r="D8" s="16">
        <v>5441</v>
      </c>
      <c r="E8" s="3">
        <v>670</v>
      </c>
      <c r="F8" s="16">
        <v>2592</v>
      </c>
    </row>
    <row r="9" spans="1:9" x14ac:dyDescent="0.5">
      <c r="A9" s="8" t="s">
        <v>70</v>
      </c>
      <c r="B9" s="16">
        <v>105888</v>
      </c>
      <c r="C9" s="16">
        <v>27895</v>
      </c>
      <c r="D9" s="16">
        <v>5632</v>
      </c>
      <c r="E9" s="3">
        <v>653</v>
      </c>
      <c r="F9" s="16">
        <v>2854</v>
      </c>
    </row>
    <row r="10" spans="1:9" x14ac:dyDescent="0.5">
      <c r="A10" s="8" t="s">
        <v>56</v>
      </c>
      <c r="B10" s="16">
        <v>105830</v>
      </c>
      <c r="C10" s="16">
        <v>28700</v>
      </c>
      <c r="D10" s="16">
        <v>5721</v>
      </c>
      <c r="E10" s="3">
        <v>821</v>
      </c>
      <c r="F10" s="16">
        <v>3393</v>
      </c>
    </row>
    <row r="11" spans="1:9" x14ac:dyDescent="0.5">
      <c r="A11" s="8" t="s">
        <v>74</v>
      </c>
      <c r="B11" s="16">
        <v>105779</v>
      </c>
      <c r="C11" s="16">
        <v>28183</v>
      </c>
      <c r="D11" s="16">
        <v>5376</v>
      </c>
      <c r="E11" s="3">
        <v>414</v>
      </c>
      <c r="F11" s="16">
        <v>4029</v>
      </c>
    </row>
    <row r="12" spans="1:9" x14ac:dyDescent="0.5">
      <c r="A12" s="8" t="s">
        <v>96</v>
      </c>
      <c r="B12" s="16">
        <v>105616</v>
      </c>
      <c r="C12" s="16">
        <v>27421</v>
      </c>
      <c r="D12" s="16">
        <v>5787</v>
      </c>
      <c r="E12" s="3">
        <v>478</v>
      </c>
      <c r="F12" s="16">
        <v>3691</v>
      </c>
    </row>
    <row r="13" spans="1:9" x14ac:dyDescent="0.5">
      <c r="A13" s="8" t="s">
        <v>86</v>
      </c>
      <c r="B13" s="16">
        <v>105599</v>
      </c>
      <c r="C13" s="16">
        <v>27338</v>
      </c>
      <c r="D13" s="16">
        <v>5132</v>
      </c>
      <c r="E13" s="3">
        <v>487</v>
      </c>
      <c r="F13" s="16">
        <v>3013</v>
      </c>
    </row>
    <row r="14" spans="1:9" x14ac:dyDescent="0.5">
      <c r="A14" s="8" t="s">
        <v>54</v>
      </c>
      <c r="B14" s="16">
        <v>105487</v>
      </c>
      <c r="C14" s="16">
        <v>27705</v>
      </c>
      <c r="D14" s="16">
        <v>5807</v>
      </c>
      <c r="E14" s="3">
        <v>504</v>
      </c>
      <c r="F14" s="16">
        <v>3365</v>
      </c>
    </row>
    <row r="15" spans="1:9" x14ac:dyDescent="0.5">
      <c r="A15" s="8" t="s">
        <v>80</v>
      </c>
      <c r="B15" s="16">
        <v>105406</v>
      </c>
      <c r="C15" s="16">
        <v>26931</v>
      </c>
      <c r="D15" s="16">
        <v>5413</v>
      </c>
      <c r="E15" s="3">
        <v>645</v>
      </c>
      <c r="F15" s="16">
        <v>3281</v>
      </c>
    </row>
    <row r="16" spans="1:9" x14ac:dyDescent="0.5">
      <c r="A16" s="8" t="s">
        <v>78</v>
      </c>
      <c r="B16" s="16">
        <v>105291</v>
      </c>
      <c r="C16" s="16">
        <v>26786</v>
      </c>
      <c r="D16" s="16">
        <v>5546</v>
      </c>
      <c r="E16" s="3">
        <v>465</v>
      </c>
      <c r="F16" s="16">
        <v>3295</v>
      </c>
    </row>
    <row r="17" spans="1:6" x14ac:dyDescent="0.5">
      <c r="A17" s="8" t="s">
        <v>39</v>
      </c>
      <c r="B17" s="16">
        <v>105194</v>
      </c>
      <c r="C17" s="16">
        <v>26984</v>
      </c>
      <c r="D17" s="16">
        <v>5589</v>
      </c>
      <c r="E17" s="3">
        <v>777</v>
      </c>
      <c r="F17" s="16">
        <v>3198</v>
      </c>
    </row>
    <row r="18" spans="1:6" x14ac:dyDescent="0.5">
      <c r="A18" s="8" t="s">
        <v>50</v>
      </c>
      <c r="B18" s="16">
        <v>105106</v>
      </c>
      <c r="C18" s="16">
        <v>26968</v>
      </c>
      <c r="D18" s="16">
        <v>5505</v>
      </c>
      <c r="E18" s="3">
        <v>555</v>
      </c>
      <c r="F18" s="16">
        <v>3363</v>
      </c>
    </row>
    <row r="19" spans="1:6" x14ac:dyDescent="0.5">
      <c r="A19" s="8" t="s">
        <v>41</v>
      </c>
      <c r="B19" s="16">
        <v>105048</v>
      </c>
      <c r="C19" s="16">
        <v>27391</v>
      </c>
      <c r="D19" s="16">
        <v>5461</v>
      </c>
      <c r="E19" s="3">
        <v>500</v>
      </c>
      <c r="F19" s="16">
        <v>3118</v>
      </c>
    </row>
    <row r="20" spans="1:6" x14ac:dyDescent="0.5">
      <c r="A20" s="8" t="s">
        <v>90</v>
      </c>
      <c r="B20" s="16">
        <v>105029</v>
      </c>
      <c r="C20" s="16">
        <v>27993</v>
      </c>
      <c r="D20" s="16">
        <v>5513</v>
      </c>
      <c r="E20" s="3">
        <v>486</v>
      </c>
      <c r="F20" s="16">
        <v>3312</v>
      </c>
    </row>
    <row r="21" spans="1:6" x14ac:dyDescent="0.5">
      <c r="A21" s="8" t="s">
        <v>48</v>
      </c>
      <c r="B21" s="16">
        <v>105005</v>
      </c>
      <c r="C21" s="16">
        <v>27325</v>
      </c>
      <c r="D21" s="16">
        <v>5147</v>
      </c>
      <c r="E21" s="3">
        <v>479</v>
      </c>
      <c r="F21" s="16">
        <v>3671</v>
      </c>
    </row>
    <row r="22" spans="1:6" x14ac:dyDescent="0.5">
      <c r="A22" s="8" t="s">
        <v>88</v>
      </c>
      <c r="B22" s="16">
        <v>104967</v>
      </c>
      <c r="C22" s="16">
        <v>27263</v>
      </c>
      <c r="D22" s="16">
        <v>5455</v>
      </c>
      <c r="E22" s="3">
        <v>715</v>
      </c>
      <c r="F22" s="16">
        <v>2812</v>
      </c>
    </row>
    <row r="23" spans="1:6" x14ac:dyDescent="0.5">
      <c r="A23" s="8" t="s">
        <v>52</v>
      </c>
      <c r="B23" s="16">
        <v>104965</v>
      </c>
      <c r="C23" s="16">
        <v>26753</v>
      </c>
      <c r="D23" s="16">
        <v>5312</v>
      </c>
      <c r="E23" s="3">
        <v>469</v>
      </c>
      <c r="F23" s="16">
        <v>3460</v>
      </c>
    </row>
    <row r="24" spans="1:6" x14ac:dyDescent="0.5">
      <c r="A24" s="8" t="s">
        <v>62</v>
      </c>
      <c r="B24" s="16">
        <v>104556</v>
      </c>
      <c r="C24" s="16">
        <v>26914</v>
      </c>
      <c r="D24" s="16">
        <v>5396</v>
      </c>
      <c r="E24" s="3">
        <v>515</v>
      </c>
      <c r="F24" s="16">
        <v>3344</v>
      </c>
    </row>
    <row r="25" spans="1:6" x14ac:dyDescent="0.5">
      <c r="A25" s="8" t="s">
        <v>76</v>
      </c>
      <c r="B25" s="16">
        <v>104551</v>
      </c>
      <c r="C25" s="16">
        <v>26477</v>
      </c>
      <c r="D25" s="16">
        <v>5293</v>
      </c>
      <c r="E25" s="3">
        <v>540</v>
      </c>
      <c r="F25" s="16">
        <v>3052</v>
      </c>
    </row>
    <row r="26" spans="1:6" x14ac:dyDescent="0.5">
      <c r="A26" s="8" t="s">
        <v>66</v>
      </c>
      <c r="B26" s="16">
        <v>104535</v>
      </c>
      <c r="C26" s="16">
        <v>27003</v>
      </c>
      <c r="D26" s="16">
        <v>5219</v>
      </c>
      <c r="E26" s="3">
        <v>556</v>
      </c>
      <c r="F26" s="16">
        <v>3069</v>
      </c>
    </row>
    <row r="27" spans="1:6" x14ac:dyDescent="0.5">
      <c r="A27" s="8" t="s">
        <v>82</v>
      </c>
      <c r="B27" s="16">
        <v>104499</v>
      </c>
      <c r="C27" s="16">
        <v>26570</v>
      </c>
      <c r="D27" s="16">
        <v>5334</v>
      </c>
      <c r="E27" s="3">
        <v>598</v>
      </c>
      <c r="F27" s="16">
        <v>2803</v>
      </c>
    </row>
    <row r="28" spans="1:6" x14ac:dyDescent="0.5">
      <c r="A28" s="8" t="s">
        <v>68</v>
      </c>
      <c r="B28" s="16">
        <v>104342</v>
      </c>
      <c r="C28" s="16">
        <v>26527</v>
      </c>
      <c r="D28" s="16">
        <v>5389</v>
      </c>
      <c r="E28" s="3">
        <v>561</v>
      </c>
      <c r="F28" s="16">
        <v>3479</v>
      </c>
    </row>
    <row r="29" spans="1:6" x14ac:dyDescent="0.5">
      <c r="A29" s="8" t="s">
        <v>84</v>
      </c>
      <c r="B29" s="16">
        <v>104146</v>
      </c>
      <c r="C29" s="16">
        <v>25790</v>
      </c>
      <c r="D29" s="16">
        <v>4993</v>
      </c>
      <c r="E29" s="3">
        <v>610</v>
      </c>
      <c r="F29" s="16">
        <v>2753</v>
      </c>
    </row>
    <row r="30" spans="1:6" x14ac:dyDescent="0.5">
      <c r="A30" s="8" t="s">
        <v>98</v>
      </c>
      <c r="B30" s="16">
        <v>77461</v>
      </c>
      <c r="C30" s="16">
        <v>20320</v>
      </c>
      <c r="D30" s="16">
        <v>3912</v>
      </c>
      <c r="E30" s="3">
        <v>363</v>
      </c>
      <c r="F30" s="16">
        <v>2309</v>
      </c>
    </row>
    <row r="31" spans="1:6" x14ac:dyDescent="0.5">
      <c r="A31" s="8" t="s">
        <v>100</v>
      </c>
      <c r="B31" s="16">
        <v>76865</v>
      </c>
      <c r="C31" s="16">
        <v>19566</v>
      </c>
      <c r="D31" s="16">
        <v>3942</v>
      </c>
      <c r="E31" s="3">
        <v>379</v>
      </c>
      <c r="F31" s="16">
        <v>2273</v>
      </c>
    </row>
    <row r="32" spans="1:6" x14ac:dyDescent="0.5">
      <c r="A32" s="8" t="s">
        <v>60</v>
      </c>
      <c r="B32" s="16">
        <v>66264</v>
      </c>
      <c r="C32" s="16">
        <v>17349</v>
      </c>
      <c r="D32" s="16">
        <v>3567</v>
      </c>
      <c r="E32" s="3">
        <v>399</v>
      </c>
      <c r="F32" s="16">
        <v>1956</v>
      </c>
    </row>
    <row r="33" spans="1:6" x14ac:dyDescent="0.5">
      <c r="A33" s="8" t="s">
        <v>102</v>
      </c>
      <c r="B33" s="16">
        <v>60249</v>
      </c>
      <c r="C33" s="16">
        <v>15090</v>
      </c>
      <c r="D33" s="16">
        <v>3024</v>
      </c>
      <c r="E33" s="3">
        <v>363</v>
      </c>
      <c r="F33" s="16">
        <v>1929</v>
      </c>
    </row>
    <row r="34" spans="1:6" x14ac:dyDescent="0.5">
      <c r="A34" s="8" t="s">
        <v>92</v>
      </c>
      <c r="B34" s="16">
        <v>44389</v>
      </c>
      <c r="C34" s="16">
        <v>11589</v>
      </c>
      <c r="D34" s="16">
        <v>2284</v>
      </c>
      <c r="E34" s="3">
        <v>271</v>
      </c>
      <c r="F34" s="16">
        <v>1232</v>
      </c>
    </row>
    <row r="35" spans="1:6" x14ac:dyDescent="0.5">
      <c r="A35" s="8" t="s">
        <v>103</v>
      </c>
      <c r="B35" s="16">
        <v>38524</v>
      </c>
      <c r="C35" s="16">
        <v>9663</v>
      </c>
      <c r="D35" s="16">
        <v>1722</v>
      </c>
      <c r="E35" s="3">
        <v>243</v>
      </c>
      <c r="F35" s="16">
        <v>924</v>
      </c>
    </row>
    <row r="36" spans="1:6" x14ac:dyDescent="0.5">
      <c r="A36" s="8" t="s">
        <v>36</v>
      </c>
      <c r="B36" s="16">
        <v>28019</v>
      </c>
      <c r="C36" s="16">
        <v>7700</v>
      </c>
      <c r="D36" s="16">
        <v>1465</v>
      </c>
      <c r="E36" s="3">
        <v>162</v>
      </c>
      <c r="F36" s="16">
        <v>858</v>
      </c>
    </row>
    <row r="37" spans="1:6" x14ac:dyDescent="0.5">
      <c r="A37" s="8" t="s">
        <v>72</v>
      </c>
      <c r="B37" s="16">
        <v>27304</v>
      </c>
      <c r="C37" s="16">
        <v>7033</v>
      </c>
      <c r="D37" s="16">
        <v>1500</v>
      </c>
      <c r="E37" s="3">
        <v>151</v>
      </c>
      <c r="F37" s="16">
        <v>766</v>
      </c>
    </row>
    <row r="38" spans="1:6" ht="16.149999999999999" thickBot="1" x14ac:dyDescent="0.55000000000000004">
      <c r="A38" s="8" t="s">
        <v>110</v>
      </c>
      <c r="B38" s="3">
        <v>3157259</v>
      </c>
      <c r="C38" s="3">
        <v>820702</v>
      </c>
      <c r="D38" s="3">
        <v>163769</v>
      </c>
      <c r="E38" s="3">
        <v>17012</v>
      </c>
      <c r="F38" s="3">
        <v>97303</v>
      </c>
    </row>
    <row r="39" spans="1:6" ht="16.149999999999999" thickBot="1" x14ac:dyDescent="0.55000000000000004">
      <c r="A39" s="14" t="s">
        <v>120</v>
      </c>
      <c r="B39" s="15" t="s">
        <v>121</v>
      </c>
      <c r="C39" s="17">
        <f>MAX(C4:C37)</f>
        <v>29100</v>
      </c>
      <c r="D39" s="17">
        <f>MAX(D4:D37)</f>
        <v>6418</v>
      </c>
      <c r="E39" s="17">
        <f>MAX(E4:E37)</f>
        <v>821</v>
      </c>
      <c r="F39" s="18">
        <f>MAX(F4:F37)</f>
        <v>4029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E589F-289D-4503-863F-D44CE70C9806}">
  <sheetPr codeName="Sheet9"/>
  <dimension ref="B1:I27"/>
  <sheetViews>
    <sheetView workbookViewId="0">
      <selection activeCell="C14" sqref="C14"/>
    </sheetView>
  </sheetViews>
  <sheetFormatPr defaultRowHeight="15.75" x14ac:dyDescent="0.5"/>
  <cols>
    <col min="2" max="2" width="19" bestFit="1" customWidth="1"/>
    <col min="3" max="3" width="11" bestFit="1" customWidth="1"/>
    <col min="4" max="4" width="10.5" bestFit="1" customWidth="1"/>
    <col min="5" max="6" width="18.75" bestFit="1" customWidth="1"/>
  </cols>
  <sheetData>
    <row r="1" spans="2:9" ht="16.149999999999999" thickBot="1" x14ac:dyDescent="0.55000000000000004">
      <c r="B1" s="113"/>
      <c r="C1" s="113"/>
      <c r="D1" s="113"/>
      <c r="E1" s="113"/>
      <c r="F1" s="113"/>
      <c r="G1" s="113"/>
      <c r="H1" s="113"/>
      <c r="I1" s="113"/>
    </row>
    <row r="2" spans="2:9" ht="18.399999999999999" thickBot="1" x14ac:dyDescent="0.6">
      <c r="B2" s="155" t="s">
        <v>241</v>
      </c>
      <c r="C2" s="156"/>
      <c r="D2" s="156"/>
      <c r="E2" s="156"/>
      <c r="F2" s="157"/>
      <c r="G2" s="113"/>
      <c r="H2" s="113"/>
      <c r="I2" s="113"/>
    </row>
    <row r="4" spans="2:9" x14ac:dyDescent="0.5">
      <c r="B4" s="118" t="s">
        <v>242</v>
      </c>
      <c r="C4" s="113"/>
      <c r="D4" s="113"/>
      <c r="E4" s="142">
        <v>0.05</v>
      </c>
      <c r="F4" s="119" t="s">
        <v>243</v>
      </c>
      <c r="G4" s="113"/>
      <c r="H4" s="113"/>
      <c r="I4" s="113"/>
    </row>
    <row r="5" spans="2:9" x14ac:dyDescent="0.5">
      <c r="B5" s="118" t="s">
        <v>244</v>
      </c>
      <c r="C5" s="113"/>
      <c r="D5" s="113"/>
      <c r="E5" s="142">
        <v>2.5000000000000001E-3</v>
      </c>
      <c r="F5" s="119" t="s">
        <v>245</v>
      </c>
      <c r="G5" s="113"/>
      <c r="H5" s="113"/>
      <c r="I5" s="113"/>
    </row>
    <row r="6" spans="2:9" x14ac:dyDescent="0.5">
      <c r="B6" s="118" t="s">
        <v>246</v>
      </c>
      <c r="C6" s="113"/>
      <c r="D6" s="113"/>
      <c r="E6" s="143">
        <v>14</v>
      </c>
      <c r="F6" s="119" t="s">
        <v>247</v>
      </c>
      <c r="G6" s="113"/>
      <c r="H6" s="113"/>
      <c r="I6" s="104">
        <v>2</v>
      </c>
    </row>
    <row r="7" spans="2:9" ht="8.25" customHeight="1" x14ac:dyDescent="0.5">
      <c r="B7" s="113"/>
      <c r="C7" s="113"/>
      <c r="D7" s="113"/>
      <c r="E7" s="113"/>
      <c r="F7" s="113"/>
      <c r="G7" s="113"/>
      <c r="H7" s="113"/>
      <c r="I7" s="104">
        <v>2</v>
      </c>
    </row>
    <row r="8" spans="2:9" ht="5.25" customHeight="1" x14ac:dyDescent="0.5">
      <c r="B8" s="113"/>
      <c r="C8" s="113"/>
      <c r="D8" s="113"/>
      <c r="E8" s="113"/>
      <c r="F8" s="113"/>
      <c r="G8" s="113"/>
      <c r="H8" s="113"/>
      <c r="I8" s="104">
        <v>3</v>
      </c>
    </row>
    <row r="9" spans="2:9" hidden="1" x14ac:dyDescent="0.5">
      <c r="B9" s="113"/>
      <c r="C9" s="113"/>
      <c r="D9" s="113"/>
      <c r="E9" s="113"/>
      <c r="F9" s="113"/>
      <c r="G9" s="113"/>
      <c r="H9" s="113"/>
      <c r="I9" s="138">
        <v>1.6</v>
      </c>
    </row>
    <row r="10" spans="2:9" hidden="1" x14ac:dyDescent="0.5"/>
    <row r="11" spans="2:9" ht="6" customHeight="1" thickBot="1" x14ac:dyDescent="0.55000000000000004">
      <c r="B11" s="113"/>
      <c r="C11" s="113"/>
      <c r="D11" s="113"/>
      <c r="E11" s="113"/>
      <c r="F11" s="113"/>
      <c r="G11" s="113"/>
      <c r="H11" s="113"/>
      <c r="I11" s="113"/>
    </row>
    <row r="12" spans="2:9" ht="18.75" thickTop="1" thickBot="1" x14ac:dyDescent="0.6">
      <c r="B12" s="158" t="s">
        <v>248</v>
      </c>
      <c r="C12" s="159"/>
      <c r="D12" s="159"/>
      <c r="E12" s="159"/>
      <c r="F12" s="160"/>
      <c r="G12" s="113"/>
      <c r="H12" s="113"/>
      <c r="I12" s="113"/>
    </row>
    <row r="13" spans="2:9" ht="16.149999999999999" thickBot="1" x14ac:dyDescent="0.55000000000000004">
      <c r="B13" s="120" t="s">
        <v>179</v>
      </c>
      <c r="C13" s="121" t="s">
        <v>249</v>
      </c>
      <c r="D13" s="121" t="s">
        <v>250</v>
      </c>
      <c r="E13" s="121" t="s">
        <v>251</v>
      </c>
      <c r="F13" s="122" t="s">
        <v>252</v>
      </c>
      <c r="G13" s="113"/>
      <c r="H13" s="113"/>
      <c r="I13" s="113"/>
    </row>
    <row r="14" spans="2:9" ht="16.149999999999999" thickBot="1" x14ac:dyDescent="0.55000000000000004">
      <c r="B14" s="123">
        <v>0.05</v>
      </c>
      <c r="C14" s="126">
        <v>530292162.33058238</v>
      </c>
      <c r="D14" s="124">
        <v>20.377152225615117</v>
      </c>
      <c r="E14" s="124">
        <v>19.406811643442968</v>
      </c>
      <c r="F14" s="125">
        <v>527.09997478393905</v>
      </c>
      <c r="G14" s="113"/>
      <c r="H14" s="113"/>
      <c r="I14" s="113"/>
    </row>
    <row r="15" spans="2:9" ht="16.149999999999999" thickBot="1" x14ac:dyDescent="0.55000000000000004">
      <c r="B15" s="123">
        <v>5.2500000000000005E-2</v>
      </c>
      <c r="C15" s="127">
        <v>505414413.75470197</v>
      </c>
      <c r="D15" s="124">
        <v>20.033100828677703</v>
      </c>
      <c r="E15" s="124">
        <v>19.033825015370741</v>
      </c>
      <c r="F15" s="125">
        <v>510.19745610921149</v>
      </c>
      <c r="G15" s="113"/>
      <c r="H15" s="113"/>
      <c r="I15" s="113"/>
    </row>
    <row r="16" spans="2:9" ht="16.149999999999999" thickBot="1" x14ac:dyDescent="0.55000000000000004">
      <c r="B16" s="123">
        <v>5.5000000000000007E-2</v>
      </c>
      <c r="C16" s="127">
        <v>482149276.97470349</v>
      </c>
      <c r="D16" s="124">
        <v>19.693952750561856</v>
      </c>
      <c r="E16" s="124">
        <v>18.667253792001759</v>
      </c>
      <c r="F16" s="125">
        <v>493.81020393401548</v>
      </c>
      <c r="G16" s="113"/>
      <c r="H16" s="113"/>
      <c r="I16" s="113"/>
    </row>
    <row r="17" spans="2:6" ht="16.149999999999999" thickBot="1" x14ac:dyDescent="0.55000000000000004">
      <c r="B17" s="123">
        <v>5.7500000000000009E-2</v>
      </c>
      <c r="C17" s="127">
        <v>460373090.40371889</v>
      </c>
      <c r="D17" s="124">
        <v>19.359759330909046</v>
      </c>
      <c r="E17" s="124">
        <v>18.307101022136212</v>
      </c>
      <c r="F17" s="125">
        <v>477.92666299240005</v>
      </c>
    </row>
    <row r="18" spans="2:6" ht="16.149999999999999" thickBot="1" x14ac:dyDescent="0.55000000000000004">
      <c r="B18" s="123">
        <v>6.0000000000000012E-2</v>
      </c>
      <c r="C18" s="127">
        <v>439972859.90209848</v>
      </c>
      <c r="D18" s="124">
        <v>19.030565504095808</v>
      </c>
      <c r="E18" s="124">
        <v>17.953363683109252</v>
      </c>
      <c r="F18" s="125">
        <v>462.53526717798138</v>
      </c>
    </row>
    <row r="19" spans="2:6" ht="16.149999999999999" thickBot="1" x14ac:dyDescent="0.55000000000000004">
      <c r="B19" s="123">
        <v>6.2500000000000014E-2</v>
      </c>
      <c r="C19" s="127">
        <v>420845250.16871548</v>
      </c>
      <c r="D19" s="124">
        <v>18.706409813625157</v>
      </c>
      <c r="E19" s="124">
        <v>17.606032765764855</v>
      </c>
      <c r="F19" s="125">
        <v>447.62445868839893</v>
      </c>
    </row>
    <row r="20" spans="2:6" ht="16.149999999999999" thickBot="1" x14ac:dyDescent="0.55000000000000004">
      <c r="B20" s="123">
        <v>6.5000000000000016E-2</v>
      </c>
      <c r="C20" s="127">
        <v>402895678.97292918</v>
      </c>
      <c r="D20" s="124">
        <v>18.387324451813264</v>
      </c>
      <c r="E20" s="124">
        <v>17.265093381984286</v>
      </c>
      <c r="F20" s="125">
        <v>433.18269944467812</v>
      </c>
    </row>
    <row r="21" spans="2:6" ht="16.149999999999999" thickBot="1" x14ac:dyDescent="0.55000000000000004">
      <c r="B21" s="123">
        <v>6.7500000000000018E-2</v>
      </c>
      <c r="C21" s="127">
        <v>386037503.04640067</v>
      </c>
      <c r="D21" s="124">
        <v>18.073335324637601</v>
      </c>
      <c r="E21" s="124">
        <v>16.930524894274097</v>
      </c>
      <c r="F21" s="125">
        <v>419.19848724210493</v>
      </c>
    </row>
    <row r="22" spans="2:6" ht="16.149999999999999" thickBot="1" x14ac:dyDescent="0.55000000000000004">
      <c r="B22" s="123">
        <v>7.0000000000000021E-2</v>
      </c>
      <c r="C22" s="127">
        <v>370191285.73923838</v>
      </c>
      <c r="D22" s="124">
        <v>17.764462139738562</v>
      </c>
      <c r="E22" s="124">
        <v>16.602301065176224</v>
      </c>
      <c r="F22" s="125">
        <v>405.66036945061444</v>
      </c>
    </row>
    <row r="23" spans="2:6" ht="16.149999999999999" thickBot="1" x14ac:dyDescent="0.55000000000000004">
      <c r="B23" s="123">
        <v>7.2500000000000023E-2</v>
      </c>
      <c r="C23" s="127">
        <v>355284137.67497092</v>
      </c>
      <c r="D23" s="124">
        <v>17.460718516609049</v>
      </c>
      <c r="E23" s="124">
        <v>16.280390225276502</v>
      </c>
      <c r="F23" s="125">
        <v>392.55695709346315</v>
      </c>
    </row>
    <row r="24" spans="2:6" ht="16.149999999999999" thickBot="1" x14ac:dyDescent="0.55000000000000004">
      <c r="B24" s="123">
        <v>7.5000000000000025E-2</v>
      </c>
      <c r="C24" s="127">
        <v>341249122.633331</v>
      </c>
      <c r="D24" s="124">
        <v>17.16211211720119</v>
      </c>
      <c r="E24" s="124">
        <v>15.964755457861573</v>
      </c>
      <c r="F24" s="125">
        <v>379.8769384952181</v>
      </c>
    </row>
    <row r="25" spans="2:6" ht="16.149999999999999" thickBot="1" x14ac:dyDescent="0.55000000000000004">
      <c r="B25" s="123">
        <v>7.7500000000000027E-2</v>
      </c>
      <c r="C25" s="127">
        <v>328024721.76564598</v>
      </c>
      <c r="D25" s="124">
        <v>16.868644795462277</v>
      </c>
      <c r="E25" s="124">
        <v>15.655354798572878</v>
      </c>
      <c r="F25" s="125">
        <v>367.60909166097872</v>
      </c>
    </row>
    <row r="26" spans="2:6" ht="16.149999999999999" thickBot="1" x14ac:dyDescent="0.55000000000000004">
      <c r="B26" s="123">
        <v>8.0000000000000029E-2</v>
      </c>
      <c r="C26" s="127">
        <v>315554350.01970136</v>
      </c>
      <c r="D26" s="124">
        <v>16.580312763929044</v>
      </c>
      <c r="E26" s="124">
        <v>15.352141448082445</v>
      </c>
      <c r="F26" s="125">
        <v>355.74229495217867</v>
      </c>
    </row>
    <row r="27" spans="2:6" ht="16.149999999999999" thickBot="1" x14ac:dyDescent="0.55000000000000004">
      <c r="B27" s="123">
        <v>8.2500000000000032E-2</v>
      </c>
      <c r="C27" s="127">
        <v>303785919.33200938</v>
      </c>
      <c r="D27" s="124">
        <v>16.297106775950912</v>
      </c>
      <c r="E27" s="124">
        <v>15.055063996259502</v>
      </c>
      <c r="F27" s="125">
        <v>344.26554442377801</v>
      </c>
    </row>
  </sheetData>
  <mergeCells count="2">
    <mergeCell ref="B2:F2"/>
    <mergeCell ref="B12:F1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9E123-ED04-462E-B30C-598EA7A6DE4A}">
  <sheetPr codeName="Sheet11"/>
  <dimension ref="A3:E35"/>
  <sheetViews>
    <sheetView workbookViewId="0">
      <selection activeCell="A4" sqref="A4"/>
    </sheetView>
  </sheetViews>
  <sheetFormatPr defaultRowHeight="15.75" x14ac:dyDescent="0.5"/>
  <cols>
    <col min="1" max="1" width="22.375" bestFit="1" customWidth="1"/>
    <col min="2" max="4" width="9.5" bestFit="1" customWidth="1"/>
    <col min="5" max="5" width="9.75" bestFit="1" customWidth="1"/>
    <col min="6" max="161" width="3.875" bestFit="1" customWidth="1"/>
    <col min="162" max="235" width="4.875" bestFit="1" customWidth="1"/>
    <col min="236" max="236" width="11" bestFit="1" customWidth="1"/>
    <col min="237" max="237" width="5.625" bestFit="1" customWidth="1"/>
    <col min="238" max="240" width="3.875" bestFit="1" customWidth="1"/>
    <col min="241" max="241" width="8.75" bestFit="1" customWidth="1"/>
    <col min="242" max="242" width="5.625" bestFit="1" customWidth="1"/>
    <col min="243" max="245" width="3.875" bestFit="1" customWidth="1"/>
    <col min="246" max="246" width="8.75" bestFit="1" customWidth="1"/>
    <col min="247" max="247" width="5.625" bestFit="1" customWidth="1"/>
    <col min="248" max="251" width="3.875" bestFit="1" customWidth="1"/>
    <col min="252" max="252" width="8.75" bestFit="1" customWidth="1"/>
    <col min="253" max="253" width="5.625" bestFit="1" customWidth="1"/>
    <col min="254" max="254" width="3.875" bestFit="1" customWidth="1"/>
    <col min="255" max="255" width="8.75" bestFit="1" customWidth="1"/>
    <col min="256" max="256" width="5.625" bestFit="1" customWidth="1"/>
    <col min="257" max="257" width="8.75" bestFit="1" customWidth="1"/>
    <col min="258" max="258" width="5.625" bestFit="1" customWidth="1"/>
    <col min="259" max="260" width="3.875" bestFit="1" customWidth="1"/>
    <col min="261" max="261" width="8.75" bestFit="1" customWidth="1"/>
    <col min="262" max="262" width="5.625" bestFit="1" customWidth="1"/>
    <col min="263" max="266" width="3.875" bestFit="1" customWidth="1"/>
    <col min="267" max="267" width="8.75" bestFit="1" customWidth="1"/>
    <col min="268" max="268" width="5.625" bestFit="1" customWidth="1"/>
    <col min="269" max="270" width="3.875" bestFit="1" customWidth="1"/>
    <col min="271" max="271" width="8.75" bestFit="1" customWidth="1"/>
    <col min="272" max="272" width="5.625" bestFit="1" customWidth="1"/>
    <col min="273" max="274" width="3.875" bestFit="1" customWidth="1"/>
    <col min="275" max="275" width="8.75" bestFit="1" customWidth="1"/>
    <col min="276" max="276" width="5.625" bestFit="1" customWidth="1"/>
    <col min="277" max="279" width="3.875" bestFit="1" customWidth="1"/>
    <col min="280" max="280" width="8.75" bestFit="1" customWidth="1"/>
    <col min="281" max="281" width="5.625" bestFit="1" customWidth="1"/>
    <col min="282" max="284" width="3.875" bestFit="1" customWidth="1"/>
    <col min="285" max="285" width="8.75" bestFit="1" customWidth="1"/>
    <col min="286" max="286" width="5.625" bestFit="1" customWidth="1"/>
    <col min="287" max="288" width="3.875" bestFit="1" customWidth="1"/>
    <col min="289" max="289" width="8.75" bestFit="1" customWidth="1"/>
    <col min="290" max="290" width="5.625" bestFit="1" customWidth="1"/>
    <col min="291" max="291" width="8.75" bestFit="1" customWidth="1"/>
    <col min="292" max="292" width="5.625" bestFit="1" customWidth="1"/>
    <col min="293" max="293" width="3.875" bestFit="1" customWidth="1"/>
    <col min="294" max="294" width="8.75" bestFit="1" customWidth="1"/>
    <col min="295" max="295" width="5.625" bestFit="1" customWidth="1"/>
    <col min="296" max="296" width="3.875" bestFit="1" customWidth="1"/>
    <col min="297" max="297" width="8.75" bestFit="1" customWidth="1"/>
    <col min="298" max="298" width="5.625" bestFit="1" customWidth="1"/>
    <col min="299" max="301" width="3.875" bestFit="1" customWidth="1"/>
    <col min="302" max="302" width="8.75" bestFit="1" customWidth="1"/>
    <col min="303" max="303" width="5.625" bestFit="1" customWidth="1"/>
    <col min="304" max="308" width="3.875" bestFit="1" customWidth="1"/>
    <col min="309" max="309" width="8.75" bestFit="1" customWidth="1"/>
    <col min="310" max="310" width="5.625" bestFit="1" customWidth="1"/>
    <col min="311" max="313" width="3.875" bestFit="1" customWidth="1"/>
    <col min="314" max="314" width="8.75" bestFit="1" customWidth="1"/>
    <col min="315" max="315" width="5.625" bestFit="1" customWidth="1"/>
    <col min="316" max="316" width="3.875" bestFit="1" customWidth="1"/>
    <col min="317" max="317" width="8.75" bestFit="1" customWidth="1"/>
    <col min="318" max="318" width="5.625" bestFit="1" customWidth="1"/>
    <col min="319" max="322" width="3.875" bestFit="1" customWidth="1"/>
    <col min="323" max="323" width="8.75" bestFit="1" customWidth="1"/>
    <col min="324" max="324" width="5.625" bestFit="1" customWidth="1"/>
    <col min="325" max="325" width="3.875" bestFit="1" customWidth="1"/>
    <col min="326" max="326" width="8.75" bestFit="1" customWidth="1"/>
    <col min="327" max="327" width="5.625" bestFit="1" customWidth="1"/>
    <col min="328" max="330" width="3.875" bestFit="1" customWidth="1"/>
    <col min="331" max="331" width="8.75" bestFit="1" customWidth="1"/>
    <col min="332" max="332" width="5.625" bestFit="1" customWidth="1"/>
    <col min="333" max="337" width="3.875" bestFit="1" customWidth="1"/>
    <col min="338" max="338" width="8.75" bestFit="1" customWidth="1"/>
    <col min="339" max="339" width="5.625" bestFit="1" customWidth="1"/>
    <col min="340" max="342" width="3.875" bestFit="1" customWidth="1"/>
    <col min="343" max="343" width="8.75" bestFit="1" customWidth="1"/>
    <col min="344" max="344" width="5.625" bestFit="1" customWidth="1"/>
    <col min="345" max="346" width="3.875" bestFit="1" customWidth="1"/>
    <col min="347" max="347" width="8.75" bestFit="1" customWidth="1"/>
    <col min="348" max="348" width="5.625" bestFit="1" customWidth="1"/>
    <col min="349" max="349" width="8.75" bestFit="1" customWidth="1"/>
    <col min="350" max="350" width="5.625" bestFit="1" customWidth="1"/>
    <col min="351" max="354" width="3.875" bestFit="1" customWidth="1"/>
    <col min="355" max="355" width="8.75" bestFit="1" customWidth="1"/>
    <col min="356" max="356" width="5.625" bestFit="1" customWidth="1"/>
    <col min="357" max="358" width="3.875" bestFit="1" customWidth="1"/>
    <col min="359" max="359" width="8.75" bestFit="1" customWidth="1"/>
    <col min="360" max="360" width="5.625" bestFit="1" customWidth="1"/>
    <col min="361" max="361" width="8.75" bestFit="1" customWidth="1"/>
    <col min="362" max="362" width="5.625" bestFit="1" customWidth="1"/>
    <col min="363" max="364" width="3.875" bestFit="1" customWidth="1"/>
    <col min="365" max="365" width="8.75" bestFit="1" customWidth="1"/>
    <col min="366" max="366" width="5.625" bestFit="1" customWidth="1"/>
    <col min="367" max="367" width="8.75" bestFit="1" customWidth="1"/>
    <col min="368" max="368" width="5.625" bestFit="1" customWidth="1"/>
    <col min="369" max="369" width="3.875" bestFit="1" customWidth="1"/>
    <col min="370" max="370" width="8.75" bestFit="1" customWidth="1"/>
    <col min="371" max="371" width="5.625" bestFit="1" customWidth="1"/>
    <col min="372" max="373" width="3.875" bestFit="1" customWidth="1"/>
    <col min="374" max="374" width="8.75" bestFit="1" customWidth="1"/>
    <col min="375" max="375" width="5.625" bestFit="1" customWidth="1"/>
    <col min="376" max="380" width="3.875" bestFit="1" customWidth="1"/>
    <col min="381" max="381" width="8.75" bestFit="1" customWidth="1"/>
    <col min="382" max="382" width="5.625" bestFit="1" customWidth="1"/>
    <col min="383" max="384" width="3.875" bestFit="1" customWidth="1"/>
    <col min="385" max="385" width="8.75" bestFit="1" customWidth="1"/>
    <col min="386" max="386" width="5.625" bestFit="1" customWidth="1"/>
    <col min="387" max="390" width="3.875" bestFit="1" customWidth="1"/>
    <col min="391" max="391" width="8.75" bestFit="1" customWidth="1"/>
    <col min="392" max="392" width="5.625" bestFit="1" customWidth="1"/>
    <col min="393" max="394" width="3.875" bestFit="1" customWidth="1"/>
    <col min="395" max="395" width="8.75" bestFit="1" customWidth="1"/>
    <col min="396" max="396" width="5.625" bestFit="1" customWidth="1"/>
    <col min="397" max="399" width="3.875" bestFit="1" customWidth="1"/>
    <col min="400" max="400" width="8.75" bestFit="1" customWidth="1"/>
    <col min="401" max="401" width="5.625" bestFit="1" customWidth="1"/>
    <col min="402" max="403" width="3.875" bestFit="1" customWidth="1"/>
    <col min="404" max="404" width="8.75" bestFit="1" customWidth="1"/>
    <col min="405" max="405" width="5.625" bestFit="1" customWidth="1"/>
    <col min="406" max="406" width="8.75" bestFit="1" customWidth="1"/>
    <col min="407" max="407" width="5.625" bestFit="1" customWidth="1"/>
    <col min="408" max="412" width="3.875" bestFit="1" customWidth="1"/>
    <col min="413" max="413" width="8.75" bestFit="1" customWidth="1"/>
    <col min="414" max="414" width="5.625" bestFit="1" customWidth="1"/>
    <col min="415" max="415" width="3.875" bestFit="1" customWidth="1"/>
    <col min="416" max="416" width="8.75" bestFit="1" customWidth="1"/>
    <col min="417" max="417" width="5.625" bestFit="1" customWidth="1"/>
    <col min="418" max="421" width="3.875" bestFit="1" customWidth="1"/>
    <col min="422" max="422" width="8.75" bestFit="1" customWidth="1"/>
    <col min="423" max="423" width="5.625" bestFit="1" customWidth="1"/>
    <col min="424" max="424" width="3.875" bestFit="1" customWidth="1"/>
    <col min="425" max="425" width="8.75" bestFit="1" customWidth="1"/>
    <col min="426" max="426" width="5.625" bestFit="1" customWidth="1"/>
    <col min="427" max="430" width="3.875" bestFit="1" customWidth="1"/>
    <col min="431" max="431" width="8.75" bestFit="1" customWidth="1"/>
    <col min="432" max="432" width="5.625" bestFit="1" customWidth="1"/>
    <col min="433" max="434" width="3.875" bestFit="1" customWidth="1"/>
    <col min="435" max="435" width="8.75" bestFit="1" customWidth="1"/>
    <col min="436" max="436" width="5.625" bestFit="1" customWidth="1"/>
    <col min="437" max="440" width="3.875" bestFit="1" customWidth="1"/>
    <col min="441" max="441" width="8.75" bestFit="1" customWidth="1"/>
    <col min="442" max="442" width="5.625" bestFit="1" customWidth="1"/>
    <col min="443" max="445" width="3.875" bestFit="1" customWidth="1"/>
    <col min="446" max="446" width="8.75" bestFit="1" customWidth="1"/>
    <col min="447" max="447" width="5.625" bestFit="1" customWidth="1"/>
    <col min="448" max="448" width="3.875" bestFit="1" customWidth="1"/>
    <col min="449" max="449" width="8.75" bestFit="1" customWidth="1"/>
    <col min="450" max="450" width="5.625" bestFit="1" customWidth="1"/>
    <col min="451" max="455" width="3.875" bestFit="1" customWidth="1"/>
    <col min="456" max="456" width="8.75" bestFit="1" customWidth="1"/>
    <col min="457" max="457" width="5.625" bestFit="1" customWidth="1"/>
    <col min="458" max="459" width="3.875" bestFit="1" customWidth="1"/>
    <col min="460" max="460" width="8.75" bestFit="1" customWidth="1"/>
    <col min="461" max="461" width="5.625" bestFit="1" customWidth="1"/>
    <col min="462" max="465" width="3.875" bestFit="1" customWidth="1"/>
    <col min="466" max="466" width="8.75" bestFit="1" customWidth="1"/>
    <col min="467" max="467" width="5.625" bestFit="1" customWidth="1"/>
    <col min="468" max="470" width="3.875" bestFit="1" customWidth="1"/>
    <col min="471" max="471" width="8.75" bestFit="1" customWidth="1"/>
    <col min="472" max="472" width="5.625" bestFit="1" customWidth="1"/>
    <col min="473" max="473" width="3.875" bestFit="1" customWidth="1"/>
    <col min="474" max="474" width="8.75" bestFit="1" customWidth="1"/>
    <col min="475" max="475" width="5.625" bestFit="1" customWidth="1"/>
    <col min="476" max="477" width="3.875" bestFit="1" customWidth="1"/>
    <col min="478" max="478" width="8.75" bestFit="1" customWidth="1"/>
    <col min="479" max="479" width="5.625" bestFit="1" customWidth="1"/>
    <col min="480" max="483" width="3.875" bestFit="1" customWidth="1"/>
    <col min="484" max="484" width="8.75" bestFit="1" customWidth="1"/>
    <col min="485" max="485" width="5.625" bestFit="1" customWidth="1"/>
    <col min="486" max="490" width="3.875" bestFit="1" customWidth="1"/>
    <col min="491" max="491" width="8.75" bestFit="1" customWidth="1"/>
    <col min="492" max="492" width="5.625" bestFit="1" customWidth="1"/>
    <col min="493" max="494" width="3.875" bestFit="1" customWidth="1"/>
    <col min="495" max="495" width="8.75" bestFit="1" customWidth="1"/>
    <col min="496" max="496" width="5.625" bestFit="1" customWidth="1"/>
    <col min="497" max="498" width="3.875" bestFit="1" customWidth="1"/>
    <col min="499" max="499" width="8.75" bestFit="1" customWidth="1"/>
    <col min="500" max="500" width="5.625" bestFit="1" customWidth="1"/>
    <col min="501" max="502" width="3.875" bestFit="1" customWidth="1"/>
    <col min="503" max="503" width="8.75" bestFit="1" customWidth="1"/>
    <col min="504" max="504" width="5.625" bestFit="1" customWidth="1"/>
    <col min="505" max="507" width="3.875" bestFit="1" customWidth="1"/>
    <col min="508" max="508" width="8.75" bestFit="1" customWidth="1"/>
    <col min="509" max="509" width="5.625" bestFit="1" customWidth="1"/>
    <col min="510" max="512" width="3.875" bestFit="1" customWidth="1"/>
    <col min="513" max="513" width="8.75" bestFit="1" customWidth="1"/>
    <col min="514" max="514" width="5.625" bestFit="1" customWidth="1"/>
    <col min="515" max="517" width="3.875" bestFit="1" customWidth="1"/>
    <col min="518" max="518" width="8.75" bestFit="1" customWidth="1"/>
    <col min="519" max="519" width="5.625" bestFit="1" customWidth="1"/>
    <col min="520" max="521" width="3.875" bestFit="1" customWidth="1"/>
    <col min="522" max="522" width="8.75" bestFit="1" customWidth="1"/>
    <col min="523" max="523" width="5.625" bestFit="1" customWidth="1"/>
    <col min="524" max="525" width="3.875" bestFit="1" customWidth="1"/>
    <col min="526" max="526" width="8.75" bestFit="1" customWidth="1"/>
    <col min="527" max="527" width="5.625" bestFit="1" customWidth="1"/>
    <col min="528" max="529" width="3.875" bestFit="1" customWidth="1"/>
    <col min="530" max="530" width="8.75" bestFit="1" customWidth="1"/>
    <col min="531" max="531" width="5.625" bestFit="1" customWidth="1"/>
    <col min="532" max="532" width="8.75" bestFit="1" customWidth="1"/>
    <col min="533" max="533" width="5.625" bestFit="1" customWidth="1"/>
    <col min="534" max="534" width="8.75" bestFit="1" customWidth="1"/>
    <col min="535" max="535" width="5.625" bestFit="1" customWidth="1"/>
    <col min="536" max="536" width="3.875" bestFit="1" customWidth="1"/>
    <col min="537" max="537" width="8.75" bestFit="1" customWidth="1"/>
    <col min="538" max="538" width="5.625" bestFit="1" customWidth="1"/>
    <col min="539" max="539" width="8.75" bestFit="1" customWidth="1"/>
    <col min="540" max="540" width="5.625" bestFit="1" customWidth="1"/>
    <col min="541" max="541" width="3.875" bestFit="1" customWidth="1"/>
    <col min="542" max="542" width="8.75" bestFit="1" customWidth="1"/>
    <col min="543" max="543" width="5.625" bestFit="1" customWidth="1"/>
    <col min="544" max="547" width="3.875" bestFit="1" customWidth="1"/>
    <col min="548" max="548" width="8.75" bestFit="1" customWidth="1"/>
    <col min="549" max="549" width="5.625" bestFit="1" customWidth="1"/>
    <col min="550" max="550" width="3.875" bestFit="1" customWidth="1"/>
    <col min="551" max="551" width="8.75" bestFit="1" customWidth="1"/>
    <col min="552" max="552" width="5.625" bestFit="1" customWidth="1"/>
    <col min="553" max="553" width="3.875" bestFit="1" customWidth="1"/>
    <col min="554" max="554" width="8.75" bestFit="1" customWidth="1"/>
    <col min="555" max="555" width="5.625" bestFit="1" customWidth="1"/>
    <col min="556" max="556" width="8.75" bestFit="1" customWidth="1"/>
    <col min="557" max="557" width="5.625" bestFit="1" customWidth="1"/>
    <col min="558" max="560" width="3.875" bestFit="1" customWidth="1"/>
    <col min="561" max="561" width="8.75" bestFit="1" customWidth="1"/>
    <col min="562" max="562" width="5.625" bestFit="1" customWidth="1"/>
    <col min="563" max="567" width="3.875" bestFit="1" customWidth="1"/>
    <col min="568" max="568" width="8.75" bestFit="1" customWidth="1"/>
    <col min="569" max="569" width="5.625" bestFit="1" customWidth="1"/>
    <col min="570" max="570" width="8.75" bestFit="1" customWidth="1"/>
    <col min="571" max="571" width="5.625" bestFit="1" customWidth="1"/>
    <col min="572" max="572" width="3.875" bestFit="1" customWidth="1"/>
    <col min="573" max="573" width="8.75" bestFit="1" customWidth="1"/>
    <col min="574" max="574" width="5.625" bestFit="1" customWidth="1"/>
    <col min="575" max="575" width="3.875" bestFit="1" customWidth="1"/>
    <col min="576" max="576" width="8.75" bestFit="1" customWidth="1"/>
    <col min="577" max="577" width="5.625" bestFit="1" customWidth="1"/>
    <col min="578" max="578" width="3.875" bestFit="1" customWidth="1"/>
    <col min="579" max="579" width="8.75" bestFit="1" customWidth="1"/>
    <col min="580" max="580" width="5.625" bestFit="1" customWidth="1"/>
    <col min="581" max="581" width="8.75" bestFit="1" customWidth="1"/>
    <col min="582" max="582" width="5.625" bestFit="1" customWidth="1"/>
    <col min="583" max="583" width="8.75" bestFit="1" customWidth="1"/>
    <col min="584" max="584" width="6.625" bestFit="1" customWidth="1"/>
    <col min="585" max="585" width="9.75" bestFit="1" customWidth="1"/>
    <col min="586" max="586" width="6.625" bestFit="1" customWidth="1"/>
    <col min="587" max="588" width="3.875" bestFit="1" customWidth="1"/>
    <col min="589" max="589" width="9.75" bestFit="1" customWidth="1"/>
    <col min="590" max="590" width="6.625" bestFit="1" customWidth="1"/>
    <col min="591" max="593" width="3.875" bestFit="1" customWidth="1"/>
    <col min="594" max="594" width="9.75" bestFit="1" customWidth="1"/>
    <col min="595" max="595" width="6.625" bestFit="1" customWidth="1"/>
    <col min="596" max="598" width="3.875" bestFit="1" customWidth="1"/>
    <col min="599" max="599" width="9.75" bestFit="1" customWidth="1"/>
    <col min="600" max="600" width="6.625" bestFit="1" customWidth="1"/>
    <col min="601" max="601" width="3.875" bestFit="1" customWidth="1"/>
    <col min="602" max="602" width="9.75" bestFit="1" customWidth="1"/>
    <col min="603" max="603" width="6.625" bestFit="1" customWidth="1"/>
    <col min="604" max="604" width="3.875" bestFit="1" customWidth="1"/>
    <col min="605" max="605" width="9.75" bestFit="1" customWidth="1"/>
    <col min="606" max="606" width="6.625" bestFit="1" customWidth="1"/>
    <col min="607" max="609" width="3.875" bestFit="1" customWidth="1"/>
    <col min="610" max="610" width="9.75" bestFit="1" customWidth="1"/>
    <col min="611" max="611" width="6.625" bestFit="1" customWidth="1"/>
    <col min="612" max="614" width="3.875" bestFit="1" customWidth="1"/>
    <col min="615" max="615" width="9.75" bestFit="1" customWidth="1"/>
    <col min="616" max="616" width="6.625" bestFit="1" customWidth="1"/>
    <col min="617" max="617" width="3.875" bestFit="1" customWidth="1"/>
    <col min="618" max="618" width="9.75" bestFit="1" customWidth="1"/>
    <col min="619" max="619" width="6.625" bestFit="1" customWidth="1"/>
    <col min="620" max="620" width="9.75" bestFit="1" customWidth="1"/>
    <col min="621" max="621" width="6.625" bestFit="1" customWidth="1"/>
    <col min="622" max="625" width="3.875" bestFit="1" customWidth="1"/>
    <col min="626" max="626" width="9.75" bestFit="1" customWidth="1"/>
    <col min="627" max="627" width="6.625" bestFit="1" customWidth="1"/>
    <col min="628" max="631" width="3.875" bestFit="1" customWidth="1"/>
    <col min="632" max="632" width="9.75" bestFit="1" customWidth="1"/>
    <col min="633" max="633" width="6.625" bestFit="1" customWidth="1"/>
    <col min="634" max="636" width="3.875" bestFit="1" customWidth="1"/>
    <col min="637" max="637" width="9.75" bestFit="1" customWidth="1"/>
    <col min="638" max="638" width="6.625" bestFit="1" customWidth="1"/>
    <col min="639" max="640" width="3.875" bestFit="1" customWidth="1"/>
    <col min="641" max="641" width="9.75" bestFit="1" customWidth="1"/>
    <col min="642" max="642" width="6.625" bestFit="1" customWidth="1"/>
    <col min="643" max="643" width="3.875" bestFit="1" customWidth="1"/>
    <col min="644" max="644" width="9.75" bestFit="1" customWidth="1"/>
    <col min="645" max="645" width="6.625" bestFit="1" customWidth="1"/>
    <col min="646" max="648" width="3.875" bestFit="1" customWidth="1"/>
    <col min="649" max="649" width="9.75" bestFit="1" customWidth="1"/>
    <col min="650" max="650" width="6.625" bestFit="1" customWidth="1"/>
    <col min="651" max="653" width="3.875" bestFit="1" customWidth="1"/>
    <col min="654" max="654" width="9.75" bestFit="1" customWidth="1"/>
    <col min="655" max="655" width="6.625" bestFit="1" customWidth="1"/>
    <col min="656" max="656" width="9.75" bestFit="1" customWidth="1"/>
    <col min="657" max="657" width="6.625" bestFit="1" customWidth="1"/>
    <col min="658" max="658" width="3.875" bestFit="1" customWidth="1"/>
    <col min="659" max="659" width="9.75" bestFit="1" customWidth="1"/>
    <col min="660" max="660" width="6.625" bestFit="1" customWidth="1"/>
    <col min="661" max="662" width="3.875" bestFit="1" customWidth="1"/>
    <col min="663" max="663" width="9.75" bestFit="1" customWidth="1"/>
    <col min="664" max="664" width="6.625" bestFit="1" customWidth="1"/>
    <col min="665" max="666" width="3.875" bestFit="1" customWidth="1"/>
    <col min="667" max="667" width="9.75" bestFit="1" customWidth="1"/>
    <col min="668" max="668" width="6.625" bestFit="1" customWidth="1"/>
    <col min="669" max="670" width="3.875" bestFit="1" customWidth="1"/>
    <col min="671" max="671" width="9.75" bestFit="1" customWidth="1"/>
    <col min="672" max="672" width="6.625" bestFit="1" customWidth="1"/>
    <col min="673" max="673" width="3.875" bestFit="1" customWidth="1"/>
    <col min="674" max="674" width="9.75" bestFit="1" customWidth="1"/>
    <col min="675" max="675" width="6.625" bestFit="1" customWidth="1"/>
    <col min="676" max="676" width="3.875" bestFit="1" customWidth="1"/>
    <col min="677" max="677" width="9.75" bestFit="1" customWidth="1"/>
    <col min="678" max="678" width="6.625" bestFit="1" customWidth="1"/>
    <col min="679" max="679" width="3.875" bestFit="1" customWidth="1"/>
    <col min="680" max="680" width="9.75" bestFit="1" customWidth="1"/>
    <col min="681" max="681" width="6.625" bestFit="1" customWidth="1"/>
    <col min="682" max="682" width="9.75" bestFit="1" customWidth="1"/>
    <col min="683" max="683" width="6.625" bestFit="1" customWidth="1"/>
    <col min="684" max="685" width="3.875" bestFit="1" customWidth="1"/>
    <col min="686" max="686" width="9.75" bestFit="1" customWidth="1"/>
    <col min="687" max="687" width="6.625" bestFit="1" customWidth="1"/>
    <col min="688" max="688" width="9.75" bestFit="1" customWidth="1"/>
    <col min="689" max="689" width="6.625" bestFit="1" customWidth="1"/>
    <col min="690" max="690" width="3.875" bestFit="1" customWidth="1"/>
    <col min="691" max="691" width="9.75" bestFit="1" customWidth="1"/>
    <col min="692" max="692" width="6.625" bestFit="1" customWidth="1"/>
    <col min="693" max="693" width="9.75" bestFit="1" customWidth="1"/>
    <col min="694" max="694" width="6.625" bestFit="1" customWidth="1"/>
    <col min="695" max="698" width="3.875" bestFit="1" customWidth="1"/>
    <col min="699" max="699" width="9.75" bestFit="1" customWidth="1"/>
    <col min="700" max="700" width="6.625" bestFit="1" customWidth="1"/>
    <col min="701" max="701" width="9.75" bestFit="1" customWidth="1"/>
    <col min="702" max="702" width="6.625" bestFit="1" customWidth="1"/>
    <col min="703" max="703" width="9.75" bestFit="1" customWidth="1"/>
    <col min="704" max="704" width="6.625" bestFit="1" customWidth="1"/>
    <col min="705" max="705" width="9.75" bestFit="1" customWidth="1"/>
    <col min="706" max="706" width="6.625" bestFit="1" customWidth="1"/>
    <col min="707" max="707" width="3.875" bestFit="1" customWidth="1"/>
    <col min="708" max="708" width="9.75" bestFit="1" customWidth="1"/>
    <col min="709" max="709" width="6.625" bestFit="1" customWidth="1"/>
    <col min="710" max="710" width="9.75" bestFit="1" customWidth="1"/>
    <col min="711" max="711" width="6.625" bestFit="1" customWidth="1"/>
    <col min="712" max="712" width="3.875" bestFit="1" customWidth="1"/>
    <col min="713" max="713" width="9.75" bestFit="1" customWidth="1"/>
    <col min="714" max="714" width="6.625" bestFit="1" customWidth="1"/>
    <col min="715" max="715" width="9.75" bestFit="1" customWidth="1"/>
    <col min="716" max="716" width="6.625" bestFit="1" customWidth="1"/>
    <col min="717" max="717" width="9.75" bestFit="1" customWidth="1"/>
    <col min="718" max="718" width="6.625" bestFit="1" customWidth="1"/>
    <col min="719" max="719" width="9.75" bestFit="1" customWidth="1"/>
    <col min="720" max="720" width="6.625" bestFit="1" customWidth="1"/>
    <col min="721" max="721" width="9.75" bestFit="1" customWidth="1"/>
    <col min="722" max="722" width="6.625" bestFit="1" customWidth="1"/>
    <col min="723" max="723" width="3.875" bestFit="1" customWidth="1"/>
    <col min="724" max="724" width="9.75" bestFit="1" customWidth="1"/>
    <col min="725" max="725" width="6.625" bestFit="1" customWidth="1"/>
    <col min="726" max="726" width="3.875" bestFit="1" customWidth="1"/>
    <col min="727" max="727" width="9.75" bestFit="1" customWidth="1"/>
    <col min="728" max="728" width="6.625" bestFit="1" customWidth="1"/>
    <col min="729" max="729" width="3.875" bestFit="1" customWidth="1"/>
    <col min="730" max="730" width="9.75" bestFit="1" customWidth="1"/>
    <col min="731" max="731" width="6.625" bestFit="1" customWidth="1"/>
    <col min="732" max="732" width="3.875" bestFit="1" customWidth="1"/>
    <col min="733" max="733" width="9.75" bestFit="1" customWidth="1"/>
    <col min="734" max="734" width="6.625" bestFit="1" customWidth="1"/>
    <col min="735" max="735" width="9.75" bestFit="1" customWidth="1"/>
    <col min="736" max="736" width="6.625" bestFit="1" customWidth="1"/>
    <col min="737" max="737" width="3.875" bestFit="1" customWidth="1"/>
    <col min="738" max="738" width="9.75" bestFit="1" customWidth="1"/>
    <col min="739" max="739" width="6.625" bestFit="1" customWidth="1"/>
    <col min="740" max="740" width="3.875" bestFit="1" customWidth="1"/>
    <col min="741" max="741" width="9.75" bestFit="1" customWidth="1"/>
    <col min="742" max="742" width="6.625" bestFit="1" customWidth="1"/>
    <col min="743" max="743" width="9.75" bestFit="1" customWidth="1"/>
    <col min="744" max="744" width="6.625" bestFit="1" customWidth="1"/>
    <col min="745" max="746" width="3.875" bestFit="1" customWidth="1"/>
    <col min="747" max="747" width="9.75" bestFit="1" customWidth="1"/>
    <col min="748" max="748" width="6.625" bestFit="1" customWidth="1"/>
    <col min="749" max="750" width="3.875" bestFit="1" customWidth="1"/>
    <col min="751" max="751" width="9.75" bestFit="1" customWidth="1"/>
    <col min="752" max="752" width="6.625" bestFit="1" customWidth="1"/>
    <col min="753" max="753" width="9.75" bestFit="1" customWidth="1"/>
    <col min="754" max="754" width="6.625" bestFit="1" customWidth="1"/>
    <col min="755" max="755" width="9.75" bestFit="1" customWidth="1"/>
    <col min="756" max="756" width="6.625" bestFit="1" customWidth="1"/>
    <col min="757" max="757" width="9.75" bestFit="1" customWidth="1"/>
    <col min="758" max="758" width="6.625" bestFit="1" customWidth="1"/>
    <col min="759" max="759" width="9.75" bestFit="1" customWidth="1"/>
    <col min="760" max="760" width="6.625" bestFit="1" customWidth="1"/>
    <col min="761" max="761" width="9.75" bestFit="1" customWidth="1"/>
    <col min="762" max="762" width="6.625" bestFit="1" customWidth="1"/>
    <col min="763" max="763" width="9.75" bestFit="1" customWidth="1"/>
    <col min="764" max="764" width="6.625" bestFit="1" customWidth="1"/>
    <col min="765" max="765" width="9.75" bestFit="1" customWidth="1"/>
    <col min="766" max="766" width="6.625" bestFit="1" customWidth="1"/>
    <col min="767" max="767" width="9.75" bestFit="1" customWidth="1"/>
    <col min="768" max="768" width="6.625" bestFit="1" customWidth="1"/>
    <col min="769" max="769" width="9.75" bestFit="1" customWidth="1"/>
    <col min="770" max="770" width="6.625" bestFit="1" customWidth="1"/>
    <col min="771" max="771" width="9.75" bestFit="1" customWidth="1"/>
    <col min="772" max="772" width="6.625" bestFit="1" customWidth="1"/>
    <col min="773" max="773" width="9.75" bestFit="1" customWidth="1"/>
    <col min="774" max="774" width="6.625" bestFit="1" customWidth="1"/>
    <col min="775" max="775" width="9.75" bestFit="1" customWidth="1"/>
    <col min="776" max="776" width="6.625" bestFit="1" customWidth="1"/>
    <col min="777" max="777" width="9.75" bestFit="1" customWidth="1"/>
    <col min="778" max="778" width="6.625" bestFit="1" customWidth="1"/>
    <col min="779" max="779" width="3.875" bestFit="1" customWidth="1"/>
    <col min="780" max="780" width="9.75" bestFit="1" customWidth="1"/>
    <col min="781" max="781" width="6.625" bestFit="1" customWidth="1"/>
    <col min="782" max="782" width="9.75" bestFit="1" customWidth="1"/>
    <col min="783" max="783" width="6.625" bestFit="1" customWidth="1"/>
    <col min="784" max="784" width="9.75" bestFit="1" customWidth="1"/>
    <col min="785" max="785" width="6.625" bestFit="1" customWidth="1"/>
    <col min="786" max="786" width="9.75" bestFit="1" customWidth="1"/>
    <col min="787" max="787" width="6.625" bestFit="1" customWidth="1"/>
    <col min="788" max="788" width="9.75" bestFit="1" customWidth="1"/>
    <col min="789" max="789" width="6.625" bestFit="1" customWidth="1"/>
    <col min="790" max="790" width="9.75" bestFit="1" customWidth="1"/>
    <col min="791" max="791" width="6.625" bestFit="1" customWidth="1"/>
    <col min="792" max="792" width="9.75" bestFit="1" customWidth="1"/>
    <col min="793" max="793" width="6.625" bestFit="1" customWidth="1"/>
    <col min="794" max="794" width="9.75" bestFit="1" customWidth="1"/>
    <col min="795" max="795" width="6.625" bestFit="1" customWidth="1"/>
    <col min="796" max="796" width="9.75" bestFit="1" customWidth="1"/>
    <col min="797" max="797" width="6.625" bestFit="1" customWidth="1"/>
    <col min="798" max="798" width="9.75" bestFit="1" customWidth="1"/>
    <col min="799" max="799" width="11" bestFit="1" customWidth="1"/>
  </cols>
  <sheetData>
    <row r="3" spans="1:5" x14ac:dyDescent="0.5">
      <c r="A3" s="139" t="s">
        <v>175</v>
      </c>
      <c r="B3" s="139" t="s">
        <v>823</v>
      </c>
      <c r="C3" s="139" t="s">
        <v>113</v>
      </c>
      <c r="D3" s="139" t="s">
        <v>114</v>
      </c>
      <c r="E3" s="139" t="s">
        <v>115</v>
      </c>
    </row>
    <row r="4" spans="1:5" x14ac:dyDescent="0.5">
      <c r="A4" s="117" t="s">
        <v>36</v>
      </c>
      <c r="B4" s="114">
        <v>18951</v>
      </c>
      <c r="C4" s="114">
        <v>5377</v>
      </c>
      <c r="D4" s="114">
        <v>525</v>
      </c>
      <c r="E4" s="114">
        <v>3167</v>
      </c>
    </row>
    <row r="5" spans="1:5" x14ac:dyDescent="0.5">
      <c r="A5" s="117" t="s">
        <v>39</v>
      </c>
      <c r="B5" s="114">
        <v>17420</v>
      </c>
      <c r="C5" s="114">
        <v>5589</v>
      </c>
      <c r="D5" s="114">
        <v>777</v>
      </c>
      <c r="E5" s="114">
        <v>3198</v>
      </c>
    </row>
    <row r="6" spans="1:5" x14ac:dyDescent="0.5">
      <c r="A6" s="117" t="s">
        <v>41</v>
      </c>
      <c r="B6" s="114">
        <v>18312</v>
      </c>
      <c r="C6" s="114">
        <v>5461</v>
      </c>
      <c r="D6" s="114">
        <v>500</v>
      </c>
      <c r="E6" s="114">
        <v>3118</v>
      </c>
    </row>
    <row r="7" spans="1:5" x14ac:dyDescent="0.5">
      <c r="A7" s="117" t="s">
        <v>44</v>
      </c>
      <c r="B7" s="114">
        <v>18386</v>
      </c>
      <c r="C7" s="114">
        <v>5389</v>
      </c>
      <c r="D7" s="114">
        <v>374</v>
      </c>
      <c r="E7" s="114">
        <v>3484</v>
      </c>
    </row>
    <row r="8" spans="1:5" x14ac:dyDescent="0.5">
      <c r="A8" s="117" t="s">
        <v>46</v>
      </c>
      <c r="B8" s="114">
        <v>18594</v>
      </c>
      <c r="C8" s="114">
        <v>6418</v>
      </c>
      <c r="D8" s="114">
        <v>519</v>
      </c>
      <c r="E8" s="114">
        <v>3569</v>
      </c>
    </row>
    <row r="9" spans="1:5" x14ac:dyDescent="0.5">
      <c r="A9" s="117" t="s">
        <v>50</v>
      </c>
      <c r="B9" s="114">
        <v>17545</v>
      </c>
      <c r="C9" s="114">
        <v>5505</v>
      </c>
      <c r="D9" s="114">
        <v>555</v>
      </c>
      <c r="E9" s="114">
        <v>3363</v>
      </c>
    </row>
    <row r="10" spans="1:5" x14ac:dyDescent="0.5">
      <c r="A10" s="117" t="s">
        <v>48</v>
      </c>
      <c r="B10" s="114">
        <v>18028</v>
      </c>
      <c r="C10" s="114">
        <v>5147</v>
      </c>
      <c r="D10" s="114">
        <v>479</v>
      </c>
      <c r="E10" s="114">
        <v>3671</v>
      </c>
    </row>
    <row r="11" spans="1:5" x14ac:dyDescent="0.5">
      <c r="A11" s="117" t="s">
        <v>52</v>
      </c>
      <c r="B11" s="114">
        <v>17512</v>
      </c>
      <c r="C11" s="114">
        <v>5312</v>
      </c>
      <c r="D11" s="114">
        <v>469</v>
      </c>
      <c r="E11" s="114">
        <v>3460</v>
      </c>
    </row>
    <row r="12" spans="1:5" x14ac:dyDescent="0.5">
      <c r="A12" s="117" t="s">
        <v>54</v>
      </c>
      <c r="B12" s="114">
        <v>18029</v>
      </c>
      <c r="C12" s="114">
        <v>5807</v>
      </c>
      <c r="D12" s="114">
        <v>504</v>
      </c>
      <c r="E12" s="114">
        <v>3365</v>
      </c>
    </row>
    <row r="13" spans="1:5" x14ac:dyDescent="0.5">
      <c r="A13" s="117" t="s">
        <v>56</v>
      </c>
      <c r="B13" s="114">
        <v>18765</v>
      </c>
      <c r="C13" s="114">
        <v>5721</v>
      </c>
      <c r="D13" s="114">
        <v>821</v>
      </c>
      <c r="E13" s="114">
        <v>3393</v>
      </c>
    </row>
    <row r="14" spans="1:5" x14ac:dyDescent="0.5">
      <c r="A14" s="117" t="s">
        <v>58</v>
      </c>
      <c r="B14" s="114">
        <v>18925</v>
      </c>
      <c r="C14" s="114">
        <v>5430</v>
      </c>
      <c r="D14" s="114">
        <v>745</v>
      </c>
      <c r="E14" s="114">
        <v>3224</v>
      </c>
    </row>
    <row r="15" spans="1:5" x14ac:dyDescent="0.5">
      <c r="A15" s="117" t="s">
        <v>60</v>
      </c>
      <c r="B15" s="114">
        <v>17607</v>
      </c>
      <c r="C15" s="114">
        <v>5504</v>
      </c>
      <c r="D15" s="114">
        <v>555</v>
      </c>
      <c r="E15" s="114">
        <v>3284</v>
      </c>
    </row>
    <row r="16" spans="1:5" x14ac:dyDescent="0.5">
      <c r="A16" s="117" t="s">
        <v>62</v>
      </c>
      <c r="B16" s="114">
        <v>18461</v>
      </c>
      <c r="C16" s="114">
        <v>5401</v>
      </c>
      <c r="D16" s="114">
        <v>587</v>
      </c>
      <c r="E16" s="114">
        <v>2988</v>
      </c>
    </row>
    <row r="17" spans="1:5" x14ac:dyDescent="0.5">
      <c r="A17" s="117" t="s">
        <v>64</v>
      </c>
      <c r="B17" s="114">
        <v>18761</v>
      </c>
      <c r="C17" s="114">
        <v>5494</v>
      </c>
      <c r="D17" s="114">
        <v>620</v>
      </c>
      <c r="E17" s="114">
        <v>2840</v>
      </c>
    </row>
    <row r="18" spans="1:5" x14ac:dyDescent="0.5">
      <c r="A18" s="117" t="s">
        <v>66</v>
      </c>
      <c r="B18" s="114">
        <v>18571</v>
      </c>
      <c r="C18" s="114">
        <v>4946</v>
      </c>
      <c r="D18" s="114">
        <v>621</v>
      </c>
      <c r="E18" s="114">
        <v>2773</v>
      </c>
    </row>
    <row r="19" spans="1:5" x14ac:dyDescent="0.5">
      <c r="A19" s="117" t="s">
        <v>68</v>
      </c>
      <c r="B19" s="114">
        <v>17098</v>
      </c>
      <c r="C19" s="114">
        <v>5389</v>
      </c>
      <c r="D19" s="114">
        <v>561</v>
      </c>
      <c r="E19" s="114">
        <v>3479</v>
      </c>
    </row>
    <row r="20" spans="1:5" x14ac:dyDescent="0.5">
      <c r="A20" s="117" t="s">
        <v>70</v>
      </c>
      <c r="B20" s="114">
        <v>18756</v>
      </c>
      <c r="C20" s="114">
        <v>5632</v>
      </c>
      <c r="D20" s="114">
        <v>653</v>
      </c>
      <c r="E20" s="114">
        <v>2854</v>
      </c>
    </row>
    <row r="21" spans="1:5" x14ac:dyDescent="0.5">
      <c r="A21" s="117" t="s">
        <v>72</v>
      </c>
      <c r="B21" s="114">
        <v>4616</v>
      </c>
      <c r="C21" s="114">
        <v>1500</v>
      </c>
      <c r="D21" s="114">
        <v>151</v>
      </c>
      <c r="E21" s="114">
        <v>766</v>
      </c>
    </row>
    <row r="22" spans="1:5" x14ac:dyDescent="0.5">
      <c r="A22" s="117" t="s">
        <v>76</v>
      </c>
      <c r="B22" s="114">
        <v>17592</v>
      </c>
      <c r="C22" s="114">
        <v>5293</v>
      </c>
      <c r="D22" s="114">
        <v>540</v>
      </c>
      <c r="E22" s="114">
        <v>3052</v>
      </c>
    </row>
    <row r="23" spans="1:5" x14ac:dyDescent="0.5">
      <c r="A23" s="117" t="s">
        <v>74</v>
      </c>
      <c r="B23" s="114">
        <v>18364</v>
      </c>
      <c r="C23" s="114">
        <v>5376</v>
      </c>
      <c r="D23" s="114">
        <v>414</v>
      </c>
      <c r="E23" s="114">
        <v>4029</v>
      </c>
    </row>
    <row r="24" spans="1:5" x14ac:dyDescent="0.5">
      <c r="A24" s="117" t="s">
        <v>78</v>
      </c>
      <c r="B24" s="114">
        <v>17480</v>
      </c>
      <c r="C24" s="114">
        <v>5546</v>
      </c>
      <c r="D24" s="114">
        <v>465</v>
      </c>
      <c r="E24" s="114">
        <v>3295</v>
      </c>
    </row>
    <row r="25" spans="1:5" x14ac:dyDescent="0.5">
      <c r="A25" s="117" t="s">
        <v>80</v>
      </c>
      <c r="B25" s="114">
        <v>17592</v>
      </c>
      <c r="C25" s="114">
        <v>5413</v>
      </c>
      <c r="D25" s="114">
        <v>645</v>
      </c>
      <c r="E25" s="114">
        <v>3281</v>
      </c>
    </row>
    <row r="26" spans="1:5" x14ac:dyDescent="0.5">
      <c r="A26" s="117" t="s">
        <v>82</v>
      </c>
      <c r="B26" s="114">
        <v>17835</v>
      </c>
      <c r="C26" s="114">
        <v>5334</v>
      </c>
      <c r="D26" s="114">
        <v>598</v>
      </c>
      <c r="E26" s="114">
        <v>2803</v>
      </c>
    </row>
    <row r="27" spans="1:5" x14ac:dyDescent="0.5">
      <c r="A27" s="117" t="s">
        <v>84</v>
      </c>
      <c r="B27" s="114">
        <v>17434</v>
      </c>
      <c r="C27" s="114">
        <v>4993</v>
      </c>
      <c r="D27" s="114">
        <v>610</v>
      </c>
      <c r="E27" s="114">
        <v>2753</v>
      </c>
    </row>
    <row r="28" spans="1:5" x14ac:dyDescent="0.5">
      <c r="A28" s="117" t="s">
        <v>88</v>
      </c>
      <c r="B28" s="114">
        <v>18281</v>
      </c>
      <c r="C28" s="114">
        <v>5455</v>
      </c>
      <c r="D28" s="114">
        <v>715</v>
      </c>
      <c r="E28" s="114">
        <v>2812</v>
      </c>
    </row>
    <row r="29" spans="1:5" x14ac:dyDescent="0.5">
      <c r="A29" s="117" t="s">
        <v>86</v>
      </c>
      <c r="B29" s="114">
        <v>18706</v>
      </c>
      <c r="C29" s="114">
        <v>5132</v>
      </c>
      <c r="D29" s="114">
        <v>487</v>
      </c>
      <c r="E29" s="114">
        <v>3013</v>
      </c>
    </row>
    <row r="30" spans="1:5" x14ac:dyDescent="0.5">
      <c r="A30" s="117" t="s">
        <v>90</v>
      </c>
      <c r="B30" s="114">
        <v>18682</v>
      </c>
      <c r="C30" s="114">
        <v>5513</v>
      </c>
      <c r="D30" s="114">
        <v>486</v>
      </c>
      <c r="E30" s="114">
        <v>3312</v>
      </c>
    </row>
    <row r="31" spans="1:5" x14ac:dyDescent="0.5">
      <c r="A31" s="117" t="s">
        <v>92</v>
      </c>
      <c r="B31" s="114">
        <v>17576</v>
      </c>
      <c r="C31" s="114">
        <v>5308</v>
      </c>
      <c r="D31" s="114">
        <v>634</v>
      </c>
      <c r="E31" s="114">
        <v>3161</v>
      </c>
    </row>
    <row r="32" spans="1:5" x14ac:dyDescent="0.5">
      <c r="A32" s="117" t="s">
        <v>94</v>
      </c>
      <c r="B32" s="114">
        <v>18302</v>
      </c>
      <c r="C32" s="114">
        <v>5655</v>
      </c>
      <c r="D32" s="114">
        <v>545</v>
      </c>
      <c r="E32" s="114">
        <v>3832</v>
      </c>
    </row>
    <row r="33" spans="1:5" x14ac:dyDescent="0.5">
      <c r="A33" s="117" t="s">
        <v>96</v>
      </c>
      <c r="B33" s="114">
        <v>17465</v>
      </c>
      <c r="C33" s="114">
        <v>5787</v>
      </c>
      <c r="D33" s="114">
        <v>478</v>
      </c>
      <c r="E33" s="114">
        <v>3691</v>
      </c>
    </row>
    <row r="34" spans="1:5" x14ac:dyDescent="0.5">
      <c r="A34" s="117" t="s">
        <v>100</v>
      </c>
      <c r="B34" s="114">
        <v>12972</v>
      </c>
      <c r="C34" s="114">
        <v>3942</v>
      </c>
      <c r="D34" s="114">
        <v>379</v>
      </c>
      <c r="E34" s="114">
        <v>2273</v>
      </c>
    </row>
    <row r="35" spans="1:5" x14ac:dyDescent="0.5">
      <c r="A35" s="140" t="s">
        <v>110</v>
      </c>
      <c r="B35" s="141">
        <v>542618</v>
      </c>
      <c r="C35" s="141">
        <v>163769</v>
      </c>
      <c r="D35" s="141">
        <v>17012</v>
      </c>
      <c r="E35" s="141">
        <v>97303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9002-B7BE-4429-A8C5-69DFE0FB6643}">
  <sheetPr codeName="Sheet10"/>
  <dimension ref="A2:Y32"/>
  <sheetViews>
    <sheetView workbookViewId="0">
      <selection activeCell="B16" sqref="B16"/>
    </sheetView>
  </sheetViews>
  <sheetFormatPr defaultRowHeight="15.75" x14ac:dyDescent="0.5"/>
  <cols>
    <col min="2" max="2" width="10.75" customWidth="1"/>
    <col min="3" max="3" width="11.25" customWidth="1"/>
    <col min="4" max="4" width="10.125" customWidth="1"/>
    <col min="5" max="5" width="10.75" customWidth="1"/>
    <col min="6" max="6" width="11" customWidth="1"/>
    <col min="7" max="7" width="10.25" customWidth="1"/>
    <col min="8" max="8" width="11.625" customWidth="1"/>
    <col min="11" max="11" width="10" bestFit="1" customWidth="1"/>
  </cols>
  <sheetData>
    <row r="2" spans="1:25" ht="17.649999999999999" x14ac:dyDescent="0.5">
      <c r="B2" s="161" t="s">
        <v>190</v>
      </c>
      <c r="C2" s="162"/>
      <c r="D2" s="162"/>
      <c r="E2" s="162"/>
      <c r="F2" s="162"/>
      <c r="G2" s="162"/>
      <c r="H2" s="162"/>
      <c r="I2" s="162"/>
    </row>
    <row r="3" spans="1:25" ht="5.45" customHeight="1" x14ac:dyDescent="0.5">
      <c r="B3" s="61"/>
      <c r="C3" s="61"/>
      <c r="D3" s="61"/>
      <c r="E3" s="61"/>
      <c r="F3" s="167" t="s">
        <v>189</v>
      </c>
      <c r="G3" s="165" t="s">
        <v>224</v>
      </c>
      <c r="H3" s="165"/>
      <c r="I3" s="165"/>
    </row>
    <row r="4" spans="1:25" x14ac:dyDescent="0.5">
      <c r="B4" s="73" t="s">
        <v>191</v>
      </c>
      <c r="C4" s="72" t="str">
        <f>B6&amp;" "&amp;C6</f>
        <v>2009 Arizona Diamondbacks</v>
      </c>
      <c r="D4" s="61"/>
      <c r="E4" s="56"/>
      <c r="F4" s="167"/>
      <c r="G4" s="165"/>
      <c r="H4" s="165"/>
      <c r="I4" s="165"/>
    </row>
    <row r="5" spans="1:25" ht="15.75" hidden="1" customHeight="1" x14ac:dyDescent="0.5">
      <c r="B5" s="67" t="s">
        <v>106</v>
      </c>
      <c r="C5" s="67" t="s">
        <v>175</v>
      </c>
      <c r="D5" s="67"/>
      <c r="E5" s="6"/>
      <c r="F5" s="167"/>
      <c r="G5" s="165"/>
      <c r="H5" s="165"/>
      <c r="I5" s="165"/>
    </row>
    <row r="6" spans="1:25" ht="15.75" hidden="1" customHeight="1" x14ac:dyDescent="0.5">
      <c r="B6" s="91" t="s">
        <v>231</v>
      </c>
      <c r="C6" s="92" t="s">
        <v>39</v>
      </c>
      <c r="F6" s="167"/>
      <c r="G6" s="165"/>
      <c r="H6" s="165"/>
      <c r="I6" s="165"/>
      <c r="Y6">
        <v>5</v>
      </c>
    </row>
    <row r="7" spans="1:25" ht="9.4" customHeight="1" x14ac:dyDescent="0.5">
      <c r="F7" s="167"/>
      <c r="G7" s="165"/>
      <c r="H7" s="165"/>
      <c r="I7" s="165"/>
    </row>
    <row r="8" spans="1:25" x14ac:dyDescent="0.5">
      <c r="B8" s="94" t="s">
        <v>192</v>
      </c>
      <c r="C8" s="95" t="str">
        <f>B10&amp;" "&amp;C10</f>
        <v>2008 Florida Marlins</v>
      </c>
      <c r="D8" s="62"/>
      <c r="F8" s="167"/>
      <c r="G8" s="165"/>
      <c r="H8" s="165"/>
      <c r="I8" s="165"/>
    </row>
    <row r="9" spans="1:25" ht="15.75" hidden="1" customHeight="1" x14ac:dyDescent="0.5">
      <c r="B9" s="70" t="s">
        <v>106</v>
      </c>
      <c r="C9" s="61" t="s">
        <v>175</v>
      </c>
      <c r="D9" s="68"/>
      <c r="E9" s="68"/>
      <c r="F9" s="167"/>
      <c r="G9" s="165"/>
      <c r="H9" s="165"/>
      <c r="I9" s="165"/>
    </row>
    <row r="10" spans="1:25" ht="15.75" hidden="1" customHeight="1" x14ac:dyDescent="0.5">
      <c r="B10" s="93" t="s">
        <v>225</v>
      </c>
      <c r="C10" s="67" t="s">
        <v>60</v>
      </c>
      <c r="F10" s="167"/>
      <c r="G10" s="165"/>
      <c r="H10" s="165"/>
      <c r="I10" s="165"/>
    </row>
    <row r="11" spans="1:25" ht="9" customHeight="1" x14ac:dyDescent="0.5">
      <c r="B11" s="69"/>
      <c r="C11" s="68"/>
      <c r="D11" s="68"/>
      <c r="E11" s="68"/>
      <c r="F11" s="168"/>
      <c r="G11" s="166"/>
      <c r="H11" s="166"/>
      <c r="I11" s="166"/>
    </row>
    <row r="12" spans="1:25" x14ac:dyDescent="0.5">
      <c r="B12" s="170" t="s">
        <v>202</v>
      </c>
      <c r="C12" s="170"/>
      <c r="D12" s="170"/>
      <c r="E12" s="170"/>
      <c r="F12" s="170"/>
      <c r="G12" s="170"/>
      <c r="H12" s="170"/>
      <c r="I12" s="170"/>
    </row>
    <row r="13" spans="1:25" x14ac:dyDescent="0.5">
      <c r="B13" s="76" t="s">
        <v>203</v>
      </c>
      <c r="C13" s="74" t="s">
        <v>217</v>
      </c>
      <c r="D13" s="74" t="s">
        <v>218</v>
      </c>
      <c r="E13" s="74" t="s">
        <v>219</v>
      </c>
      <c r="F13" s="74" t="s">
        <v>220</v>
      </c>
      <c r="G13" s="74" t="s">
        <v>221</v>
      </c>
      <c r="H13" s="74" t="s">
        <v>222</v>
      </c>
      <c r="I13" s="74" t="s">
        <v>223</v>
      </c>
    </row>
    <row r="14" spans="1:25" x14ac:dyDescent="0.5">
      <c r="B14" s="78" t="e">
        <f>M29/M30</f>
        <v>#VALUE!</v>
      </c>
      <c r="C14" s="87">
        <f>VLOOKUP($C$4,Calculations!$D$2:$K$571,A15+1)*VLOOKUP($C$4,Calculations!$L$2:$S$571,A15+1)</f>
        <v>2.4685416314524762E-2</v>
      </c>
      <c r="D14" s="87">
        <f>VLOOKUP($C$4,Calculations!$D$2:$K$571,A16+1)*VLOOKUP($C$4,Calculations!$L$2:$S$571,A16+1)</f>
        <v>2.5087556993226407E-3</v>
      </c>
      <c r="E14" s="87">
        <f>VLOOKUP($C$4,Calculations!$D$2:$K$571,A17+1)*VLOOKUP($C$4,Calculations!$L$2:$S$571,A17+1)</f>
        <v>5.4192219803643527E-5</v>
      </c>
      <c r="F14" s="87">
        <f>VLOOKUP($C$4,Calculations!$D$2:$K$571,A18+1)*VLOOKUP($C$4,Calculations!$L$2:$S$571,A18+1)</f>
        <v>8.3335591342491809E-4</v>
      </c>
      <c r="G14" s="87">
        <f>VLOOKUP($C$4,Calculations!$D$2:$K$571,A19+1)*VLOOKUP($C$4,Calculations!$L$2:$S$571,A19+1)</f>
        <v>8.5954881966334579E-3</v>
      </c>
      <c r="H14" s="87">
        <f>VLOOKUP($C$4,Calculations!$D$2:$K$571,A20+1)*VLOOKUP($C$4,Calculations!$L$2:$S$571,A20+1)</f>
        <v>5.622801218780156E-5</v>
      </c>
      <c r="I14" s="97">
        <f>VLOOKUP($C$4,Calculations!$D$2:$K$571,A21+1)*VLOOKUP($C$4,Calculations!$L$2:$S$571,A21+1)</f>
        <v>0.42932943149350744</v>
      </c>
    </row>
    <row r="15" spans="1:25" x14ac:dyDescent="0.5">
      <c r="A15">
        <v>1</v>
      </c>
      <c r="B15" s="74">
        <f>VLOOKUP(B6,MLBavg!M2:T20,2)</f>
        <v>0.17362781807547828</v>
      </c>
      <c r="C15" s="74"/>
      <c r="D15" s="74"/>
      <c r="E15" s="74"/>
      <c r="F15" s="74"/>
      <c r="G15" s="74"/>
      <c r="H15" s="74"/>
      <c r="I15" s="88"/>
    </row>
    <row r="16" spans="1:25" x14ac:dyDescent="0.5">
      <c r="A16">
        <v>2</v>
      </c>
      <c r="B16" s="74" t="s">
        <v>135</v>
      </c>
      <c r="C16" s="74"/>
      <c r="D16" s="74"/>
      <c r="E16" s="74"/>
      <c r="F16" s="74"/>
      <c r="G16" s="74"/>
      <c r="H16" s="74"/>
      <c r="I16" s="88"/>
    </row>
    <row r="17" spans="1:18" x14ac:dyDescent="0.5">
      <c r="A17">
        <v>3</v>
      </c>
      <c r="B17" s="74" t="s">
        <v>136</v>
      </c>
      <c r="C17" s="74"/>
      <c r="D17" s="74"/>
      <c r="E17" s="74"/>
      <c r="F17" s="74"/>
      <c r="G17" s="74"/>
      <c r="H17" s="74"/>
      <c r="I17" s="88"/>
    </row>
    <row r="18" spans="1:18" x14ac:dyDescent="0.5">
      <c r="A18">
        <v>4</v>
      </c>
      <c r="B18" s="74" t="s">
        <v>137</v>
      </c>
      <c r="C18" s="74"/>
      <c r="D18" s="74"/>
      <c r="E18" s="74"/>
      <c r="F18" s="74"/>
      <c r="G18" s="74"/>
      <c r="H18" s="74"/>
      <c r="I18" s="89"/>
      <c r="J18" s="6"/>
    </row>
    <row r="19" spans="1:18" x14ac:dyDescent="0.5">
      <c r="A19">
        <v>5</v>
      </c>
      <c r="B19" s="74" t="s">
        <v>138</v>
      </c>
      <c r="C19" s="74"/>
      <c r="D19" s="74"/>
      <c r="E19" s="74"/>
      <c r="F19" s="74"/>
      <c r="G19" s="74"/>
      <c r="H19" s="74"/>
      <c r="I19" s="90"/>
      <c r="J19" s="6"/>
      <c r="K19" s="169" t="s">
        <v>201</v>
      </c>
      <c r="L19" s="169"/>
      <c r="M19" s="169"/>
      <c r="N19" s="169"/>
      <c r="O19" s="169"/>
      <c r="P19" s="169"/>
      <c r="Q19" s="169"/>
      <c r="R19" s="169"/>
    </row>
    <row r="20" spans="1:18" x14ac:dyDescent="0.5">
      <c r="A20">
        <v>6</v>
      </c>
      <c r="B20" s="74" t="s">
        <v>139</v>
      </c>
      <c r="C20" s="74"/>
      <c r="D20" s="74"/>
      <c r="E20" s="74"/>
      <c r="F20" s="74"/>
      <c r="G20" s="74"/>
      <c r="H20" s="74"/>
      <c r="I20" s="90"/>
      <c r="K20" s="63"/>
      <c r="L20" s="74" t="s">
        <v>182</v>
      </c>
      <c r="M20" s="74" t="s">
        <v>183</v>
      </c>
      <c r="N20" s="74" t="s">
        <v>184</v>
      </c>
      <c r="O20" s="75" t="s">
        <v>185</v>
      </c>
      <c r="P20" s="75" t="s">
        <v>186</v>
      </c>
      <c r="Q20" s="75" t="s">
        <v>187</v>
      </c>
      <c r="R20" s="75" t="s">
        <v>188</v>
      </c>
    </row>
    <row r="21" spans="1:18" x14ac:dyDescent="0.5">
      <c r="A21">
        <v>7</v>
      </c>
      <c r="B21" s="74" t="s">
        <v>140</v>
      </c>
      <c r="C21" s="74"/>
      <c r="D21" s="74"/>
      <c r="E21" s="74"/>
      <c r="F21" s="74"/>
      <c r="G21" s="74"/>
      <c r="H21" s="74"/>
      <c r="I21" s="90"/>
      <c r="K21" s="63"/>
      <c r="L21" s="74"/>
      <c r="M21" s="74"/>
      <c r="N21" s="74"/>
      <c r="O21" s="75"/>
      <c r="P21" s="75"/>
      <c r="Q21" s="75"/>
      <c r="R21" s="75"/>
    </row>
    <row r="22" spans="1:18" x14ac:dyDescent="0.5">
      <c r="K22" s="76" t="s">
        <v>191</v>
      </c>
      <c r="L22" s="77"/>
      <c r="M22" s="77"/>
      <c r="N22" s="77"/>
      <c r="O22" s="77"/>
      <c r="P22" s="77"/>
      <c r="Q22" s="77"/>
      <c r="R22" s="77"/>
    </row>
    <row r="23" spans="1:18" x14ac:dyDescent="0.5">
      <c r="K23" s="76" t="s">
        <v>192</v>
      </c>
      <c r="L23" s="77"/>
      <c r="M23" s="77"/>
      <c r="N23" s="77"/>
      <c r="O23" s="77"/>
      <c r="P23" s="77"/>
      <c r="Q23" s="77"/>
      <c r="R23" s="77"/>
    </row>
    <row r="24" spans="1:18" x14ac:dyDescent="0.5">
      <c r="K24" s="76" t="s">
        <v>169</v>
      </c>
      <c r="L24" s="77"/>
      <c r="M24" s="77"/>
      <c r="N24" s="77"/>
      <c r="O24" s="77"/>
      <c r="P24" s="77"/>
      <c r="Q24" s="77"/>
      <c r="R24" s="77"/>
    </row>
    <row r="25" spans="1:18" x14ac:dyDescent="0.5">
      <c r="B25" s="69"/>
      <c r="C25" s="68"/>
      <c r="D25" s="68"/>
      <c r="E25" s="68"/>
      <c r="F25" s="68"/>
      <c r="G25" s="68"/>
      <c r="H25" s="68"/>
      <c r="I25" s="68"/>
    </row>
    <row r="26" spans="1:18" x14ac:dyDescent="0.5">
      <c r="C26" s="34"/>
    </row>
    <row r="27" spans="1:18" ht="16.149999999999999" thickBot="1" x14ac:dyDescent="0.55000000000000004">
      <c r="C27" s="34"/>
    </row>
    <row r="28" spans="1:18" x14ac:dyDescent="0.5">
      <c r="C28" s="34"/>
      <c r="L28" s="163" t="s">
        <v>180</v>
      </c>
      <c r="M28" s="164"/>
    </row>
    <row r="29" spans="1:18" x14ac:dyDescent="0.5">
      <c r="C29" s="34"/>
      <c r="H29" s="96"/>
      <c r="L29" s="64" t="s">
        <v>179</v>
      </c>
      <c r="M29" s="71" t="s">
        <v>197</v>
      </c>
    </row>
    <row r="30" spans="1:18" ht="16.149999999999999" thickBot="1" x14ac:dyDescent="0.55000000000000004">
      <c r="C30" s="34"/>
      <c r="L30" s="65" t="s">
        <v>181</v>
      </c>
      <c r="M30" s="66" t="s">
        <v>198</v>
      </c>
    </row>
    <row r="31" spans="1:18" x14ac:dyDescent="0.5">
      <c r="C31" s="34"/>
    </row>
    <row r="32" spans="1:18" x14ac:dyDescent="0.5">
      <c r="C32" s="34"/>
    </row>
  </sheetData>
  <mergeCells count="6">
    <mergeCell ref="B2:I2"/>
    <mergeCell ref="L28:M28"/>
    <mergeCell ref="G3:I11"/>
    <mergeCell ref="F3:F11"/>
    <mergeCell ref="K19:R19"/>
    <mergeCell ref="B12:I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boBox1">
          <controlPr defaultSize="0" autoLine="0" listFillRange="Event" r:id="rId4">
            <anchor moveWithCells="1">
              <from>
                <xdr:col>14</xdr:col>
                <xdr:colOff>104775</xdr:colOff>
                <xdr:row>3</xdr:row>
                <xdr:rowOff>0</xdr:rowOff>
              </from>
              <to>
                <xdr:col>18</xdr:col>
                <xdr:colOff>590550</xdr:colOff>
                <xdr:row>6</xdr:row>
                <xdr:rowOff>38100</xdr:rowOff>
              </to>
            </anchor>
          </controlPr>
        </control>
      </mc:Choice>
      <mc:Fallback>
        <control shapeId="12289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2DA24-AAC2-3D45-AEA0-1CB818941BC2}">
  <sheetPr codeName="Sheet4">
    <pageSetUpPr fitToPage="1"/>
  </sheetPr>
  <dimension ref="B1:AP205"/>
  <sheetViews>
    <sheetView tabSelected="1" zoomScale="90" zoomScaleNormal="90" workbookViewId="0">
      <selection activeCell="AC7" sqref="AC7"/>
    </sheetView>
  </sheetViews>
  <sheetFormatPr defaultColWidth="11" defaultRowHeight="15.75" x14ac:dyDescent="0.5"/>
  <cols>
    <col min="1" max="1" width="3.875" customWidth="1"/>
    <col min="2" max="2" width="18.5" bestFit="1" customWidth="1"/>
    <col min="3" max="22" width="2.625" bestFit="1" customWidth="1"/>
    <col min="23" max="23" width="7.25" customWidth="1"/>
    <col min="24" max="28" width="11" hidden="1" customWidth="1"/>
    <col min="29" max="29" width="22.375" customWidth="1"/>
  </cols>
  <sheetData>
    <row r="1" spans="2:42" ht="16.149999999999999" thickBot="1" x14ac:dyDescent="0.55000000000000004">
      <c r="X1" t="s">
        <v>834</v>
      </c>
    </row>
    <row r="2" spans="2:42" ht="18.399999999999999" thickBot="1" x14ac:dyDescent="0.6">
      <c r="B2" s="172" t="s">
        <v>170</v>
      </c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4"/>
    </row>
    <row r="3" spans="2:42" x14ac:dyDescent="0.5">
      <c r="B3" s="104" t="s">
        <v>177</v>
      </c>
      <c r="C3" s="104" t="s">
        <v>828</v>
      </c>
      <c r="D3" s="104">
        <v>11</v>
      </c>
    </row>
    <row r="4" spans="2:42" x14ac:dyDescent="0.5">
      <c r="B4" s="55"/>
      <c r="C4" s="105"/>
      <c r="D4" s="105"/>
      <c r="E4" s="46"/>
      <c r="F4" s="46"/>
      <c r="G4" s="46"/>
      <c r="I4" s="46"/>
      <c r="J4" s="46"/>
      <c r="K4" s="47"/>
      <c r="L4" s="33"/>
    </row>
    <row r="5" spans="2:42" x14ac:dyDescent="0.5">
      <c r="B5" s="45" t="s">
        <v>106</v>
      </c>
      <c r="C5" s="2"/>
      <c r="D5" s="2"/>
      <c r="E5" s="46"/>
      <c r="F5" s="46"/>
      <c r="G5" s="46"/>
      <c r="I5" s="46"/>
      <c r="J5" s="46"/>
      <c r="K5" s="47"/>
      <c r="L5" s="33"/>
      <c r="N5" s="33" t="s">
        <v>106</v>
      </c>
    </row>
    <row r="6" spans="2:42" x14ac:dyDescent="0.5">
      <c r="B6" s="45" t="s">
        <v>172</v>
      </c>
      <c r="C6" s="2"/>
      <c r="D6" s="2"/>
      <c r="E6" s="48"/>
      <c r="F6" s="48"/>
      <c r="G6" s="48"/>
      <c r="H6" s="48"/>
      <c r="I6" s="48"/>
      <c r="J6" s="48"/>
      <c r="K6" s="47"/>
      <c r="L6" s="33"/>
      <c r="N6" s="33" t="s">
        <v>174</v>
      </c>
    </row>
    <row r="7" spans="2:42" x14ac:dyDescent="0.5">
      <c r="B7" s="33"/>
      <c r="I7" s="54"/>
      <c r="J7" s="54" t="s">
        <v>173</v>
      </c>
      <c r="L7" s="33"/>
      <c r="Z7">
        <v>2008</v>
      </c>
    </row>
    <row r="8" spans="2:42" x14ac:dyDescent="0.5">
      <c r="Z8" t="s">
        <v>60</v>
      </c>
    </row>
    <row r="9" spans="2:42" x14ac:dyDescent="0.5">
      <c r="W9" s="19"/>
      <c r="Z9">
        <v>2009</v>
      </c>
    </row>
    <row r="10" spans="2:42" x14ac:dyDescent="0.5">
      <c r="Z10" t="s">
        <v>39</v>
      </c>
    </row>
    <row r="11" spans="2:42" ht="16.149999999999999" thickBot="1" x14ac:dyDescent="0.55000000000000004"/>
    <row r="12" spans="2:42" ht="18.75" thickTop="1" thickBot="1" x14ac:dyDescent="0.6">
      <c r="B12" s="171" t="s">
        <v>171</v>
      </c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t="s">
        <v>832</v>
      </c>
      <c r="Y12" t="s">
        <v>833</v>
      </c>
      <c r="Z12" t="s">
        <v>240</v>
      </c>
    </row>
    <row r="13" spans="2:42" ht="18.75" thickTop="1" thickBot="1" x14ac:dyDescent="0.6">
      <c r="B13" s="53"/>
      <c r="C13" s="52">
        <v>1</v>
      </c>
      <c r="D13" s="52">
        <v>2</v>
      </c>
      <c r="E13" s="52">
        <v>3</v>
      </c>
      <c r="F13" s="52">
        <v>4</v>
      </c>
      <c r="G13" s="52">
        <v>5</v>
      </c>
      <c r="H13" s="52">
        <v>6</v>
      </c>
      <c r="I13" s="52">
        <v>7</v>
      </c>
      <c r="J13" s="52">
        <v>8</v>
      </c>
      <c r="K13" s="52">
        <v>9</v>
      </c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106"/>
      <c r="W13" s="107" t="s">
        <v>178</v>
      </c>
      <c r="X13">
        <v>1</v>
      </c>
      <c r="Y13" t="s">
        <v>122</v>
      </c>
      <c r="Z13">
        <v>0</v>
      </c>
    </row>
    <row r="14" spans="2:42" ht="16.5" thickTop="1" thickBot="1" x14ac:dyDescent="0.55000000000000004">
      <c r="B14" s="109" t="str">
        <f>IF(Z10&gt;0,Z10,"Visitor")</f>
        <v>Arizona Diamondbacks</v>
      </c>
      <c r="C14" s="110">
        <v>0</v>
      </c>
      <c r="D14" s="110">
        <v>3</v>
      </c>
      <c r="E14" s="110">
        <v>0</v>
      </c>
      <c r="F14" s="110">
        <v>3</v>
      </c>
      <c r="G14" s="110">
        <v>0</v>
      </c>
      <c r="H14" s="110">
        <v>0</v>
      </c>
      <c r="I14" s="110">
        <v>0</v>
      </c>
      <c r="J14" s="110">
        <v>0</v>
      </c>
      <c r="K14" s="110">
        <v>1</v>
      </c>
      <c r="L14" s="111">
        <v>1</v>
      </c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08">
        <f>SUM(C14:V14)</f>
        <v>8</v>
      </c>
      <c r="X14">
        <v>2</v>
      </c>
      <c r="Y14" t="s">
        <v>188</v>
      </c>
      <c r="Z14">
        <v>0</v>
      </c>
      <c r="AP14">
        <v>0</v>
      </c>
    </row>
    <row r="15" spans="2:42" ht="16.5" thickTop="1" thickBot="1" x14ac:dyDescent="0.55000000000000004">
      <c r="B15" s="112" t="str">
        <f>IF(Z8&gt;0,Z8,"Home")</f>
        <v>Florida Marlins</v>
      </c>
      <c r="C15" s="110">
        <v>2</v>
      </c>
      <c r="D15" s="51">
        <v>1</v>
      </c>
      <c r="E15" s="51">
        <v>0</v>
      </c>
      <c r="F15" s="51">
        <v>2</v>
      </c>
      <c r="G15" s="51">
        <v>0</v>
      </c>
      <c r="H15" s="51">
        <v>2</v>
      </c>
      <c r="I15" s="51">
        <v>0</v>
      </c>
      <c r="J15" s="51">
        <v>0</v>
      </c>
      <c r="K15" s="51">
        <v>0</v>
      </c>
      <c r="L15" s="51">
        <v>0</v>
      </c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108">
        <f>SUM(C15:V15)</f>
        <v>7</v>
      </c>
      <c r="X15">
        <v>3</v>
      </c>
      <c r="Y15" t="s">
        <v>188</v>
      </c>
      <c r="Z15">
        <v>0</v>
      </c>
    </row>
    <row r="16" spans="2:42" ht="16.5" thickTop="1" thickBot="1" x14ac:dyDescent="0.55000000000000004">
      <c r="B16" s="49"/>
      <c r="C16" s="50"/>
      <c r="D16" s="50"/>
      <c r="E16" s="50"/>
      <c r="F16" s="50"/>
      <c r="G16" s="50"/>
      <c r="H16" s="50"/>
      <c r="I16" s="50"/>
      <c r="J16" s="50"/>
      <c r="K16" s="50"/>
      <c r="X16">
        <v>4</v>
      </c>
      <c r="Y16" t="s">
        <v>188</v>
      </c>
      <c r="Z16">
        <v>0</v>
      </c>
    </row>
    <row r="17" spans="2:26" ht="18.399999999999999" thickBot="1" x14ac:dyDescent="0.6">
      <c r="B17" s="176" t="s">
        <v>829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7"/>
      <c r="M17" s="178"/>
      <c r="N17" s="150"/>
      <c r="O17" s="150"/>
      <c r="P17" s="150"/>
      <c r="Q17" s="150"/>
      <c r="R17" s="150"/>
      <c r="S17" s="150"/>
      <c r="T17" s="150"/>
      <c r="U17" s="150"/>
      <c r="V17" s="150"/>
      <c r="W17" s="150"/>
      <c r="X17">
        <v>1</v>
      </c>
      <c r="Y17" t="s">
        <v>188</v>
      </c>
      <c r="Z17">
        <v>0</v>
      </c>
    </row>
    <row r="18" spans="2:26" x14ac:dyDescent="0.5">
      <c r="B18" s="151" t="s">
        <v>835</v>
      </c>
      <c r="C18" s="175" t="s">
        <v>832</v>
      </c>
      <c r="D18" s="175"/>
      <c r="E18" s="175"/>
      <c r="F18" s="152"/>
      <c r="G18" s="175" t="s">
        <v>833</v>
      </c>
      <c r="H18" s="175"/>
      <c r="I18" s="175"/>
      <c r="J18" s="152"/>
      <c r="K18" s="175" t="s">
        <v>240</v>
      </c>
      <c r="L18" s="175"/>
      <c r="M18" s="175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>
        <v>2</v>
      </c>
      <c r="Y18" t="s">
        <v>122</v>
      </c>
      <c r="Z18">
        <v>0</v>
      </c>
    </row>
    <row r="19" spans="2:26" x14ac:dyDescent="0.5">
      <c r="B19" s="148" t="str">
        <f>IF(D19=1,"START","")</f>
        <v>START</v>
      </c>
      <c r="C19" s="50"/>
      <c r="D19" s="50">
        <f>IF(Scoreboard!X13&gt;0,Scoreboard!X13,"")</f>
        <v>1</v>
      </c>
      <c r="E19" s="50"/>
      <c r="F19" s="50"/>
      <c r="H19" s="50" t="str">
        <f>IF(Scoreboard!Y13="","",Scoreboard!Y13)</f>
        <v>1B</v>
      </c>
      <c r="I19" s="50"/>
      <c r="J19" s="50"/>
      <c r="L19" s="115">
        <f>IF(Scoreboard!Z13="","",Scoreboard!Z13)</f>
        <v>0</v>
      </c>
      <c r="X19">
        <v>3</v>
      </c>
      <c r="Y19" t="s">
        <v>188</v>
      </c>
      <c r="Z19">
        <v>0</v>
      </c>
    </row>
    <row r="20" spans="2:26" x14ac:dyDescent="0.5">
      <c r="B20" s="49" t="str">
        <f>IF(D20=1,"CHANGE","")</f>
        <v/>
      </c>
      <c r="C20" s="50"/>
      <c r="D20" s="50">
        <f>IF(Scoreboard!X14&gt;0,Scoreboard!X14,"")</f>
        <v>2</v>
      </c>
      <c r="E20" s="50"/>
      <c r="F20" s="50"/>
      <c r="H20" s="50" t="str">
        <f>IF(Scoreboard!Y14="","",Scoreboard!Y14)</f>
        <v>Out</v>
      </c>
      <c r="I20" s="50"/>
      <c r="J20" s="50"/>
      <c r="K20" s="50"/>
      <c r="L20" s="115">
        <f>IF(Scoreboard!Z14="","",Scoreboard!Z14)</f>
        <v>0</v>
      </c>
      <c r="X20">
        <v>4</v>
      </c>
      <c r="Y20" t="s">
        <v>122</v>
      </c>
      <c r="Z20">
        <v>0</v>
      </c>
    </row>
    <row r="21" spans="2:26" x14ac:dyDescent="0.5">
      <c r="B21" s="49" t="str">
        <f t="shared" ref="B21:B84" si="0">IF(D21=1,"CHANGE","")</f>
        <v/>
      </c>
      <c r="C21" s="50"/>
      <c r="D21" s="50">
        <f>IF(Scoreboard!X15&gt;0,Scoreboard!X15,"")</f>
        <v>3</v>
      </c>
      <c r="E21" s="50"/>
      <c r="F21" s="50"/>
      <c r="H21" s="50" t="str">
        <f>IF(Scoreboard!Y15="","",Scoreboard!Y15)</f>
        <v>Out</v>
      </c>
      <c r="I21" s="50"/>
      <c r="J21" s="50"/>
      <c r="K21" s="50"/>
      <c r="L21" s="115">
        <f>IF(Scoreboard!Z15="","",Scoreboard!Z15)</f>
        <v>0</v>
      </c>
      <c r="X21">
        <v>5</v>
      </c>
      <c r="Y21" t="s">
        <v>122</v>
      </c>
      <c r="Z21">
        <v>1</v>
      </c>
    </row>
    <row r="22" spans="2:26" x14ac:dyDescent="0.5">
      <c r="B22" s="49" t="str">
        <f t="shared" si="0"/>
        <v/>
      </c>
      <c r="C22" s="50"/>
      <c r="D22" s="50">
        <f>IF(Scoreboard!X16&gt;0,Scoreboard!X16,"")</f>
        <v>4</v>
      </c>
      <c r="E22" s="50"/>
      <c r="F22" s="50"/>
      <c r="H22" s="50" t="str">
        <f>IF(Scoreboard!Y16="","",Scoreboard!Y16)</f>
        <v>Out</v>
      </c>
      <c r="I22" s="50"/>
      <c r="J22" s="50"/>
      <c r="K22" s="50"/>
      <c r="L22" s="115">
        <f>IF(Scoreboard!Z16="","",Scoreboard!Z16)</f>
        <v>0</v>
      </c>
      <c r="X22">
        <v>6</v>
      </c>
      <c r="Y22" t="s">
        <v>122</v>
      </c>
      <c r="Z22">
        <v>2</v>
      </c>
    </row>
    <row r="23" spans="2:26" x14ac:dyDescent="0.5">
      <c r="B23" s="49" t="str">
        <f t="shared" si="0"/>
        <v>CHANGE</v>
      </c>
      <c r="C23" s="50"/>
      <c r="D23" s="50">
        <f>IF(Scoreboard!X17&gt;0,Scoreboard!X17,"")</f>
        <v>1</v>
      </c>
      <c r="E23" s="50"/>
      <c r="F23" s="50"/>
      <c r="H23" s="50" t="str">
        <f>IF(Scoreboard!Y17="","",Scoreboard!Y17)</f>
        <v>Out</v>
      </c>
      <c r="I23" s="50"/>
      <c r="J23" s="50"/>
      <c r="K23" s="50"/>
      <c r="L23" s="115">
        <f>IF(Scoreboard!Z17="","",Scoreboard!Z17)</f>
        <v>0</v>
      </c>
      <c r="X23">
        <v>7</v>
      </c>
      <c r="Y23" t="s">
        <v>188</v>
      </c>
      <c r="Z23">
        <v>2</v>
      </c>
    </row>
    <row r="24" spans="2:26" x14ac:dyDescent="0.5">
      <c r="B24" s="49" t="str">
        <f t="shared" si="0"/>
        <v/>
      </c>
      <c r="C24" s="50"/>
      <c r="D24" s="50">
        <f>IF(Scoreboard!X18&gt;0,Scoreboard!X18,"")</f>
        <v>2</v>
      </c>
      <c r="E24" s="50"/>
      <c r="F24" s="50"/>
      <c r="H24" s="50" t="str">
        <f>IF(Scoreboard!Y18="","",Scoreboard!Y18)</f>
        <v>1B</v>
      </c>
      <c r="I24" s="50"/>
      <c r="J24" s="50"/>
      <c r="K24" s="50"/>
      <c r="L24" s="115">
        <f>IF(Scoreboard!Z18="","",Scoreboard!Z18)</f>
        <v>0</v>
      </c>
      <c r="X24">
        <v>1</v>
      </c>
      <c r="Y24" t="s">
        <v>188</v>
      </c>
      <c r="Z24">
        <v>0</v>
      </c>
    </row>
    <row r="25" spans="2:26" x14ac:dyDescent="0.5">
      <c r="B25" s="49" t="str">
        <f t="shared" si="0"/>
        <v/>
      </c>
      <c r="C25" s="50"/>
      <c r="D25" s="50">
        <f>IF(Scoreboard!X19&gt;0,Scoreboard!X19,"")</f>
        <v>3</v>
      </c>
      <c r="E25" s="50"/>
      <c r="F25" s="50"/>
      <c r="H25" s="50" t="str">
        <f>IF(Scoreboard!Y19="","",Scoreboard!Y19)</f>
        <v>Out</v>
      </c>
      <c r="I25" s="50"/>
      <c r="J25" s="50"/>
      <c r="K25" s="50"/>
      <c r="L25" s="115">
        <f>IF(Scoreboard!Z19="","",Scoreboard!Z19)</f>
        <v>0</v>
      </c>
      <c r="X25">
        <v>2</v>
      </c>
      <c r="Y25" t="s">
        <v>16</v>
      </c>
      <c r="Z25">
        <v>0</v>
      </c>
    </row>
    <row r="26" spans="2:26" x14ac:dyDescent="0.5">
      <c r="B26" s="49" t="str">
        <f t="shared" si="0"/>
        <v/>
      </c>
      <c r="C26" s="50"/>
      <c r="D26" s="50">
        <f>IF(Scoreboard!X20&gt;0,Scoreboard!X20,"")</f>
        <v>4</v>
      </c>
      <c r="E26" s="50"/>
      <c r="F26" s="50"/>
      <c r="H26" s="50" t="str">
        <f>IF(Scoreboard!Y20="","",Scoreboard!Y20)</f>
        <v>1B</v>
      </c>
      <c r="I26" s="50"/>
      <c r="J26" s="50"/>
      <c r="K26" s="50"/>
      <c r="L26" s="115">
        <f>IF(Scoreboard!Z20="","",Scoreboard!Z20)</f>
        <v>0</v>
      </c>
      <c r="X26">
        <v>3</v>
      </c>
      <c r="Y26" t="s">
        <v>122</v>
      </c>
      <c r="Z26">
        <v>0</v>
      </c>
    </row>
    <row r="27" spans="2:26" x14ac:dyDescent="0.5">
      <c r="B27" s="49" t="str">
        <f t="shared" si="0"/>
        <v/>
      </c>
      <c r="C27" s="50"/>
      <c r="D27" s="50">
        <f>IF(Scoreboard!X21&gt;0,Scoreboard!X21,"")</f>
        <v>5</v>
      </c>
      <c r="E27" s="50"/>
      <c r="F27" s="50"/>
      <c r="H27" s="50" t="str">
        <f>IF(Scoreboard!Y21="","",Scoreboard!Y21)</f>
        <v>1B</v>
      </c>
      <c r="I27" s="50"/>
      <c r="J27" s="50"/>
      <c r="K27" s="50"/>
      <c r="L27" s="115">
        <f>IF(Scoreboard!Z21="","",Scoreboard!Z21)</f>
        <v>1</v>
      </c>
      <c r="X27">
        <v>4</v>
      </c>
      <c r="Y27" t="s">
        <v>188</v>
      </c>
      <c r="Z27">
        <v>0</v>
      </c>
    </row>
    <row r="28" spans="2:26" x14ac:dyDescent="0.5">
      <c r="B28" s="49" t="str">
        <f t="shared" si="0"/>
        <v/>
      </c>
      <c r="C28" s="50"/>
      <c r="D28" s="50">
        <f>IF(Scoreboard!X22&gt;0,Scoreboard!X22,"")</f>
        <v>6</v>
      </c>
      <c r="E28" s="50"/>
      <c r="F28" s="50"/>
      <c r="H28" s="50" t="str">
        <f>IF(Scoreboard!Y22="","",Scoreboard!Y22)</f>
        <v>1B</v>
      </c>
      <c r="I28" s="50"/>
      <c r="J28" s="50"/>
      <c r="K28" s="50"/>
      <c r="L28" s="115">
        <f>IF(Scoreboard!Z22="","",Scoreboard!Z22)</f>
        <v>2</v>
      </c>
      <c r="X28">
        <v>5</v>
      </c>
      <c r="Y28" t="s">
        <v>15</v>
      </c>
      <c r="Z28">
        <v>3</v>
      </c>
    </row>
    <row r="29" spans="2:26" x14ac:dyDescent="0.5">
      <c r="B29" s="49" t="str">
        <f t="shared" si="0"/>
        <v/>
      </c>
      <c r="C29" s="50"/>
      <c r="D29" s="50">
        <f>IF(Scoreboard!X23&gt;0,Scoreboard!X23,"")</f>
        <v>7</v>
      </c>
      <c r="E29" s="50"/>
      <c r="F29" s="50"/>
      <c r="H29" s="50" t="str">
        <f>IF(Scoreboard!Y23="","",Scoreboard!Y23)</f>
        <v>Out</v>
      </c>
      <c r="I29" s="50"/>
      <c r="J29" s="50"/>
      <c r="K29" s="50"/>
      <c r="L29" s="115">
        <f>IF(Scoreboard!Z23="","",Scoreboard!Z23)</f>
        <v>2</v>
      </c>
      <c r="X29">
        <v>6</v>
      </c>
      <c r="Y29" t="s">
        <v>16</v>
      </c>
      <c r="Z29">
        <v>3</v>
      </c>
    </row>
    <row r="30" spans="2:26" x14ac:dyDescent="0.5">
      <c r="B30" s="49" t="str">
        <f t="shared" si="0"/>
        <v>CHANGE</v>
      </c>
      <c r="C30" s="50"/>
      <c r="D30" s="50">
        <f>IF(Scoreboard!X24&gt;0,Scoreboard!X24,"")</f>
        <v>1</v>
      </c>
      <c r="E30" s="50"/>
      <c r="F30" s="50"/>
      <c r="H30" s="50" t="str">
        <f>IF(Scoreboard!Y24="","",Scoreboard!Y24)</f>
        <v>Out</v>
      </c>
      <c r="I30" s="50"/>
      <c r="J30" s="50"/>
      <c r="K30" s="50"/>
      <c r="L30" s="115">
        <f>IF(Scoreboard!Z24="","",Scoreboard!Z24)</f>
        <v>0</v>
      </c>
      <c r="X30">
        <v>7</v>
      </c>
      <c r="Y30" t="s">
        <v>188</v>
      </c>
      <c r="Z30">
        <v>3</v>
      </c>
    </row>
    <row r="31" spans="2:26" x14ac:dyDescent="0.5">
      <c r="B31" s="49" t="str">
        <f t="shared" si="0"/>
        <v/>
      </c>
      <c r="C31" s="50"/>
      <c r="D31" s="50">
        <f>IF(Scoreboard!X25&gt;0,Scoreboard!X25,"")</f>
        <v>2</v>
      </c>
      <c r="E31" s="50"/>
      <c r="F31" s="50"/>
      <c r="H31" s="50" t="str">
        <f>IF(Scoreboard!Y25="","",Scoreboard!Y25)</f>
        <v>BB</v>
      </c>
      <c r="I31" s="50"/>
      <c r="J31" s="50"/>
      <c r="K31" s="50"/>
      <c r="L31" s="115">
        <f>IF(Scoreboard!Z25="","",Scoreboard!Z25)</f>
        <v>0</v>
      </c>
      <c r="X31">
        <v>1</v>
      </c>
      <c r="Y31" t="s">
        <v>15</v>
      </c>
      <c r="Z31">
        <v>1</v>
      </c>
    </row>
    <row r="32" spans="2:26" x14ac:dyDescent="0.5">
      <c r="B32" s="49" t="str">
        <f t="shared" si="0"/>
        <v/>
      </c>
      <c r="C32" s="50"/>
      <c r="D32" s="50">
        <f>IF(Scoreboard!X26&gt;0,Scoreboard!X26,"")</f>
        <v>3</v>
      </c>
      <c r="E32" s="50"/>
      <c r="F32" s="50"/>
      <c r="H32" s="50" t="str">
        <f>IF(Scoreboard!Y26="","",Scoreboard!Y26)</f>
        <v>1B</v>
      </c>
      <c r="I32" s="50"/>
      <c r="J32" s="50"/>
      <c r="K32" s="50"/>
      <c r="L32" s="115">
        <f>IF(Scoreboard!Z26="","",Scoreboard!Z26)</f>
        <v>0</v>
      </c>
      <c r="X32">
        <v>2</v>
      </c>
      <c r="Y32" t="s">
        <v>188</v>
      </c>
      <c r="Z32">
        <v>1</v>
      </c>
    </row>
    <row r="33" spans="2:26" x14ac:dyDescent="0.5">
      <c r="B33" s="49" t="str">
        <f t="shared" si="0"/>
        <v/>
      </c>
      <c r="C33" s="50"/>
      <c r="D33" s="50">
        <f>IF(Scoreboard!X27&gt;0,Scoreboard!X27,"")</f>
        <v>4</v>
      </c>
      <c r="E33" s="50"/>
      <c r="F33" s="50"/>
      <c r="H33" s="50" t="str">
        <f>IF(Scoreboard!Y27="","",Scoreboard!Y27)</f>
        <v>Out</v>
      </c>
      <c r="I33" s="50"/>
      <c r="J33" s="50"/>
      <c r="K33" s="50"/>
      <c r="L33" s="115">
        <f>IF(Scoreboard!Z27="","",Scoreboard!Z27)</f>
        <v>0</v>
      </c>
      <c r="X33">
        <v>3</v>
      </c>
      <c r="Y33" t="s">
        <v>188</v>
      </c>
      <c r="Z33">
        <v>1</v>
      </c>
    </row>
    <row r="34" spans="2:26" x14ac:dyDescent="0.5">
      <c r="B34" s="49" t="str">
        <f t="shared" si="0"/>
        <v/>
      </c>
      <c r="C34" s="50"/>
      <c r="D34" s="50">
        <f>IF(Scoreboard!X28&gt;0,Scoreboard!X28,"")</f>
        <v>5</v>
      </c>
      <c r="E34" s="50"/>
      <c r="F34" s="50"/>
      <c r="H34" s="50" t="str">
        <f>IF(Scoreboard!Y28="","",Scoreboard!Y28)</f>
        <v>HR</v>
      </c>
      <c r="I34" s="50"/>
      <c r="J34" s="50"/>
      <c r="K34" s="50"/>
      <c r="L34" s="115">
        <f>IF(Scoreboard!Z28="","",Scoreboard!Z28)</f>
        <v>3</v>
      </c>
      <c r="X34">
        <v>4</v>
      </c>
      <c r="Y34" t="s">
        <v>122</v>
      </c>
      <c r="Z34">
        <v>1</v>
      </c>
    </row>
    <row r="35" spans="2:26" x14ac:dyDescent="0.5">
      <c r="B35" s="49" t="str">
        <f t="shared" si="0"/>
        <v/>
      </c>
      <c r="D35" s="50">
        <f>IF(Scoreboard!X29&gt;0,Scoreboard!X29,"")</f>
        <v>6</v>
      </c>
      <c r="H35" s="50" t="str">
        <f>IF(Scoreboard!Y29="","",Scoreboard!Y29)</f>
        <v>BB</v>
      </c>
      <c r="L35" s="115">
        <f>IF(Scoreboard!Z29="","",Scoreboard!Z29)</f>
        <v>3</v>
      </c>
      <c r="X35">
        <v>5</v>
      </c>
      <c r="Y35" t="s">
        <v>188</v>
      </c>
      <c r="Z35">
        <v>1</v>
      </c>
    </row>
    <row r="36" spans="2:26" x14ac:dyDescent="0.5">
      <c r="B36" s="49" t="str">
        <f t="shared" si="0"/>
        <v/>
      </c>
      <c r="D36" s="50">
        <f>IF(Scoreboard!X30&gt;0,Scoreboard!X30,"")</f>
        <v>7</v>
      </c>
      <c r="H36" s="50" t="str">
        <f>IF(Scoreboard!Y30="","",Scoreboard!Y30)</f>
        <v>Out</v>
      </c>
      <c r="L36" s="115">
        <f>IF(Scoreboard!Z30="","",Scoreboard!Z30)</f>
        <v>3</v>
      </c>
      <c r="X36">
        <v>1</v>
      </c>
      <c r="Y36" t="s">
        <v>188</v>
      </c>
      <c r="Z36">
        <v>0</v>
      </c>
    </row>
    <row r="37" spans="2:26" x14ac:dyDescent="0.5">
      <c r="B37" s="49" t="str">
        <f t="shared" si="0"/>
        <v>CHANGE</v>
      </c>
      <c r="D37" s="50">
        <f>IF(Scoreboard!X31&gt;0,Scoreboard!X31,"")</f>
        <v>1</v>
      </c>
      <c r="H37" s="50" t="str">
        <f>IF(Scoreboard!Y31="","",Scoreboard!Y31)</f>
        <v>HR</v>
      </c>
      <c r="L37" s="115">
        <f>IF(Scoreboard!Z31="","",Scoreboard!Z31)</f>
        <v>1</v>
      </c>
      <c r="X37">
        <v>2</v>
      </c>
      <c r="Y37" t="s">
        <v>188</v>
      </c>
      <c r="Z37">
        <v>0</v>
      </c>
    </row>
    <row r="38" spans="2:26" x14ac:dyDescent="0.5">
      <c r="B38" s="49" t="str">
        <f t="shared" si="0"/>
        <v/>
      </c>
      <c r="D38" s="50">
        <f>IF(Scoreboard!X32&gt;0,Scoreboard!X32,"")</f>
        <v>2</v>
      </c>
      <c r="H38" s="50" t="str">
        <f>IF(Scoreboard!Y32="","",Scoreboard!Y32)</f>
        <v>Out</v>
      </c>
      <c r="L38" s="115">
        <f>IF(Scoreboard!Z32="","",Scoreboard!Z32)</f>
        <v>1</v>
      </c>
      <c r="X38">
        <v>3</v>
      </c>
      <c r="Y38" t="s">
        <v>188</v>
      </c>
      <c r="Z38">
        <v>0</v>
      </c>
    </row>
    <row r="39" spans="2:26" x14ac:dyDescent="0.5">
      <c r="B39" s="49" t="str">
        <f t="shared" si="0"/>
        <v/>
      </c>
      <c r="D39" s="50">
        <f>IF(Scoreboard!X33&gt;0,Scoreboard!X33,"")</f>
        <v>3</v>
      </c>
      <c r="H39" s="50" t="str">
        <f>IF(Scoreboard!Y33="","",Scoreboard!Y33)</f>
        <v>Out</v>
      </c>
      <c r="L39" s="115">
        <f>IF(Scoreboard!Z33="","",Scoreboard!Z33)</f>
        <v>1</v>
      </c>
      <c r="X39">
        <v>1</v>
      </c>
      <c r="Y39" t="s">
        <v>188</v>
      </c>
      <c r="Z39">
        <v>0</v>
      </c>
    </row>
    <row r="40" spans="2:26" x14ac:dyDescent="0.5">
      <c r="B40" s="49" t="str">
        <f t="shared" si="0"/>
        <v/>
      </c>
      <c r="D40" s="50">
        <f>IF(Scoreboard!X34&gt;0,Scoreboard!X34,"")</f>
        <v>4</v>
      </c>
      <c r="H40" s="50" t="str">
        <f>IF(Scoreboard!Y34="","",Scoreboard!Y34)</f>
        <v>1B</v>
      </c>
      <c r="L40" s="115">
        <f>IF(Scoreboard!Z34="","",Scoreboard!Z34)</f>
        <v>1</v>
      </c>
      <c r="X40">
        <v>2</v>
      </c>
      <c r="Y40" t="s">
        <v>188</v>
      </c>
      <c r="Z40">
        <v>0</v>
      </c>
    </row>
    <row r="41" spans="2:26" x14ac:dyDescent="0.5">
      <c r="B41" s="49" t="str">
        <f t="shared" si="0"/>
        <v/>
      </c>
      <c r="D41" s="50">
        <f>IF(Scoreboard!X35&gt;0,Scoreboard!X35,"")</f>
        <v>5</v>
      </c>
      <c r="H41" s="50" t="str">
        <f>IF(Scoreboard!Y35="","",Scoreboard!Y35)</f>
        <v>Out</v>
      </c>
      <c r="L41" s="115">
        <f>IF(Scoreboard!Z35="","",Scoreboard!Z35)</f>
        <v>1</v>
      </c>
      <c r="X41">
        <v>3</v>
      </c>
      <c r="Y41" t="s">
        <v>188</v>
      </c>
      <c r="Z41">
        <v>0</v>
      </c>
    </row>
    <row r="42" spans="2:26" x14ac:dyDescent="0.5">
      <c r="B42" s="49" t="str">
        <f t="shared" si="0"/>
        <v>CHANGE</v>
      </c>
      <c r="D42" s="50">
        <f>IF(Scoreboard!X36&gt;0,Scoreboard!X36,"")</f>
        <v>1</v>
      </c>
      <c r="H42" s="50" t="str">
        <f>IF(Scoreboard!Y36="","",Scoreboard!Y36)</f>
        <v>Out</v>
      </c>
      <c r="L42" s="115">
        <f>IF(Scoreboard!Z36="","",Scoreboard!Z36)</f>
        <v>0</v>
      </c>
      <c r="X42">
        <v>1</v>
      </c>
      <c r="Y42" t="s">
        <v>188</v>
      </c>
      <c r="Z42">
        <v>0</v>
      </c>
    </row>
    <row r="43" spans="2:26" x14ac:dyDescent="0.5">
      <c r="B43" s="49" t="str">
        <f t="shared" si="0"/>
        <v/>
      </c>
      <c r="D43" s="50">
        <f>IF(Scoreboard!X37&gt;0,Scoreboard!X37,"")</f>
        <v>2</v>
      </c>
      <c r="H43" s="50" t="str">
        <f>IF(Scoreboard!Y37="","",Scoreboard!Y37)</f>
        <v>Out</v>
      </c>
      <c r="L43" s="115">
        <f>IF(Scoreboard!Z37="","",Scoreboard!Z37)</f>
        <v>0</v>
      </c>
      <c r="X43">
        <v>2</v>
      </c>
      <c r="Y43" t="s">
        <v>16</v>
      </c>
      <c r="Z43">
        <v>0</v>
      </c>
    </row>
    <row r="44" spans="2:26" x14ac:dyDescent="0.5">
      <c r="B44" s="49" t="str">
        <f t="shared" si="0"/>
        <v/>
      </c>
      <c r="D44" s="50">
        <f>IF(Scoreboard!X38&gt;0,Scoreboard!X38,"")</f>
        <v>3</v>
      </c>
      <c r="H44" s="50" t="str">
        <f>IF(Scoreboard!Y38="","",Scoreboard!Y38)</f>
        <v>Out</v>
      </c>
      <c r="L44" s="115">
        <f>IF(Scoreboard!Z38="","",Scoreboard!Z38)</f>
        <v>0</v>
      </c>
      <c r="X44">
        <v>3</v>
      </c>
      <c r="Y44" t="s">
        <v>16</v>
      </c>
      <c r="Z44">
        <v>0</v>
      </c>
    </row>
    <row r="45" spans="2:26" x14ac:dyDescent="0.5">
      <c r="B45" s="49" t="str">
        <f t="shared" si="0"/>
        <v>CHANGE</v>
      </c>
      <c r="D45" s="50">
        <f>IF(Scoreboard!X39&gt;0,Scoreboard!X39,"")</f>
        <v>1</v>
      </c>
      <c r="H45" s="50" t="str">
        <f>IF(Scoreboard!Y39="","",Scoreboard!Y39)</f>
        <v>Out</v>
      </c>
      <c r="L45" s="115">
        <f>IF(Scoreboard!Z39="","",Scoreboard!Z39)</f>
        <v>0</v>
      </c>
      <c r="X45">
        <v>4</v>
      </c>
      <c r="Y45" t="s">
        <v>188</v>
      </c>
      <c r="Z45">
        <v>0</v>
      </c>
    </row>
    <row r="46" spans="2:26" x14ac:dyDescent="0.5">
      <c r="B46" s="49" t="str">
        <f t="shared" si="0"/>
        <v/>
      </c>
      <c r="D46" s="50">
        <f>IF(Scoreboard!X40&gt;0,Scoreboard!X40,"")</f>
        <v>2</v>
      </c>
      <c r="H46" s="50" t="str">
        <f>IF(Scoreboard!Y40="","",Scoreboard!Y40)</f>
        <v>Out</v>
      </c>
      <c r="L46" s="115">
        <f>IF(Scoreboard!Z40="","",Scoreboard!Z40)</f>
        <v>0</v>
      </c>
      <c r="X46">
        <v>5</v>
      </c>
      <c r="Y46" t="s">
        <v>20</v>
      </c>
      <c r="Z46">
        <v>0</v>
      </c>
    </row>
    <row r="47" spans="2:26" x14ac:dyDescent="0.5">
      <c r="B47" s="49" t="str">
        <f t="shared" si="0"/>
        <v/>
      </c>
      <c r="D47" s="50">
        <f>IF(Scoreboard!X41&gt;0,Scoreboard!X41,"")</f>
        <v>3</v>
      </c>
      <c r="H47" s="50" t="str">
        <f>IF(Scoreboard!Y41="","",Scoreboard!Y41)</f>
        <v>Out</v>
      </c>
      <c r="L47" s="115">
        <f>IF(Scoreboard!Z41="","",Scoreboard!Z41)</f>
        <v>0</v>
      </c>
      <c r="X47">
        <v>6</v>
      </c>
      <c r="Y47" t="s">
        <v>13</v>
      </c>
      <c r="Z47">
        <v>3</v>
      </c>
    </row>
    <row r="48" spans="2:26" x14ac:dyDescent="0.5">
      <c r="B48" s="49" t="str">
        <f t="shared" si="0"/>
        <v>CHANGE</v>
      </c>
      <c r="D48" s="50">
        <f>IF(Scoreboard!X42&gt;0,Scoreboard!X42,"")</f>
        <v>1</v>
      </c>
      <c r="H48" s="50" t="str">
        <f>IF(Scoreboard!Y42="","",Scoreboard!Y42)</f>
        <v>Out</v>
      </c>
      <c r="L48" s="115">
        <f>IF(Scoreboard!Z42="","",Scoreboard!Z42)</f>
        <v>0</v>
      </c>
      <c r="X48">
        <v>7</v>
      </c>
      <c r="Y48" t="s">
        <v>188</v>
      </c>
      <c r="Z48">
        <v>3</v>
      </c>
    </row>
    <row r="49" spans="2:26" x14ac:dyDescent="0.5">
      <c r="B49" s="49" t="str">
        <f t="shared" si="0"/>
        <v/>
      </c>
      <c r="D49" s="50">
        <f>IF(Scoreboard!X43&gt;0,Scoreboard!X43,"")</f>
        <v>2</v>
      </c>
      <c r="H49" s="50" t="str">
        <f>IF(Scoreboard!Y43="","",Scoreboard!Y43)</f>
        <v>BB</v>
      </c>
      <c r="L49" s="115">
        <f>IF(Scoreboard!Z43="","",Scoreboard!Z43)</f>
        <v>0</v>
      </c>
      <c r="X49">
        <v>1</v>
      </c>
      <c r="Y49" t="s">
        <v>122</v>
      </c>
      <c r="Z49">
        <v>0</v>
      </c>
    </row>
    <row r="50" spans="2:26" x14ac:dyDescent="0.5">
      <c r="B50" s="49" t="str">
        <f t="shared" si="0"/>
        <v/>
      </c>
      <c r="D50" s="50">
        <f>IF(Scoreboard!X44&gt;0,Scoreboard!X44,"")</f>
        <v>3</v>
      </c>
      <c r="H50" s="50" t="str">
        <f>IF(Scoreboard!Y44="","",Scoreboard!Y44)</f>
        <v>BB</v>
      </c>
      <c r="L50" s="115">
        <f>IF(Scoreboard!Z44="","",Scoreboard!Z44)</f>
        <v>0</v>
      </c>
      <c r="X50">
        <v>2</v>
      </c>
      <c r="Y50" t="s">
        <v>15</v>
      </c>
      <c r="Z50">
        <v>2</v>
      </c>
    </row>
    <row r="51" spans="2:26" x14ac:dyDescent="0.5">
      <c r="B51" s="49" t="str">
        <f t="shared" si="0"/>
        <v/>
      </c>
      <c r="D51" s="50">
        <f>IF(Scoreboard!X45&gt;0,Scoreboard!X45,"")</f>
        <v>4</v>
      </c>
      <c r="H51" s="50" t="str">
        <f>IF(Scoreboard!Y45="","",Scoreboard!Y45)</f>
        <v>Out</v>
      </c>
      <c r="L51" s="115">
        <f>IF(Scoreboard!Z45="","",Scoreboard!Z45)</f>
        <v>0</v>
      </c>
      <c r="X51">
        <v>3</v>
      </c>
      <c r="Y51" t="s">
        <v>188</v>
      </c>
      <c r="Z51">
        <v>2</v>
      </c>
    </row>
    <row r="52" spans="2:26" x14ac:dyDescent="0.5">
      <c r="B52" s="49" t="str">
        <f t="shared" si="0"/>
        <v/>
      </c>
      <c r="D52" s="50">
        <f>IF(Scoreboard!X46&gt;0,Scoreboard!X46,"")</f>
        <v>5</v>
      </c>
      <c r="H52" s="50" t="str">
        <f>IF(Scoreboard!Y46="","",Scoreboard!Y46)</f>
        <v>HBP</v>
      </c>
      <c r="L52" s="115">
        <f>IF(Scoreboard!Z46="","",Scoreboard!Z46)</f>
        <v>0</v>
      </c>
      <c r="X52">
        <v>4</v>
      </c>
      <c r="Y52" t="s">
        <v>188</v>
      </c>
      <c r="Z52">
        <v>2</v>
      </c>
    </row>
    <row r="53" spans="2:26" x14ac:dyDescent="0.5">
      <c r="B53" s="49" t="str">
        <f t="shared" si="0"/>
        <v/>
      </c>
      <c r="D53" s="50">
        <f>IF(Scoreboard!X47&gt;0,Scoreboard!X47,"")</f>
        <v>6</v>
      </c>
      <c r="H53" s="50" t="str">
        <f>IF(Scoreboard!Y47="","",Scoreboard!Y47)</f>
        <v>2B</v>
      </c>
      <c r="L53" s="115">
        <f>IF(Scoreboard!Z47="","",Scoreboard!Z47)</f>
        <v>3</v>
      </c>
      <c r="X53">
        <v>5</v>
      </c>
      <c r="Y53" t="s">
        <v>188</v>
      </c>
      <c r="Z53">
        <v>2</v>
      </c>
    </row>
    <row r="54" spans="2:26" x14ac:dyDescent="0.5">
      <c r="B54" s="49" t="str">
        <f t="shared" si="0"/>
        <v/>
      </c>
      <c r="D54" s="50">
        <f>IF(Scoreboard!X48&gt;0,Scoreboard!X48,"")</f>
        <v>7</v>
      </c>
      <c r="H54" s="50" t="str">
        <f>IF(Scoreboard!Y48="","",Scoreboard!Y48)</f>
        <v>Out</v>
      </c>
      <c r="L54" s="115">
        <f>IF(Scoreboard!Z48="","",Scoreboard!Z48)</f>
        <v>3</v>
      </c>
      <c r="X54">
        <v>1</v>
      </c>
      <c r="Y54" t="s">
        <v>14</v>
      </c>
      <c r="Z54">
        <v>0</v>
      </c>
    </row>
    <row r="55" spans="2:26" x14ac:dyDescent="0.5">
      <c r="B55" s="49" t="str">
        <f t="shared" si="0"/>
        <v>CHANGE</v>
      </c>
      <c r="D55" s="50">
        <f>IF(Scoreboard!X49&gt;0,Scoreboard!X49,"")</f>
        <v>1</v>
      </c>
      <c r="H55" s="50" t="str">
        <f>IF(Scoreboard!Y49="","",Scoreboard!Y49)</f>
        <v>1B</v>
      </c>
      <c r="L55" s="115">
        <f>IF(Scoreboard!Z49="","",Scoreboard!Z49)</f>
        <v>0</v>
      </c>
      <c r="X55">
        <v>2</v>
      </c>
      <c r="Y55" t="s">
        <v>188</v>
      </c>
      <c r="Z55">
        <v>0</v>
      </c>
    </row>
    <row r="56" spans="2:26" x14ac:dyDescent="0.5">
      <c r="B56" s="49" t="str">
        <f t="shared" si="0"/>
        <v/>
      </c>
      <c r="D56" s="50">
        <f>IF(Scoreboard!X50&gt;0,Scoreboard!X50,"")</f>
        <v>2</v>
      </c>
      <c r="H56" s="50" t="str">
        <f>IF(Scoreboard!Y50="","",Scoreboard!Y50)</f>
        <v>HR</v>
      </c>
      <c r="L56" s="115">
        <f>IF(Scoreboard!Z50="","",Scoreboard!Z50)</f>
        <v>2</v>
      </c>
      <c r="X56">
        <v>3</v>
      </c>
      <c r="Y56" t="s">
        <v>188</v>
      </c>
      <c r="Z56">
        <v>0</v>
      </c>
    </row>
    <row r="57" spans="2:26" x14ac:dyDescent="0.5">
      <c r="B57" s="49" t="str">
        <f t="shared" si="0"/>
        <v/>
      </c>
      <c r="D57" s="50">
        <f>IF(Scoreboard!X51&gt;0,Scoreboard!X51,"")</f>
        <v>3</v>
      </c>
      <c r="H57" s="50" t="str">
        <f>IF(Scoreboard!Y51="","",Scoreboard!Y51)</f>
        <v>Out</v>
      </c>
      <c r="L57" s="115">
        <f>IF(Scoreboard!Z51="","",Scoreboard!Z51)</f>
        <v>2</v>
      </c>
      <c r="X57">
        <v>4</v>
      </c>
      <c r="Y57" t="s">
        <v>188</v>
      </c>
      <c r="Z57">
        <v>0</v>
      </c>
    </row>
    <row r="58" spans="2:26" x14ac:dyDescent="0.5">
      <c r="B58" s="49" t="str">
        <f t="shared" si="0"/>
        <v/>
      </c>
      <c r="D58" s="50">
        <f>IF(Scoreboard!X52&gt;0,Scoreboard!X52,"")</f>
        <v>4</v>
      </c>
      <c r="H58" s="50" t="str">
        <f>IF(Scoreboard!Y52="","",Scoreboard!Y52)</f>
        <v>Out</v>
      </c>
      <c r="L58" s="115">
        <f>IF(Scoreboard!Z52="","",Scoreboard!Z52)</f>
        <v>2</v>
      </c>
      <c r="X58">
        <v>1</v>
      </c>
      <c r="Y58" t="s">
        <v>188</v>
      </c>
      <c r="Z58">
        <v>0</v>
      </c>
    </row>
    <row r="59" spans="2:26" x14ac:dyDescent="0.5">
      <c r="B59" s="49" t="str">
        <f t="shared" si="0"/>
        <v/>
      </c>
      <c r="D59" s="50">
        <f>IF(Scoreboard!X53&gt;0,Scoreboard!X53,"")</f>
        <v>5</v>
      </c>
      <c r="H59" s="50" t="str">
        <f>IF(Scoreboard!Y53="","",Scoreboard!Y53)</f>
        <v>Out</v>
      </c>
      <c r="L59" s="115">
        <f>IF(Scoreboard!Z53="","",Scoreboard!Z53)</f>
        <v>2</v>
      </c>
      <c r="X59">
        <v>2</v>
      </c>
      <c r="Y59" t="s">
        <v>188</v>
      </c>
      <c r="Z59">
        <v>0</v>
      </c>
    </row>
    <row r="60" spans="2:26" x14ac:dyDescent="0.5">
      <c r="B60" s="49" t="str">
        <f t="shared" si="0"/>
        <v>CHANGE</v>
      </c>
      <c r="D60" s="50">
        <f>IF(Scoreboard!X54&gt;0,Scoreboard!X54,"")</f>
        <v>1</v>
      </c>
      <c r="H60" s="50" t="str">
        <f>IF(Scoreboard!Y54="","",Scoreboard!Y54)</f>
        <v>3B</v>
      </c>
      <c r="L60" s="115">
        <f>IF(Scoreboard!Z54="","",Scoreboard!Z54)</f>
        <v>0</v>
      </c>
      <c r="X60">
        <v>3</v>
      </c>
      <c r="Y60" t="s">
        <v>122</v>
      </c>
      <c r="Z60">
        <v>0</v>
      </c>
    </row>
    <row r="61" spans="2:26" x14ac:dyDescent="0.5">
      <c r="B61" s="49" t="str">
        <f t="shared" si="0"/>
        <v/>
      </c>
      <c r="D61" s="50">
        <f>IF(Scoreboard!X55&gt;0,Scoreboard!X55,"")</f>
        <v>2</v>
      </c>
      <c r="H61" s="50" t="str">
        <f>IF(Scoreboard!Y55="","",Scoreboard!Y55)</f>
        <v>Out</v>
      </c>
      <c r="L61" s="115">
        <f>IF(Scoreboard!Z55="","",Scoreboard!Z55)</f>
        <v>0</v>
      </c>
      <c r="X61">
        <v>4</v>
      </c>
      <c r="Y61" t="s">
        <v>188</v>
      </c>
      <c r="Z61">
        <v>0</v>
      </c>
    </row>
    <row r="62" spans="2:26" x14ac:dyDescent="0.5">
      <c r="B62" s="49" t="str">
        <f t="shared" si="0"/>
        <v/>
      </c>
      <c r="D62" s="50">
        <f>IF(Scoreboard!X56&gt;0,Scoreboard!X56,"")</f>
        <v>3</v>
      </c>
      <c r="H62" s="50" t="str">
        <f>IF(Scoreboard!Y56="","",Scoreboard!Y56)</f>
        <v>Out</v>
      </c>
      <c r="L62" s="115">
        <f>IF(Scoreboard!Z56="","",Scoreboard!Z56)</f>
        <v>0</v>
      </c>
      <c r="X62">
        <v>1</v>
      </c>
      <c r="Y62" t="s">
        <v>188</v>
      </c>
      <c r="Z62">
        <v>0</v>
      </c>
    </row>
    <row r="63" spans="2:26" x14ac:dyDescent="0.5">
      <c r="B63" s="49" t="str">
        <f t="shared" si="0"/>
        <v/>
      </c>
      <c r="D63" s="50">
        <f>IF(Scoreboard!X57&gt;0,Scoreboard!X57,"")</f>
        <v>4</v>
      </c>
      <c r="H63" s="50" t="str">
        <f>IF(Scoreboard!Y57="","",Scoreboard!Y57)</f>
        <v>Out</v>
      </c>
      <c r="L63" s="115">
        <f>IF(Scoreboard!Z57="","",Scoreboard!Z57)</f>
        <v>0</v>
      </c>
      <c r="X63">
        <v>2</v>
      </c>
      <c r="Y63" t="s">
        <v>188</v>
      </c>
      <c r="Z63">
        <v>0</v>
      </c>
    </row>
    <row r="64" spans="2:26" x14ac:dyDescent="0.5">
      <c r="B64" s="49" t="str">
        <f t="shared" si="0"/>
        <v>CHANGE</v>
      </c>
      <c r="D64" s="50">
        <f>IF(Scoreboard!X58&gt;0,Scoreboard!X58,"")</f>
        <v>1</v>
      </c>
      <c r="H64" s="50" t="str">
        <f>IF(Scoreboard!Y58="","",Scoreboard!Y58)</f>
        <v>Out</v>
      </c>
      <c r="L64" s="115">
        <f>IF(Scoreboard!Z58="","",Scoreboard!Z58)</f>
        <v>0</v>
      </c>
      <c r="X64">
        <v>3</v>
      </c>
      <c r="Y64" t="s">
        <v>188</v>
      </c>
      <c r="Z64">
        <v>0</v>
      </c>
    </row>
    <row r="65" spans="2:26" x14ac:dyDescent="0.5">
      <c r="B65" s="49" t="str">
        <f t="shared" si="0"/>
        <v/>
      </c>
      <c r="D65" s="50">
        <f>IF(Scoreboard!X59&gt;0,Scoreboard!X59,"")</f>
        <v>2</v>
      </c>
      <c r="H65" s="50" t="str">
        <f>IF(Scoreboard!Y59="","",Scoreboard!Y59)</f>
        <v>Out</v>
      </c>
      <c r="L65" s="115">
        <f>IF(Scoreboard!Z59="","",Scoreboard!Z59)</f>
        <v>0</v>
      </c>
      <c r="X65">
        <v>1</v>
      </c>
      <c r="Y65" t="s">
        <v>188</v>
      </c>
      <c r="Z65">
        <v>0</v>
      </c>
    </row>
    <row r="66" spans="2:26" x14ac:dyDescent="0.5">
      <c r="B66" s="49" t="str">
        <f t="shared" si="0"/>
        <v/>
      </c>
      <c r="D66" s="50">
        <f>IF(Scoreboard!X60&gt;0,Scoreboard!X60,"")</f>
        <v>3</v>
      </c>
      <c r="H66" s="50" t="str">
        <f>IF(Scoreboard!Y60="","",Scoreboard!Y60)</f>
        <v>1B</v>
      </c>
      <c r="L66" s="115">
        <f>IF(Scoreboard!Z60="","",Scoreboard!Z60)</f>
        <v>0</v>
      </c>
      <c r="X66">
        <v>2</v>
      </c>
      <c r="Y66" t="s">
        <v>13</v>
      </c>
      <c r="Z66">
        <v>0</v>
      </c>
    </row>
    <row r="67" spans="2:26" x14ac:dyDescent="0.5">
      <c r="B67" s="49" t="str">
        <f t="shared" si="0"/>
        <v/>
      </c>
      <c r="D67" s="50">
        <f>IF(Scoreboard!X61&gt;0,Scoreboard!X61,"")</f>
        <v>4</v>
      </c>
      <c r="H67" s="50" t="str">
        <f>IF(Scoreboard!Y61="","",Scoreboard!Y61)</f>
        <v>Out</v>
      </c>
      <c r="L67" s="115">
        <f>IF(Scoreboard!Z61="","",Scoreboard!Z61)</f>
        <v>0</v>
      </c>
      <c r="X67">
        <v>3</v>
      </c>
      <c r="Y67" t="s">
        <v>15</v>
      </c>
      <c r="Z67">
        <v>2</v>
      </c>
    </row>
    <row r="68" spans="2:26" x14ac:dyDescent="0.5">
      <c r="B68" s="49" t="str">
        <f t="shared" si="0"/>
        <v>CHANGE</v>
      </c>
      <c r="D68" s="50">
        <f>IF(Scoreboard!X62&gt;0,Scoreboard!X62,"")</f>
        <v>1</v>
      </c>
      <c r="H68" s="50" t="str">
        <f>IF(Scoreboard!Y62="","",Scoreboard!Y62)</f>
        <v>Out</v>
      </c>
      <c r="L68" s="115">
        <f>IF(Scoreboard!Z62="","",Scoreboard!Z62)</f>
        <v>0</v>
      </c>
      <c r="X68">
        <v>4</v>
      </c>
      <c r="Y68" t="s">
        <v>188</v>
      </c>
      <c r="Z68">
        <v>2</v>
      </c>
    </row>
    <row r="69" spans="2:26" x14ac:dyDescent="0.5">
      <c r="B69" s="49" t="str">
        <f t="shared" si="0"/>
        <v/>
      </c>
      <c r="D69" s="50">
        <f>IF(Scoreboard!X63&gt;0,Scoreboard!X63,"")</f>
        <v>2</v>
      </c>
      <c r="H69" s="50" t="str">
        <f>IF(Scoreboard!Y63="","",Scoreboard!Y63)</f>
        <v>Out</v>
      </c>
      <c r="L69" s="115">
        <f>IF(Scoreboard!Z63="","",Scoreboard!Z63)</f>
        <v>0</v>
      </c>
      <c r="X69">
        <v>5</v>
      </c>
      <c r="Y69" t="s">
        <v>188</v>
      </c>
      <c r="Z69">
        <v>2</v>
      </c>
    </row>
    <row r="70" spans="2:26" x14ac:dyDescent="0.5">
      <c r="B70" s="49" t="str">
        <f t="shared" si="0"/>
        <v/>
      </c>
      <c r="D70" s="50">
        <f>IF(Scoreboard!X64&gt;0,Scoreboard!X64,"")</f>
        <v>3</v>
      </c>
      <c r="H70" s="50" t="str">
        <f>IF(Scoreboard!Y64="","",Scoreboard!Y64)</f>
        <v>Out</v>
      </c>
      <c r="L70" s="115">
        <f>IF(Scoreboard!Z64="","",Scoreboard!Z64)</f>
        <v>0</v>
      </c>
      <c r="X70">
        <v>1</v>
      </c>
      <c r="Y70" t="s">
        <v>188</v>
      </c>
      <c r="Z70">
        <v>0</v>
      </c>
    </row>
    <row r="71" spans="2:26" x14ac:dyDescent="0.5">
      <c r="B71" s="49" t="str">
        <f t="shared" si="0"/>
        <v>CHANGE</v>
      </c>
      <c r="D71" s="50">
        <f>IF(Scoreboard!X65&gt;0,Scoreboard!X65,"")</f>
        <v>1</v>
      </c>
      <c r="H71" s="50" t="str">
        <f>IF(Scoreboard!Y65="","",Scoreboard!Y65)</f>
        <v>Out</v>
      </c>
      <c r="L71" s="115">
        <f>IF(Scoreboard!Z65="","",Scoreboard!Z65)</f>
        <v>0</v>
      </c>
      <c r="X71">
        <v>2</v>
      </c>
      <c r="Y71" t="s">
        <v>188</v>
      </c>
      <c r="Z71">
        <v>0</v>
      </c>
    </row>
    <row r="72" spans="2:26" x14ac:dyDescent="0.5">
      <c r="B72" s="49" t="str">
        <f t="shared" si="0"/>
        <v/>
      </c>
      <c r="D72" s="50">
        <f>IF(Scoreboard!X66&gt;0,Scoreboard!X66,"")</f>
        <v>2</v>
      </c>
      <c r="H72" s="50" t="str">
        <f>IF(Scoreboard!Y66="","",Scoreboard!Y66)</f>
        <v>2B</v>
      </c>
      <c r="L72" s="115">
        <f>IF(Scoreboard!Z66="","",Scoreboard!Z66)</f>
        <v>0</v>
      </c>
      <c r="X72">
        <v>3</v>
      </c>
      <c r="Y72" t="s">
        <v>188</v>
      </c>
      <c r="Z72">
        <v>0</v>
      </c>
    </row>
    <row r="73" spans="2:26" x14ac:dyDescent="0.5">
      <c r="B73" s="49" t="str">
        <f t="shared" si="0"/>
        <v/>
      </c>
      <c r="D73" s="50">
        <f>IF(Scoreboard!X67&gt;0,Scoreboard!X67,"")</f>
        <v>3</v>
      </c>
      <c r="H73" s="50" t="str">
        <f>IF(Scoreboard!Y67="","",Scoreboard!Y67)</f>
        <v>HR</v>
      </c>
      <c r="L73" s="115">
        <f>IF(Scoreboard!Z67="","",Scoreboard!Z67)</f>
        <v>2</v>
      </c>
      <c r="X73">
        <v>1</v>
      </c>
      <c r="Y73" t="s">
        <v>188</v>
      </c>
      <c r="Z73">
        <v>0</v>
      </c>
    </row>
    <row r="74" spans="2:26" x14ac:dyDescent="0.5">
      <c r="B74" s="49" t="str">
        <f t="shared" si="0"/>
        <v/>
      </c>
      <c r="D74" s="50">
        <f>IF(Scoreboard!X68&gt;0,Scoreboard!X68,"")</f>
        <v>4</v>
      </c>
      <c r="H74" s="50" t="str">
        <f>IF(Scoreboard!Y68="","",Scoreboard!Y68)</f>
        <v>Out</v>
      </c>
      <c r="L74" s="115">
        <f>IF(Scoreboard!Z68="","",Scoreboard!Z68)</f>
        <v>2</v>
      </c>
      <c r="X74">
        <v>2</v>
      </c>
      <c r="Y74" t="s">
        <v>188</v>
      </c>
      <c r="Z74">
        <v>0</v>
      </c>
    </row>
    <row r="75" spans="2:26" x14ac:dyDescent="0.5">
      <c r="B75" s="49" t="str">
        <f t="shared" si="0"/>
        <v/>
      </c>
      <c r="D75" s="50">
        <f>IF(Scoreboard!X69&gt;0,Scoreboard!X69,"")</f>
        <v>5</v>
      </c>
      <c r="H75" s="50" t="str">
        <f>IF(Scoreboard!Y69="","",Scoreboard!Y69)</f>
        <v>Out</v>
      </c>
      <c r="L75" s="115">
        <f>IF(Scoreboard!Z69="","",Scoreboard!Z69)</f>
        <v>2</v>
      </c>
      <c r="X75">
        <v>3</v>
      </c>
      <c r="Y75" t="s">
        <v>122</v>
      </c>
      <c r="Z75">
        <v>0</v>
      </c>
    </row>
    <row r="76" spans="2:26" x14ac:dyDescent="0.5">
      <c r="B76" s="49" t="str">
        <f t="shared" si="0"/>
        <v>CHANGE</v>
      </c>
      <c r="D76" s="50">
        <f>IF(Scoreboard!X70&gt;0,Scoreboard!X70,"")</f>
        <v>1</v>
      </c>
      <c r="H76" s="50" t="str">
        <f>IF(Scoreboard!Y70="","",Scoreboard!Y70)</f>
        <v>Out</v>
      </c>
      <c r="L76" s="115">
        <f>IF(Scoreboard!Z70="","",Scoreboard!Z70)</f>
        <v>0</v>
      </c>
      <c r="X76">
        <v>4</v>
      </c>
      <c r="Y76" t="s">
        <v>188</v>
      </c>
      <c r="Z76">
        <v>0</v>
      </c>
    </row>
    <row r="77" spans="2:26" x14ac:dyDescent="0.5">
      <c r="B77" s="49" t="str">
        <f t="shared" si="0"/>
        <v/>
      </c>
      <c r="D77" s="50">
        <f>IF(Scoreboard!X71&gt;0,Scoreboard!X71,"")</f>
        <v>2</v>
      </c>
      <c r="H77" s="50" t="str">
        <f>IF(Scoreboard!Y71="","",Scoreboard!Y71)</f>
        <v>Out</v>
      </c>
      <c r="L77" s="115">
        <f>IF(Scoreboard!Z71="","",Scoreboard!Z71)</f>
        <v>0</v>
      </c>
      <c r="X77">
        <v>1</v>
      </c>
      <c r="Y77" t="s">
        <v>188</v>
      </c>
      <c r="Z77">
        <v>0</v>
      </c>
    </row>
    <row r="78" spans="2:26" x14ac:dyDescent="0.5">
      <c r="B78" s="49" t="str">
        <f t="shared" si="0"/>
        <v/>
      </c>
      <c r="D78" s="50">
        <f>IF(Scoreboard!X72&gt;0,Scoreboard!X72,"")</f>
        <v>3</v>
      </c>
      <c r="H78" s="50" t="str">
        <f>IF(Scoreboard!Y72="","",Scoreboard!Y72)</f>
        <v>Out</v>
      </c>
      <c r="L78" s="115">
        <f>IF(Scoreboard!Z72="","",Scoreboard!Z72)</f>
        <v>0</v>
      </c>
      <c r="X78">
        <v>2</v>
      </c>
      <c r="Y78" t="s">
        <v>188</v>
      </c>
      <c r="Z78">
        <v>0</v>
      </c>
    </row>
    <row r="79" spans="2:26" x14ac:dyDescent="0.5">
      <c r="B79" s="49" t="str">
        <f t="shared" si="0"/>
        <v>CHANGE</v>
      </c>
      <c r="D79" s="50">
        <f>IF(Scoreboard!X73&gt;0,Scoreboard!X73,"")</f>
        <v>1</v>
      </c>
      <c r="H79" s="50" t="str">
        <f>IF(Scoreboard!Y73="","",Scoreboard!Y73)</f>
        <v>Out</v>
      </c>
      <c r="L79" s="115">
        <f>IF(Scoreboard!Z73="","",Scoreboard!Z73)</f>
        <v>0</v>
      </c>
      <c r="X79">
        <v>3</v>
      </c>
      <c r="Y79" t="s">
        <v>188</v>
      </c>
      <c r="Z79">
        <v>0</v>
      </c>
    </row>
    <row r="80" spans="2:26" x14ac:dyDescent="0.5">
      <c r="B80" s="49" t="str">
        <f t="shared" si="0"/>
        <v/>
      </c>
      <c r="D80" s="50">
        <f>IF(Scoreboard!X74&gt;0,Scoreboard!X74,"")</f>
        <v>2</v>
      </c>
      <c r="H80" s="50" t="str">
        <f>IF(Scoreboard!Y74="","",Scoreboard!Y74)</f>
        <v>Out</v>
      </c>
      <c r="L80" s="115">
        <f>IF(Scoreboard!Z74="","",Scoreboard!Z74)</f>
        <v>0</v>
      </c>
      <c r="X80">
        <v>1</v>
      </c>
      <c r="Y80" t="s">
        <v>188</v>
      </c>
      <c r="Z80">
        <v>0</v>
      </c>
    </row>
    <row r="81" spans="2:26" x14ac:dyDescent="0.5">
      <c r="B81" s="49" t="str">
        <f t="shared" si="0"/>
        <v/>
      </c>
      <c r="D81" s="50">
        <f>IF(Scoreboard!X75&gt;0,Scoreboard!X75,"")</f>
        <v>3</v>
      </c>
      <c r="H81" s="50" t="str">
        <f>IF(Scoreboard!Y75="","",Scoreboard!Y75)</f>
        <v>1B</v>
      </c>
      <c r="L81" s="115">
        <f>IF(Scoreboard!Z75="","",Scoreboard!Z75)</f>
        <v>0</v>
      </c>
      <c r="X81">
        <v>2</v>
      </c>
      <c r="Y81" t="s">
        <v>188</v>
      </c>
      <c r="Z81">
        <v>0</v>
      </c>
    </row>
    <row r="82" spans="2:26" x14ac:dyDescent="0.5">
      <c r="B82" s="49" t="str">
        <f t="shared" si="0"/>
        <v/>
      </c>
      <c r="D82" s="50">
        <f>IF(Scoreboard!X76&gt;0,Scoreboard!X76,"")</f>
        <v>4</v>
      </c>
      <c r="H82" s="50" t="str">
        <f>IF(Scoreboard!Y76="","",Scoreboard!Y76)</f>
        <v>Out</v>
      </c>
      <c r="L82" s="115">
        <f>IF(Scoreboard!Z76="","",Scoreboard!Z76)</f>
        <v>0</v>
      </c>
      <c r="X82">
        <v>3</v>
      </c>
      <c r="Y82" t="s">
        <v>188</v>
      </c>
      <c r="Z82">
        <v>0</v>
      </c>
    </row>
    <row r="83" spans="2:26" x14ac:dyDescent="0.5">
      <c r="B83" s="49" t="str">
        <f t="shared" si="0"/>
        <v>CHANGE</v>
      </c>
      <c r="D83" s="50">
        <f>IF(Scoreboard!X77&gt;0,Scoreboard!X77,"")</f>
        <v>1</v>
      </c>
      <c r="H83" s="50" t="str">
        <f>IF(Scoreboard!Y77="","",Scoreboard!Y77)</f>
        <v>Out</v>
      </c>
      <c r="L83" s="115">
        <f>IF(Scoreboard!Z77="","",Scoreboard!Z77)</f>
        <v>0</v>
      </c>
      <c r="X83">
        <v>1</v>
      </c>
      <c r="Y83" t="s">
        <v>13</v>
      </c>
      <c r="Z83">
        <v>0</v>
      </c>
    </row>
    <row r="84" spans="2:26" x14ac:dyDescent="0.5">
      <c r="B84" s="49" t="str">
        <f t="shared" si="0"/>
        <v/>
      </c>
      <c r="D84" s="50">
        <f>IF(Scoreboard!X78&gt;0,Scoreboard!X78,"")</f>
        <v>2</v>
      </c>
      <c r="H84" s="50" t="str">
        <f>IF(Scoreboard!Y78="","",Scoreboard!Y78)</f>
        <v>Out</v>
      </c>
      <c r="L84" s="115">
        <f>IF(Scoreboard!Z78="","",Scoreboard!Z78)</f>
        <v>0</v>
      </c>
      <c r="X84">
        <v>2</v>
      </c>
      <c r="Y84" t="s">
        <v>188</v>
      </c>
      <c r="Z84">
        <v>0</v>
      </c>
    </row>
    <row r="85" spans="2:26" x14ac:dyDescent="0.5">
      <c r="B85" s="49" t="str">
        <f t="shared" ref="B85:B148" si="1">IF(D85=1,"CHANGE","")</f>
        <v/>
      </c>
      <c r="D85" s="50">
        <f>IF(Scoreboard!X79&gt;0,Scoreboard!X79,"")</f>
        <v>3</v>
      </c>
      <c r="H85" s="50" t="str">
        <f>IF(Scoreboard!Y79="","",Scoreboard!Y79)</f>
        <v>Out</v>
      </c>
      <c r="L85" s="115">
        <f>IF(Scoreboard!Z79="","",Scoreboard!Z79)</f>
        <v>0</v>
      </c>
      <c r="X85">
        <v>3</v>
      </c>
      <c r="Y85" t="s">
        <v>122</v>
      </c>
      <c r="Z85">
        <v>1</v>
      </c>
    </row>
    <row r="86" spans="2:26" x14ac:dyDescent="0.5">
      <c r="B86" s="49" t="str">
        <f t="shared" si="1"/>
        <v>CHANGE</v>
      </c>
      <c r="D86" s="50">
        <f>IF(Scoreboard!X80&gt;0,Scoreboard!X80,"")</f>
        <v>1</v>
      </c>
      <c r="H86" s="50" t="str">
        <f>IF(Scoreboard!Y80="","",Scoreboard!Y80)</f>
        <v>Out</v>
      </c>
      <c r="L86" s="115">
        <f>IF(Scoreboard!Z80="","",Scoreboard!Z80)</f>
        <v>0</v>
      </c>
      <c r="X86">
        <v>4</v>
      </c>
      <c r="Y86" t="s">
        <v>188</v>
      </c>
      <c r="Z86">
        <v>1</v>
      </c>
    </row>
    <row r="87" spans="2:26" x14ac:dyDescent="0.5">
      <c r="B87" s="49" t="str">
        <f t="shared" si="1"/>
        <v/>
      </c>
      <c r="D87" s="50">
        <f>IF(Scoreboard!X81&gt;0,Scoreboard!X81,"")</f>
        <v>2</v>
      </c>
      <c r="H87" s="50" t="str">
        <f>IF(Scoreboard!Y81="","",Scoreboard!Y81)</f>
        <v>Out</v>
      </c>
      <c r="L87" s="115">
        <f>IF(Scoreboard!Z81="","",Scoreboard!Z81)</f>
        <v>0</v>
      </c>
      <c r="X87">
        <v>5</v>
      </c>
      <c r="Y87" t="s">
        <v>188</v>
      </c>
      <c r="Z87">
        <v>1</v>
      </c>
    </row>
    <row r="88" spans="2:26" x14ac:dyDescent="0.5">
      <c r="B88" s="49" t="str">
        <f t="shared" si="1"/>
        <v/>
      </c>
      <c r="D88" s="50">
        <f>IF(Scoreboard!X82&gt;0,Scoreboard!X82,"")</f>
        <v>3</v>
      </c>
      <c r="H88" s="50" t="str">
        <f>IF(Scoreboard!Y82="","",Scoreboard!Y82)</f>
        <v>Out</v>
      </c>
      <c r="L88" s="115">
        <f>IF(Scoreboard!Z82="","",Scoreboard!Z82)</f>
        <v>0</v>
      </c>
      <c r="X88">
        <v>1</v>
      </c>
      <c r="Y88" t="s">
        <v>13</v>
      </c>
      <c r="Z88">
        <v>0</v>
      </c>
    </row>
    <row r="89" spans="2:26" x14ac:dyDescent="0.5">
      <c r="B89" s="49" t="str">
        <f t="shared" si="1"/>
        <v>CHANGE</v>
      </c>
      <c r="D89" s="50">
        <f>IF(Scoreboard!X83&gt;0,Scoreboard!X83,"")</f>
        <v>1</v>
      </c>
      <c r="H89" s="50" t="str">
        <f>IF(Scoreboard!Y83="","",Scoreboard!Y83)</f>
        <v>2B</v>
      </c>
      <c r="L89" s="115">
        <f>IF(Scoreboard!Z83="","",Scoreboard!Z83)</f>
        <v>0</v>
      </c>
      <c r="X89">
        <v>2</v>
      </c>
      <c r="Y89" t="s">
        <v>188</v>
      </c>
      <c r="Z89">
        <v>0</v>
      </c>
    </row>
    <row r="90" spans="2:26" x14ac:dyDescent="0.5">
      <c r="B90" s="49" t="str">
        <f t="shared" si="1"/>
        <v/>
      </c>
      <c r="D90" s="50">
        <f>IF(Scoreboard!X84&gt;0,Scoreboard!X84,"")</f>
        <v>2</v>
      </c>
      <c r="H90" s="50" t="str">
        <f>IF(Scoreboard!Y84="","",Scoreboard!Y84)</f>
        <v>Out</v>
      </c>
      <c r="L90" s="115">
        <f>IF(Scoreboard!Z84="","",Scoreboard!Z84)</f>
        <v>0</v>
      </c>
      <c r="X90">
        <v>3</v>
      </c>
      <c r="Y90" t="s">
        <v>188</v>
      </c>
      <c r="Z90">
        <v>0</v>
      </c>
    </row>
    <row r="91" spans="2:26" x14ac:dyDescent="0.5">
      <c r="B91" s="49" t="str">
        <f t="shared" si="1"/>
        <v/>
      </c>
      <c r="D91" s="50">
        <f>IF(Scoreboard!X85&gt;0,Scoreboard!X85,"")</f>
        <v>3</v>
      </c>
      <c r="H91" s="50" t="str">
        <f>IF(Scoreboard!Y85="","",Scoreboard!Y85)</f>
        <v>1B</v>
      </c>
      <c r="L91" s="115">
        <f>IF(Scoreboard!Z85="","",Scoreboard!Z85)</f>
        <v>1</v>
      </c>
      <c r="X91">
        <v>4</v>
      </c>
      <c r="Y91" t="s">
        <v>188</v>
      </c>
      <c r="Z91">
        <v>0</v>
      </c>
    </row>
    <row r="92" spans="2:26" x14ac:dyDescent="0.5">
      <c r="B92" s="49" t="str">
        <f t="shared" si="1"/>
        <v/>
      </c>
      <c r="D92" s="50">
        <f>IF(Scoreboard!X86&gt;0,Scoreboard!X86,"")</f>
        <v>4</v>
      </c>
      <c r="H92" s="50" t="str">
        <f>IF(Scoreboard!Y86="","",Scoreboard!Y86)</f>
        <v>Out</v>
      </c>
      <c r="L92" s="115">
        <f>IF(Scoreboard!Z86="","",Scoreboard!Z86)</f>
        <v>1</v>
      </c>
      <c r="X92">
        <v>1</v>
      </c>
      <c r="Y92" t="s">
        <v>188</v>
      </c>
      <c r="Z92">
        <v>0</v>
      </c>
    </row>
    <row r="93" spans="2:26" x14ac:dyDescent="0.5">
      <c r="B93" s="49" t="str">
        <f t="shared" si="1"/>
        <v/>
      </c>
      <c r="D93" s="50">
        <f>IF(Scoreboard!X87&gt;0,Scoreboard!X87,"")</f>
        <v>5</v>
      </c>
      <c r="H93" s="50" t="str">
        <f>IF(Scoreboard!Y87="","",Scoreboard!Y87)</f>
        <v>Out</v>
      </c>
      <c r="L93" s="115">
        <f>IF(Scoreboard!Z87="","",Scoreboard!Z87)</f>
        <v>1</v>
      </c>
      <c r="X93">
        <v>2</v>
      </c>
      <c r="Y93" t="s">
        <v>188</v>
      </c>
      <c r="Z93">
        <v>0</v>
      </c>
    </row>
    <row r="94" spans="2:26" x14ac:dyDescent="0.5">
      <c r="B94" s="49" t="str">
        <f t="shared" si="1"/>
        <v>CHANGE</v>
      </c>
      <c r="D94" s="50">
        <f>IF(Scoreboard!X88&gt;0,Scoreboard!X88,"")</f>
        <v>1</v>
      </c>
      <c r="H94" s="50" t="str">
        <f>IF(Scoreboard!Y88="","",Scoreboard!Y88)</f>
        <v>2B</v>
      </c>
      <c r="L94" s="115">
        <f>IF(Scoreboard!Z88="","",Scoreboard!Z88)</f>
        <v>0</v>
      </c>
      <c r="X94">
        <v>3</v>
      </c>
      <c r="Y94" t="s">
        <v>122</v>
      </c>
      <c r="Z94">
        <v>0</v>
      </c>
    </row>
    <row r="95" spans="2:26" x14ac:dyDescent="0.5">
      <c r="B95" s="49" t="str">
        <f t="shared" si="1"/>
        <v/>
      </c>
      <c r="D95" s="50">
        <f>IF(Scoreboard!X89&gt;0,Scoreboard!X89,"")</f>
        <v>2</v>
      </c>
      <c r="H95" s="50" t="str">
        <f>IF(Scoreboard!Y89="","",Scoreboard!Y89)</f>
        <v>Out</v>
      </c>
      <c r="L95" s="115">
        <f>IF(Scoreboard!Z89="","",Scoreboard!Z89)</f>
        <v>0</v>
      </c>
      <c r="X95">
        <v>4</v>
      </c>
      <c r="Y95" t="s">
        <v>13</v>
      </c>
      <c r="Z95">
        <v>1</v>
      </c>
    </row>
    <row r="96" spans="2:26" x14ac:dyDescent="0.5">
      <c r="B96" s="49" t="str">
        <f t="shared" si="1"/>
        <v/>
      </c>
      <c r="D96" s="50">
        <f>IF(Scoreboard!X90&gt;0,Scoreboard!X90,"")</f>
        <v>3</v>
      </c>
      <c r="H96" s="50" t="str">
        <f>IF(Scoreboard!Y90="","",Scoreboard!Y90)</f>
        <v>Out</v>
      </c>
      <c r="L96" s="115">
        <f>IF(Scoreboard!Z90="","",Scoreboard!Z90)</f>
        <v>0</v>
      </c>
      <c r="X96">
        <v>5</v>
      </c>
      <c r="Y96" t="s">
        <v>16</v>
      </c>
      <c r="Z96">
        <v>1</v>
      </c>
    </row>
    <row r="97" spans="2:26" x14ac:dyDescent="0.5">
      <c r="B97" s="49" t="str">
        <f t="shared" si="1"/>
        <v/>
      </c>
      <c r="D97" s="50">
        <f>IF(Scoreboard!X91&gt;0,Scoreboard!X91,"")</f>
        <v>4</v>
      </c>
      <c r="H97" s="50" t="str">
        <f>IF(Scoreboard!Y91="","",Scoreboard!Y91)</f>
        <v>Out</v>
      </c>
      <c r="L97" s="115">
        <f>IF(Scoreboard!Z91="","",Scoreboard!Z91)</f>
        <v>0</v>
      </c>
      <c r="X97">
        <v>6</v>
      </c>
      <c r="Y97" t="s">
        <v>188</v>
      </c>
      <c r="Z97">
        <v>1</v>
      </c>
    </row>
    <row r="98" spans="2:26" x14ac:dyDescent="0.5">
      <c r="B98" s="49" t="str">
        <f t="shared" si="1"/>
        <v>CHANGE</v>
      </c>
      <c r="D98" s="50">
        <f>IF(Scoreboard!X92&gt;0,Scoreboard!X92,"")</f>
        <v>1</v>
      </c>
      <c r="H98" s="50" t="str">
        <f>IF(Scoreboard!Y92="","",Scoreboard!Y92)</f>
        <v>Out</v>
      </c>
      <c r="L98" s="115">
        <f>IF(Scoreboard!Z92="","",Scoreboard!Z92)</f>
        <v>0</v>
      </c>
      <c r="X98">
        <v>1</v>
      </c>
      <c r="Y98" t="s">
        <v>188</v>
      </c>
      <c r="Z98">
        <v>0</v>
      </c>
    </row>
    <row r="99" spans="2:26" x14ac:dyDescent="0.5">
      <c r="B99" s="49" t="str">
        <f t="shared" si="1"/>
        <v/>
      </c>
      <c r="D99" s="50">
        <f>IF(Scoreboard!X93&gt;0,Scoreboard!X93,"")</f>
        <v>2</v>
      </c>
      <c r="H99" s="50" t="str">
        <f>IF(Scoreboard!Y93="","",Scoreboard!Y93)</f>
        <v>Out</v>
      </c>
      <c r="L99" s="115">
        <f>IF(Scoreboard!Z93="","",Scoreboard!Z93)</f>
        <v>0</v>
      </c>
      <c r="X99">
        <v>2</v>
      </c>
      <c r="Y99" t="s">
        <v>13</v>
      </c>
      <c r="Z99">
        <v>0</v>
      </c>
    </row>
    <row r="100" spans="2:26" x14ac:dyDescent="0.5">
      <c r="B100" s="49" t="str">
        <f t="shared" si="1"/>
        <v/>
      </c>
      <c r="D100" s="50">
        <f>IF(Scoreboard!X94&gt;0,Scoreboard!X94,"")</f>
        <v>3</v>
      </c>
      <c r="H100" s="50" t="str">
        <f>IF(Scoreboard!Y94="","",Scoreboard!Y94)</f>
        <v>1B</v>
      </c>
      <c r="L100" s="115">
        <f>IF(Scoreboard!Z94="","",Scoreboard!Z94)</f>
        <v>0</v>
      </c>
      <c r="X100">
        <v>3</v>
      </c>
      <c r="Y100" t="s">
        <v>188</v>
      </c>
      <c r="Z100">
        <v>0</v>
      </c>
    </row>
    <row r="101" spans="2:26" x14ac:dyDescent="0.5">
      <c r="B101" s="49" t="str">
        <f t="shared" si="1"/>
        <v/>
      </c>
      <c r="D101" s="50">
        <f>IF(Scoreboard!X95&gt;0,Scoreboard!X95,"")</f>
        <v>4</v>
      </c>
      <c r="H101" s="50" t="str">
        <f>IF(Scoreboard!Y95="","",Scoreboard!Y95)</f>
        <v>2B</v>
      </c>
      <c r="L101" s="115">
        <f>IF(Scoreboard!Z95="","",Scoreboard!Z95)</f>
        <v>1</v>
      </c>
      <c r="X101">
        <v>4</v>
      </c>
      <c r="Y101" t="s">
        <v>188</v>
      </c>
      <c r="Z101">
        <v>0</v>
      </c>
    </row>
    <row r="102" spans="2:26" x14ac:dyDescent="0.5">
      <c r="B102" s="49" t="str">
        <f t="shared" si="1"/>
        <v/>
      </c>
      <c r="D102" s="50">
        <f>IF(Scoreboard!X96&gt;0,Scoreboard!X96,"")</f>
        <v>5</v>
      </c>
      <c r="H102" s="50" t="str">
        <f>IF(Scoreboard!Y96="","",Scoreboard!Y96)</f>
        <v>BB</v>
      </c>
      <c r="L102" s="115">
        <f>IF(Scoreboard!Z96="","",Scoreboard!Z96)</f>
        <v>1</v>
      </c>
    </row>
    <row r="103" spans="2:26" x14ac:dyDescent="0.5">
      <c r="B103" s="49" t="str">
        <f t="shared" si="1"/>
        <v/>
      </c>
      <c r="D103" s="50">
        <f>IF(Scoreboard!X97&gt;0,Scoreboard!X97,"")</f>
        <v>6</v>
      </c>
      <c r="H103" s="50" t="str">
        <f>IF(Scoreboard!Y97="","",Scoreboard!Y97)</f>
        <v>Out</v>
      </c>
      <c r="L103" s="115">
        <f>IF(Scoreboard!Z97="","",Scoreboard!Z97)</f>
        <v>1</v>
      </c>
    </row>
    <row r="104" spans="2:26" x14ac:dyDescent="0.5">
      <c r="B104" s="49" t="str">
        <f t="shared" si="1"/>
        <v>CHANGE</v>
      </c>
      <c r="D104" s="50">
        <f>IF(Scoreboard!X98&gt;0,Scoreboard!X98,"")</f>
        <v>1</v>
      </c>
      <c r="H104" s="50" t="str">
        <f>IF(Scoreboard!Y98="","",Scoreboard!Y98)</f>
        <v>Out</v>
      </c>
      <c r="L104" s="115">
        <f>IF(Scoreboard!Z98="","",Scoreboard!Z98)</f>
        <v>0</v>
      </c>
    </row>
    <row r="105" spans="2:26" x14ac:dyDescent="0.5">
      <c r="B105" s="49" t="str">
        <f t="shared" si="1"/>
        <v/>
      </c>
      <c r="D105" s="50">
        <f>IF(Scoreboard!X99&gt;0,Scoreboard!X99,"")</f>
        <v>2</v>
      </c>
      <c r="H105" s="50" t="str">
        <f>IF(Scoreboard!Y99="","",Scoreboard!Y99)</f>
        <v>2B</v>
      </c>
      <c r="L105" s="115">
        <f>IF(Scoreboard!Z99="","",Scoreboard!Z99)</f>
        <v>0</v>
      </c>
    </row>
    <row r="106" spans="2:26" x14ac:dyDescent="0.5">
      <c r="B106" s="49" t="str">
        <f t="shared" si="1"/>
        <v/>
      </c>
      <c r="D106" s="50">
        <f>IF(Scoreboard!X100&gt;0,Scoreboard!X100,"")</f>
        <v>3</v>
      </c>
      <c r="H106" s="50" t="str">
        <f>IF(Scoreboard!Y100="","",Scoreboard!Y100)</f>
        <v>Out</v>
      </c>
      <c r="L106" s="115">
        <f>IF(Scoreboard!Z100="","",Scoreboard!Z100)</f>
        <v>0</v>
      </c>
    </row>
    <row r="107" spans="2:26" x14ac:dyDescent="0.5">
      <c r="B107" s="49" t="str">
        <f t="shared" si="1"/>
        <v/>
      </c>
      <c r="D107" s="50">
        <f>IF(Scoreboard!X101&gt;0,Scoreboard!X101,"")</f>
        <v>4</v>
      </c>
      <c r="H107" s="50" t="str">
        <f>IF(Scoreboard!Y101="","",Scoreboard!Y101)</f>
        <v>Out</v>
      </c>
      <c r="L107" s="115">
        <f>IF(Scoreboard!Z101="","",Scoreboard!Z101)</f>
        <v>0</v>
      </c>
    </row>
    <row r="108" spans="2:26" x14ac:dyDescent="0.5">
      <c r="B108" s="49" t="str">
        <f t="shared" si="1"/>
        <v/>
      </c>
      <c r="D108" s="50" t="str">
        <f>IF(Scoreboard!X102&gt;0,Scoreboard!X102,"")</f>
        <v/>
      </c>
      <c r="H108" s="50" t="str">
        <f>IF(Scoreboard!Y102="","",Scoreboard!Y102)</f>
        <v/>
      </c>
      <c r="L108" s="115" t="str">
        <f>IF(Scoreboard!Z102="","",Scoreboard!Z102)</f>
        <v/>
      </c>
    </row>
    <row r="109" spans="2:26" x14ac:dyDescent="0.5">
      <c r="B109" s="49" t="str">
        <f t="shared" si="1"/>
        <v/>
      </c>
      <c r="D109" s="50" t="str">
        <f>IF(Scoreboard!X103&gt;0,Scoreboard!X103,"")</f>
        <v/>
      </c>
      <c r="H109" s="50" t="str">
        <f>IF(Scoreboard!Y103="","",Scoreboard!Y103)</f>
        <v/>
      </c>
      <c r="L109" s="115" t="str">
        <f>IF(Scoreboard!Z103="","",Scoreboard!Z103)</f>
        <v/>
      </c>
    </row>
    <row r="110" spans="2:26" x14ac:dyDescent="0.5">
      <c r="B110" s="49" t="str">
        <f t="shared" si="1"/>
        <v/>
      </c>
      <c r="D110" s="50" t="str">
        <f>IF(Scoreboard!X104&gt;0,Scoreboard!X104,"")</f>
        <v/>
      </c>
      <c r="H110" s="50" t="str">
        <f>IF(Scoreboard!Y104="","",Scoreboard!Y104)</f>
        <v/>
      </c>
      <c r="L110" s="115" t="str">
        <f>IF(Scoreboard!Z104="","",Scoreboard!Z104)</f>
        <v/>
      </c>
    </row>
    <row r="111" spans="2:26" x14ac:dyDescent="0.5">
      <c r="B111" s="49" t="str">
        <f t="shared" si="1"/>
        <v/>
      </c>
      <c r="D111" s="50" t="str">
        <f>IF(Scoreboard!X105&gt;0,Scoreboard!X105,"")</f>
        <v/>
      </c>
      <c r="H111" s="50" t="str">
        <f>IF(Scoreboard!Y105="","",Scoreboard!Y105)</f>
        <v/>
      </c>
      <c r="L111" s="115" t="str">
        <f>IF(Scoreboard!Z105="","",Scoreboard!Z105)</f>
        <v/>
      </c>
    </row>
    <row r="112" spans="2:26" x14ac:dyDescent="0.5">
      <c r="B112" s="49" t="str">
        <f t="shared" si="1"/>
        <v/>
      </c>
      <c r="D112" s="50" t="str">
        <f>IF(Scoreboard!X106&gt;0,Scoreboard!X106,"")</f>
        <v/>
      </c>
      <c r="H112" s="50" t="str">
        <f>IF(Scoreboard!Y106="","",Scoreboard!Y106)</f>
        <v/>
      </c>
      <c r="L112" s="115" t="str">
        <f>IF(Scoreboard!Z106="","",Scoreboard!Z106)</f>
        <v/>
      </c>
    </row>
    <row r="113" spans="2:12" x14ac:dyDescent="0.5">
      <c r="B113" s="49" t="str">
        <f t="shared" si="1"/>
        <v/>
      </c>
      <c r="D113" s="50" t="str">
        <f>IF(Scoreboard!X107&gt;0,Scoreboard!X107,"")</f>
        <v/>
      </c>
      <c r="H113" s="50" t="str">
        <f>IF(Scoreboard!Y107="","",Scoreboard!Y107)</f>
        <v/>
      </c>
      <c r="L113" s="115" t="str">
        <f>IF(Scoreboard!Z107="","",Scoreboard!Z107)</f>
        <v/>
      </c>
    </row>
    <row r="114" spans="2:12" x14ac:dyDescent="0.5">
      <c r="B114" s="49" t="str">
        <f t="shared" si="1"/>
        <v/>
      </c>
      <c r="D114" s="50" t="str">
        <f>IF(Scoreboard!X108&gt;0,Scoreboard!X108,"")</f>
        <v/>
      </c>
      <c r="H114" s="50" t="str">
        <f>IF(Scoreboard!Y108="","",Scoreboard!Y108)</f>
        <v/>
      </c>
      <c r="L114" s="115" t="str">
        <f>IF(Scoreboard!Z108="","",Scoreboard!Z108)</f>
        <v/>
      </c>
    </row>
    <row r="115" spans="2:12" x14ac:dyDescent="0.5">
      <c r="B115" s="49" t="str">
        <f t="shared" si="1"/>
        <v/>
      </c>
      <c r="D115" s="50" t="str">
        <f>IF(Scoreboard!X109&gt;0,Scoreboard!X109,"")</f>
        <v/>
      </c>
      <c r="H115" s="50" t="str">
        <f>IF(Scoreboard!Y109="","",Scoreboard!Y109)</f>
        <v/>
      </c>
      <c r="L115" s="115" t="str">
        <f>IF(Scoreboard!Z109="","",Scoreboard!Z109)</f>
        <v/>
      </c>
    </row>
    <row r="116" spans="2:12" x14ac:dyDescent="0.5">
      <c r="B116" s="49" t="str">
        <f t="shared" si="1"/>
        <v/>
      </c>
      <c r="D116" s="50" t="str">
        <f>IF(Scoreboard!X110&gt;0,Scoreboard!X110,"")</f>
        <v/>
      </c>
      <c r="H116" s="50" t="str">
        <f>IF(Scoreboard!Y110="","",Scoreboard!Y110)</f>
        <v/>
      </c>
      <c r="L116" s="115" t="str">
        <f>IF(Scoreboard!Z110="","",Scoreboard!Z110)</f>
        <v/>
      </c>
    </row>
    <row r="117" spans="2:12" x14ac:dyDescent="0.5">
      <c r="B117" s="49" t="str">
        <f t="shared" si="1"/>
        <v/>
      </c>
      <c r="D117" s="50" t="str">
        <f>IF(Scoreboard!X111&gt;0,Scoreboard!X111,"")</f>
        <v/>
      </c>
      <c r="H117" s="50" t="str">
        <f>IF(Scoreboard!Y111="","",Scoreboard!Y111)</f>
        <v/>
      </c>
      <c r="L117" s="115" t="str">
        <f>IF(Scoreboard!Z111="","",Scoreboard!Z111)</f>
        <v/>
      </c>
    </row>
    <row r="118" spans="2:12" x14ac:dyDescent="0.5">
      <c r="B118" s="49" t="str">
        <f t="shared" si="1"/>
        <v/>
      </c>
      <c r="D118" s="50" t="str">
        <f>IF(Scoreboard!X112&gt;0,Scoreboard!X112,"")</f>
        <v/>
      </c>
      <c r="H118" s="50" t="str">
        <f>IF(Scoreboard!Y112="","",Scoreboard!Y112)</f>
        <v/>
      </c>
      <c r="L118" s="115" t="str">
        <f>IF(Scoreboard!Z112="","",Scoreboard!Z112)</f>
        <v/>
      </c>
    </row>
    <row r="119" spans="2:12" x14ac:dyDescent="0.5">
      <c r="B119" s="49" t="str">
        <f t="shared" si="1"/>
        <v/>
      </c>
      <c r="D119" s="50" t="str">
        <f>IF(Scoreboard!X113&gt;0,Scoreboard!X113,"")</f>
        <v/>
      </c>
      <c r="H119" s="50" t="str">
        <f>IF(Scoreboard!Y113="","",Scoreboard!Y113)</f>
        <v/>
      </c>
      <c r="L119" s="115" t="str">
        <f>IF(Scoreboard!Z113="","",Scoreboard!Z113)</f>
        <v/>
      </c>
    </row>
    <row r="120" spans="2:12" x14ac:dyDescent="0.5">
      <c r="B120" s="49" t="str">
        <f t="shared" si="1"/>
        <v/>
      </c>
      <c r="D120" s="50" t="str">
        <f>IF(Scoreboard!X114&gt;0,Scoreboard!X114,"")</f>
        <v/>
      </c>
      <c r="H120" s="50" t="str">
        <f>IF(Scoreboard!Y114="","",Scoreboard!Y114)</f>
        <v/>
      </c>
      <c r="L120" s="115" t="str">
        <f>IF(Scoreboard!Z114="","",Scoreboard!Z114)</f>
        <v/>
      </c>
    </row>
    <row r="121" spans="2:12" x14ac:dyDescent="0.5">
      <c r="B121" s="49" t="str">
        <f t="shared" si="1"/>
        <v/>
      </c>
      <c r="D121" s="50" t="str">
        <f>IF(Scoreboard!X115&gt;0,Scoreboard!X115,"")</f>
        <v/>
      </c>
      <c r="H121" s="50" t="str">
        <f>IF(Scoreboard!Y115="","",Scoreboard!Y115)</f>
        <v/>
      </c>
      <c r="L121" s="115" t="str">
        <f>IF(Scoreboard!Z115="","",Scoreboard!Z115)</f>
        <v/>
      </c>
    </row>
    <row r="122" spans="2:12" x14ac:dyDescent="0.5">
      <c r="B122" s="49" t="str">
        <f t="shared" si="1"/>
        <v/>
      </c>
      <c r="D122" s="50" t="str">
        <f>IF(Scoreboard!X116&gt;0,Scoreboard!X116,"")</f>
        <v/>
      </c>
      <c r="H122" s="50" t="str">
        <f>IF(Scoreboard!Y116="","",Scoreboard!Y116)</f>
        <v/>
      </c>
      <c r="L122" s="115" t="str">
        <f>IF(Scoreboard!Z116="","",Scoreboard!Z116)</f>
        <v/>
      </c>
    </row>
    <row r="123" spans="2:12" x14ac:dyDescent="0.5">
      <c r="B123" s="49" t="str">
        <f t="shared" si="1"/>
        <v/>
      </c>
      <c r="D123" s="50" t="str">
        <f>IF(Scoreboard!X117&gt;0,Scoreboard!X117,"")</f>
        <v/>
      </c>
      <c r="H123" s="50" t="str">
        <f>IF(Scoreboard!Y117="","",Scoreboard!Y117)</f>
        <v/>
      </c>
      <c r="L123" s="115" t="str">
        <f>IF(Scoreboard!Z117="","",Scoreboard!Z117)</f>
        <v/>
      </c>
    </row>
    <row r="124" spans="2:12" x14ac:dyDescent="0.5">
      <c r="B124" s="49" t="str">
        <f t="shared" si="1"/>
        <v/>
      </c>
      <c r="D124" s="50" t="str">
        <f>IF(Scoreboard!X118&gt;0,Scoreboard!X118,"")</f>
        <v/>
      </c>
      <c r="H124" s="50" t="str">
        <f>IF(Scoreboard!Y118="","",Scoreboard!Y118)</f>
        <v/>
      </c>
      <c r="L124" s="115" t="str">
        <f>IF(Scoreboard!Z118="","",Scoreboard!Z118)</f>
        <v/>
      </c>
    </row>
    <row r="125" spans="2:12" x14ac:dyDescent="0.5">
      <c r="B125" s="49" t="str">
        <f t="shared" si="1"/>
        <v/>
      </c>
      <c r="D125" s="50" t="str">
        <f>IF(Scoreboard!X119&gt;0,Scoreboard!X119,"")</f>
        <v/>
      </c>
      <c r="H125" s="50" t="str">
        <f>IF(Scoreboard!Y119="","",Scoreboard!Y119)</f>
        <v/>
      </c>
      <c r="L125" s="115" t="str">
        <f>IF(Scoreboard!Z119="","",Scoreboard!Z119)</f>
        <v/>
      </c>
    </row>
    <row r="126" spans="2:12" x14ac:dyDescent="0.5">
      <c r="B126" s="49" t="str">
        <f t="shared" si="1"/>
        <v/>
      </c>
      <c r="D126" s="50" t="str">
        <f>IF(Scoreboard!X120&gt;0,Scoreboard!X120,"")</f>
        <v/>
      </c>
      <c r="H126" s="50" t="str">
        <f>IF(Scoreboard!Y120="","",Scoreboard!Y120)</f>
        <v/>
      </c>
      <c r="L126" s="115" t="str">
        <f>IF(Scoreboard!Z120="","",Scoreboard!Z120)</f>
        <v/>
      </c>
    </row>
    <row r="127" spans="2:12" x14ac:dyDescent="0.5">
      <c r="B127" s="49" t="str">
        <f t="shared" si="1"/>
        <v/>
      </c>
      <c r="D127" s="50" t="str">
        <f>IF(Scoreboard!X121&gt;0,Scoreboard!X121,"")</f>
        <v/>
      </c>
      <c r="H127" s="50" t="str">
        <f>IF(Scoreboard!Y121="","",Scoreboard!Y121)</f>
        <v/>
      </c>
      <c r="L127" s="115" t="str">
        <f>IF(Scoreboard!Z121="","",Scoreboard!Z121)</f>
        <v/>
      </c>
    </row>
    <row r="128" spans="2:12" x14ac:dyDescent="0.5">
      <c r="B128" s="49" t="str">
        <f t="shared" si="1"/>
        <v/>
      </c>
      <c r="D128" s="50" t="str">
        <f>IF(Scoreboard!X122&gt;0,Scoreboard!X122,"")</f>
        <v/>
      </c>
      <c r="H128" s="50" t="str">
        <f>IF(Scoreboard!Y122="","",Scoreboard!Y122)</f>
        <v/>
      </c>
      <c r="L128" s="115" t="str">
        <f>IF(Scoreboard!Z122="","",Scoreboard!Z122)</f>
        <v/>
      </c>
    </row>
    <row r="129" spans="2:12" x14ac:dyDescent="0.5">
      <c r="B129" s="49" t="str">
        <f t="shared" si="1"/>
        <v/>
      </c>
      <c r="D129" s="50" t="str">
        <f>IF(Scoreboard!X123&gt;0,Scoreboard!X123,"")</f>
        <v/>
      </c>
      <c r="H129" s="50" t="str">
        <f>IF(Scoreboard!Y123="","",Scoreboard!Y123)</f>
        <v/>
      </c>
      <c r="L129" s="115" t="str">
        <f>IF(Scoreboard!Z123="","",Scoreboard!Z123)</f>
        <v/>
      </c>
    </row>
    <row r="130" spans="2:12" x14ac:dyDescent="0.5">
      <c r="B130" s="49" t="str">
        <f t="shared" si="1"/>
        <v/>
      </c>
      <c r="D130" s="50" t="str">
        <f>IF(Scoreboard!X124&gt;0,Scoreboard!X124,"")</f>
        <v/>
      </c>
      <c r="H130" s="50" t="str">
        <f>IF(Scoreboard!Y124="","",Scoreboard!Y124)</f>
        <v/>
      </c>
      <c r="L130" s="115" t="str">
        <f>IF(Scoreboard!Z124="","",Scoreboard!Z124)</f>
        <v/>
      </c>
    </row>
    <row r="131" spans="2:12" x14ac:dyDescent="0.5">
      <c r="B131" s="49" t="str">
        <f t="shared" si="1"/>
        <v/>
      </c>
      <c r="D131" s="50" t="str">
        <f>IF(Scoreboard!X125&gt;0,Scoreboard!X125,"")</f>
        <v/>
      </c>
      <c r="H131" s="50" t="str">
        <f>IF(Scoreboard!Y125="","",Scoreboard!Y125)</f>
        <v/>
      </c>
      <c r="L131" s="115" t="str">
        <f>IF(Scoreboard!Z125="","",Scoreboard!Z125)</f>
        <v/>
      </c>
    </row>
    <row r="132" spans="2:12" x14ac:dyDescent="0.5">
      <c r="B132" s="49" t="str">
        <f t="shared" si="1"/>
        <v/>
      </c>
      <c r="D132" s="50" t="str">
        <f>IF(Scoreboard!X126&gt;0,Scoreboard!X126,"")</f>
        <v/>
      </c>
      <c r="H132" s="50" t="str">
        <f>IF(Scoreboard!Y126="","",Scoreboard!Y126)</f>
        <v/>
      </c>
      <c r="L132" s="115" t="str">
        <f>IF(Scoreboard!Z126="","",Scoreboard!Z126)</f>
        <v/>
      </c>
    </row>
    <row r="133" spans="2:12" x14ac:dyDescent="0.5">
      <c r="B133" s="49" t="str">
        <f t="shared" si="1"/>
        <v/>
      </c>
      <c r="D133" s="50" t="str">
        <f>IF(Scoreboard!X127&gt;0,Scoreboard!X127,"")</f>
        <v/>
      </c>
      <c r="H133" s="50" t="str">
        <f>IF(Scoreboard!Y127="","",Scoreboard!Y127)</f>
        <v/>
      </c>
      <c r="L133" s="115" t="str">
        <f>IF(Scoreboard!Z127="","",Scoreboard!Z127)</f>
        <v/>
      </c>
    </row>
    <row r="134" spans="2:12" x14ac:dyDescent="0.5">
      <c r="B134" s="49" t="str">
        <f t="shared" si="1"/>
        <v/>
      </c>
      <c r="D134" s="50" t="str">
        <f>IF(Scoreboard!X128&gt;0,Scoreboard!X128,"")</f>
        <v/>
      </c>
      <c r="H134" s="50" t="str">
        <f>IF(Scoreboard!Y128="","",Scoreboard!Y128)</f>
        <v/>
      </c>
      <c r="L134" s="115" t="str">
        <f>IF(Scoreboard!Z128="","",Scoreboard!Z128)</f>
        <v/>
      </c>
    </row>
    <row r="135" spans="2:12" x14ac:dyDescent="0.5">
      <c r="B135" s="49" t="str">
        <f t="shared" si="1"/>
        <v/>
      </c>
      <c r="D135" s="50" t="str">
        <f>IF(Scoreboard!X129&gt;0,Scoreboard!X129,"")</f>
        <v/>
      </c>
      <c r="H135" s="50" t="str">
        <f>IF(Scoreboard!Y129="","",Scoreboard!Y129)</f>
        <v/>
      </c>
      <c r="L135" s="115" t="str">
        <f>IF(Scoreboard!Z129="","",Scoreboard!Z129)</f>
        <v/>
      </c>
    </row>
    <row r="136" spans="2:12" x14ac:dyDescent="0.5">
      <c r="B136" s="49" t="str">
        <f t="shared" si="1"/>
        <v/>
      </c>
      <c r="D136" s="50" t="str">
        <f>IF(Scoreboard!X130&gt;0,Scoreboard!X130,"")</f>
        <v/>
      </c>
      <c r="H136" s="50" t="str">
        <f>IF(Scoreboard!Y130="","",Scoreboard!Y130)</f>
        <v/>
      </c>
      <c r="L136" s="115" t="str">
        <f>IF(Scoreboard!Z130="","",Scoreboard!Z130)</f>
        <v/>
      </c>
    </row>
    <row r="137" spans="2:12" x14ac:dyDescent="0.5">
      <c r="B137" s="49" t="str">
        <f t="shared" si="1"/>
        <v/>
      </c>
      <c r="D137" s="50" t="str">
        <f>IF(Scoreboard!X131&gt;0,Scoreboard!X131,"")</f>
        <v/>
      </c>
      <c r="H137" s="50" t="str">
        <f>IF(Scoreboard!Y131="","",Scoreboard!Y131)</f>
        <v/>
      </c>
      <c r="L137" s="115" t="str">
        <f>IF(Scoreboard!Z131="","",Scoreboard!Z131)</f>
        <v/>
      </c>
    </row>
    <row r="138" spans="2:12" x14ac:dyDescent="0.5">
      <c r="B138" s="49" t="str">
        <f t="shared" si="1"/>
        <v/>
      </c>
      <c r="D138" s="50" t="str">
        <f>IF(Scoreboard!X132&gt;0,Scoreboard!X132,"")</f>
        <v/>
      </c>
      <c r="H138" s="50" t="str">
        <f>IF(Scoreboard!Y132="","",Scoreboard!Y132)</f>
        <v/>
      </c>
      <c r="L138" s="115" t="str">
        <f>IF(Scoreboard!Z132="","",Scoreboard!Z132)</f>
        <v/>
      </c>
    </row>
    <row r="139" spans="2:12" x14ac:dyDescent="0.5">
      <c r="B139" s="49" t="str">
        <f t="shared" si="1"/>
        <v/>
      </c>
      <c r="D139" s="50" t="str">
        <f>IF(Scoreboard!X133&gt;0,Scoreboard!X133,"")</f>
        <v/>
      </c>
      <c r="H139" s="50" t="str">
        <f>IF(Scoreboard!Y133="","",Scoreboard!Y133)</f>
        <v/>
      </c>
      <c r="L139" s="115" t="str">
        <f>IF(Scoreboard!Z133="","",Scoreboard!Z133)</f>
        <v/>
      </c>
    </row>
    <row r="140" spans="2:12" x14ac:dyDescent="0.5">
      <c r="B140" s="49" t="str">
        <f t="shared" si="1"/>
        <v/>
      </c>
      <c r="D140" s="50" t="str">
        <f>IF(Scoreboard!X134&gt;0,Scoreboard!X134,"")</f>
        <v/>
      </c>
      <c r="H140" s="50" t="str">
        <f>IF(Scoreboard!Y134="","",Scoreboard!Y134)</f>
        <v/>
      </c>
      <c r="L140" s="115" t="str">
        <f>IF(Scoreboard!Z134="","",Scoreboard!Z134)</f>
        <v/>
      </c>
    </row>
    <row r="141" spans="2:12" x14ac:dyDescent="0.5">
      <c r="B141" s="49" t="str">
        <f t="shared" si="1"/>
        <v/>
      </c>
      <c r="D141" s="50" t="str">
        <f>IF(Scoreboard!X135&gt;0,Scoreboard!X135,"")</f>
        <v/>
      </c>
      <c r="H141" s="50" t="str">
        <f>IF(Scoreboard!Y135="","",Scoreboard!Y135)</f>
        <v/>
      </c>
      <c r="L141" s="115" t="str">
        <f>IF(Scoreboard!Z135="","",Scoreboard!Z135)</f>
        <v/>
      </c>
    </row>
    <row r="142" spans="2:12" x14ac:dyDescent="0.5">
      <c r="B142" s="49" t="str">
        <f t="shared" si="1"/>
        <v/>
      </c>
      <c r="D142" s="50" t="str">
        <f>IF(Scoreboard!X136&gt;0,Scoreboard!X136,"")</f>
        <v/>
      </c>
      <c r="H142" s="50" t="str">
        <f>IF(Scoreboard!Y136="","",Scoreboard!Y136)</f>
        <v/>
      </c>
      <c r="L142" s="115" t="str">
        <f>IF(Scoreboard!Z136="","",Scoreboard!Z136)</f>
        <v/>
      </c>
    </row>
    <row r="143" spans="2:12" x14ac:dyDescent="0.5">
      <c r="B143" s="49" t="str">
        <f t="shared" si="1"/>
        <v/>
      </c>
      <c r="D143" s="50" t="str">
        <f>IF(Scoreboard!X137&gt;0,Scoreboard!X137,"")</f>
        <v/>
      </c>
      <c r="H143" s="50" t="str">
        <f>IF(Scoreboard!Y137="","",Scoreboard!Y137)</f>
        <v/>
      </c>
      <c r="L143" s="115" t="str">
        <f>IF(Scoreboard!Z137="","",Scoreboard!Z137)</f>
        <v/>
      </c>
    </row>
    <row r="144" spans="2:12" x14ac:dyDescent="0.5">
      <c r="B144" s="49" t="str">
        <f t="shared" si="1"/>
        <v/>
      </c>
      <c r="D144" s="50" t="str">
        <f>IF(Scoreboard!X138&gt;0,Scoreboard!X138,"")</f>
        <v/>
      </c>
      <c r="H144" s="50" t="str">
        <f>IF(Scoreboard!Y138="","",Scoreboard!Y138)</f>
        <v/>
      </c>
      <c r="L144" s="115" t="str">
        <f>IF(Scoreboard!Z138="","",Scoreboard!Z138)</f>
        <v/>
      </c>
    </row>
    <row r="145" spans="2:12" x14ac:dyDescent="0.5">
      <c r="B145" s="49" t="str">
        <f t="shared" si="1"/>
        <v/>
      </c>
      <c r="D145" s="50" t="str">
        <f>IF(Scoreboard!X139&gt;0,Scoreboard!X139,"")</f>
        <v/>
      </c>
      <c r="H145" s="50" t="str">
        <f>IF(Scoreboard!Y139="","",Scoreboard!Y139)</f>
        <v/>
      </c>
      <c r="L145" s="115" t="str">
        <f>IF(Scoreboard!Z139="","",Scoreboard!Z139)</f>
        <v/>
      </c>
    </row>
    <row r="146" spans="2:12" x14ac:dyDescent="0.5">
      <c r="B146" s="49" t="str">
        <f t="shared" si="1"/>
        <v/>
      </c>
      <c r="D146" s="50" t="str">
        <f>IF(Scoreboard!X140&gt;0,Scoreboard!X140,"")</f>
        <v/>
      </c>
      <c r="H146" s="50" t="str">
        <f>IF(Scoreboard!Y140="","",Scoreboard!Y140)</f>
        <v/>
      </c>
      <c r="L146" s="115" t="str">
        <f>IF(Scoreboard!Z140="","",Scoreboard!Z140)</f>
        <v/>
      </c>
    </row>
    <row r="147" spans="2:12" x14ac:dyDescent="0.5">
      <c r="B147" s="49" t="str">
        <f t="shared" si="1"/>
        <v/>
      </c>
      <c r="D147" s="50" t="str">
        <f>IF(Scoreboard!X141&gt;0,Scoreboard!X141,"")</f>
        <v/>
      </c>
      <c r="H147" s="50" t="str">
        <f>IF(Scoreboard!Y141="","",Scoreboard!Y141)</f>
        <v/>
      </c>
      <c r="L147" s="115" t="str">
        <f>IF(Scoreboard!Z141="","",Scoreboard!Z141)</f>
        <v/>
      </c>
    </row>
    <row r="148" spans="2:12" x14ac:dyDescent="0.5">
      <c r="B148" s="49" t="str">
        <f t="shared" si="1"/>
        <v/>
      </c>
      <c r="D148" s="50" t="str">
        <f>IF(Scoreboard!X142&gt;0,Scoreboard!X142,"")</f>
        <v/>
      </c>
      <c r="H148" s="50" t="str">
        <f>IF(Scoreboard!Y142="","",Scoreboard!Y142)</f>
        <v/>
      </c>
      <c r="L148" s="115" t="str">
        <f>IF(Scoreboard!Z142="","",Scoreboard!Z142)</f>
        <v/>
      </c>
    </row>
    <row r="149" spans="2:12" x14ac:dyDescent="0.5">
      <c r="B149" s="49" t="str">
        <f t="shared" ref="B149:B205" si="2">IF(D149=1,"CHANGE","")</f>
        <v/>
      </c>
      <c r="D149" s="50" t="str">
        <f>IF(Scoreboard!X143&gt;0,Scoreboard!X143,"")</f>
        <v/>
      </c>
      <c r="H149" s="50" t="str">
        <f>IF(Scoreboard!Y143="","",Scoreboard!Y143)</f>
        <v/>
      </c>
      <c r="L149" s="115" t="str">
        <f>IF(Scoreboard!Z143="","",Scoreboard!Z143)</f>
        <v/>
      </c>
    </row>
    <row r="150" spans="2:12" x14ac:dyDescent="0.5">
      <c r="B150" s="49" t="str">
        <f t="shared" si="2"/>
        <v/>
      </c>
      <c r="D150" s="50" t="str">
        <f>IF(Scoreboard!X144&gt;0,Scoreboard!X144,"")</f>
        <v/>
      </c>
      <c r="H150" s="50" t="str">
        <f>IF(Scoreboard!Y144="","",Scoreboard!Y144)</f>
        <v/>
      </c>
      <c r="L150" s="115" t="str">
        <f>IF(Scoreboard!Z144="","",Scoreboard!Z144)</f>
        <v/>
      </c>
    </row>
    <row r="151" spans="2:12" x14ac:dyDescent="0.5">
      <c r="B151" s="49" t="str">
        <f t="shared" si="2"/>
        <v/>
      </c>
      <c r="D151" s="50" t="str">
        <f>IF(Scoreboard!X145&gt;0,Scoreboard!X145,"")</f>
        <v/>
      </c>
      <c r="H151" s="50" t="str">
        <f>IF(Scoreboard!Y145="","",Scoreboard!Y145)</f>
        <v/>
      </c>
      <c r="L151" s="115" t="str">
        <f>IF(Scoreboard!Z145="","",Scoreboard!Z145)</f>
        <v/>
      </c>
    </row>
    <row r="152" spans="2:12" x14ac:dyDescent="0.5">
      <c r="B152" s="49" t="str">
        <f t="shared" si="2"/>
        <v/>
      </c>
      <c r="D152" s="50" t="str">
        <f>IF(Scoreboard!X146&gt;0,Scoreboard!X146,"")</f>
        <v/>
      </c>
      <c r="H152" s="50" t="str">
        <f>IF(Scoreboard!Y146="","",Scoreboard!Y146)</f>
        <v/>
      </c>
      <c r="L152" s="115" t="str">
        <f>IF(Scoreboard!Z146="","",Scoreboard!Z146)</f>
        <v/>
      </c>
    </row>
    <row r="153" spans="2:12" x14ac:dyDescent="0.5">
      <c r="B153" s="49" t="str">
        <f t="shared" si="2"/>
        <v/>
      </c>
      <c r="D153" s="50" t="str">
        <f>IF(Scoreboard!X147&gt;0,Scoreboard!X147,"")</f>
        <v/>
      </c>
      <c r="H153" s="50" t="str">
        <f>IF(Scoreboard!Y147="","",Scoreboard!Y147)</f>
        <v/>
      </c>
      <c r="L153" s="115" t="str">
        <f>IF(Scoreboard!Z147="","",Scoreboard!Z147)</f>
        <v/>
      </c>
    </row>
    <row r="154" spans="2:12" x14ac:dyDescent="0.5">
      <c r="B154" s="49" t="str">
        <f t="shared" si="2"/>
        <v/>
      </c>
      <c r="D154" s="50" t="str">
        <f>IF(Scoreboard!X148&gt;0,Scoreboard!X148,"")</f>
        <v/>
      </c>
      <c r="H154" s="50" t="str">
        <f>IF(Scoreboard!Y148="","",Scoreboard!Y148)</f>
        <v/>
      </c>
      <c r="L154" s="115" t="str">
        <f>IF(Scoreboard!Z148="","",Scoreboard!Z148)</f>
        <v/>
      </c>
    </row>
    <row r="155" spans="2:12" x14ac:dyDescent="0.5">
      <c r="B155" s="49" t="str">
        <f t="shared" si="2"/>
        <v/>
      </c>
      <c r="D155" s="50" t="str">
        <f>IF(Scoreboard!X149&gt;0,Scoreboard!X149,"")</f>
        <v/>
      </c>
      <c r="H155" s="50" t="str">
        <f>IF(Scoreboard!Y149="","",Scoreboard!Y149)</f>
        <v/>
      </c>
      <c r="L155" s="115" t="str">
        <f>IF(Scoreboard!Z149="","",Scoreboard!Z149)</f>
        <v/>
      </c>
    </row>
    <row r="156" spans="2:12" x14ac:dyDescent="0.5">
      <c r="B156" s="49" t="str">
        <f t="shared" si="2"/>
        <v/>
      </c>
      <c r="D156" s="50" t="str">
        <f>IF(Scoreboard!X150&gt;0,Scoreboard!X150,"")</f>
        <v/>
      </c>
      <c r="H156" s="50" t="str">
        <f>IF(Scoreboard!Y150="","",Scoreboard!Y150)</f>
        <v/>
      </c>
      <c r="L156" s="115" t="str">
        <f>IF(Scoreboard!Z150="","",Scoreboard!Z150)</f>
        <v/>
      </c>
    </row>
    <row r="157" spans="2:12" x14ac:dyDescent="0.5">
      <c r="B157" s="49" t="str">
        <f t="shared" si="2"/>
        <v/>
      </c>
      <c r="D157" s="50" t="str">
        <f>IF(Scoreboard!X151&gt;0,Scoreboard!X151,"")</f>
        <v/>
      </c>
      <c r="H157" s="50" t="str">
        <f>IF(Scoreboard!Y151="","",Scoreboard!Y151)</f>
        <v/>
      </c>
      <c r="L157" s="115" t="str">
        <f>IF(Scoreboard!Z151="","",Scoreboard!Z151)</f>
        <v/>
      </c>
    </row>
    <row r="158" spans="2:12" x14ac:dyDescent="0.5">
      <c r="B158" s="49" t="str">
        <f t="shared" si="2"/>
        <v/>
      </c>
      <c r="D158" s="50" t="str">
        <f>IF(Scoreboard!X152&gt;0,Scoreboard!X152,"")</f>
        <v/>
      </c>
      <c r="H158" s="50" t="str">
        <f>IF(Scoreboard!Y152="","",Scoreboard!Y152)</f>
        <v/>
      </c>
      <c r="L158" s="115" t="str">
        <f>IF(Scoreboard!Z152="","",Scoreboard!Z152)</f>
        <v/>
      </c>
    </row>
    <row r="159" spans="2:12" x14ac:dyDescent="0.5">
      <c r="B159" s="49" t="str">
        <f t="shared" si="2"/>
        <v/>
      </c>
      <c r="D159" s="50" t="str">
        <f>IF(Scoreboard!X153&gt;0,Scoreboard!X153,"")</f>
        <v/>
      </c>
      <c r="H159" s="50" t="str">
        <f>IF(Scoreboard!Y153="","",Scoreboard!Y153)</f>
        <v/>
      </c>
      <c r="L159" s="115" t="str">
        <f>IF(Scoreboard!Z153="","",Scoreboard!Z153)</f>
        <v/>
      </c>
    </row>
    <row r="160" spans="2:12" x14ac:dyDescent="0.5">
      <c r="B160" s="49" t="str">
        <f t="shared" si="2"/>
        <v/>
      </c>
      <c r="D160" s="50" t="str">
        <f>IF(Scoreboard!X154&gt;0,Scoreboard!X154,"")</f>
        <v/>
      </c>
      <c r="H160" s="50" t="str">
        <f>IF(Scoreboard!Y154="","",Scoreboard!Y154)</f>
        <v/>
      </c>
      <c r="L160" s="115" t="str">
        <f>IF(Scoreboard!Z154="","",Scoreboard!Z154)</f>
        <v/>
      </c>
    </row>
    <row r="161" spans="2:12" x14ac:dyDescent="0.5">
      <c r="B161" s="49" t="str">
        <f t="shared" si="2"/>
        <v/>
      </c>
      <c r="D161" s="50" t="str">
        <f>IF(Scoreboard!X155&gt;0,Scoreboard!X155,"")</f>
        <v/>
      </c>
      <c r="H161" s="50" t="str">
        <f>IF(Scoreboard!Y155="","",Scoreboard!Y155)</f>
        <v/>
      </c>
      <c r="L161" s="115" t="str">
        <f>IF(Scoreboard!Z155="","",Scoreboard!Z155)</f>
        <v/>
      </c>
    </row>
    <row r="162" spans="2:12" x14ac:dyDescent="0.5">
      <c r="B162" s="49" t="str">
        <f t="shared" si="2"/>
        <v/>
      </c>
      <c r="D162" s="50" t="str">
        <f>IF(Scoreboard!X156&gt;0,Scoreboard!X156,"")</f>
        <v/>
      </c>
      <c r="H162" s="50" t="str">
        <f>IF(Scoreboard!Y156="","",Scoreboard!Y156)</f>
        <v/>
      </c>
      <c r="L162" s="115" t="str">
        <f>IF(Scoreboard!Z156="","",Scoreboard!Z156)</f>
        <v/>
      </c>
    </row>
    <row r="163" spans="2:12" x14ac:dyDescent="0.5">
      <c r="B163" s="49" t="str">
        <f t="shared" si="2"/>
        <v/>
      </c>
      <c r="D163" s="50" t="str">
        <f>IF(Scoreboard!X157&gt;0,Scoreboard!X157,"")</f>
        <v/>
      </c>
      <c r="H163" s="50" t="str">
        <f>IF(Scoreboard!Y157="","",Scoreboard!Y157)</f>
        <v/>
      </c>
      <c r="L163" s="115" t="str">
        <f>IF(Scoreboard!Z157="","",Scoreboard!Z157)</f>
        <v/>
      </c>
    </row>
    <row r="164" spans="2:12" x14ac:dyDescent="0.5">
      <c r="B164" s="49" t="str">
        <f t="shared" si="2"/>
        <v/>
      </c>
      <c r="D164" s="50" t="str">
        <f>IF(Scoreboard!X158&gt;0,Scoreboard!X158,"")</f>
        <v/>
      </c>
      <c r="H164" s="50" t="str">
        <f>IF(Scoreboard!Y158="","",Scoreboard!Y158)</f>
        <v/>
      </c>
      <c r="L164" s="115" t="str">
        <f>IF(Scoreboard!Z158="","",Scoreboard!Z158)</f>
        <v/>
      </c>
    </row>
    <row r="165" spans="2:12" x14ac:dyDescent="0.5">
      <c r="B165" s="49" t="str">
        <f t="shared" si="2"/>
        <v/>
      </c>
      <c r="D165" s="50" t="str">
        <f>IF(Scoreboard!X159&gt;0,Scoreboard!X159,"")</f>
        <v/>
      </c>
      <c r="H165" s="50" t="str">
        <f>IF(Scoreboard!Y159="","",Scoreboard!Y159)</f>
        <v/>
      </c>
      <c r="L165" s="115" t="str">
        <f>IF(Scoreboard!Z159="","",Scoreboard!Z159)</f>
        <v/>
      </c>
    </row>
    <row r="166" spans="2:12" x14ac:dyDescent="0.5">
      <c r="B166" s="49" t="str">
        <f t="shared" si="2"/>
        <v/>
      </c>
      <c r="D166" s="50" t="str">
        <f>IF(Scoreboard!X160&gt;0,Scoreboard!X160,"")</f>
        <v/>
      </c>
      <c r="H166" s="50" t="str">
        <f>IF(Scoreboard!Y160="","",Scoreboard!Y160)</f>
        <v/>
      </c>
      <c r="L166" s="115" t="str">
        <f>IF(Scoreboard!Z160="","",Scoreboard!Z160)</f>
        <v/>
      </c>
    </row>
    <row r="167" spans="2:12" x14ac:dyDescent="0.5">
      <c r="B167" s="49" t="str">
        <f t="shared" si="2"/>
        <v/>
      </c>
      <c r="D167" s="50" t="str">
        <f>IF(Scoreboard!X161&gt;0,Scoreboard!X161,"")</f>
        <v/>
      </c>
      <c r="H167" s="50" t="str">
        <f>IF(Scoreboard!Y161="","",Scoreboard!Y161)</f>
        <v/>
      </c>
      <c r="L167" s="115" t="str">
        <f>IF(Scoreboard!Z161="","",Scoreboard!Z161)</f>
        <v/>
      </c>
    </row>
    <row r="168" spans="2:12" x14ac:dyDescent="0.5">
      <c r="B168" s="49" t="str">
        <f t="shared" si="2"/>
        <v/>
      </c>
      <c r="D168" s="50" t="str">
        <f>IF(Scoreboard!X162&gt;0,Scoreboard!X162,"")</f>
        <v/>
      </c>
      <c r="H168" s="50" t="str">
        <f>IF(Scoreboard!Y162="","",Scoreboard!Y162)</f>
        <v/>
      </c>
      <c r="L168" s="115" t="str">
        <f>IF(Scoreboard!Z162="","",Scoreboard!Z162)</f>
        <v/>
      </c>
    </row>
    <row r="169" spans="2:12" x14ac:dyDescent="0.5">
      <c r="B169" s="49" t="str">
        <f t="shared" si="2"/>
        <v/>
      </c>
      <c r="D169" s="50" t="str">
        <f>IF(Scoreboard!X163&gt;0,Scoreboard!X163,"")</f>
        <v/>
      </c>
      <c r="H169" s="50" t="str">
        <f>IF(Scoreboard!Y163="","",Scoreboard!Y163)</f>
        <v/>
      </c>
      <c r="L169" s="115" t="str">
        <f>IF(Scoreboard!Z163="","",Scoreboard!Z163)</f>
        <v/>
      </c>
    </row>
    <row r="170" spans="2:12" x14ac:dyDescent="0.5">
      <c r="B170" s="49" t="str">
        <f t="shared" si="2"/>
        <v/>
      </c>
      <c r="D170" s="50" t="str">
        <f>IF(Scoreboard!X164&gt;0,Scoreboard!X164,"")</f>
        <v/>
      </c>
      <c r="H170" s="50" t="str">
        <f>IF(Scoreboard!Y164="","",Scoreboard!Y164)</f>
        <v/>
      </c>
      <c r="L170" s="115" t="str">
        <f>IF(Scoreboard!Z164="","",Scoreboard!Z164)</f>
        <v/>
      </c>
    </row>
    <row r="171" spans="2:12" x14ac:dyDescent="0.5">
      <c r="B171" s="49" t="str">
        <f t="shared" si="2"/>
        <v/>
      </c>
      <c r="D171" s="50" t="str">
        <f>IF(Scoreboard!X165&gt;0,Scoreboard!X165,"")</f>
        <v/>
      </c>
      <c r="H171" s="50" t="str">
        <f>IF(Scoreboard!Y165="","",Scoreboard!Y165)</f>
        <v/>
      </c>
      <c r="L171" s="115" t="str">
        <f>IF(Scoreboard!Z165="","",Scoreboard!Z165)</f>
        <v/>
      </c>
    </row>
    <row r="172" spans="2:12" x14ac:dyDescent="0.5">
      <c r="B172" s="49" t="str">
        <f t="shared" si="2"/>
        <v/>
      </c>
      <c r="D172" s="50" t="str">
        <f>IF(Scoreboard!X166&gt;0,Scoreboard!X166,"")</f>
        <v/>
      </c>
      <c r="H172" s="50" t="str">
        <f>IF(Scoreboard!Y166="","",Scoreboard!Y166)</f>
        <v/>
      </c>
      <c r="L172" s="115" t="str">
        <f>IF(Scoreboard!Z166="","",Scoreboard!Z166)</f>
        <v/>
      </c>
    </row>
    <row r="173" spans="2:12" x14ac:dyDescent="0.5">
      <c r="B173" s="49" t="str">
        <f t="shared" si="2"/>
        <v/>
      </c>
      <c r="D173" s="50" t="str">
        <f>IF(Scoreboard!X167&gt;0,Scoreboard!X167,"")</f>
        <v/>
      </c>
      <c r="H173" s="50" t="str">
        <f>IF(Scoreboard!Y167="","",Scoreboard!Y167)</f>
        <v/>
      </c>
      <c r="L173" s="115" t="str">
        <f>IF(Scoreboard!Z167="","",Scoreboard!Z167)</f>
        <v/>
      </c>
    </row>
    <row r="174" spans="2:12" x14ac:dyDescent="0.5">
      <c r="B174" s="49" t="str">
        <f t="shared" si="2"/>
        <v/>
      </c>
      <c r="D174" s="50" t="str">
        <f>IF(Scoreboard!X168&gt;0,Scoreboard!X168,"")</f>
        <v/>
      </c>
      <c r="H174" s="50" t="str">
        <f>IF(Scoreboard!Y168="","",Scoreboard!Y168)</f>
        <v/>
      </c>
      <c r="L174" s="115" t="str">
        <f>IF(Scoreboard!Z168="","",Scoreboard!Z168)</f>
        <v/>
      </c>
    </row>
    <row r="175" spans="2:12" x14ac:dyDescent="0.5">
      <c r="B175" s="49" t="str">
        <f t="shared" si="2"/>
        <v/>
      </c>
      <c r="D175" s="50" t="str">
        <f>IF(Scoreboard!X169&gt;0,Scoreboard!X169,"")</f>
        <v/>
      </c>
      <c r="H175" s="50" t="str">
        <f>IF(Scoreboard!Y169="","",Scoreboard!Y169)</f>
        <v/>
      </c>
      <c r="L175" s="115" t="str">
        <f>IF(Scoreboard!Z169="","",Scoreboard!Z169)</f>
        <v/>
      </c>
    </row>
    <row r="176" spans="2:12" x14ac:dyDescent="0.5">
      <c r="B176" s="49" t="str">
        <f t="shared" si="2"/>
        <v/>
      </c>
      <c r="D176" s="50" t="str">
        <f>IF(Scoreboard!X170&gt;0,Scoreboard!X170,"")</f>
        <v/>
      </c>
      <c r="H176" s="50" t="str">
        <f>IF(Scoreboard!Y170="","",Scoreboard!Y170)</f>
        <v/>
      </c>
      <c r="L176" s="115" t="str">
        <f>IF(Scoreboard!Z170="","",Scoreboard!Z170)</f>
        <v/>
      </c>
    </row>
    <row r="177" spans="2:12" x14ac:dyDescent="0.5">
      <c r="B177" s="49" t="str">
        <f t="shared" si="2"/>
        <v/>
      </c>
      <c r="D177" s="50" t="str">
        <f>IF(Scoreboard!X171&gt;0,Scoreboard!X171,"")</f>
        <v/>
      </c>
      <c r="H177" s="50" t="str">
        <f>IF(Scoreboard!Y171="","",Scoreboard!Y171)</f>
        <v/>
      </c>
      <c r="L177" s="115" t="str">
        <f>IF(Scoreboard!Z171="","",Scoreboard!Z171)</f>
        <v/>
      </c>
    </row>
    <row r="178" spans="2:12" x14ac:dyDescent="0.5">
      <c r="B178" s="49" t="str">
        <f t="shared" si="2"/>
        <v/>
      </c>
      <c r="D178" s="50" t="str">
        <f>IF(Scoreboard!X172&gt;0,Scoreboard!X172,"")</f>
        <v/>
      </c>
      <c r="H178" s="50" t="str">
        <f>IF(Scoreboard!Y172="","",Scoreboard!Y172)</f>
        <v/>
      </c>
      <c r="L178" s="115" t="str">
        <f>IF(Scoreboard!Z172="","",Scoreboard!Z172)</f>
        <v/>
      </c>
    </row>
    <row r="179" spans="2:12" x14ac:dyDescent="0.5">
      <c r="B179" s="49" t="str">
        <f t="shared" si="2"/>
        <v/>
      </c>
      <c r="D179" s="50" t="str">
        <f>IF(Scoreboard!X173&gt;0,Scoreboard!X173,"")</f>
        <v/>
      </c>
      <c r="H179" s="50" t="str">
        <f>IF(Scoreboard!Y173="","",Scoreboard!Y173)</f>
        <v/>
      </c>
      <c r="L179" s="115" t="str">
        <f>IF(Scoreboard!Z173="","",Scoreboard!Z173)</f>
        <v/>
      </c>
    </row>
    <row r="180" spans="2:12" x14ac:dyDescent="0.5">
      <c r="B180" s="49" t="str">
        <f t="shared" si="2"/>
        <v/>
      </c>
      <c r="D180" s="50" t="str">
        <f>IF(Scoreboard!X174&gt;0,Scoreboard!X174,"")</f>
        <v/>
      </c>
      <c r="H180" s="50" t="str">
        <f>IF(Scoreboard!Y174="","",Scoreboard!Y174)</f>
        <v/>
      </c>
      <c r="L180" s="115" t="str">
        <f>IF(Scoreboard!Z174="","",Scoreboard!Z174)</f>
        <v/>
      </c>
    </row>
    <row r="181" spans="2:12" x14ac:dyDescent="0.5">
      <c r="B181" s="49" t="str">
        <f t="shared" si="2"/>
        <v/>
      </c>
      <c r="D181" s="50" t="str">
        <f>IF(Scoreboard!X175&gt;0,Scoreboard!X175,"")</f>
        <v/>
      </c>
      <c r="H181" s="50" t="str">
        <f>IF(Scoreboard!Y175="","",Scoreboard!Y175)</f>
        <v/>
      </c>
      <c r="L181" s="115" t="str">
        <f>IF(Scoreboard!Z175="","",Scoreboard!Z175)</f>
        <v/>
      </c>
    </row>
    <row r="182" spans="2:12" x14ac:dyDescent="0.5">
      <c r="B182" s="49" t="str">
        <f t="shared" si="2"/>
        <v/>
      </c>
      <c r="D182" s="50" t="str">
        <f>IF(Scoreboard!X176&gt;0,Scoreboard!X176,"")</f>
        <v/>
      </c>
      <c r="H182" s="50" t="str">
        <f>IF(Scoreboard!Y176="","",Scoreboard!Y176)</f>
        <v/>
      </c>
      <c r="L182" s="115" t="str">
        <f>IF(Scoreboard!Z176="","",Scoreboard!Z176)</f>
        <v/>
      </c>
    </row>
    <row r="183" spans="2:12" x14ac:dyDescent="0.5">
      <c r="B183" s="49" t="str">
        <f t="shared" si="2"/>
        <v/>
      </c>
      <c r="D183" s="50" t="str">
        <f>IF(Scoreboard!X177&gt;0,Scoreboard!X177,"")</f>
        <v/>
      </c>
      <c r="H183" s="50" t="str">
        <f>IF(Scoreboard!Y177="","",Scoreboard!Y177)</f>
        <v/>
      </c>
      <c r="L183" s="115" t="str">
        <f>IF(Scoreboard!Z177="","",Scoreboard!Z177)</f>
        <v/>
      </c>
    </row>
    <row r="184" spans="2:12" x14ac:dyDescent="0.5">
      <c r="B184" s="49" t="str">
        <f t="shared" si="2"/>
        <v/>
      </c>
      <c r="D184" s="50" t="str">
        <f>IF(Scoreboard!X178&gt;0,Scoreboard!X178,"")</f>
        <v/>
      </c>
      <c r="H184" s="50" t="str">
        <f>IF(Scoreboard!Y178="","",Scoreboard!Y178)</f>
        <v/>
      </c>
      <c r="L184" s="115" t="str">
        <f>IF(Scoreboard!Z178="","",Scoreboard!Z178)</f>
        <v/>
      </c>
    </row>
    <row r="185" spans="2:12" x14ac:dyDescent="0.5">
      <c r="B185" s="49" t="str">
        <f t="shared" si="2"/>
        <v/>
      </c>
      <c r="D185" s="50" t="str">
        <f>IF(Scoreboard!X179&gt;0,Scoreboard!X179,"")</f>
        <v/>
      </c>
      <c r="H185" s="50" t="str">
        <f>IF(Scoreboard!Y179="","",Scoreboard!Y179)</f>
        <v/>
      </c>
      <c r="L185" s="115" t="str">
        <f>IF(Scoreboard!Z179="","",Scoreboard!Z179)</f>
        <v/>
      </c>
    </row>
    <row r="186" spans="2:12" x14ac:dyDescent="0.5">
      <c r="B186" s="49" t="str">
        <f t="shared" si="2"/>
        <v/>
      </c>
      <c r="D186" s="50" t="str">
        <f>IF(Scoreboard!X180&gt;0,Scoreboard!X180,"")</f>
        <v/>
      </c>
      <c r="H186" s="50" t="str">
        <f>IF(Scoreboard!Y180="","",Scoreboard!Y180)</f>
        <v/>
      </c>
      <c r="L186" s="115" t="str">
        <f>IF(Scoreboard!Z180="","",Scoreboard!Z180)</f>
        <v/>
      </c>
    </row>
    <row r="187" spans="2:12" x14ac:dyDescent="0.5">
      <c r="B187" s="49" t="str">
        <f t="shared" si="2"/>
        <v/>
      </c>
      <c r="D187" s="50" t="str">
        <f>IF(Scoreboard!X181&gt;0,Scoreboard!X181,"")</f>
        <v/>
      </c>
      <c r="H187" s="50" t="str">
        <f>IF(Scoreboard!Y181="","",Scoreboard!Y181)</f>
        <v/>
      </c>
      <c r="L187" s="115" t="str">
        <f>IF(Scoreboard!Z181="","",Scoreboard!Z181)</f>
        <v/>
      </c>
    </row>
    <row r="188" spans="2:12" x14ac:dyDescent="0.5">
      <c r="B188" s="49" t="str">
        <f t="shared" si="2"/>
        <v/>
      </c>
      <c r="D188" s="50" t="str">
        <f>IF(Scoreboard!X182&gt;0,Scoreboard!X182,"")</f>
        <v/>
      </c>
      <c r="H188" s="50" t="str">
        <f>IF(Scoreboard!Y182="","",Scoreboard!Y182)</f>
        <v/>
      </c>
      <c r="L188" s="115" t="str">
        <f>IF(Scoreboard!Z182="","",Scoreboard!Z182)</f>
        <v/>
      </c>
    </row>
    <row r="189" spans="2:12" x14ac:dyDescent="0.5">
      <c r="B189" s="49" t="str">
        <f t="shared" si="2"/>
        <v/>
      </c>
      <c r="D189" s="50" t="str">
        <f>IF(Scoreboard!X183&gt;0,Scoreboard!X183,"")</f>
        <v/>
      </c>
      <c r="H189" s="50" t="str">
        <f>IF(Scoreboard!Y183="","",Scoreboard!Y183)</f>
        <v/>
      </c>
      <c r="L189" s="115" t="str">
        <f>IF(Scoreboard!Z183="","",Scoreboard!Z183)</f>
        <v/>
      </c>
    </row>
    <row r="190" spans="2:12" x14ac:dyDescent="0.5">
      <c r="B190" s="49" t="str">
        <f t="shared" si="2"/>
        <v/>
      </c>
      <c r="D190" s="50" t="str">
        <f>IF(Scoreboard!X184&gt;0,Scoreboard!X184,"")</f>
        <v/>
      </c>
      <c r="H190" s="50" t="str">
        <f>IF(Scoreboard!Y184="","",Scoreboard!Y184)</f>
        <v/>
      </c>
      <c r="L190" s="115" t="str">
        <f>IF(Scoreboard!Z184="","",Scoreboard!Z184)</f>
        <v/>
      </c>
    </row>
    <row r="191" spans="2:12" x14ac:dyDescent="0.5">
      <c r="B191" s="49" t="str">
        <f t="shared" si="2"/>
        <v/>
      </c>
      <c r="D191" s="50" t="str">
        <f>IF(Scoreboard!X185&gt;0,Scoreboard!X185,"")</f>
        <v/>
      </c>
      <c r="H191" s="50" t="str">
        <f>IF(Scoreboard!Y185="","",Scoreboard!Y185)</f>
        <v/>
      </c>
      <c r="L191" s="115" t="str">
        <f>IF(Scoreboard!Z185="","",Scoreboard!Z185)</f>
        <v/>
      </c>
    </row>
    <row r="192" spans="2:12" x14ac:dyDescent="0.5">
      <c r="B192" s="49" t="str">
        <f t="shared" si="2"/>
        <v/>
      </c>
      <c r="D192" s="50" t="str">
        <f>IF(Scoreboard!X186&gt;0,Scoreboard!X186,"")</f>
        <v/>
      </c>
      <c r="H192" s="50" t="str">
        <f>IF(Scoreboard!Y186="","",Scoreboard!Y186)</f>
        <v/>
      </c>
      <c r="L192" s="115" t="str">
        <f>IF(Scoreboard!Z186="","",Scoreboard!Z186)</f>
        <v/>
      </c>
    </row>
    <row r="193" spans="2:12" x14ac:dyDescent="0.5">
      <c r="B193" s="49" t="str">
        <f t="shared" si="2"/>
        <v/>
      </c>
      <c r="D193" s="50" t="str">
        <f>IF(Scoreboard!X187&gt;0,Scoreboard!X187,"")</f>
        <v/>
      </c>
      <c r="H193" s="50" t="str">
        <f>IF(Scoreboard!Y187="","",Scoreboard!Y187)</f>
        <v/>
      </c>
      <c r="L193" s="115" t="str">
        <f>IF(Scoreboard!Z187="","",Scoreboard!Z187)</f>
        <v/>
      </c>
    </row>
    <row r="194" spans="2:12" x14ac:dyDescent="0.5">
      <c r="B194" s="49" t="str">
        <f t="shared" si="2"/>
        <v/>
      </c>
      <c r="D194" s="50" t="str">
        <f>IF(Scoreboard!X188&gt;0,Scoreboard!X188,"")</f>
        <v/>
      </c>
      <c r="H194" s="50" t="str">
        <f>IF(Scoreboard!Y188="","",Scoreboard!Y188)</f>
        <v/>
      </c>
      <c r="L194" s="115" t="str">
        <f>IF(Scoreboard!Z188="","",Scoreboard!Z188)</f>
        <v/>
      </c>
    </row>
    <row r="195" spans="2:12" x14ac:dyDescent="0.5">
      <c r="B195" s="49" t="str">
        <f t="shared" si="2"/>
        <v/>
      </c>
      <c r="D195" s="50" t="str">
        <f>IF(Scoreboard!X189&gt;0,Scoreboard!X189,"")</f>
        <v/>
      </c>
      <c r="H195" s="50" t="str">
        <f>IF(Scoreboard!Y189="","",Scoreboard!Y189)</f>
        <v/>
      </c>
      <c r="L195" s="115" t="str">
        <f>IF(Scoreboard!Z189="","",Scoreboard!Z189)</f>
        <v/>
      </c>
    </row>
    <row r="196" spans="2:12" x14ac:dyDescent="0.5">
      <c r="B196" s="49" t="str">
        <f t="shared" si="2"/>
        <v/>
      </c>
      <c r="D196" s="50" t="str">
        <f>IF(Scoreboard!X190&gt;0,Scoreboard!X190,"")</f>
        <v/>
      </c>
      <c r="H196" s="50" t="str">
        <f>IF(Scoreboard!Y190="","",Scoreboard!Y190)</f>
        <v/>
      </c>
      <c r="L196" s="115" t="str">
        <f>IF(Scoreboard!Z190="","",Scoreboard!Z190)</f>
        <v/>
      </c>
    </row>
    <row r="197" spans="2:12" x14ac:dyDescent="0.5">
      <c r="B197" s="49" t="str">
        <f t="shared" si="2"/>
        <v/>
      </c>
      <c r="D197" s="50" t="str">
        <f>IF(Scoreboard!X191&gt;0,Scoreboard!X191,"")</f>
        <v/>
      </c>
      <c r="H197" s="50" t="str">
        <f>IF(Scoreboard!Y191="","",Scoreboard!Y191)</f>
        <v/>
      </c>
      <c r="L197" s="115" t="str">
        <f>IF(Scoreboard!Z191="","",Scoreboard!Z191)</f>
        <v/>
      </c>
    </row>
    <row r="198" spans="2:12" x14ac:dyDescent="0.5">
      <c r="B198" s="49" t="str">
        <f t="shared" si="2"/>
        <v/>
      </c>
      <c r="D198" s="50" t="str">
        <f>IF(Scoreboard!X192&gt;0,Scoreboard!X192,"")</f>
        <v/>
      </c>
      <c r="H198" s="50" t="str">
        <f>IF(Scoreboard!Y192="","",Scoreboard!Y192)</f>
        <v/>
      </c>
      <c r="L198" s="115" t="str">
        <f>IF(Scoreboard!Z192="","",Scoreboard!Z192)</f>
        <v/>
      </c>
    </row>
    <row r="199" spans="2:12" x14ac:dyDescent="0.5">
      <c r="B199" s="49" t="str">
        <f t="shared" si="2"/>
        <v/>
      </c>
      <c r="D199" s="50" t="str">
        <f>IF(Scoreboard!X193&gt;0,Scoreboard!X193,"")</f>
        <v/>
      </c>
      <c r="H199" s="50" t="str">
        <f>IF(Scoreboard!Y193="","",Scoreboard!Y193)</f>
        <v/>
      </c>
      <c r="L199" s="115" t="str">
        <f>IF(Scoreboard!Z193="","",Scoreboard!Z193)</f>
        <v/>
      </c>
    </row>
    <row r="200" spans="2:12" x14ac:dyDescent="0.5">
      <c r="B200" s="49" t="str">
        <f t="shared" si="2"/>
        <v/>
      </c>
      <c r="D200" s="50" t="str">
        <f>IF(Scoreboard!X194&gt;0,Scoreboard!X194,"")</f>
        <v/>
      </c>
      <c r="H200" s="50" t="str">
        <f>IF(Scoreboard!Y194="","",Scoreboard!Y194)</f>
        <v/>
      </c>
      <c r="L200" s="115" t="str">
        <f>IF(Scoreboard!Z194="","",Scoreboard!Z194)</f>
        <v/>
      </c>
    </row>
    <row r="201" spans="2:12" x14ac:dyDescent="0.5">
      <c r="B201" s="49" t="str">
        <f t="shared" si="2"/>
        <v/>
      </c>
      <c r="D201" s="50" t="str">
        <f>IF(Scoreboard!X195&gt;0,Scoreboard!X195,"")</f>
        <v/>
      </c>
      <c r="H201" s="50" t="str">
        <f>IF(Scoreboard!Y195="","",Scoreboard!Y195)</f>
        <v/>
      </c>
      <c r="L201" s="115" t="str">
        <f>IF(Scoreboard!Z195="","",Scoreboard!Z195)</f>
        <v/>
      </c>
    </row>
    <row r="202" spans="2:12" x14ac:dyDescent="0.5">
      <c r="B202" s="49" t="str">
        <f t="shared" si="2"/>
        <v/>
      </c>
      <c r="D202" s="50" t="str">
        <f>IF(Scoreboard!X196&gt;0,Scoreboard!X196,"")</f>
        <v/>
      </c>
      <c r="H202" s="50" t="str">
        <f>IF(Scoreboard!Y196="","",Scoreboard!Y196)</f>
        <v/>
      </c>
      <c r="L202" s="115" t="str">
        <f>IF(Scoreboard!Z196="","",Scoreboard!Z196)</f>
        <v/>
      </c>
    </row>
    <row r="203" spans="2:12" x14ac:dyDescent="0.5">
      <c r="B203" s="49" t="str">
        <f t="shared" si="2"/>
        <v/>
      </c>
      <c r="D203" s="50" t="str">
        <f>IF(Scoreboard!X197&gt;0,Scoreboard!X197,"")</f>
        <v/>
      </c>
      <c r="H203" s="50" t="str">
        <f>IF(Scoreboard!Y197="","",Scoreboard!Y197)</f>
        <v/>
      </c>
      <c r="L203" s="115" t="str">
        <f>IF(Scoreboard!Z197="","",Scoreboard!Z197)</f>
        <v/>
      </c>
    </row>
    <row r="204" spans="2:12" x14ac:dyDescent="0.5">
      <c r="B204" s="49" t="str">
        <f t="shared" si="2"/>
        <v/>
      </c>
      <c r="D204" s="50" t="str">
        <f>IF(Scoreboard!X198&gt;0,Scoreboard!X198,"")</f>
        <v/>
      </c>
      <c r="H204" s="50" t="str">
        <f>IF(Scoreboard!Y198="","",Scoreboard!Y198)</f>
        <v/>
      </c>
      <c r="L204" s="115" t="str">
        <f>IF(Scoreboard!Z198="","",Scoreboard!Z198)</f>
        <v/>
      </c>
    </row>
    <row r="205" spans="2:12" x14ac:dyDescent="0.5">
      <c r="B205" s="49" t="str">
        <f t="shared" si="2"/>
        <v/>
      </c>
      <c r="D205" s="50" t="str">
        <f>IF(Scoreboard!X199&gt;0,Scoreboard!X199,"")</f>
        <v/>
      </c>
      <c r="H205" s="50" t="str">
        <f>IF(Scoreboard!Y199="","",Scoreboard!Y199)</f>
        <v/>
      </c>
      <c r="L205" s="115" t="str">
        <f>IF(Scoreboard!Z199="","",Scoreboard!Z199)</f>
        <v/>
      </c>
    </row>
  </sheetData>
  <mergeCells count="6">
    <mergeCell ref="B12:W12"/>
    <mergeCell ref="B2:W2"/>
    <mergeCell ref="C18:E18"/>
    <mergeCell ref="G18:I18"/>
    <mergeCell ref="K18:M18"/>
    <mergeCell ref="B17:M17"/>
  </mergeCells>
  <printOptions horizontalCentere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PlayButton">
          <controlPr defaultSize="0" autoLine="0" autoPict="0" r:id="rId5">
            <anchor moveWithCells="1">
              <from>
                <xdr:col>0</xdr:col>
                <xdr:colOff>285750</xdr:colOff>
                <xdr:row>7</xdr:row>
                <xdr:rowOff>200025</xdr:rowOff>
              </from>
              <to>
                <xdr:col>28</xdr:col>
                <xdr:colOff>9525</xdr:colOff>
                <xdr:row>10</xdr:row>
                <xdr:rowOff>76200</xdr:rowOff>
              </to>
            </anchor>
          </controlPr>
        </control>
      </mc:Choice>
      <mc:Fallback>
        <control shapeId="4101" r:id="rId4" name="PlayButton"/>
      </mc:Fallback>
    </mc:AlternateContent>
    <mc:AlternateContent xmlns:mc="http://schemas.openxmlformats.org/markup-compatibility/2006">
      <mc:Choice Requires="x14">
        <control shapeId="4100" r:id="rId6" name="VisitTeamSeason">
          <controlPr defaultSize="0" autoLine="0" linkedCell="DataTable!B6" listFillRange="seasonYear" r:id="rId7">
            <anchor moveWithCells="1">
              <from>
                <xdr:col>20</xdr:col>
                <xdr:colOff>28575</xdr:colOff>
                <xdr:row>4</xdr:row>
                <xdr:rowOff>0</xdr:rowOff>
              </from>
              <to>
                <xdr:col>22</xdr:col>
                <xdr:colOff>466725</xdr:colOff>
                <xdr:row>5</xdr:row>
                <xdr:rowOff>38100</xdr:rowOff>
              </to>
            </anchor>
          </controlPr>
        </control>
      </mc:Choice>
      <mc:Fallback>
        <control shapeId="4100" r:id="rId6" name="VisitTeamSeason"/>
      </mc:Fallback>
    </mc:AlternateContent>
    <mc:AlternateContent xmlns:mc="http://schemas.openxmlformats.org/markup-compatibility/2006">
      <mc:Choice Requires="x14">
        <control shapeId="4099" r:id="rId8" name="HomeTeamSeason">
          <controlPr defaultSize="0" autoLine="0" linkedCell="DataTable!B10" listFillRange="seasonYear" r:id="rId9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5</xdr:col>
                <xdr:colOff>190500</xdr:colOff>
                <xdr:row>5</xdr:row>
                <xdr:rowOff>28575</xdr:rowOff>
              </to>
            </anchor>
          </controlPr>
        </control>
      </mc:Choice>
      <mc:Fallback>
        <control shapeId="4099" r:id="rId8" name="HomeTeamSeason"/>
      </mc:Fallback>
    </mc:AlternateContent>
    <mc:AlternateContent xmlns:mc="http://schemas.openxmlformats.org/markup-compatibility/2006">
      <mc:Choice Requires="x14">
        <control shapeId="4098" r:id="rId10" name="VisitTeam">
          <controlPr defaultSize="0" autoLine="0" autoPict="0" linkedCell="DataTable!C6" listFillRange="allTeams" r:id="rId11">
            <anchor moveWithCells="1">
              <from>
                <xdr:col>13</xdr:col>
                <xdr:colOff>0</xdr:colOff>
                <xdr:row>5</xdr:row>
                <xdr:rowOff>180975</xdr:rowOff>
              </from>
              <to>
                <xdr:col>22</xdr:col>
                <xdr:colOff>447675</xdr:colOff>
                <xdr:row>7</xdr:row>
                <xdr:rowOff>28575</xdr:rowOff>
              </to>
            </anchor>
          </controlPr>
        </control>
      </mc:Choice>
      <mc:Fallback>
        <control shapeId="4098" r:id="rId10" name="VisitTeam"/>
      </mc:Fallback>
    </mc:AlternateContent>
    <mc:AlternateContent xmlns:mc="http://schemas.openxmlformats.org/markup-compatibility/2006">
      <mc:Choice Requires="x14">
        <control shapeId="4097" r:id="rId12" name="HomeTeam">
          <controlPr defaultSize="0" autoLine="0" autoPict="0" linkedCell="DataTable!C10" listFillRange="allTeams" r:id="rId13">
            <anchor moveWithCells="1">
              <from>
                <xdr:col>1</xdr:col>
                <xdr:colOff>9525</xdr:colOff>
                <xdr:row>6</xdr:row>
                <xdr:rowOff>19050</xdr:rowOff>
              </from>
              <to>
                <xdr:col>5</xdr:col>
                <xdr:colOff>190500</xdr:colOff>
                <xdr:row>7</xdr:row>
                <xdr:rowOff>57150</xdr:rowOff>
              </to>
            </anchor>
          </controlPr>
        </control>
      </mc:Choice>
      <mc:Fallback>
        <control shapeId="4097" r:id="rId12" name="HomeTeam"/>
      </mc:Fallback>
    </mc:AlternateContent>
    <mc:AlternateContent xmlns:mc="http://schemas.openxmlformats.org/markup-compatibility/2006">
      <mc:Choice Requires="x14">
        <control shapeId="4103" r:id="rId14" name="Button 7">
          <controlPr defaultSize="0" print="0" autoFill="0" autoPict="0" macro="[0]!NewBallgame">
            <anchor moveWithCells="1" sizeWithCells="1">
              <from>
                <xdr:col>6</xdr:col>
                <xdr:colOff>66675</xdr:colOff>
                <xdr:row>2</xdr:row>
                <xdr:rowOff>85725</xdr:rowOff>
              </from>
              <to>
                <xdr:col>12</xdr:col>
                <xdr:colOff>161925</xdr:colOff>
                <xdr:row>3</xdr:row>
                <xdr:rowOff>104775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496A9-3884-4E16-B632-35DA0A2645B7}">
  <sheetPr codeName="Sheet13"/>
  <dimension ref="A1:G213"/>
  <sheetViews>
    <sheetView workbookViewId="0">
      <pane ySplit="4" topLeftCell="A5" activePane="bottomLeft" state="frozen"/>
      <selection pane="bottomLeft" activeCell="F6" sqref="F6"/>
    </sheetView>
  </sheetViews>
  <sheetFormatPr defaultRowHeight="15.75" x14ac:dyDescent="0.5"/>
  <cols>
    <col min="1" max="1" width="4" style="113" customWidth="1"/>
    <col min="2" max="2" width="12.125" style="34" customWidth="1"/>
    <col min="3" max="3" width="6.5625" style="34" customWidth="1"/>
    <col min="4" max="4" width="2.75" style="34" customWidth="1"/>
    <col min="5" max="6" width="9" style="34"/>
  </cols>
  <sheetData>
    <row r="1" spans="2:7" ht="16.149999999999999" thickBot="1" x14ac:dyDescent="0.55000000000000004">
      <c r="B1"/>
      <c r="C1"/>
      <c r="D1" s="113"/>
      <c r="E1"/>
      <c r="F1"/>
    </row>
    <row r="2" spans="2:7" ht="21.4" thickBot="1" x14ac:dyDescent="0.55000000000000004">
      <c r="B2" s="180" t="s">
        <v>829</v>
      </c>
      <c r="C2" s="181"/>
      <c r="D2" s="181"/>
      <c r="E2" s="181"/>
      <c r="F2" s="182"/>
    </row>
    <row r="3" spans="2:7" s="113" customFormat="1" ht="31.5" customHeight="1" x14ac:dyDescent="0.5">
      <c r="B3" s="183" t="str">
        <f>Scoreboard!Z7&amp;" "&amp;Scoreboard!Z8</f>
        <v>2008 Florida Marlins</v>
      </c>
      <c r="C3" s="184"/>
      <c r="D3" s="147" t="s">
        <v>831</v>
      </c>
      <c r="E3" s="185" t="str">
        <f>Scoreboard!Z9&amp;" "&amp;Scoreboard!Z10</f>
        <v>2009 Arizona Diamondbacks</v>
      </c>
      <c r="F3" s="186"/>
    </row>
    <row r="4" spans="2:7" x14ac:dyDescent="0.5">
      <c r="B4" s="146" t="s">
        <v>830</v>
      </c>
      <c r="C4" s="146" t="str">
        <f>Scoreboard!X12</f>
        <v>Batter</v>
      </c>
      <c r="D4" s="187" t="str">
        <f>Scoreboard!Y12</f>
        <v>Result</v>
      </c>
      <c r="E4" s="187"/>
      <c r="F4" s="146" t="str">
        <f>Scoreboard!Z12</f>
        <v>Runs</v>
      </c>
    </row>
    <row r="5" spans="2:7" x14ac:dyDescent="0.5">
      <c r="B5" s="34" t="str">
        <f>IF(C5=1,"START","")</f>
        <v>START</v>
      </c>
      <c r="C5" s="34">
        <f>IF(Scoreboard!X13&gt;0,Scoreboard!X13,"")</f>
        <v>1</v>
      </c>
      <c r="D5" s="179" t="str">
        <f>IF(Scoreboard!Y13="","",Scoreboard!Y13)</f>
        <v>1B</v>
      </c>
      <c r="E5" s="179"/>
      <c r="F5" s="34">
        <f>IF(Scoreboard!Z13="","",Scoreboard!Z13)</f>
        <v>0</v>
      </c>
    </row>
    <row r="6" spans="2:7" x14ac:dyDescent="0.5">
      <c r="B6" s="34" t="str">
        <f>IF(C6=1,"CHANGE","")</f>
        <v/>
      </c>
      <c r="C6" s="34">
        <f>IF(Scoreboard!X14&gt;0,Scoreboard!X14,"")</f>
        <v>2</v>
      </c>
      <c r="D6" s="179" t="str">
        <f>IF(Scoreboard!Y14="","",Scoreboard!Y14)</f>
        <v>Out</v>
      </c>
      <c r="E6" s="179"/>
      <c r="F6" s="34">
        <f>IF(Scoreboard!Z14="","",Scoreboard!Z14)</f>
        <v>0</v>
      </c>
      <c r="G6" s="113"/>
    </row>
    <row r="7" spans="2:7" x14ac:dyDescent="0.5">
      <c r="B7" s="34" t="str">
        <f t="shared" ref="B7:B69" si="0">IF(C7=1,"CHANGE","")</f>
        <v/>
      </c>
      <c r="C7" s="34">
        <f>IF(Scoreboard!X15&gt;0,Scoreboard!X15,"")</f>
        <v>3</v>
      </c>
      <c r="D7" s="179" t="str">
        <f>IF(Scoreboard!Y15="","",Scoreboard!Y15)</f>
        <v>Out</v>
      </c>
      <c r="E7" s="179"/>
      <c r="F7" s="34">
        <f>IF(Scoreboard!Z15="","",Scoreboard!Z15)</f>
        <v>0</v>
      </c>
      <c r="G7" s="113"/>
    </row>
    <row r="8" spans="2:7" x14ac:dyDescent="0.5">
      <c r="B8" s="34" t="str">
        <f t="shared" si="0"/>
        <v/>
      </c>
      <c r="C8" s="34">
        <f>IF(Scoreboard!X16&gt;0,Scoreboard!X16,"")</f>
        <v>4</v>
      </c>
      <c r="D8" s="179" t="str">
        <f>IF(Scoreboard!Y16="","",Scoreboard!Y16)</f>
        <v>Out</v>
      </c>
      <c r="E8" s="179"/>
      <c r="F8" s="34">
        <f>IF(Scoreboard!Z16="","",Scoreboard!Z16)</f>
        <v>0</v>
      </c>
      <c r="G8" s="113"/>
    </row>
    <row r="9" spans="2:7" x14ac:dyDescent="0.5">
      <c r="B9" s="34" t="str">
        <f t="shared" si="0"/>
        <v>CHANGE</v>
      </c>
      <c r="C9" s="34">
        <f>IF(Scoreboard!X17&gt;0,Scoreboard!X17,"")</f>
        <v>1</v>
      </c>
      <c r="D9" s="179" t="str">
        <f>IF(Scoreboard!Y17="","",Scoreboard!Y17)</f>
        <v>Out</v>
      </c>
      <c r="E9" s="179"/>
      <c r="F9" s="34">
        <f>IF(Scoreboard!Z17="","",Scoreboard!Z17)</f>
        <v>0</v>
      </c>
      <c r="G9" s="113"/>
    </row>
    <row r="10" spans="2:7" x14ac:dyDescent="0.5">
      <c r="B10" s="34" t="str">
        <f t="shared" si="0"/>
        <v/>
      </c>
      <c r="C10" s="34">
        <f>IF(Scoreboard!X18&gt;0,Scoreboard!X18,"")</f>
        <v>2</v>
      </c>
      <c r="D10" s="179" t="str">
        <f>IF(Scoreboard!Y18="","",Scoreboard!Y18)</f>
        <v>1B</v>
      </c>
      <c r="E10" s="179"/>
      <c r="F10" s="34">
        <f>IF(Scoreboard!Z18="","",Scoreboard!Z18)</f>
        <v>0</v>
      </c>
      <c r="G10" s="113"/>
    </row>
    <row r="11" spans="2:7" x14ac:dyDescent="0.5">
      <c r="B11" s="34" t="str">
        <f t="shared" si="0"/>
        <v/>
      </c>
      <c r="C11" s="34">
        <f>IF(Scoreboard!X19&gt;0,Scoreboard!X19,"")</f>
        <v>3</v>
      </c>
      <c r="D11" s="179" t="str">
        <f>IF(Scoreboard!Y19="","",Scoreboard!Y19)</f>
        <v>Out</v>
      </c>
      <c r="E11" s="179"/>
      <c r="F11" s="34">
        <f>IF(Scoreboard!Z19="","",Scoreboard!Z19)</f>
        <v>0</v>
      </c>
      <c r="G11" s="113"/>
    </row>
    <row r="12" spans="2:7" x14ac:dyDescent="0.5">
      <c r="B12" s="34" t="str">
        <f t="shared" si="0"/>
        <v/>
      </c>
      <c r="C12" s="34">
        <f>IF(Scoreboard!X20&gt;0,Scoreboard!X20,"")</f>
        <v>4</v>
      </c>
      <c r="D12" s="179" t="str">
        <f>IF(Scoreboard!Y20="","",Scoreboard!Y20)</f>
        <v>1B</v>
      </c>
      <c r="E12" s="179"/>
      <c r="F12" s="34">
        <f>IF(Scoreboard!Z20="","",Scoreboard!Z20)</f>
        <v>0</v>
      </c>
      <c r="G12" s="113"/>
    </row>
    <row r="13" spans="2:7" x14ac:dyDescent="0.5">
      <c r="B13" s="34" t="str">
        <f t="shared" si="0"/>
        <v/>
      </c>
      <c r="C13" s="34">
        <f>IF(Scoreboard!X21&gt;0,Scoreboard!X21,"")</f>
        <v>5</v>
      </c>
      <c r="D13" s="179" t="str">
        <f>IF(Scoreboard!Y21="","",Scoreboard!Y21)</f>
        <v>1B</v>
      </c>
      <c r="E13" s="179"/>
      <c r="F13" s="34">
        <f>IF(Scoreboard!Z21="","",Scoreboard!Z21)</f>
        <v>1</v>
      </c>
      <c r="G13" s="113"/>
    </row>
    <row r="14" spans="2:7" x14ac:dyDescent="0.5">
      <c r="B14" s="34" t="str">
        <f t="shared" si="0"/>
        <v/>
      </c>
      <c r="C14" s="34">
        <f>IF(Scoreboard!X22&gt;0,Scoreboard!X22,"")</f>
        <v>6</v>
      </c>
      <c r="D14" s="179" t="str">
        <f>IF(Scoreboard!Y22="","",Scoreboard!Y22)</f>
        <v>1B</v>
      </c>
      <c r="E14" s="179"/>
      <c r="F14" s="34">
        <f>IF(Scoreboard!Z22="","",Scoreboard!Z22)</f>
        <v>2</v>
      </c>
      <c r="G14" s="113"/>
    </row>
    <row r="15" spans="2:7" x14ac:dyDescent="0.5">
      <c r="B15" s="34" t="str">
        <f t="shared" si="0"/>
        <v/>
      </c>
      <c r="C15" s="34">
        <f>IF(Scoreboard!X23&gt;0,Scoreboard!X23,"")</f>
        <v>7</v>
      </c>
      <c r="D15" s="179" t="str">
        <f>IF(Scoreboard!Y23="","",Scoreboard!Y23)</f>
        <v>Out</v>
      </c>
      <c r="E15" s="179"/>
      <c r="F15" s="34">
        <f>IF(Scoreboard!Z23="","",Scoreboard!Z23)</f>
        <v>2</v>
      </c>
      <c r="G15" s="113"/>
    </row>
    <row r="16" spans="2:7" x14ac:dyDescent="0.5">
      <c r="B16" s="34" t="str">
        <f t="shared" si="0"/>
        <v>CHANGE</v>
      </c>
      <c r="C16" s="34">
        <f>IF(Scoreboard!X24&gt;0,Scoreboard!X24,"")</f>
        <v>1</v>
      </c>
      <c r="D16" s="179" t="str">
        <f>IF(Scoreboard!Y24="","",Scoreboard!Y24)</f>
        <v>Out</v>
      </c>
      <c r="E16" s="179"/>
      <c r="F16" s="34">
        <f>IF(Scoreboard!Z24="","",Scoreboard!Z24)</f>
        <v>0</v>
      </c>
      <c r="G16" s="113"/>
    </row>
    <row r="17" spans="2:7" x14ac:dyDescent="0.5">
      <c r="B17" s="34" t="str">
        <f t="shared" si="0"/>
        <v/>
      </c>
      <c r="C17" s="34">
        <f>IF(Scoreboard!X25&gt;0,Scoreboard!X25,"")</f>
        <v>2</v>
      </c>
      <c r="D17" s="179" t="str">
        <f>IF(Scoreboard!Y25="","",Scoreboard!Y25)</f>
        <v>BB</v>
      </c>
      <c r="E17" s="179"/>
      <c r="F17" s="34">
        <f>IF(Scoreboard!Z25="","",Scoreboard!Z25)</f>
        <v>0</v>
      </c>
      <c r="G17" s="113"/>
    </row>
    <row r="18" spans="2:7" x14ac:dyDescent="0.5">
      <c r="B18" s="34" t="str">
        <f t="shared" si="0"/>
        <v/>
      </c>
      <c r="C18" s="34">
        <f>IF(Scoreboard!X26&gt;0,Scoreboard!X26,"")</f>
        <v>3</v>
      </c>
      <c r="D18" s="179" t="str">
        <f>IF(Scoreboard!Y26="","",Scoreboard!Y26)</f>
        <v>1B</v>
      </c>
      <c r="E18" s="179"/>
      <c r="F18" s="34">
        <f>IF(Scoreboard!Z26="","",Scoreboard!Z26)</f>
        <v>0</v>
      </c>
      <c r="G18" s="113"/>
    </row>
    <row r="19" spans="2:7" x14ac:dyDescent="0.5">
      <c r="B19" s="34" t="str">
        <f t="shared" si="0"/>
        <v/>
      </c>
      <c r="C19" s="34">
        <f>IF(Scoreboard!X27&gt;0,Scoreboard!X27,"")</f>
        <v>4</v>
      </c>
      <c r="D19" s="179" t="str">
        <f>IF(Scoreboard!Y27="","",Scoreboard!Y27)</f>
        <v>Out</v>
      </c>
      <c r="E19" s="179"/>
      <c r="F19" s="34">
        <f>IF(Scoreboard!Z27="","",Scoreboard!Z27)</f>
        <v>0</v>
      </c>
      <c r="G19" s="113"/>
    </row>
    <row r="20" spans="2:7" x14ac:dyDescent="0.5">
      <c r="B20" s="34" t="str">
        <f t="shared" si="0"/>
        <v/>
      </c>
      <c r="C20" s="34">
        <f>IF(Scoreboard!X28&gt;0,Scoreboard!X28,"")</f>
        <v>5</v>
      </c>
      <c r="D20" s="179" t="str">
        <f>IF(Scoreboard!Y28="","",Scoreboard!Y28)</f>
        <v>HR</v>
      </c>
      <c r="E20" s="179"/>
      <c r="F20" s="34">
        <f>IF(Scoreboard!Z28="","",Scoreboard!Z28)</f>
        <v>3</v>
      </c>
      <c r="G20" s="113"/>
    </row>
    <row r="21" spans="2:7" x14ac:dyDescent="0.5">
      <c r="B21" s="34" t="str">
        <f t="shared" si="0"/>
        <v/>
      </c>
      <c r="C21" s="34">
        <f>IF(Scoreboard!X29&gt;0,Scoreboard!X29,"")</f>
        <v>6</v>
      </c>
      <c r="D21" s="179" t="str">
        <f>IF(Scoreboard!Y29="","",Scoreboard!Y29)</f>
        <v>BB</v>
      </c>
      <c r="E21" s="179"/>
      <c r="F21" s="34">
        <f>IF(Scoreboard!Z29="","",Scoreboard!Z29)</f>
        <v>3</v>
      </c>
      <c r="G21" s="113"/>
    </row>
    <row r="22" spans="2:7" x14ac:dyDescent="0.5">
      <c r="B22" s="34" t="str">
        <f t="shared" si="0"/>
        <v/>
      </c>
      <c r="C22" s="34">
        <f>IF(Scoreboard!X30&gt;0,Scoreboard!X30,"")</f>
        <v>7</v>
      </c>
      <c r="D22" s="179" t="str">
        <f>IF(Scoreboard!Y30="","",Scoreboard!Y30)</f>
        <v>Out</v>
      </c>
      <c r="E22" s="179"/>
      <c r="F22" s="34">
        <f>IF(Scoreboard!Z30="","",Scoreboard!Z30)</f>
        <v>3</v>
      </c>
      <c r="G22" s="113"/>
    </row>
    <row r="23" spans="2:7" x14ac:dyDescent="0.5">
      <c r="B23" s="34" t="str">
        <f t="shared" si="0"/>
        <v>CHANGE</v>
      </c>
      <c r="C23" s="34">
        <f>IF(Scoreboard!X31&gt;0,Scoreboard!X31,"")</f>
        <v>1</v>
      </c>
      <c r="D23" s="179" t="str">
        <f>IF(Scoreboard!Y31="","",Scoreboard!Y31)</f>
        <v>HR</v>
      </c>
      <c r="E23" s="179"/>
      <c r="F23" s="34">
        <f>IF(Scoreboard!Z31="","",Scoreboard!Z31)</f>
        <v>1</v>
      </c>
      <c r="G23" s="113"/>
    </row>
    <row r="24" spans="2:7" x14ac:dyDescent="0.5">
      <c r="B24" s="34" t="str">
        <f t="shared" si="0"/>
        <v/>
      </c>
      <c r="C24" s="34">
        <f>IF(Scoreboard!X32&gt;0,Scoreboard!X32,"")</f>
        <v>2</v>
      </c>
      <c r="D24" s="179" t="str">
        <f>IF(Scoreboard!Y32="","",Scoreboard!Y32)</f>
        <v>Out</v>
      </c>
      <c r="E24" s="179"/>
      <c r="F24" s="34">
        <f>IF(Scoreboard!Z32="","",Scoreboard!Z32)</f>
        <v>1</v>
      </c>
      <c r="G24" s="113"/>
    </row>
    <row r="25" spans="2:7" x14ac:dyDescent="0.5">
      <c r="B25" s="34" t="str">
        <f t="shared" si="0"/>
        <v/>
      </c>
      <c r="C25" s="34">
        <f>IF(Scoreboard!X33&gt;0,Scoreboard!X33,"")</f>
        <v>3</v>
      </c>
      <c r="D25" s="179" t="str">
        <f>IF(Scoreboard!Y33="","",Scoreboard!Y33)</f>
        <v>Out</v>
      </c>
      <c r="E25" s="179"/>
      <c r="F25" s="34">
        <f>IF(Scoreboard!Z33="","",Scoreboard!Z33)</f>
        <v>1</v>
      </c>
      <c r="G25" s="113"/>
    </row>
    <row r="26" spans="2:7" x14ac:dyDescent="0.5">
      <c r="B26" s="34" t="str">
        <f t="shared" si="0"/>
        <v/>
      </c>
      <c r="C26" s="34">
        <f>IF(Scoreboard!X34&gt;0,Scoreboard!X34,"")</f>
        <v>4</v>
      </c>
      <c r="D26" s="179" t="str">
        <f>IF(Scoreboard!Y34="","",Scoreboard!Y34)</f>
        <v>1B</v>
      </c>
      <c r="E26" s="179"/>
      <c r="F26" s="34">
        <f>IF(Scoreboard!Z34="","",Scoreboard!Z34)</f>
        <v>1</v>
      </c>
      <c r="G26" s="113"/>
    </row>
    <row r="27" spans="2:7" x14ac:dyDescent="0.5">
      <c r="B27" s="34" t="str">
        <f t="shared" si="0"/>
        <v/>
      </c>
      <c r="C27" s="34">
        <f>IF(Scoreboard!X35&gt;0,Scoreboard!X35,"")</f>
        <v>5</v>
      </c>
      <c r="D27" s="179" t="str">
        <f>IF(Scoreboard!Y35="","",Scoreboard!Y35)</f>
        <v>Out</v>
      </c>
      <c r="E27" s="179"/>
      <c r="F27" s="34">
        <f>IF(Scoreboard!Z35="","",Scoreboard!Z35)</f>
        <v>1</v>
      </c>
      <c r="G27" s="113"/>
    </row>
    <row r="28" spans="2:7" x14ac:dyDescent="0.5">
      <c r="B28" s="34" t="str">
        <f t="shared" si="0"/>
        <v>CHANGE</v>
      </c>
      <c r="C28" s="34">
        <f>IF(Scoreboard!X36&gt;0,Scoreboard!X36,"")</f>
        <v>1</v>
      </c>
      <c r="D28" s="179" t="str">
        <f>IF(Scoreboard!Y36="","",Scoreboard!Y36)</f>
        <v>Out</v>
      </c>
      <c r="E28" s="179"/>
      <c r="F28" s="34">
        <f>IF(Scoreboard!Z36="","",Scoreboard!Z36)</f>
        <v>0</v>
      </c>
      <c r="G28" s="113"/>
    </row>
    <row r="29" spans="2:7" x14ac:dyDescent="0.5">
      <c r="B29" s="34" t="str">
        <f t="shared" si="0"/>
        <v/>
      </c>
      <c r="C29" s="34">
        <f>IF(Scoreboard!X37&gt;0,Scoreboard!X37,"")</f>
        <v>2</v>
      </c>
      <c r="D29" s="179" t="str">
        <f>IF(Scoreboard!Y37="","",Scoreboard!Y37)</f>
        <v>Out</v>
      </c>
      <c r="E29" s="179"/>
      <c r="F29" s="34">
        <f>IF(Scoreboard!Z37="","",Scoreboard!Z37)</f>
        <v>0</v>
      </c>
      <c r="G29" s="113"/>
    </row>
    <row r="30" spans="2:7" x14ac:dyDescent="0.5">
      <c r="B30" s="34" t="str">
        <f t="shared" si="0"/>
        <v/>
      </c>
      <c r="C30" s="34">
        <f>IF(Scoreboard!X38&gt;0,Scoreboard!X38,"")</f>
        <v>3</v>
      </c>
      <c r="D30" s="179" t="str">
        <f>IF(Scoreboard!Y38="","",Scoreboard!Y38)</f>
        <v>Out</v>
      </c>
      <c r="E30" s="179"/>
      <c r="F30" s="34">
        <f>IF(Scoreboard!Z38="","",Scoreboard!Z38)</f>
        <v>0</v>
      </c>
      <c r="G30" s="113"/>
    </row>
    <row r="31" spans="2:7" x14ac:dyDescent="0.5">
      <c r="B31" s="34" t="str">
        <f t="shared" si="0"/>
        <v>CHANGE</v>
      </c>
      <c r="C31" s="34">
        <f>IF(Scoreboard!X39&gt;0,Scoreboard!X39,"")</f>
        <v>1</v>
      </c>
      <c r="D31" s="179" t="str">
        <f>IF(Scoreboard!Y39="","",Scoreboard!Y39)</f>
        <v>Out</v>
      </c>
      <c r="E31" s="179"/>
      <c r="F31" s="34">
        <f>IF(Scoreboard!Z39="","",Scoreboard!Z39)</f>
        <v>0</v>
      </c>
      <c r="G31" s="113"/>
    </row>
    <row r="32" spans="2:7" x14ac:dyDescent="0.5">
      <c r="B32" s="34" t="str">
        <f t="shared" si="0"/>
        <v/>
      </c>
      <c r="C32" s="34">
        <f>IF(Scoreboard!X40&gt;0,Scoreboard!X40,"")</f>
        <v>2</v>
      </c>
      <c r="D32" s="179" t="str">
        <f>IF(Scoreboard!Y40="","",Scoreboard!Y40)</f>
        <v>Out</v>
      </c>
      <c r="E32" s="179"/>
      <c r="F32" s="34">
        <f>IF(Scoreboard!Z40="","",Scoreboard!Z40)</f>
        <v>0</v>
      </c>
      <c r="G32" s="113"/>
    </row>
    <row r="33" spans="2:7" x14ac:dyDescent="0.5">
      <c r="B33" s="34" t="str">
        <f t="shared" si="0"/>
        <v/>
      </c>
      <c r="C33" s="34">
        <f>IF(Scoreboard!X41&gt;0,Scoreboard!X41,"")</f>
        <v>3</v>
      </c>
      <c r="D33" s="179" t="str">
        <f>IF(Scoreboard!Y41="","",Scoreboard!Y41)</f>
        <v>Out</v>
      </c>
      <c r="E33" s="179"/>
      <c r="F33" s="34">
        <f>IF(Scoreboard!Z41="","",Scoreboard!Z41)</f>
        <v>0</v>
      </c>
      <c r="G33" s="113"/>
    </row>
    <row r="34" spans="2:7" x14ac:dyDescent="0.5">
      <c r="B34" s="34" t="str">
        <f t="shared" si="0"/>
        <v>CHANGE</v>
      </c>
      <c r="C34" s="34">
        <f>IF(Scoreboard!X42&gt;0,Scoreboard!X42,"")</f>
        <v>1</v>
      </c>
      <c r="D34" s="179" t="str">
        <f>IF(Scoreboard!Y42="","",Scoreboard!Y42)</f>
        <v>Out</v>
      </c>
      <c r="E34" s="179"/>
      <c r="F34" s="34">
        <f>IF(Scoreboard!Z42="","",Scoreboard!Z42)</f>
        <v>0</v>
      </c>
      <c r="G34" s="113"/>
    </row>
    <row r="35" spans="2:7" x14ac:dyDescent="0.5">
      <c r="B35" s="34" t="str">
        <f t="shared" si="0"/>
        <v/>
      </c>
      <c r="C35" s="34">
        <f>IF(Scoreboard!X43&gt;0,Scoreboard!X43,"")</f>
        <v>2</v>
      </c>
      <c r="D35" s="179" t="str">
        <f>IF(Scoreboard!Y43="","",Scoreboard!Y43)</f>
        <v>BB</v>
      </c>
      <c r="E35" s="179"/>
      <c r="F35" s="34">
        <f>IF(Scoreboard!Z43="","",Scoreboard!Z43)</f>
        <v>0</v>
      </c>
      <c r="G35" s="113"/>
    </row>
    <row r="36" spans="2:7" x14ac:dyDescent="0.5">
      <c r="B36" s="34" t="str">
        <f t="shared" si="0"/>
        <v/>
      </c>
      <c r="C36" s="34">
        <f>IF(Scoreboard!X44&gt;0,Scoreboard!X44,"")</f>
        <v>3</v>
      </c>
      <c r="D36" s="179" t="str">
        <f>IF(Scoreboard!Y44="","",Scoreboard!Y44)</f>
        <v>BB</v>
      </c>
      <c r="E36" s="179"/>
      <c r="F36" s="34">
        <f>IF(Scoreboard!Z44="","",Scoreboard!Z44)</f>
        <v>0</v>
      </c>
      <c r="G36" s="113"/>
    </row>
    <row r="37" spans="2:7" x14ac:dyDescent="0.5">
      <c r="B37" s="34" t="str">
        <f t="shared" si="0"/>
        <v/>
      </c>
      <c r="C37" s="34">
        <f>IF(Scoreboard!X45&gt;0,Scoreboard!X45,"")</f>
        <v>4</v>
      </c>
      <c r="D37" s="179" t="str">
        <f>IF(Scoreboard!Y45="","",Scoreboard!Y45)</f>
        <v>Out</v>
      </c>
      <c r="E37" s="179"/>
      <c r="F37" s="34">
        <f>IF(Scoreboard!Z45="","",Scoreboard!Z45)</f>
        <v>0</v>
      </c>
      <c r="G37" s="113"/>
    </row>
    <row r="38" spans="2:7" x14ac:dyDescent="0.5">
      <c r="B38" s="34" t="str">
        <f t="shared" si="0"/>
        <v/>
      </c>
      <c r="C38" s="34">
        <f>IF(Scoreboard!X46&gt;0,Scoreboard!X46,"")</f>
        <v>5</v>
      </c>
      <c r="D38" s="179" t="str">
        <f>IF(Scoreboard!Y46="","",Scoreboard!Y46)</f>
        <v>HBP</v>
      </c>
      <c r="E38" s="179"/>
      <c r="F38" s="34">
        <f>IF(Scoreboard!Z46="","",Scoreboard!Z46)</f>
        <v>0</v>
      </c>
      <c r="G38" s="113"/>
    </row>
    <row r="39" spans="2:7" x14ac:dyDescent="0.5">
      <c r="B39" s="34" t="str">
        <f t="shared" si="0"/>
        <v/>
      </c>
      <c r="C39" s="34">
        <f>IF(Scoreboard!X47&gt;0,Scoreboard!X47,"")</f>
        <v>6</v>
      </c>
      <c r="D39" s="179" t="str">
        <f>IF(Scoreboard!Y47="","",Scoreboard!Y47)</f>
        <v>2B</v>
      </c>
      <c r="E39" s="179"/>
      <c r="F39" s="34">
        <f>IF(Scoreboard!Z47="","",Scoreboard!Z47)</f>
        <v>3</v>
      </c>
      <c r="G39" s="113"/>
    </row>
    <row r="40" spans="2:7" x14ac:dyDescent="0.5">
      <c r="B40" s="34" t="str">
        <f t="shared" si="0"/>
        <v/>
      </c>
      <c r="C40" s="34">
        <f>IF(Scoreboard!X48&gt;0,Scoreboard!X48,"")</f>
        <v>7</v>
      </c>
      <c r="D40" s="179" t="str">
        <f>IF(Scoreboard!Y48="","",Scoreboard!Y48)</f>
        <v>Out</v>
      </c>
      <c r="E40" s="179"/>
      <c r="F40" s="34">
        <f>IF(Scoreboard!Z48="","",Scoreboard!Z48)</f>
        <v>3</v>
      </c>
      <c r="G40" s="113"/>
    </row>
    <row r="41" spans="2:7" x14ac:dyDescent="0.5">
      <c r="B41" s="34" t="str">
        <f t="shared" si="0"/>
        <v>CHANGE</v>
      </c>
      <c r="C41" s="34">
        <f>IF(Scoreboard!X49&gt;0,Scoreboard!X49,"")</f>
        <v>1</v>
      </c>
      <c r="D41" s="179" t="str">
        <f>IF(Scoreboard!Y49="","",Scoreboard!Y49)</f>
        <v>1B</v>
      </c>
      <c r="E41" s="179"/>
      <c r="F41" s="34">
        <f>IF(Scoreboard!Z49="","",Scoreboard!Z49)</f>
        <v>0</v>
      </c>
      <c r="G41" s="113"/>
    </row>
    <row r="42" spans="2:7" x14ac:dyDescent="0.5">
      <c r="B42" s="34" t="str">
        <f t="shared" si="0"/>
        <v/>
      </c>
      <c r="C42" s="34">
        <f>IF(Scoreboard!X50&gt;0,Scoreboard!X50,"")</f>
        <v>2</v>
      </c>
      <c r="D42" s="179" t="str">
        <f>IF(Scoreboard!Y50="","",Scoreboard!Y50)</f>
        <v>HR</v>
      </c>
      <c r="E42" s="179"/>
      <c r="F42" s="34">
        <f>IF(Scoreboard!Z50="","",Scoreboard!Z50)</f>
        <v>2</v>
      </c>
      <c r="G42" s="113"/>
    </row>
    <row r="43" spans="2:7" x14ac:dyDescent="0.5">
      <c r="B43" s="34" t="str">
        <f t="shared" si="0"/>
        <v/>
      </c>
      <c r="C43" s="34">
        <f>IF(Scoreboard!X51&gt;0,Scoreboard!X51,"")</f>
        <v>3</v>
      </c>
      <c r="D43" s="179" t="str">
        <f>IF(Scoreboard!Y51="","",Scoreboard!Y51)</f>
        <v>Out</v>
      </c>
      <c r="E43" s="179"/>
      <c r="F43" s="34">
        <f>IF(Scoreboard!Z51="","",Scoreboard!Z51)</f>
        <v>2</v>
      </c>
      <c r="G43" s="113"/>
    </row>
    <row r="44" spans="2:7" x14ac:dyDescent="0.5">
      <c r="B44" s="34" t="str">
        <f t="shared" si="0"/>
        <v/>
      </c>
      <c r="C44" s="34">
        <f>IF(Scoreboard!X52&gt;0,Scoreboard!X52,"")</f>
        <v>4</v>
      </c>
      <c r="D44" s="179" t="str">
        <f>IF(Scoreboard!Y52="","",Scoreboard!Y52)</f>
        <v>Out</v>
      </c>
      <c r="E44" s="179"/>
      <c r="F44" s="34">
        <f>IF(Scoreboard!Z52="","",Scoreboard!Z52)</f>
        <v>2</v>
      </c>
      <c r="G44" s="113"/>
    </row>
    <row r="45" spans="2:7" x14ac:dyDescent="0.5">
      <c r="B45" s="34" t="str">
        <f t="shared" si="0"/>
        <v/>
      </c>
      <c r="C45" s="34">
        <f>IF(Scoreboard!X53&gt;0,Scoreboard!X53,"")</f>
        <v>5</v>
      </c>
      <c r="D45" s="179" t="str">
        <f>IF(Scoreboard!Y53="","",Scoreboard!Y53)</f>
        <v>Out</v>
      </c>
      <c r="E45" s="179"/>
      <c r="F45" s="34">
        <f>IF(Scoreboard!Z53="","",Scoreboard!Z53)</f>
        <v>2</v>
      </c>
      <c r="G45" s="113"/>
    </row>
    <row r="46" spans="2:7" x14ac:dyDescent="0.5">
      <c r="B46" s="34" t="str">
        <f t="shared" si="0"/>
        <v>CHANGE</v>
      </c>
      <c r="C46" s="34">
        <f>IF(Scoreboard!X54&gt;0,Scoreboard!X54,"")</f>
        <v>1</v>
      </c>
      <c r="D46" s="179" t="str">
        <f>IF(Scoreboard!Y54="","",Scoreboard!Y54)</f>
        <v>3B</v>
      </c>
      <c r="E46" s="179"/>
      <c r="F46" s="34">
        <f>IF(Scoreboard!Z54="","",Scoreboard!Z54)</f>
        <v>0</v>
      </c>
      <c r="G46" s="113"/>
    </row>
    <row r="47" spans="2:7" x14ac:dyDescent="0.5">
      <c r="B47" s="34" t="str">
        <f t="shared" si="0"/>
        <v/>
      </c>
      <c r="C47" s="34">
        <f>IF(Scoreboard!X55&gt;0,Scoreboard!X55,"")</f>
        <v>2</v>
      </c>
      <c r="D47" s="179" t="str">
        <f>IF(Scoreboard!Y55="","",Scoreboard!Y55)</f>
        <v>Out</v>
      </c>
      <c r="E47" s="179"/>
      <c r="F47" s="34">
        <f>IF(Scoreboard!Z55="","",Scoreboard!Z55)</f>
        <v>0</v>
      </c>
      <c r="G47" s="113"/>
    </row>
    <row r="48" spans="2:7" x14ac:dyDescent="0.5">
      <c r="B48" s="34" t="str">
        <f t="shared" si="0"/>
        <v/>
      </c>
      <c r="C48" s="34">
        <f>IF(Scoreboard!X56&gt;0,Scoreboard!X56,"")</f>
        <v>3</v>
      </c>
      <c r="D48" s="179" t="str">
        <f>IF(Scoreboard!Y56="","",Scoreboard!Y56)</f>
        <v>Out</v>
      </c>
      <c r="E48" s="179"/>
      <c r="F48" s="34">
        <f>IF(Scoreboard!Z56="","",Scoreboard!Z56)</f>
        <v>0</v>
      </c>
      <c r="G48" s="113"/>
    </row>
    <row r="49" spans="2:7" x14ac:dyDescent="0.5">
      <c r="B49" s="34" t="str">
        <f t="shared" si="0"/>
        <v/>
      </c>
      <c r="C49" s="34">
        <f>IF(Scoreboard!X57&gt;0,Scoreboard!X57,"")</f>
        <v>4</v>
      </c>
      <c r="D49" s="179" t="str">
        <f>IF(Scoreboard!Y57="","",Scoreboard!Y57)</f>
        <v>Out</v>
      </c>
      <c r="E49" s="179"/>
      <c r="F49" s="34">
        <f>IF(Scoreboard!Z57="","",Scoreboard!Z57)</f>
        <v>0</v>
      </c>
      <c r="G49" s="113"/>
    </row>
    <row r="50" spans="2:7" x14ac:dyDescent="0.5">
      <c r="B50" s="34" t="str">
        <f t="shared" si="0"/>
        <v>CHANGE</v>
      </c>
      <c r="C50" s="34">
        <f>IF(Scoreboard!X58&gt;0,Scoreboard!X58,"")</f>
        <v>1</v>
      </c>
      <c r="D50" s="179" t="str">
        <f>IF(Scoreboard!Y58="","",Scoreboard!Y58)</f>
        <v>Out</v>
      </c>
      <c r="E50" s="179"/>
      <c r="F50" s="34">
        <f>IF(Scoreboard!Z58="","",Scoreboard!Z58)</f>
        <v>0</v>
      </c>
      <c r="G50" s="113"/>
    </row>
    <row r="51" spans="2:7" x14ac:dyDescent="0.5">
      <c r="B51" s="34" t="str">
        <f t="shared" si="0"/>
        <v/>
      </c>
      <c r="C51" s="34">
        <f>IF(Scoreboard!X59&gt;0,Scoreboard!X59,"")</f>
        <v>2</v>
      </c>
      <c r="D51" s="179" t="str">
        <f>IF(Scoreboard!Y59="","",Scoreboard!Y59)</f>
        <v>Out</v>
      </c>
      <c r="E51" s="179"/>
      <c r="F51" s="34">
        <f>IF(Scoreboard!Z59="","",Scoreboard!Z59)</f>
        <v>0</v>
      </c>
      <c r="G51" s="113"/>
    </row>
    <row r="52" spans="2:7" x14ac:dyDescent="0.5">
      <c r="B52" s="34" t="str">
        <f t="shared" si="0"/>
        <v/>
      </c>
      <c r="C52" s="34">
        <f>IF(Scoreboard!X60&gt;0,Scoreboard!X60,"")</f>
        <v>3</v>
      </c>
      <c r="D52" s="179" t="str">
        <f>IF(Scoreboard!Y60="","",Scoreboard!Y60)</f>
        <v>1B</v>
      </c>
      <c r="E52" s="179"/>
      <c r="F52" s="34">
        <f>IF(Scoreboard!Z60="","",Scoreboard!Z60)</f>
        <v>0</v>
      </c>
      <c r="G52" s="113"/>
    </row>
    <row r="53" spans="2:7" x14ac:dyDescent="0.5">
      <c r="B53" s="34" t="str">
        <f t="shared" si="0"/>
        <v/>
      </c>
      <c r="C53" s="34">
        <f>IF(Scoreboard!X61&gt;0,Scoreboard!X61,"")</f>
        <v>4</v>
      </c>
      <c r="D53" s="179" t="str">
        <f>IF(Scoreboard!Y61="","",Scoreboard!Y61)</f>
        <v>Out</v>
      </c>
      <c r="E53" s="179"/>
      <c r="F53" s="34">
        <f>IF(Scoreboard!Z61="","",Scoreboard!Z61)</f>
        <v>0</v>
      </c>
      <c r="G53" s="113"/>
    </row>
    <row r="54" spans="2:7" x14ac:dyDescent="0.5">
      <c r="B54" s="34" t="str">
        <f t="shared" si="0"/>
        <v>CHANGE</v>
      </c>
      <c r="C54" s="34">
        <f>IF(Scoreboard!X62&gt;0,Scoreboard!X62,"")</f>
        <v>1</v>
      </c>
      <c r="D54" s="179" t="str">
        <f>IF(Scoreboard!Y62="","",Scoreboard!Y62)</f>
        <v>Out</v>
      </c>
      <c r="E54" s="179"/>
      <c r="F54" s="34">
        <f>IF(Scoreboard!Z62="","",Scoreboard!Z62)</f>
        <v>0</v>
      </c>
      <c r="G54" s="113"/>
    </row>
    <row r="55" spans="2:7" x14ac:dyDescent="0.5">
      <c r="B55" s="34" t="str">
        <f t="shared" si="0"/>
        <v/>
      </c>
      <c r="C55" s="34">
        <f>IF(Scoreboard!X63&gt;0,Scoreboard!X63,"")</f>
        <v>2</v>
      </c>
      <c r="D55" s="179" t="str">
        <f>IF(Scoreboard!Y63="","",Scoreboard!Y63)</f>
        <v>Out</v>
      </c>
      <c r="E55" s="179"/>
      <c r="F55" s="34">
        <f>IF(Scoreboard!Z63="","",Scoreboard!Z63)</f>
        <v>0</v>
      </c>
      <c r="G55" s="113"/>
    </row>
    <row r="56" spans="2:7" x14ac:dyDescent="0.5">
      <c r="B56" s="34" t="str">
        <f t="shared" si="0"/>
        <v/>
      </c>
      <c r="C56" s="34">
        <f>IF(Scoreboard!X64&gt;0,Scoreboard!X64,"")</f>
        <v>3</v>
      </c>
      <c r="D56" s="179" t="str">
        <f>IF(Scoreboard!Y64="","",Scoreboard!Y64)</f>
        <v>Out</v>
      </c>
      <c r="E56" s="179"/>
      <c r="F56" s="34">
        <f>IF(Scoreboard!Z64="","",Scoreboard!Z64)</f>
        <v>0</v>
      </c>
      <c r="G56" s="113"/>
    </row>
    <row r="57" spans="2:7" x14ac:dyDescent="0.5">
      <c r="B57" s="34" t="str">
        <f t="shared" si="0"/>
        <v>CHANGE</v>
      </c>
      <c r="C57" s="34">
        <f>IF(Scoreboard!X65&gt;0,Scoreboard!X65,"")</f>
        <v>1</v>
      </c>
      <c r="D57" s="179" t="str">
        <f>IF(Scoreboard!Y65="","",Scoreboard!Y65)</f>
        <v>Out</v>
      </c>
      <c r="E57" s="179"/>
      <c r="F57" s="34">
        <f>IF(Scoreboard!Z65="","",Scoreboard!Z65)</f>
        <v>0</v>
      </c>
      <c r="G57" s="113"/>
    </row>
    <row r="58" spans="2:7" x14ac:dyDescent="0.5">
      <c r="B58" s="34" t="str">
        <f t="shared" si="0"/>
        <v/>
      </c>
      <c r="C58" s="34">
        <f>IF(Scoreboard!X66&gt;0,Scoreboard!X66,"")</f>
        <v>2</v>
      </c>
      <c r="D58" s="179" t="str">
        <f>IF(Scoreboard!Y66="","",Scoreboard!Y66)</f>
        <v>2B</v>
      </c>
      <c r="E58" s="179"/>
      <c r="F58" s="34">
        <f>IF(Scoreboard!Z66="","",Scoreboard!Z66)</f>
        <v>0</v>
      </c>
      <c r="G58" s="113"/>
    </row>
    <row r="59" spans="2:7" x14ac:dyDescent="0.5">
      <c r="B59" s="34" t="str">
        <f t="shared" si="0"/>
        <v/>
      </c>
      <c r="C59" s="34">
        <f>IF(Scoreboard!X67&gt;0,Scoreboard!X67,"")</f>
        <v>3</v>
      </c>
      <c r="D59" s="179" t="str">
        <f>IF(Scoreboard!Y67="","",Scoreboard!Y67)</f>
        <v>HR</v>
      </c>
      <c r="E59" s="179"/>
      <c r="F59" s="34">
        <f>IF(Scoreboard!Z67="","",Scoreboard!Z67)</f>
        <v>2</v>
      </c>
      <c r="G59" s="113"/>
    </row>
    <row r="60" spans="2:7" x14ac:dyDescent="0.5">
      <c r="B60" s="34" t="str">
        <f t="shared" si="0"/>
        <v/>
      </c>
      <c r="C60" s="34">
        <f>IF(Scoreboard!X68&gt;0,Scoreboard!X68,"")</f>
        <v>4</v>
      </c>
      <c r="D60" s="179" t="str">
        <f>IF(Scoreboard!Y68="","",Scoreboard!Y68)</f>
        <v>Out</v>
      </c>
      <c r="E60" s="179"/>
      <c r="F60" s="34">
        <f>IF(Scoreboard!Z68="","",Scoreboard!Z68)</f>
        <v>2</v>
      </c>
      <c r="G60" s="113"/>
    </row>
    <row r="61" spans="2:7" x14ac:dyDescent="0.5">
      <c r="B61" s="34" t="str">
        <f t="shared" si="0"/>
        <v/>
      </c>
      <c r="C61" s="34">
        <f>IF(Scoreboard!X69&gt;0,Scoreboard!X69,"")</f>
        <v>5</v>
      </c>
      <c r="D61" s="179" t="str">
        <f>IF(Scoreboard!Y69="","",Scoreboard!Y69)</f>
        <v>Out</v>
      </c>
      <c r="E61" s="179"/>
      <c r="F61" s="34">
        <f>IF(Scoreboard!Z69="","",Scoreboard!Z69)</f>
        <v>2</v>
      </c>
      <c r="G61" s="113"/>
    </row>
    <row r="62" spans="2:7" x14ac:dyDescent="0.5">
      <c r="B62" s="34" t="str">
        <f t="shared" si="0"/>
        <v>CHANGE</v>
      </c>
      <c r="C62" s="34">
        <f>IF(Scoreboard!X70&gt;0,Scoreboard!X70,"")</f>
        <v>1</v>
      </c>
      <c r="D62" s="179" t="str">
        <f>IF(Scoreboard!Y70="","",Scoreboard!Y70)</f>
        <v>Out</v>
      </c>
      <c r="E62" s="179"/>
      <c r="F62" s="34">
        <f>IF(Scoreboard!Z70="","",Scoreboard!Z70)</f>
        <v>0</v>
      </c>
      <c r="G62" s="113"/>
    </row>
    <row r="63" spans="2:7" x14ac:dyDescent="0.5">
      <c r="B63" s="34" t="str">
        <f t="shared" si="0"/>
        <v/>
      </c>
      <c r="C63" s="34">
        <f>IF(Scoreboard!X71&gt;0,Scoreboard!X71,"")</f>
        <v>2</v>
      </c>
      <c r="D63" s="179" t="str">
        <f>IF(Scoreboard!Y71="","",Scoreboard!Y71)</f>
        <v>Out</v>
      </c>
      <c r="E63" s="179"/>
      <c r="F63" s="34">
        <f>IF(Scoreboard!Z71="","",Scoreboard!Z71)</f>
        <v>0</v>
      </c>
      <c r="G63" s="113"/>
    </row>
    <row r="64" spans="2:7" x14ac:dyDescent="0.5">
      <c r="B64" s="34" t="str">
        <f t="shared" si="0"/>
        <v/>
      </c>
      <c r="C64" s="34">
        <f>IF(Scoreboard!X72&gt;0,Scoreboard!X72,"")</f>
        <v>3</v>
      </c>
      <c r="D64" s="179" t="str">
        <f>IF(Scoreboard!Y72="","",Scoreboard!Y72)</f>
        <v>Out</v>
      </c>
      <c r="E64" s="179"/>
      <c r="F64" s="34">
        <f>IF(Scoreboard!Z72="","",Scoreboard!Z72)</f>
        <v>0</v>
      </c>
      <c r="G64" s="113"/>
    </row>
    <row r="65" spans="2:7" x14ac:dyDescent="0.5">
      <c r="B65" s="34" t="str">
        <f t="shared" si="0"/>
        <v>CHANGE</v>
      </c>
      <c r="C65" s="34">
        <f>IF(Scoreboard!X73&gt;0,Scoreboard!X73,"")</f>
        <v>1</v>
      </c>
      <c r="D65" s="179" t="str">
        <f>IF(Scoreboard!Y73="","",Scoreboard!Y73)</f>
        <v>Out</v>
      </c>
      <c r="E65" s="179"/>
      <c r="F65" s="34">
        <f>IF(Scoreboard!Z73="","",Scoreboard!Z73)</f>
        <v>0</v>
      </c>
      <c r="G65" s="113"/>
    </row>
    <row r="66" spans="2:7" x14ac:dyDescent="0.5">
      <c r="B66" s="34" t="str">
        <f t="shared" si="0"/>
        <v/>
      </c>
      <c r="C66" s="34">
        <f>IF(Scoreboard!X74&gt;0,Scoreboard!X74,"")</f>
        <v>2</v>
      </c>
      <c r="D66" s="179" t="str">
        <f>IF(Scoreboard!Y74="","",Scoreboard!Y74)</f>
        <v>Out</v>
      </c>
      <c r="E66" s="179"/>
      <c r="F66" s="34">
        <f>IF(Scoreboard!Z74="","",Scoreboard!Z74)</f>
        <v>0</v>
      </c>
      <c r="G66" s="113"/>
    </row>
    <row r="67" spans="2:7" x14ac:dyDescent="0.5">
      <c r="B67" s="34" t="str">
        <f t="shared" si="0"/>
        <v/>
      </c>
      <c r="C67" s="34">
        <f>IF(Scoreboard!X75&gt;0,Scoreboard!X75,"")</f>
        <v>3</v>
      </c>
      <c r="D67" s="179" t="str">
        <f>IF(Scoreboard!Y75="","",Scoreboard!Y75)</f>
        <v>1B</v>
      </c>
      <c r="E67" s="179"/>
      <c r="F67" s="34">
        <f>IF(Scoreboard!Z75="","",Scoreboard!Z75)</f>
        <v>0</v>
      </c>
      <c r="G67" s="113"/>
    </row>
    <row r="68" spans="2:7" x14ac:dyDescent="0.5">
      <c r="B68" s="34" t="str">
        <f t="shared" si="0"/>
        <v/>
      </c>
      <c r="C68" s="34">
        <f>IF(Scoreboard!X76&gt;0,Scoreboard!X76,"")</f>
        <v>4</v>
      </c>
      <c r="D68" s="179" t="str">
        <f>IF(Scoreboard!Y76="","",Scoreboard!Y76)</f>
        <v>Out</v>
      </c>
      <c r="E68" s="179"/>
      <c r="F68" s="34">
        <f>IF(Scoreboard!Z76="","",Scoreboard!Z76)</f>
        <v>0</v>
      </c>
      <c r="G68" s="113"/>
    </row>
    <row r="69" spans="2:7" x14ac:dyDescent="0.5">
      <c r="B69" s="34" t="str">
        <f t="shared" si="0"/>
        <v>CHANGE</v>
      </c>
      <c r="C69" s="34">
        <f>IF(Scoreboard!X77&gt;0,Scoreboard!X77,"")</f>
        <v>1</v>
      </c>
      <c r="D69" s="179" t="str">
        <f>IF(Scoreboard!Y77="","",Scoreboard!Y77)</f>
        <v>Out</v>
      </c>
      <c r="E69" s="179"/>
      <c r="F69" s="34">
        <f>IF(Scoreboard!Z77="","",Scoreboard!Z77)</f>
        <v>0</v>
      </c>
      <c r="G69" s="113"/>
    </row>
    <row r="70" spans="2:7" x14ac:dyDescent="0.5">
      <c r="B70" s="34" t="str">
        <f t="shared" ref="B70:B133" si="1">IF(C70=1,"CHANGE","")</f>
        <v/>
      </c>
      <c r="C70" s="34">
        <f>IF(Scoreboard!X78&gt;0,Scoreboard!X78,"")</f>
        <v>2</v>
      </c>
      <c r="D70" s="179" t="str">
        <f>IF(Scoreboard!Y78="","",Scoreboard!Y78)</f>
        <v>Out</v>
      </c>
      <c r="E70" s="179"/>
      <c r="F70" s="34">
        <f>IF(Scoreboard!Z78="","",Scoreboard!Z78)</f>
        <v>0</v>
      </c>
      <c r="G70" s="113"/>
    </row>
    <row r="71" spans="2:7" x14ac:dyDescent="0.5">
      <c r="B71" s="34" t="str">
        <f t="shared" si="1"/>
        <v/>
      </c>
      <c r="C71" s="34">
        <f>IF(Scoreboard!X79&gt;0,Scoreboard!X79,"")</f>
        <v>3</v>
      </c>
      <c r="D71" s="179" t="str">
        <f>IF(Scoreboard!Y79="","",Scoreboard!Y79)</f>
        <v>Out</v>
      </c>
      <c r="E71" s="179"/>
      <c r="F71" s="34">
        <f>IF(Scoreboard!Z79="","",Scoreboard!Z79)</f>
        <v>0</v>
      </c>
      <c r="G71" s="113"/>
    </row>
    <row r="72" spans="2:7" x14ac:dyDescent="0.5">
      <c r="B72" s="34" t="str">
        <f t="shared" si="1"/>
        <v>CHANGE</v>
      </c>
      <c r="C72" s="34">
        <f>IF(Scoreboard!X80&gt;0,Scoreboard!X80,"")</f>
        <v>1</v>
      </c>
      <c r="D72" s="179" t="str">
        <f>IF(Scoreboard!Y80="","",Scoreboard!Y80)</f>
        <v>Out</v>
      </c>
      <c r="E72" s="179"/>
      <c r="F72" s="34">
        <f>IF(Scoreboard!Z80="","",Scoreboard!Z80)</f>
        <v>0</v>
      </c>
      <c r="G72" s="113"/>
    </row>
    <row r="73" spans="2:7" x14ac:dyDescent="0.5">
      <c r="B73" s="34" t="str">
        <f t="shared" si="1"/>
        <v/>
      </c>
      <c r="C73" s="34">
        <f>IF(Scoreboard!X81&gt;0,Scoreboard!X81,"")</f>
        <v>2</v>
      </c>
      <c r="D73" s="179" t="str">
        <f>IF(Scoreboard!Y81="","",Scoreboard!Y81)</f>
        <v>Out</v>
      </c>
      <c r="E73" s="179"/>
      <c r="F73" s="34">
        <f>IF(Scoreboard!Z81="","",Scoreboard!Z81)</f>
        <v>0</v>
      </c>
      <c r="G73" s="113"/>
    </row>
    <row r="74" spans="2:7" x14ac:dyDescent="0.5">
      <c r="B74" s="34" t="str">
        <f t="shared" si="1"/>
        <v/>
      </c>
      <c r="C74" s="34">
        <f>IF(Scoreboard!X82&gt;0,Scoreboard!X82,"")</f>
        <v>3</v>
      </c>
      <c r="D74" s="179" t="str">
        <f>IF(Scoreboard!Y82="","",Scoreboard!Y82)</f>
        <v>Out</v>
      </c>
      <c r="E74" s="179"/>
      <c r="F74" s="34">
        <f>IF(Scoreboard!Z82="","",Scoreboard!Z82)</f>
        <v>0</v>
      </c>
      <c r="G74" s="113"/>
    </row>
    <row r="75" spans="2:7" x14ac:dyDescent="0.5">
      <c r="B75" s="34" t="str">
        <f t="shared" si="1"/>
        <v>CHANGE</v>
      </c>
      <c r="C75" s="34">
        <f>IF(Scoreboard!X83&gt;0,Scoreboard!X83,"")</f>
        <v>1</v>
      </c>
      <c r="D75" s="179" t="str">
        <f>IF(Scoreboard!Y83="","",Scoreboard!Y83)</f>
        <v>2B</v>
      </c>
      <c r="E75" s="179"/>
      <c r="F75" s="34">
        <f>IF(Scoreboard!Z83="","",Scoreboard!Z83)</f>
        <v>0</v>
      </c>
      <c r="G75" s="113"/>
    </row>
    <row r="76" spans="2:7" x14ac:dyDescent="0.5">
      <c r="B76" s="34" t="str">
        <f t="shared" si="1"/>
        <v/>
      </c>
      <c r="C76" s="34">
        <f>IF(Scoreboard!X84&gt;0,Scoreboard!X84,"")</f>
        <v>2</v>
      </c>
      <c r="D76" s="179" t="str">
        <f>IF(Scoreboard!Y84="","",Scoreboard!Y84)</f>
        <v>Out</v>
      </c>
      <c r="E76" s="179"/>
      <c r="F76" s="34">
        <f>IF(Scoreboard!Z84="","",Scoreboard!Z84)</f>
        <v>0</v>
      </c>
      <c r="G76" s="113"/>
    </row>
    <row r="77" spans="2:7" x14ac:dyDescent="0.5">
      <c r="B77" s="34" t="str">
        <f t="shared" si="1"/>
        <v/>
      </c>
      <c r="C77" s="34">
        <f>IF(Scoreboard!X85&gt;0,Scoreboard!X85,"")</f>
        <v>3</v>
      </c>
      <c r="D77" s="179" t="str">
        <f>IF(Scoreboard!Y85="","",Scoreboard!Y85)</f>
        <v>1B</v>
      </c>
      <c r="E77" s="179"/>
      <c r="F77" s="34">
        <f>IF(Scoreboard!Z85="","",Scoreboard!Z85)</f>
        <v>1</v>
      </c>
      <c r="G77" s="113"/>
    </row>
    <row r="78" spans="2:7" x14ac:dyDescent="0.5">
      <c r="B78" s="34" t="str">
        <f t="shared" si="1"/>
        <v/>
      </c>
      <c r="C78" s="34">
        <f>IF(Scoreboard!X86&gt;0,Scoreboard!X86,"")</f>
        <v>4</v>
      </c>
      <c r="D78" s="179" t="str">
        <f>IF(Scoreboard!Y86="","",Scoreboard!Y86)</f>
        <v>Out</v>
      </c>
      <c r="E78" s="179"/>
      <c r="F78" s="34">
        <f>IF(Scoreboard!Z86="","",Scoreboard!Z86)</f>
        <v>1</v>
      </c>
      <c r="G78" s="113"/>
    </row>
    <row r="79" spans="2:7" x14ac:dyDescent="0.5">
      <c r="B79" s="34" t="str">
        <f t="shared" si="1"/>
        <v/>
      </c>
      <c r="C79" s="34">
        <f>IF(Scoreboard!X87&gt;0,Scoreboard!X87,"")</f>
        <v>5</v>
      </c>
      <c r="D79" s="179" t="str">
        <f>IF(Scoreboard!Y87="","",Scoreboard!Y87)</f>
        <v>Out</v>
      </c>
      <c r="E79" s="179"/>
      <c r="F79" s="34">
        <f>IF(Scoreboard!Z87="","",Scoreboard!Z87)</f>
        <v>1</v>
      </c>
      <c r="G79" s="113"/>
    </row>
    <row r="80" spans="2:7" x14ac:dyDescent="0.5">
      <c r="B80" s="34" t="str">
        <f t="shared" si="1"/>
        <v>CHANGE</v>
      </c>
      <c r="C80" s="34">
        <f>IF(Scoreboard!X88&gt;0,Scoreboard!X88,"")</f>
        <v>1</v>
      </c>
      <c r="D80" s="179" t="str">
        <f>IF(Scoreboard!Y88="","",Scoreboard!Y88)</f>
        <v>2B</v>
      </c>
      <c r="E80" s="179"/>
      <c r="F80" s="34">
        <f>IF(Scoreboard!Z88="","",Scoreboard!Z88)</f>
        <v>0</v>
      </c>
      <c r="G80" s="113"/>
    </row>
    <row r="81" spans="2:7" x14ac:dyDescent="0.5">
      <c r="B81" s="34" t="str">
        <f t="shared" si="1"/>
        <v/>
      </c>
      <c r="C81" s="34">
        <f>IF(Scoreboard!X89&gt;0,Scoreboard!X89,"")</f>
        <v>2</v>
      </c>
      <c r="D81" s="179" t="str">
        <f>IF(Scoreboard!Y89="","",Scoreboard!Y89)</f>
        <v>Out</v>
      </c>
      <c r="E81" s="179"/>
      <c r="F81" s="34">
        <f>IF(Scoreboard!Z89="","",Scoreboard!Z89)</f>
        <v>0</v>
      </c>
      <c r="G81" s="113"/>
    </row>
    <row r="82" spans="2:7" x14ac:dyDescent="0.5">
      <c r="B82" s="34" t="str">
        <f t="shared" si="1"/>
        <v/>
      </c>
      <c r="C82" s="34">
        <f>IF(Scoreboard!X90&gt;0,Scoreboard!X90,"")</f>
        <v>3</v>
      </c>
      <c r="D82" s="179" t="str">
        <f>IF(Scoreboard!Y90="","",Scoreboard!Y90)</f>
        <v>Out</v>
      </c>
      <c r="E82" s="179"/>
      <c r="F82" s="34">
        <f>IF(Scoreboard!Z90="","",Scoreboard!Z90)</f>
        <v>0</v>
      </c>
      <c r="G82" s="113"/>
    </row>
    <row r="83" spans="2:7" x14ac:dyDescent="0.5">
      <c r="B83" s="34" t="str">
        <f t="shared" si="1"/>
        <v/>
      </c>
      <c r="C83" s="34">
        <f>IF(Scoreboard!X91&gt;0,Scoreboard!X91,"")</f>
        <v>4</v>
      </c>
      <c r="D83" s="179" t="str">
        <f>IF(Scoreboard!Y91="","",Scoreboard!Y91)</f>
        <v>Out</v>
      </c>
      <c r="E83" s="179"/>
      <c r="F83" s="34">
        <f>IF(Scoreboard!Z91="","",Scoreboard!Z91)</f>
        <v>0</v>
      </c>
      <c r="G83" s="113"/>
    </row>
    <row r="84" spans="2:7" x14ac:dyDescent="0.5">
      <c r="B84" s="34" t="str">
        <f t="shared" si="1"/>
        <v>CHANGE</v>
      </c>
      <c r="C84" s="34">
        <f>IF(Scoreboard!X92&gt;0,Scoreboard!X92,"")</f>
        <v>1</v>
      </c>
      <c r="D84" s="179" t="str">
        <f>IF(Scoreboard!Y92="","",Scoreboard!Y92)</f>
        <v>Out</v>
      </c>
      <c r="E84" s="179"/>
      <c r="F84" s="34">
        <f>IF(Scoreboard!Z92="","",Scoreboard!Z92)</f>
        <v>0</v>
      </c>
      <c r="G84" s="113"/>
    </row>
    <row r="85" spans="2:7" x14ac:dyDescent="0.5">
      <c r="B85" s="34" t="str">
        <f t="shared" si="1"/>
        <v/>
      </c>
      <c r="C85" s="34">
        <f>IF(Scoreboard!X93&gt;0,Scoreboard!X93,"")</f>
        <v>2</v>
      </c>
      <c r="D85" s="179" t="str">
        <f>IF(Scoreboard!Y93="","",Scoreboard!Y93)</f>
        <v>Out</v>
      </c>
      <c r="E85" s="179"/>
      <c r="F85" s="34">
        <f>IF(Scoreboard!Z93="","",Scoreboard!Z93)</f>
        <v>0</v>
      </c>
      <c r="G85" s="113"/>
    </row>
    <row r="86" spans="2:7" x14ac:dyDescent="0.5">
      <c r="B86" s="34" t="str">
        <f t="shared" si="1"/>
        <v/>
      </c>
      <c r="C86" s="34">
        <f>IF(Scoreboard!X94&gt;0,Scoreboard!X94,"")</f>
        <v>3</v>
      </c>
      <c r="D86" s="179" t="str">
        <f>IF(Scoreboard!Y94="","",Scoreboard!Y94)</f>
        <v>1B</v>
      </c>
      <c r="E86" s="179"/>
      <c r="F86" s="34">
        <f>IF(Scoreboard!Z94="","",Scoreboard!Z94)</f>
        <v>0</v>
      </c>
      <c r="G86" s="113"/>
    </row>
    <row r="87" spans="2:7" x14ac:dyDescent="0.5">
      <c r="B87" s="34" t="str">
        <f t="shared" si="1"/>
        <v/>
      </c>
      <c r="C87" s="34">
        <f>IF(Scoreboard!X95&gt;0,Scoreboard!X95,"")</f>
        <v>4</v>
      </c>
      <c r="D87" s="179" t="str">
        <f>IF(Scoreboard!Y95="","",Scoreboard!Y95)</f>
        <v>2B</v>
      </c>
      <c r="E87" s="179"/>
      <c r="F87" s="34">
        <f>IF(Scoreboard!Z95="","",Scoreboard!Z95)</f>
        <v>1</v>
      </c>
      <c r="G87" s="113"/>
    </row>
    <row r="88" spans="2:7" x14ac:dyDescent="0.5">
      <c r="B88" s="34" t="str">
        <f t="shared" si="1"/>
        <v/>
      </c>
      <c r="C88" s="34">
        <f>IF(Scoreboard!X96&gt;0,Scoreboard!X96,"")</f>
        <v>5</v>
      </c>
      <c r="D88" s="179" t="str">
        <f>IF(Scoreboard!Y96="","",Scoreboard!Y96)</f>
        <v>BB</v>
      </c>
      <c r="E88" s="179"/>
      <c r="F88" s="34">
        <f>IF(Scoreboard!Z96="","",Scoreboard!Z96)</f>
        <v>1</v>
      </c>
      <c r="G88" s="113"/>
    </row>
    <row r="89" spans="2:7" x14ac:dyDescent="0.5">
      <c r="B89" s="34" t="str">
        <f t="shared" si="1"/>
        <v/>
      </c>
      <c r="C89" s="34">
        <f>IF(Scoreboard!X97&gt;0,Scoreboard!X97,"")</f>
        <v>6</v>
      </c>
      <c r="D89" s="179" t="str">
        <f>IF(Scoreboard!Y97="","",Scoreboard!Y97)</f>
        <v>Out</v>
      </c>
      <c r="E89" s="179"/>
      <c r="F89" s="34">
        <f>IF(Scoreboard!Z97="","",Scoreboard!Z97)</f>
        <v>1</v>
      </c>
      <c r="G89" s="113"/>
    </row>
    <row r="90" spans="2:7" x14ac:dyDescent="0.5">
      <c r="B90" s="34" t="str">
        <f t="shared" si="1"/>
        <v>CHANGE</v>
      </c>
      <c r="C90" s="34">
        <f>IF(Scoreboard!X98&gt;0,Scoreboard!X98,"")</f>
        <v>1</v>
      </c>
      <c r="D90" s="179" t="str">
        <f>IF(Scoreboard!Y98="","",Scoreboard!Y98)</f>
        <v>Out</v>
      </c>
      <c r="E90" s="179"/>
      <c r="F90" s="34">
        <f>IF(Scoreboard!Z98="","",Scoreboard!Z98)</f>
        <v>0</v>
      </c>
      <c r="G90" s="113"/>
    </row>
    <row r="91" spans="2:7" x14ac:dyDescent="0.5">
      <c r="B91" s="34" t="str">
        <f t="shared" si="1"/>
        <v/>
      </c>
      <c r="C91" s="34">
        <f>IF(Scoreboard!X99&gt;0,Scoreboard!X99,"")</f>
        <v>2</v>
      </c>
      <c r="D91" s="179" t="str">
        <f>IF(Scoreboard!Y99="","",Scoreboard!Y99)</f>
        <v>2B</v>
      </c>
      <c r="E91" s="179"/>
      <c r="F91" s="34">
        <f>IF(Scoreboard!Z99="","",Scoreboard!Z99)</f>
        <v>0</v>
      </c>
      <c r="G91" s="113"/>
    </row>
    <row r="92" spans="2:7" x14ac:dyDescent="0.5">
      <c r="B92" s="34" t="str">
        <f t="shared" si="1"/>
        <v/>
      </c>
      <c r="C92" s="34">
        <f>IF(Scoreboard!X100&gt;0,Scoreboard!X100,"")</f>
        <v>3</v>
      </c>
      <c r="D92" s="179" t="str">
        <f>IF(Scoreboard!Y100="","",Scoreboard!Y100)</f>
        <v>Out</v>
      </c>
      <c r="E92" s="179"/>
      <c r="F92" s="34">
        <f>IF(Scoreboard!Z100="","",Scoreboard!Z100)</f>
        <v>0</v>
      </c>
      <c r="G92" s="113"/>
    </row>
    <row r="93" spans="2:7" x14ac:dyDescent="0.5">
      <c r="B93" s="34" t="str">
        <f t="shared" si="1"/>
        <v/>
      </c>
      <c r="C93" s="34">
        <f>IF(Scoreboard!X101&gt;0,Scoreboard!X101,"")</f>
        <v>4</v>
      </c>
      <c r="D93" s="179" t="str">
        <f>IF(Scoreboard!Y101="","",Scoreboard!Y101)</f>
        <v>Out</v>
      </c>
      <c r="E93" s="179"/>
      <c r="F93" s="34">
        <f>IF(Scoreboard!Z101="","",Scoreboard!Z101)</f>
        <v>0</v>
      </c>
      <c r="G93" s="113"/>
    </row>
    <row r="94" spans="2:7" x14ac:dyDescent="0.5">
      <c r="B94" s="34" t="str">
        <f t="shared" si="1"/>
        <v/>
      </c>
      <c r="C94" s="34" t="str">
        <f>IF(Scoreboard!X102&gt;0,Scoreboard!X102,"")</f>
        <v/>
      </c>
      <c r="D94" s="179" t="str">
        <f>IF(Scoreboard!Y102="","",Scoreboard!Y102)</f>
        <v/>
      </c>
      <c r="E94" s="179"/>
      <c r="F94" s="34" t="str">
        <f>IF(Scoreboard!Z102="","",Scoreboard!Z102)</f>
        <v/>
      </c>
      <c r="G94" s="113"/>
    </row>
    <row r="95" spans="2:7" x14ac:dyDescent="0.5">
      <c r="B95" s="34" t="str">
        <f t="shared" si="1"/>
        <v/>
      </c>
      <c r="C95" s="34" t="str">
        <f>IF(Scoreboard!X103&gt;0,Scoreboard!X103,"")</f>
        <v/>
      </c>
      <c r="D95" s="179" t="str">
        <f>IF(Scoreboard!Y103="","",Scoreboard!Y103)</f>
        <v/>
      </c>
      <c r="E95" s="179"/>
      <c r="F95" s="34" t="str">
        <f>IF(Scoreboard!Z103="","",Scoreboard!Z103)</f>
        <v/>
      </c>
      <c r="G95" s="113"/>
    </row>
    <row r="96" spans="2:7" x14ac:dyDescent="0.5">
      <c r="B96" s="34" t="str">
        <f t="shared" si="1"/>
        <v/>
      </c>
      <c r="C96" s="34" t="str">
        <f>IF(Scoreboard!X104&gt;0,Scoreboard!X104,"")</f>
        <v/>
      </c>
      <c r="D96" s="179" t="str">
        <f>IF(Scoreboard!Y104="","",Scoreboard!Y104)</f>
        <v/>
      </c>
      <c r="E96" s="179"/>
      <c r="F96" s="34" t="str">
        <f>IF(Scoreboard!Z104="","",Scoreboard!Z104)</f>
        <v/>
      </c>
      <c r="G96" s="113"/>
    </row>
    <row r="97" spans="2:7" x14ac:dyDescent="0.5">
      <c r="B97" s="34" t="str">
        <f t="shared" si="1"/>
        <v/>
      </c>
      <c r="C97" s="34" t="str">
        <f>IF(Scoreboard!X105&gt;0,Scoreboard!X105,"")</f>
        <v/>
      </c>
      <c r="D97" s="179" t="str">
        <f>IF(Scoreboard!Y105="","",Scoreboard!Y105)</f>
        <v/>
      </c>
      <c r="E97" s="179"/>
      <c r="F97" s="34" t="str">
        <f>IF(Scoreboard!Z105="","",Scoreboard!Z105)</f>
        <v/>
      </c>
      <c r="G97" s="113"/>
    </row>
    <row r="98" spans="2:7" x14ac:dyDescent="0.5">
      <c r="B98" s="34" t="str">
        <f t="shared" si="1"/>
        <v/>
      </c>
      <c r="C98" s="34" t="str">
        <f>IF(Scoreboard!X106&gt;0,Scoreboard!X106,"")</f>
        <v/>
      </c>
      <c r="D98" s="179" t="str">
        <f>IF(Scoreboard!Y106="","",Scoreboard!Y106)</f>
        <v/>
      </c>
      <c r="E98" s="179"/>
      <c r="F98" s="34" t="str">
        <f>IF(Scoreboard!Z106="","",Scoreboard!Z106)</f>
        <v/>
      </c>
      <c r="G98" s="113"/>
    </row>
    <row r="99" spans="2:7" x14ac:dyDescent="0.5">
      <c r="B99" s="34" t="str">
        <f t="shared" si="1"/>
        <v/>
      </c>
      <c r="C99" s="34" t="str">
        <f>IF(Scoreboard!X107&gt;0,Scoreboard!X107,"")</f>
        <v/>
      </c>
      <c r="D99" s="179" t="str">
        <f>IF(Scoreboard!Y107="","",Scoreboard!Y107)</f>
        <v/>
      </c>
      <c r="E99" s="179"/>
      <c r="F99" s="34" t="str">
        <f>IF(Scoreboard!Z107="","",Scoreboard!Z107)</f>
        <v/>
      </c>
      <c r="G99" s="113"/>
    </row>
    <row r="100" spans="2:7" x14ac:dyDescent="0.5">
      <c r="B100" s="34" t="str">
        <f t="shared" si="1"/>
        <v/>
      </c>
      <c r="C100" s="34" t="str">
        <f>IF(Scoreboard!X108&gt;0,Scoreboard!X108,"")</f>
        <v/>
      </c>
      <c r="D100" s="179" t="str">
        <f>IF(Scoreboard!Y108="","",Scoreboard!Y108)</f>
        <v/>
      </c>
      <c r="E100" s="179"/>
      <c r="F100" s="34" t="str">
        <f>IF(Scoreboard!Z108="","",Scoreboard!Z108)</f>
        <v/>
      </c>
      <c r="G100" s="113"/>
    </row>
    <row r="101" spans="2:7" x14ac:dyDescent="0.5">
      <c r="B101" s="34" t="str">
        <f t="shared" si="1"/>
        <v/>
      </c>
      <c r="C101" s="34" t="str">
        <f>IF(Scoreboard!X109&gt;0,Scoreboard!X109,"")</f>
        <v/>
      </c>
      <c r="D101" s="179" t="str">
        <f>IF(Scoreboard!Y109="","",Scoreboard!Y109)</f>
        <v/>
      </c>
      <c r="E101" s="179"/>
      <c r="F101" s="34" t="str">
        <f>IF(Scoreboard!Z109="","",Scoreboard!Z109)</f>
        <v/>
      </c>
      <c r="G101" s="113"/>
    </row>
    <row r="102" spans="2:7" x14ac:dyDescent="0.5">
      <c r="B102" s="34" t="str">
        <f t="shared" si="1"/>
        <v/>
      </c>
      <c r="C102" s="34" t="str">
        <f>IF(Scoreboard!X110&gt;0,Scoreboard!X110,"")</f>
        <v/>
      </c>
      <c r="D102" s="179" t="str">
        <f>IF(Scoreboard!Y110="","",Scoreboard!Y110)</f>
        <v/>
      </c>
      <c r="E102" s="179"/>
      <c r="F102" s="34" t="str">
        <f>IF(Scoreboard!Z110="","",Scoreboard!Z110)</f>
        <v/>
      </c>
      <c r="G102" s="113"/>
    </row>
    <row r="103" spans="2:7" x14ac:dyDescent="0.5">
      <c r="B103" s="34" t="str">
        <f t="shared" si="1"/>
        <v/>
      </c>
      <c r="C103" s="34" t="str">
        <f>IF(Scoreboard!X111&gt;0,Scoreboard!X111,"")</f>
        <v/>
      </c>
      <c r="D103" s="179" t="str">
        <f>IF(Scoreboard!Y111="","",Scoreboard!Y111)</f>
        <v/>
      </c>
      <c r="E103" s="179"/>
      <c r="F103" s="34" t="str">
        <f>IF(Scoreboard!Z111="","",Scoreboard!Z111)</f>
        <v/>
      </c>
      <c r="G103" s="113"/>
    </row>
    <row r="104" spans="2:7" x14ac:dyDescent="0.5">
      <c r="B104" s="34" t="str">
        <f t="shared" si="1"/>
        <v/>
      </c>
      <c r="C104" s="34" t="str">
        <f>IF(Scoreboard!X112&gt;0,Scoreboard!X112,"")</f>
        <v/>
      </c>
      <c r="D104" s="179" t="str">
        <f>IF(Scoreboard!Y112="","",Scoreboard!Y112)</f>
        <v/>
      </c>
      <c r="E104" s="179"/>
      <c r="F104" s="34" t="str">
        <f>IF(Scoreboard!Z112="","",Scoreboard!Z112)</f>
        <v/>
      </c>
      <c r="G104" s="113"/>
    </row>
    <row r="105" spans="2:7" x14ac:dyDescent="0.5">
      <c r="B105" s="34" t="str">
        <f t="shared" si="1"/>
        <v/>
      </c>
      <c r="C105" s="34" t="str">
        <f>IF(Scoreboard!X113&gt;0,Scoreboard!X113,"")</f>
        <v/>
      </c>
      <c r="D105" s="179" t="str">
        <f>IF(Scoreboard!Y113="","",Scoreboard!Y113)</f>
        <v/>
      </c>
      <c r="E105" s="179"/>
      <c r="F105" s="34" t="str">
        <f>IF(Scoreboard!Z113="","",Scoreboard!Z113)</f>
        <v/>
      </c>
      <c r="G105" s="113"/>
    </row>
    <row r="106" spans="2:7" x14ac:dyDescent="0.5">
      <c r="B106" s="34" t="str">
        <f t="shared" si="1"/>
        <v/>
      </c>
      <c r="C106" s="34" t="str">
        <f>IF(Scoreboard!X114&gt;0,Scoreboard!X114,"")</f>
        <v/>
      </c>
      <c r="D106" s="179" t="str">
        <f>IF(Scoreboard!Y114="","",Scoreboard!Y114)</f>
        <v/>
      </c>
      <c r="E106" s="179"/>
      <c r="F106" s="34" t="str">
        <f>IF(Scoreboard!Z114="","",Scoreboard!Z114)</f>
        <v/>
      </c>
      <c r="G106" s="113"/>
    </row>
    <row r="107" spans="2:7" x14ac:dyDescent="0.5">
      <c r="B107" s="34" t="str">
        <f t="shared" si="1"/>
        <v/>
      </c>
      <c r="C107" s="34" t="str">
        <f>IF(Scoreboard!X115&gt;0,Scoreboard!X115,"")</f>
        <v/>
      </c>
      <c r="D107" s="179" t="str">
        <f>IF(Scoreboard!Y115="","",Scoreboard!Y115)</f>
        <v/>
      </c>
      <c r="E107" s="179"/>
      <c r="F107" s="34" t="str">
        <f>IF(Scoreboard!Z115="","",Scoreboard!Z115)</f>
        <v/>
      </c>
      <c r="G107" s="113"/>
    </row>
    <row r="108" spans="2:7" x14ac:dyDescent="0.5">
      <c r="B108" s="34" t="str">
        <f t="shared" si="1"/>
        <v/>
      </c>
      <c r="C108" s="34" t="str">
        <f>IF(Scoreboard!X116&gt;0,Scoreboard!X116,"")</f>
        <v/>
      </c>
      <c r="D108" s="179" t="str">
        <f>IF(Scoreboard!Y116="","",Scoreboard!Y116)</f>
        <v/>
      </c>
      <c r="E108" s="179"/>
      <c r="F108" s="34" t="str">
        <f>IF(Scoreboard!Z116="","",Scoreboard!Z116)</f>
        <v/>
      </c>
      <c r="G108" s="113"/>
    </row>
    <row r="109" spans="2:7" x14ac:dyDescent="0.5">
      <c r="B109" s="34" t="str">
        <f t="shared" si="1"/>
        <v/>
      </c>
      <c r="C109" s="34" t="str">
        <f>IF(Scoreboard!X117&gt;0,Scoreboard!X117,"")</f>
        <v/>
      </c>
      <c r="D109" s="179" t="str">
        <f>IF(Scoreboard!Y117="","",Scoreboard!Y117)</f>
        <v/>
      </c>
      <c r="E109" s="179"/>
      <c r="F109" s="34" t="str">
        <f>IF(Scoreboard!Z117="","",Scoreboard!Z117)</f>
        <v/>
      </c>
      <c r="G109" s="113"/>
    </row>
    <row r="110" spans="2:7" x14ac:dyDescent="0.5">
      <c r="B110" s="34" t="str">
        <f t="shared" si="1"/>
        <v/>
      </c>
      <c r="C110" s="34" t="str">
        <f>IF(Scoreboard!X118&gt;0,Scoreboard!X118,"")</f>
        <v/>
      </c>
      <c r="D110" s="179" t="str">
        <f>IF(Scoreboard!Y118="","",Scoreboard!Y118)</f>
        <v/>
      </c>
      <c r="E110" s="179"/>
      <c r="F110" s="34" t="str">
        <f>IF(Scoreboard!Z118="","",Scoreboard!Z118)</f>
        <v/>
      </c>
      <c r="G110" s="113"/>
    </row>
    <row r="111" spans="2:7" x14ac:dyDescent="0.5">
      <c r="B111" s="34" t="str">
        <f t="shared" si="1"/>
        <v/>
      </c>
      <c r="C111" s="34" t="str">
        <f>IF(Scoreboard!X119&gt;0,Scoreboard!X119,"")</f>
        <v/>
      </c>
      <c r="D111" s="179" t="str">
        <f>IF(Scoreboard!Y119="","",Scoreboard!Y119)</f>
        <v/>
      </c>
      <c r="E111" s="179"/>
      <c r="F111" s="34" t="str">
        <f>IF(Scoreboard!Z119="","",Scoreboard!Z119)</f>
        <v/>
      </c>
      <c r="G111" s="113"/>
    </row>
    <row r="112" spans="2:7" x14ac:dyDescent="0.5">
      <c r="B112" s="34" t="str">
        <f t="shared" si="1"/>
        <v/>
      </c>
      <c r="C112" s="34" t="str">
        <f>IF(Scoreboard!X120&gt;0,Scoreboard!X120,"")</f>
        <v/>
      </c>
      <c r="D112" s="179" t="str">
        <f>IF(Scoreboard!Y120="","",Scoreboard!Y120)</f>
        <v/>
      </c>
      <c r="E112" s="179"/>
      <c r="F112" s="34" t="str">
        <f>IF(Scoreboard!Z120="","",Scoreboard!Z120)</f>
        <v/>
      </c>
      <c r="G112" s="113"/>
    </row>
    <row r="113" spans="2:7" x14ac:dyDescent="0.5">
      <c r="B113" s="34" t="str">
        <f t="shared" si="1"/>
        <v/>
      </c>
      <c r="C113" s="34" t="str">
        <f>IF(Scoreboard!X121&gt;0,Scoreboard!X121,"")</f>
        <v/>
      </c>
      <c r="D113" s="179" t="str">
        <f>IF(Scoreboard!Y121="","",Scoreboard!Y121)</f>
        <v/>
      </c>
      <c r="E113" s="179"/>
      <c r="F113" s="34" t="str">
        <f>IF(Scoreboard!Z121="","",Scoreboard!Z121)</f>
        <v/>
      </c>
      <c r="G113" s="113"/>
    </row>
    <row r="114" spans="2:7" x14ac:dyDescent="0.5">
      <c r="B114" s="34" t="str">
        <f t="shared" si="1"/>
        <v/>
      </c>
      <c r="C114" s="34" t="str">
        <f>IF(Scoreboard!X122&gt;0,Scoreboard!X122,"")</f>
        <v/>
      </c>
      <c r="D114" s="179" t="str">
        <f>IF(Scoreboard!Y122="","",Scoreboard!Y122)</f>
        <v/>
      </c>
      <c r="E114" s="179"/>
      <c r="F114" s="34" t="str">
        <f>IF(Scoreboard!Z122="","",Scoreboard!Z122)</f>
        <v/>
      </c>
      <c r="G114" s="113"/>
    </row>
    <row r="115" spans="2:7" x14ac:dyDescent="0.5">
      <c r="B115" s="34" t="str">
        <f t="shared" si="1"/>
        <v/>
      </c>
      <c r="C115" s="34" t="str">
        <f>IF(Scoreboard!X123&gt;0,Scoreboard!X123,"")</f>
        <v/>
      </c>
      <c r="D115" s="179" t="str">
        <f>IF(Scoreboard!Y123="","",Scoreboard!Y123)</f>
        <v/>
      </c>
      <c r="E115" s="179"/>
      <c r="F115" s="34" t="str">
        <f>IF(Scoreboard!Z123="","",Scoreboard!Z123)</f>
        <v/>
      </c>
      <c r="G115" s="113"/>
    </row>
    <row r="116" spans="2:7" x14ac:dyDescent="0.5">
      <c r="B116" s="34" t="str">
        <f t="shared" si="1"/>
        <v/>
      </c>
      <c r="C116" s="34" t="str">
        <f>IF(Scoreboard!X124&gt;0,Scoreboard!X124,"")</f>
        <v/>
      </c>
      <c r="D116" s="179" t="str">
        <f>IF(Scoreboard!Y124="","",Scoreboard!Y124)</f>
        <v/>
      </c>
      <c r="E116" s="179"/>
      <c r="F116" s="34" t="str">
        <f>IF(Scoreboard!Z124="","",Scoreboard!Z124)</f>
        <v/>
      </c>
      <c r="G116" s="113"/>
    </row>
    <row r="117" spans="2:7" x14ac:dyDescent="0.5">
      <c r="B117" s="34" t="str">
        <f t="shared" si="1"/>
        <v/>
      </c>
      <c r="C117" s="34" t="str">
        <f>IF(Scoreboard!X125&gt;0,Scoreboard!X125,"")</f>
        <v/>
      </c>
      <c r="D117" s="179" t="str">
        <f>IF(Scoreboard!Y125="","",Scoreboard!Y125)</f>
        <v/>
      </c>
      <c r="E117" s="179"/>
      <c r="F117" s="34" t="str">
        <f>IF(Scoreboard!Z125="","",Scoreboard!Z125)</f>
        <v/>
      </c>
      <c r="G117" s="113"/>
    </row>
    <row r="118" spans="2:7" x14ac:dyDescent="0.5">
      <c r="B118" s="34" t="str">
        <f t="shared" si="1"/>
        <v/>
      </c>
      <c r="C118" s="34" t="str">
        <f>IF(Scoreboard!X126&gt;0,Scoreboard!X126,"")</f>
        <v/>
      </c>
      <c r="D118" s="179" t="str">
        <f>IF(Scoreboard!Y126="","",Scoreboard!Y126)</f>
        <v/>
      </c>
      <c r="E118" s="179"/>
      <c r="F118" s="34" t="str">
        <f>IF(Scoreboard!Z126="","",Scoreboard!Z126)</f>
        <v/>
      </c>
      <c r="G118" s="113"/>
    </row>
    <row r="119" spans="2:7" x14ac:dyDescent="0.5">
      <c r="B119" s="34" t="str">
        <f t="shared" si="1"/>
        <v/>
      </c>
      <c r="C119" s="34" t="str">
        <f>IF(Scoreboard!X127&gt;0,Scoreboard!X127,"")</f>
        <v/>
      </c>
      <c r="D119" s="179" t="str">
        <f>IF(Scoreboard!Y127="","",Scoreboard!Y127)</f>
        <v/>
      </c>
      <c r="E119" s="179"/>
      <c r="F119" s="34" t="str">
        <f>IF(Scoreboard!Z127="","",Scoreboard!Z127)</f>
        <v/>
      </c>
      <c r="G119" s="113"/>
    </row>
    <row r="120" spans="2:7" x14ac:dyDescent="0.5">
      <c r="B120" s="34" t="str">
        <f t="shared" si="1"/>
        <v/>
      </c>
      <c r="C120" s="34" t="str">
        <f>IF(Scoreboard!X128&gt;0,Scoreboard!X128,"")</f>
        <v/>
      </c>
      <c r="D120" s="179" t="str">
        <f>IF(Scoreboard!Y128="","",Scoreboard!Y128)</f>
        <v/>
      </c>
      <c r="E120" s="179"/>
      <c r="F120" s="34" t="str">
        <f>IF(Scoreboard!Z128="","",Scoreboard!Z128)</f>
        <v/>
      </c>
      <c r="G120" s="113"/>
    </row>
    <row r="121" spans="2:7" x14ac:dyDescent="0.5">
      <c r="B121" s="34" t="str">
        <f t="shared" si="1"/>
        <v/>
      </c>
      <c r="C121" s="34" t="str">
        <f>IF(Scoreboard!X129&gt;0,Scoreboard!X129,"")</f>
        <v/>
      </c>
      <c r="D121" s="179" t="str">
        <f>IF(Scoreboard!Y129="","",Scoreboard!Y129)</f>
        <v/>
      </c>
      <c r="E121" s="179"/>
      <c r="F121" s="34" t="str">
        <f>IF(Scoreboard!Z129="","",Scoreboard!Z129)</f>
        <v/>
      </c>
      <c r="G121" s="113"/>
    </row>
    <row r="122" spans="2:7" x14ac:dyDescent="0.5">
      <c r="B122" s="34" t="str">
        <f t="shared" si="1"/>
        <v/>
      </c>
      <c r="C122" s="34" t="str">
        <f>IF(Scoreboard!X130&gt;0,Scoreboard!X130,"")</f>
        <v/>
      </c>
      <c r="D122" s="179" t="str">
        <f>IF(Scoreboard!Y130="","",Scoreboard!Y130)</f>
        <v/>
      </c>
      <c r="E122" s="179"/>
      <c r="F122" s="34" t="str">
        <f>IF(Scoreboard!Z130="","",Scoreboard!Z130)</f>
        <v/>
      </c>
      <c r="G122" s="113"/>
    </row>
    <row r="123" spans="2:7" x14ac:dyDescent="0.5">
      <c r="B123" s="34" t="str">
        <f t="shared" si="1"/>
        <v/>
      </c>
      <c r="C123" s="34" t="str">
        <f>IF(Scoreboard!X131&gt;0,Scoreboard!X131,"")</f>
        <v/>
      </c>
      <c r="D123" s="179" t="str">
        <f>IF(Scoreboard!Y131="","",Scoreboard!Y131)</f>
        <v/>
      </c>
      <c r="E123" s="179"/>
      <c r="F123" s="34" t="str">
        <f>IF(Scoreboard!Z131="","",Scoreboard!Z131)</f>
        <v/>
      </c>
      <c r="G123" s="113"/>
    </row>
    <row r="124" spans="2:7" x14ac:dyDescent="0.5">
      <c r="B124" s="34" t="str">
        <f t="shared" si="1"/>
        <v/>
      </c>
      <c r="C124" s="34" t="str">
        <f>IF(Scoreboard!X132&gt;0,Scoreboard!X132,"")</f>
        <v/>
      </c>
      <c r="D124" s="179" t="str">
        <f>IF(Scoreboard!Y132="","",Scoreboard!Y132)</f>
        <v/>
      </c>
      <c r="E124" s="179"/>
      <c r="F124" s="34" t="str">
        <f>IF(Scoreboard!Z132="","",Scoreboard!Z132)</f>
        <v/>
      </c>
      <c r="G124" s="113"/>
    </row>
    <row r="125" spans="2:7" x14ac:dyDescent="0.5">
      <c r="B125" s="34" t="str">
        <f t="shared" si="1"/>
        <v/>
      </c>
      <c r="C125" s="34" t="str">
        <f>IF(Scoreboard!X133&gt;0,Scoreboard!X133,"")</f>
        <v/>
      </c>
      <c r="D125" s="179" t="str">
        <f>IF(Scoreboard!Y133="","",Scoreboard!Y133)</f>
        <v/>
      </c>
      <c r="E125" s="179"/>
      <c r="F125" s="34" t="str">
        <f>IF(Scoreboard!Z133="","",Scoreboard!Z133)</f>
        <v/>
      </c>
      <c r="G125" s="113"/>
    </row>
    <row r="126" spans="2:7" x14ac:dyDescent="0.5">
      <c r="B126" s="34" t="str">
        <f t="shared" si="1"/>
        <v/>
      </c>
      <c r="C126" s="34" t="str">
        <f>IF(Scoreboard!X134&gt;0,Scoreboard!X134,"")</f>
        <v/>
      </c>
      <c r="D126" s="179" t="str">
        <f>IF(Scoreboard!Y134="","",Scoreboard!Y134)</f>
        <v/>
      </c>
      <c r="E126" s="179"/>
      <c r="F126" s="34" t="str">
        <f>IF(Scoreboard!Z134="","",Scoreboard!Z134)</f>
        <v/>
      </c>
      <c r="G126" s="113"/>
    </row>
    <row r="127" spans="2:7" x14ac:dyDescent="0.5">
      <c r="B127" s="34" t="str">
        <f t="shared" si="1"/>
        <v/>
      </c>
      <c r="C127" s="34" t="str">
        <f>IF(Scoreboard!X135&gt;0,Scoreboard!X135,"")</f>
        <v/>
      </c>
      <c r="D127" s="179" t="str">
        <f>IF(Scoreboard!Y135="","",Scoreboard!Y135)</f>
        <v/>
      </c>
      <c r="E127" s="179"/>
      <c r="F127" s="34" t="str">
        <f>IF(Scoreboard!Z135="","",Scoreboard!Z135)</f>
        <v/>
      </c>
      <c r="G127" s="113"/>
    </row>
    <row r="128" spans="2:7" x14ac:dyDescent="0.5">
      <c r="B128" s="34" t="str">
        <f t="shared" si="1"/>
        <v/>
      </c>
      <c r="C128" s="34" t="str">
        <f>IF(Scoreboard!X136&gt;0,Scoreboard!X136,"")</f>
        <v/>
      </c>
      <c r="D128" s="179" t="str">
        <f>IF(Scoreboard!Y136="","",Scoreboard!Y136)</f>
        <v/>
      </c>
      <c r="E128" s="179"/>
      <c r="F128" s="34" t="str">
        <f>IF(Scoreboard!Z136="","",Scoreboard!Z136)</f>
        <v/>
      </c>
      <c r="G128" s="113"/>
    </row>
    <row r="129" spans="2:7" x14ac:dyDescent="0.5">
      <c r="B129" s="34" t="str">
        <f t="shared" si="1"/>
        <v/>
      </c>
      <c r="C129" s="34" t="str">
        <f>IF(Scoreboard!X137&gt;0,Scoreboard!X137,"")</f>
        <v/>
      </c>
      <c r="D129" s="179" t="str">
        <f>IF(Scoreboard!Y137="","",Scoreboard!Y137)</f>
        <v/>
      </c>
      <c r="E129" s="179"/>
      <c r="F129" s="34" t="str">
        <f>IF(Scoreboard!Z137="","",Scoreboard!Z137)</f>
        <v/>
      </c>
      <c r="G129" s="113"/>
    </row>
    <row r="130" spans="2:7" x14ac:dyDescent="0.5">
      <c r="B130" s="34" t="str">
        <f t="shared" si="1"/>
        <v/>
      </c>
      <c r="C130" s="34" t="str">
        <f>IF(Scoreboard!X138&gt;0,Scoreboard!X138,"")</f>
        <v/>
      </c>
      <c r="D130" s="179" t="str">
        <f>IF(Scoreboard!Y138="","",Scoreboard!Y138)</f>
        <v/>
      </c>
      <c r="E130" s="179"/>
      <c r="F130" s="34" t="str">
        <f>IF(Scoreboard!Z138="","",Scoreboard!Z138)</f>
        <v/>
      </c>
      <c r="G130" s="113"/>
    </row>
    <row r="131" spans="2:7" x14ac:dyDescent="0.5">
      <c r="B131" s="34" t="str">
        <f t="shared" si="1"/>
        <v/>
      </c>
      <c r="C131" s="34" t="str">
        <f>IF(Scoreboard!X139&gt;0,Scoreboard!X139,"")</f>
        <v/>
      </c>
      <c r="D131" s="179" t="str">
        <f>IF(Scoreboard!Y139="","",Scoreboard!Y139)</f>
        <v/>
      </c>
      <c r="E131" s="179"/>
      <c r="F131" s="34" t="str">
        <f>IF(Scoreboard!Z139="","",Scoreboard!Z139)</f>
        <v/>
      </c>
      <c r="G131" s="113"/>
    </row>
    <row r="132" spans="2:7" x14ac:dyDescent="0.5">
      <c r="B132" s="34" t="str">
        <f t="shared" si="1"/>
        <v/>
      </c>
      <c r="C132" s="34" t="str">
        <f>IF(Scoreboard!X140&gt;0,Scoreboard!X140,"")</f>
        <v/>
      </c>
      <c r="D132" s="179" t="str">
        <f>IF(Scoreboard!Y140="","",Scoreboard!Y140)</f>
        <v/>
      </c>
      <c r="E132" s="179"/>
      <c r="F132" s="34" t="str">
        <f>IF(Scoreboard!Z140="","",Scoreboard!Z140)</f>
        <v/>
      </c>
      <c r="G132" s="113"/>
    </row>
    <row r="133" spans="2:7" x14ac:dyDescent="0.5">
      <c r="B133" s="34" t="str">
        <f t="shared" si="1"/>
        <v/>
      </c>
      <c r="C133" s="34" t="str">
        <f>IF(Scoreboard!X141&gt;0,Scoreboard!X141,"")</f>
        <v/>
      </c>
      <c r="D133" s="179" t="str">
        <f>IF(Scoreboard!Y141="","",Scoreboard!Y141)</f>
        <v/>
      </c>
      <c r="E133" s="179"/>
      <c r="F133" s="34" t="str">
        <f>IF(Scoreboard!Z141="","",Scoreboard!Z141)</f>
        <v/>
      </c>
      <c r="G133" s="113"/>
    </row>
    <row r="134" spans="2:7" x14ac:dyDescent="0.5">
      <c r="B134" s="34" t="str">
        <f t="shared" ref="B134:B197" si="2">IF(C134=1,"CHANGE","")</f>
        <v/>
      </c>
      <c r="C134" s="34" t="str">
        <f>IF(Scoreboard!X142&gt;0,Scoreboard!X142,"")</f>
        <v/>
      </c>
      <c r="D134" s="179" t="str">
        <f>IF(Scoreboard!Y142="","",Scoreboard!Y142)</f>
        <v/>
      </c>
      <c r="E134" s="179"/>
      <c r="F134" s="34" t="str">
        <f>IF(Scoreboard!Z142="","",Scoreboard!Z142)</f>
        <v/>
      </c>
      <c r="G134" s="113"/>
    </row>
    <row r="135" spans="2:7" x14ac:dyDescent="0.5">
      <c r="B135" s="34" t="str">
        <f t="shared" si="2"/>
        <v/>
      </c>
      <c r="C135" s="34" t="str">
        <f>IF(Scoreboard!X143&gt;0,Scoreboard!X143,"")</f>
        <v/>
      </c>
      <c r="D135" s="179" t="str">
        <f>IF(Scoreboard!Y143="","",Scoreboard!Y143)</f>
        <v/>
      </c>
      <c r="E135" s="179"/>
      <c r="F135" s="34" t="str">
        <f>IF(Scoreboard!Z143="","",Scoreboard!Z143)</f>
        <v/>
      </c>
      <c r="G135" s="113"/>
    </row>
    <row r="136" spans="2:7" x14ac:dyDescent="0.5">
      <c r="B136" s="34" t="str">
        <f t="shared" si="2"/>
        <v/>
      </c>
      <c r="C136" s="34" t="str">
        <f>IF(Scoreboard!X144&gt;0,Scoreboard!X144,"")</f>
        <v/>
      </c>
      <c r="D136" s="179" t="str">
        <f>IF(Scoreboard!Y144="","",Scoreboard!Y144)</f>
        <v/>
      </c>
      <c r="E136" s="179"/>
      <c r="F136" s="34" t="str">
        <f>IF(Scoreboard!Z144="","",Scoreboard!Z144)</f>
        <v/>
      </c>
      <c r="G136" s="113"/>
    </row>
    <row r="137" spans="2:7" x14ac:dyDescent="0.5">
      <c r="B137" s="34" t="str">
        <f t="shared" si="2"/>
        <v/>
      </c>
      <c r="C137" s="34" t="str">
        <f>IF(Scoreboard!X145&gt;0,Scoreboard!X145,"")</f>
        <v/>
      </c>
      <c r="D137" s="179" t="str">
        <f>IF(Scoreboard!Y145="","",Scoreboard!Y145)</f>
        <v/>
      </c>
      <c r="E137" s="179"/>
      <c r="F137" s="34" t="str">
        <f>IF(Scoreboard!Z145="","",Scoreboard!Z145)</f>
        <v/>
      </c>
      <c r="G137" s="113"/>
    </row>
    <row r="138" spans="2:7" x14ac:dyDescent="0.5">
      <c r="B138" s="34" t="str">
        <f t="shared" si="2"/>
        <v/>
      </c>
      <c r="C138" s="34" t="str">
        <f>IF(Scoreboard!X146&gt;0,Scoreboard!X146,"")</f>
        <v/>
      </c>
      <c r="D138" s="179" t="str">
        <f>IF(Scoreboard!Y146="","",Scoreboard!Y146)</f>
        <v/>
      </c>
      <c r="E138" s="179"/>
      <c r="F138" s="34" t="str">
        <f>IF(Scoreboard!Z146="","",Scoreboard!Z146)</f>
        <v/>
      </c>
      <c r="G138" s="113"/>
    </row>
    <row r="139" spans="2:7" x14ac:dyDescent="0.5">
      <c r="B139" s="34" t="str">
        <f t="shared" si="2"/>
        <v/>
      </c>
      <c r="C139" s="34" t="str">
        <f>IF(Scoreboard!X147&gt;0,Scoreboard!X147,"")</f>
        <v/>
      </c>
      <c r="D139" s="179" t="str">
        <f>IF(Scoreboard!Y147="","",Scoreboard!Y147)</f>
        <v/>
      </c>
      <c r="E139" s="179"/>
      <c r="F139" s="34" t="str">
        <f>IF(Scoreboard!Z147="","",Scoreboard!Z147)</f>
        <v/>
      </c>
      <c r="G139" s="113"/>
    </row>
    <row r="140" spans="2:7" x14ac:dyDescent="0.5">
      <c r="B140" s="34" t="str">
        <f t="shared" si="2"/>
        <v/>
      </c>
      <c r="C140" s="34" t="str">
        <f>IF(Scoreboard!X148&gt;0,Scoreboard!X148,"")</f>
        <v/>
      </c>
      <c r="D140" s="179" t="str">
        <f>IF(Scoreboard!Y148="","",Scoreboard!Y148)</f>
        <v/>
      </c>
      <c r="E140" s="179"/>
      <c r="F140" s="34" t="str">
        <f>IF(Scoreboard!Z148="","",Scoreboard!Z148)</f>
        <v/>
      </c>
      <c r="G140" s="113"/>
    </row>
    <row r="141" spans="2:7" x14ac:dyDescent="0.5">
      <c r="B141" s="34" t="str">
        <f t="shared" si="2"/>
        <v/>
      </c>
      <c r="C141" s="34" t="str">
        <f>IF(Scoreboard!X149&gt;0,Scoreboard!X149,"")</f>
        <v/>
      </c>
      <c r="D141" s="179" t="str">
        <f>IF(Scoreboard!Y149="","",Scoreboard!Y149)</f>
        <v/>
      </c>
      <c r="E141" s="179"/>
      <c r="F141" s="34" t="str">
        <f>IF(Scoreboard!Z149="","",Scoreboard!Z149)</f>
        <v/>
      </c>
      <c r="G141" s="113"/>
    </row>
    <row r="142" spans="2:7" x14ac:dyDescent="0.5">
      <c r="B142" s="34" t="str">
        <f t="shared" si="2"/>
        <v/>
      </c>
      <c r="C142" s="34" t="str">
        <f>IF(Scoreboard!X150&gt;0,Scoreboard!X150,"")</f>
        <v/>
      </c>
      <c r="D142" s="179" t="str">
        <f>IF(Scoreboard!Y150="","",Scoreboard!Y150)</f>
        <v/>
      </c>
      <c r="E142" s="179"/>
      <c r="F142" s="34" t="str">
        <f>IF(Scoreboard!Z150="","",Scoreboard!Z150)</f>
        <v/>
      </c>
      <c r="G142" s="113"/>
    </row>
    <row r="143" spans="2:7" x14ac:dyDescent="0.5">
      <c r="B143" s="34" t="str">
        <f t="shared" si="2"/>
        <v/>
      </c>
      <c r="C143" s="34" t="str">
        <f>IF(Scoreboard!X151&gt;0,Scoreboard!X151,"")</f>
        <v/>
      </c>
      <c r="D143" s="179" t="str">
        <f>IF(Scoreboard!Y151="","",Scoreboard!Y151)</f>
        <v/>
      </c>
      <c r="E143" s="179"/>
      <c r="F143" s="34" t="str">
        <f>IF(Scoreboard!Z151="","",Scoreboard!Z151)</f>
        <v/>
      </c>
      <c r="G143" s="113"/>
    </row>
    <row r="144" spans="2:7" x14ac:dyDescent="0.5">
      <c r="B144" s="34" t="str">
        <f t="shared" si="2"/>
        <v/>
      </c>
      <c r="C144" s="34" t="str">
        <f>IF(Scoreboard!X152&gt;0,Scoreboard!X152,"")</f>
        <v/>
      </c>
      <c r="D144" s="179" t="str">
        <f>IF(Scoreboard!Y152="","",Scoreboard!Y152)</f>
        <v/>
      </c>
      <c r="E144" s="179"/>
      <c r="F144" s="34" t="str">
        <f>IF(Scoreboard!Z152="","",Scoreboard!Z152)</f>
        <v/>
      </c>
      <c r="G144" s="113"/>
    </row>
    <row r="145" spans="2:7" x14ac:dyDescent="0.5">
      <c r="B145" s="34" t="str">
        <f t="shared" si="2"/>
        <v/>
      </c>
      <c r="C145" s="34" t="str">
        <f>IF(Scoreboard!X153&gt;0,Scoreboard!X153,"")</f>
        <v/>
      </c>
      <c r="D145" s="179" t="str">
        <f>IF(Scoreboard!Y153="","",Scoreboard!Y153)</f>
        <v/>
      </c>
      <c r="E145" s="179"/>
      <c r="F145" s="34" t="str">
        <f>IF(Scoreboard!Z153="","",Scoreboard!Z153)</f>
        <v/>
      </c>
      <c r="G145" s="113"/>
    </row>
    <row r="146" spans="2:7" x14ac:dyDescent="0.5">
      <c r="B146" s="34" t="str">
        <f t="shared" si="2"/>
        <v/>
      </c>
      <c r="C146" s="34" t="str">
        <f>IF(Scoreboard!X154&gt;0,Scoreboard!X154,"")</f>
        <v/>
      </c>
      <c r="D146" s="179" t="str">
        <f>IF(Scoreboard!Y154="","",Scoreboard!Y154)</f>
        <v/>
      </c>
      <c r="E146" s="179"/>
      <c r="F146" s="34" t="str">
        <f>IF(Scoreboard!Z154="","",Scoreboard!Z154)</f>
        <v/>
      </c>
      <c r="G146" s="113"/>
    </row>
    <row r="147" spans="2:7" x14ac:dyDescent="0.5">
      <c r="B147" s="34" t="str">
        <f t="shared" si="2"/>
        <v/>
      </c>
      <c r="C147" s="34" t="str">
        <f>IF(Scoreboard!X155&gt;0,Scoreboard!X155,"")</f>
        <v/>
      </c>
      <c r="D147" s="179" t="str">
        <f>IF(Scoreboard!Y155="","",Scoreboard!Y155)</f>
        <v/>
      </c>
      <c r="E147" s="179"/>
      <c r="F147" s="34" t="str">
        <f>IF(Scoreboard!Z155="","",Scoreboard!Z155)</f>
        <v/>
      </c>
      <c r="G147" s="113"/>
    </row>
    <row r="148" spans="2:7" x14ac:dyDescent="0.5">
      <c r="B148" s="34" t="str">
        <f t="shared" si="2"/>
        <v/>
      </c>
      <c r="C148" s="34" t="str">
        <f>IF(Scoreboard!X156&gt;0,Scoreboard!X156,"")</f>
        <v/>
      </c>
      <c r="D148" s="179" t="str">
        <f>IF(Scoreboard!Y156="","",Scoreboard!Y156)</f>
        <v/>
      </c>
      <c r="E148" s="179"/>
      <c r="F148" s="34" t="str">
        <f>IF(Scoreboard!Z156="","",Scoreboard!Z156)</f>
        <v/>
      </c>
      <c r="G148" s="113"/>
    </row>
    <row r="149" spans="2:7" x14ac:dyDescent="0.5">
      <c r="B149" s="34" t="str">
        <f t="shared" si="2"/>
        <v/>
      </c>
      <c r="C149" s="34" t="str">
        <f>IF(Scoreboard!X157&gt;0,Scoreboard!X157,"")</f>
        <v/>
      </c>
      <c r="D149" s="179" t="str">
        <f>IF(Scoreboard!Y157="","",Scoreboard!Y157)</f>
        <v/>
      </c>
      <c r="E149" s="179"/>
      <c r="F149" s="34" t="str">
        <f>IF(Scoreboard!Z157="","",Scoreboard!Z157)</f>
        <v/>
      </c>
      <c r="G149" s="113"/>
    </row>
    <row r="150" spans="2:7" x14ac:dyDescent="0.5">
      <c r="B150" s="34" t="str">
        <f t="shared" si="2"/>
        <v/>
      </c>
      <c r="C150" s="34" t="str">
        <f>IF(Scoreboard!X158&gt;0,Scoreboard!X158,"")</f>
        <v/>
      </c>
      <c r="D150" s="179" t="str">
        <f>IF(Scoreboard!Y158="","",Scoreboard!Y158)</f>
        <v/>
      </c>
      <c r="E150" s="179"/>
      <c r="F150" s="34" t="str">
        <f>IF(Scoreboard!Z158="","",Scoreboard!Z158)</f>
        <v/>
      </c>
      <c r="G150" s="113"/>
    </row>
    <row r="151" spans="2:7" x14ac:dyDescent="0.5">
      <c r="B151" s="34" t="str">
        <f t="shared" si="2"/>
        <v/>
      </c>
      <c r="C151" s="34" t="str">
        <f>IF(Scoreboard!X159&gt;0,Scoreboard!X159,"")</f>
        <v/>
      </c>
      <c r="D151" s="179" t="str">
        <f>IF(Scoreboard!Y159="","",Scoreboard!Y159)</f>
        <v/>
      </c>
      <c r="E151" s="179"/>
      <c r="F151" s="34" t="str">
        <f>IF(Scoreboard!Z159="","",Scoreboard!Z159)</f>
        <v/>
      </c>
      <c r="G151" s="113"/>
    </row>
    <row r="152" spans="2:7" x14ac:dyDescent="0.5">
      <c r="B152" s="34" t="str">
        <f t="shared" si="2"/>
        <v/>
      </c>
      <c r="C152" s="34" t="str">
        <f>IF(Scoreboard!X160&gt;0,Scoreboard!X160,"")</f>
        <v/>
      </c>
      <c r="D152" s="179" t="str">
        <f>IF(Scoreboard!Y160="","",Scoreboard!Y160)</f>
        <v/>
      </c>
      <c r="E152" s="179"/>
      <c r="F152" s="34" t="str">
        <f>IF(Scoreboard!Z160="","",Scoreboard!Z160)</f>
        <v/>
      </c>
      <c r="G152" s="113"/>
    </row>
    <row r="153" spans="2:7" x14ac:dyDescent="0.5">
      <c r="B153" s="34" t="str">
        <f t="shared" si="2"/>
        <v/>
      </c>
      <c r="C153" s="34" t="str">
        <f>IF(Scoreboard!X161&gt;0,Scoreboard!X161,"")</f>
        <v/>
      </c>
      <c r="D153" s="179" t="str">
        <f>IF(Scoreboard!Y161="","",Scoreboard!Y161)</f>
        <v/>
      </c>
      <c r="E153" s="179"/>
      <c r="F153" s="34" t="str">
        <f>IF(Scoreboard!Z161="","",Scoreboard!Z161)</f>
        <v/>
      </c>
      <c r="G153" s="113"/>
    </row>
    <row r="154" spans="2:7" x14ac:dyDescent="0.5">
      <c r="B154" s="34" t="str">
        <f t="shared" si="2"/>
        <v/>
      </c>
      <c r="C154" s="34" t="str">
        <f>IF(Scoreboard!X162&gt;0,Scoreboard!X162,"")</f>
        <v/>
      </c>
      <c r="D154" s="179" t="str">
        <f>IF(Scoreboard!Y162="","",Scoreboard!Y162)</f>
        <v/>
      </c>
      <c r="E154" s="179"/>
      <c r="F154" s="34" t="str">
        <f>IF(Scoreboard!Z162="","",Scoreboard!Z162)</f>
        <v/>
      </c>
      <c r="G154" s="113"/>
    </row>
    <row r="155" spans="2:7" x14ac:dyDescent="0.5">
      <c r="B155" s="34" t="str">
        <f t="shared" si="2"/>
        <v/>
      </c>
      <c r="C155" s="34" t="str">
        <f>IF(Scoreboard!X163&gt;0,Scoreboard!X163,"")</f>
        <v/>
      </c>
      <c r="D155" s="179" t="str">
        <f>IF(Scoreboard!Y163="","",Scoreboard!Y163)</f>
        <v/>
      </c>
      <c r="E155" s="179"/>
      <c r="F155" s="34" t="str">
        <f>IF(Scoreboard!Z163="","",Scoreboard!Z163)</f>
        <v/>
      </c>
      <c r="G155" s="113"/>
    </row>
    <row r="156" spans="2:7" x14ac:dyDescent="0.5">
      <c r="B156" s="34" t="str">
        <f t="shared" si="2"/>
        <v/>
      </c>
      <c r="C156" s="34" t="str">
        <f>IF(Scoreboard!X164&gt;0,Scoreboard!X164,"")</f>
        <v/>
      </c>
      <c r="D156" s="179" t="str">
        <f>IF(Scoreboard!Y164="","",Scoreboard!Y164)</f>
        <v/>
      </c>
      <c r="E156" s="179"/>
      <c r="F156" s="34" t="str">
        <f>IF(Scoreboard!Z164="","",Scoreboard!Z164)</f>
        <v/>
      </c>
      <c r="G156" s="113"/>
    </row>
    <row r="157" spans="2:7" x14ac:dyDescent="0.5">
      <c r="B157" s="34" t="str">
        <f t="shared" si="2"/>
        <v/>
      </c>
      <c r="C157" s="34" t="str">
        <f>IF(Scoreboard!X165&gt;0,Scoreboard!X165,"")</f>
        <v/>
      </c>
      <c r="D157" s="179" t="str">
        <f>IF(Scoreboard!Y165="","",Scoreboard!Y165)</f>
        <v/>
      </c>
      <c r="E157" s="179"/>
      <c r="F157" s="34" t="str">
        <f>IF(Scoreboard!Z165="","",Scoreboard!Z165)</f>
        <v/>
      </c>
      <c r="G157" s="113"/>
    </row>
    <row r="158" spans="2:7" x14ac:dyDescent="0.5">
      <c r="B158" s="34" t="str">
        <f t="shared" si="2"/>
        <v/>
      </c>
      <c r="C158" s="34" t="str">
        <f>IF(Scoreboard!X166&gt;0,Scoreboard!X166,"")</f>
        <v/>
      </c>
      <c r="D158" s="179" t="str">
        <f>IF(Scoreboard!Y166="","",Scoreboard!Y166)</f>
        <v/>
      </c>
      <c r="E158" s="179"/>
      <c r="F158" s="34" t="str">
        <f>IF(Scoreboard!Z166="","",Scoreboard!Z166)</f>
        <v/>
      </c>
      <c r="G158" s="113"/>
    </row>
    <row r="159" spans="2:7" x14ac:dyDescent="0.5">
      <c r="B159" s="34" t="str">
        <f t="shared" si="2"/>
        <v/>
      </c>
      <c r="C159" s="34" t="str">
        <f>IF(Scoreboard!X167&gt;0,Scoreboard!X167,"")</f>
        <v/>
      </c>
      <c r="D159" s="179" t="str">
        <f>IF(Scoreboard!Y167="","",Scoreboard!Y167)</f>
        <v/>
      </c>
      <c r="E159" s="179"/>
      <c r="F159" s="34" t="str">
        <f>IF(Scoreboard!Z167="","",Scoreboard!Z167)</f>
        <v/>
      </c>
      <c r="G159" s="113"/>
    </row>
    <row r="160" spans="2:7" x14ac:dyDescent="0.5">
      <c r="B160" s="34" t="str">
        <f t="shared" si="2"/>
        <v/>
      </c>
      <c r="C160" s="34" t="str">
        <f>IF(Scoreboard!X168&gt;0,Scoreboard!X168,"")</f>
        <v/>
      </c>
      <c r="D160" s="179" t="str">
        <f>IF(Scoreboard!Y168="","",Scoreboard!Y168)</f>
        <v/>
      </c>
      <c r="E160" s="179"/>
      <c r="F160" s="34" t="str">
        <f>IF(Scoreboard!Z168="","",Scoreboard!Z168)</f>
        <v/>
      </c>
      <c r="G160" s="113"/>
    </row>
    <row r="161" spans="2:7" x14ac:dyDescent="0.5">
      <c r="B161" s="34" t="str">
        <f t="shared" si="2"/>
        <v/>
      </c>
      <c r="C161" s="34" t="str">
        <f>IF(Scoreboard!X169&gt;0,Scoreboard!X169,"")</f>
        <v/>
      </c>
      <c r="D161" s="179" t="str">
        <f>IF(Scoreboard!Y169="","",Scoreboard!Y169)</f>
        <v/>
      </c>
      <c r="E161" s="179"/>
      <c r="F161" s="34" t="str">
        <f>IF(Scoreboard!Z169="","",Scoreboard!Z169)</f>
        <v/>
      </c>
      <c r="G161" s="113"/>
    </row>
    <row r="162" spans="2:7" x14ac:dyDescent="0.5">
      <c r="B162" s="34" t="str">
        <f t="shared" si="2"/>
        <v/>
      </c>
      <c r="C162" s="34" t="str">
        <f>IF(Scoreboard!X170&gt;0,Scoreboard!X170,"")</f>
        <v/>
      </c>
      <c r="D162" s="179" t="str">
        <f>IF(Scoreboard!Y170="","",Scoreboard!Y170)</f>
        <v/>
      </c>
      <c r="E162" s="179"/>
      <c r="F162" s="34" t="str">
        <f>IF(Scoreboard!Z170="","",Scoreboard!Z170)</f>
        <v/>
      </c>
      <c r="G162" s="113"/>
    </row>
    <row r="163" spans="2:7" x14ac:dyDescent="0.5">
      <c r="B163" s="34" t="str">
        <f t="shared" si="2"/>
        <v/>
      </c>
      <c r="C163" s="34" t="str">
        <f>IF(Scoreboard!X171&gt;0,Scoreboard!X171,"")</f>
        <v/>
      </c>
      <c r="D163" s="179" t="str">
        <f>IF(Scoreboard!Y171="","",Scoreboard!Y171)</f>
        <v/>
      </c>
      <c r="E163" s="179"/>
      <c r="F163" s="34" t="str">
        <f>IF(Scoreboard!Z171="","",Scoreboard!Z171)</f>
        <v/>
      </c>
      <c r="G163" s="113"/>
    </row>
    <row r="164" spans="2:7" x14ac:dyDescent="0.5">
      <c r="B164" s="34" t="str">
        <f t="shared" si="2"/>
        <v/>
      </c>
      <c r="C164" s="34" t="str">
        <f>IF(Scoreboard!X172&gt;0,Scoreboard!X172,"")</f>
        <v/>
      </c>
      <c r="D164" s="179" t="str">
        <f>IF(Scoreboard!Y172="","",Scoreboard!Y172)</f>
        <v/>
      </c>
      <c r="E164" s="179"/>
      <c r="F164" s="34" t="str">
        <f>IF(Scoreboard!Z172="","",Scoreboard!Z172)</f>
        <v/>
      </c>
      <c r="G164" s="113"/>
    </row>
    <row r="165" spans="2:7" x14ac:dyDescent="0.5">
      <c r="B165" s="34" t="str">
        <f t="shared" si="2"/>
        <v/>
      </c>
      <c r="C165" s="34" t="str">
        <f>IF(Scoreboard!X173&gt;0,Scoreboard!X173,"")</f>
        <v/>
      </c>
      <c r="D165" s="179" t="str">
        <f>IF(Scoreboard!Y173="","",Scoreboard!Y173)</f>
        <v/>
      </c>
      <c r="E165" s="179"/>
      <c r="F165" s="34" t="str">
        <f>IF(Scoreboard!Z173="","",Scoreboard!Z173)</f>
        <v/>
      </c>
      <c r="G165" s="113"/>
    </row>
    <row r="166" spans="2:7" x14ac:dyDescent="0.5">
      <c r="B166" s="34" t="str">
        <f t="shared" si="2"/>
        <v/>
      </c>
      <c r="C166" s="34" t="str">
        <f>IF(Scoreboard!X174&gt;0,Scoreboard!X174,"")</f>
        <v/>
      </c>
      <c r="D166" s="179" t="str">
        <f>IF(Scoreboard!Y174="","",Scoreboard!Y174)</f>
        <v/>
      </c>
      <c r="E166" s="179"/>
      <c r="F166" s="34" t="str">
        <f>IF(Scoreboard!Z174="","",Scoreboard!Z174)</f>
        <v/>
      </c>
      <c r="G166" s="113"/>
    </row>
    <row r="167" spans="2:7" x14ac:dyDescent="0.5">
      <c r="B167" s="34" t="str">
        <f t="shared" si="2"/>
        <v/>
      </c>
      <c r="C167" s="34" t="str">
        <f>IF(Scoreboard!X175&gt;0,Scoreboard!X175,"")</f>
        <v/>
      </c>
      <c r="D167" s="179" t="str">
        <f>IF(Scoreboard!Y175="","",Scoreboard!Y175)</f>
        <v/>
      </c>
      <c r="E167" s="179"/>
      <c r="F167" s="34" t="str">
        <f>IF(Scoreboard!Z175="","",Scoreboard!Z175)</f>
        <v/>
      </c>
      <c r="G167" s="113"/>
    </row>
    <row r="168" spans="2:7" x14ac:dyDescent="0.5">
      <c r="B168" s="34" t="str">
        <f t="shared" si="2"/>
        <v/>
      </c>
      <c r="C168" s="34" t="str">
        <f>IF(Scoreboard!X176&gt;0,Scoreboard!X176,"")</f>
        <v/>
      </c>
      <c r="D168" s="179" t="str">
        <f>IF(Scoreboard!Y176="","",Scoreboard!Y176)</f>
        <v/>
      </c>
      <c r="E168" s="179"/>
      <c r="F168" s="34" t="str">
        <f>IF(Scoreboard!Z176="","",Scoreboard!Z176)</f>
        <v/>
      </c>
      <c r="G168" s="113"/>
    </row>
    <row r="169" spans="2:7" x14ac:dyDescent="0.5">
      <c r="B169" s="34" t="str">
        <f t="shared" si="2"/>
        <v/>
      </c>
      <c r="C169" s="34" t="str">
        <f>IF(Scoreboard!X177&gt;0,Scoreboard!X177,"")</f>
        <v/>
      </c>
      <c r="D169" s="179" t="str">
        <f>IF(Scoreboard!Y177="","",Scoreboard!Y177)</f>
        <v/>
      </c>
      <c r="E169" s="179"/>
      <c r="F169" s="34" t="str">
        <f>IF(Scoreboard!Z177="","",Scoreboard!Z177)</f>
        <v/>
      </c>
      <c r="G169" s="113"/>
    </row>
    <row r="170" spans="2:7" x14ac:dyDescent="0.5">
      <c r="B170" s="34" t="str">
        <f t="shared" si="2"/>
        <v/>
      </c>
      <c r="C170" s="34" t="str">
        <f>IF(Scoreboard!X178&gt;0,Scoreboard!X178,"")</f>
        <v/>
      </c>
      <c r="D170" s="179" t="str">
        <f>IF(Scoreboard!Y178="","",Scoreboard!Y178)</f>
        <v/>
      </c>
      <c r="E170" s="179"/>
      <c r="F170" s="34" t="str">
        <f>IF(Scoreboard!Z178="","",Scoreboard!Z178)</f>
        <v/>
      </c>
      <c r="G170" s="113"/>
    </row>
    <row r="171" spans="2:7" x14ac:dyDescent="0.5">
      <c r="B171" s="34" t="str">
        <f t="shared" si="2"/>
        <v/>
      </c>
      <c r="C171" s="34" t="str">
        <f>IF(Scoreboard!X179&gt;0,Scoreboard!X179,"")</f>
        <v/>
      </c>
      <c r="D171" s="179" t="str">
        <f>IF(Scoreboard!Y179="","",Scoreboard!Y179)</f>
        <v/>
      </c>
      <c r="E171" s="179"/>
      <c r="F171" s="34" t="str">
        <f>IF(Scoreboard!Z179="","",Scoreboard!Z179)</f>
        <v/>
      </c>
      <c r="G171" s="113"/>
    </row>
    <row r="172" spans="2:7" x14ac:dyDescent="0.5">
      <c r="B172" s="34" t="str">
        <f t="shared" si="2"/>
        <v/>
      </c>
      <c r="C172" s="34" t="str">
        <f>IF(Scoreboard!X180&gt;0,Scoreboard!X180,"")</f>
        <v/>
      </c>
      <c r="D172" s="179" t="str">
        <f>IF(Scoreboard!Y180="","",Scoreboard!Y180)</f>
        <v/>
      </c>
      <c r="E172" s="179"/>
      <c r="F172" s="34" t="str">
        <f>IF(Scoreboard!Z180="","",Scoreboard!Z180)</f>
        <v/>
      </c>
      <c r="G172" s="113"/>
    </row>
    <row r="173" spans="2:7" x14ac:dyDescent="0.5">
      <c r="B173" s="34" t="str">
        <f t="shared" si="2"/>
        <v/>
      </c>
      <c r="C173" s="34" t="str">
        <f>IF(Scoreboard!X181&gt;0,Scoreboard!X181,"")</f>
        <v/>
      </c>
      <c r="D173" s="179" t="str">
        <f>IF(Scoreboard!Y181="","",Scoreboard!Y181)</f>
        <v/>
      </c>
      <c r="E173" s="179"/>
      <c r="F173" s="34" t="str">
        <f>IF(Scoreboard!Z181="","",Scoreboard!Z181)</f>
        <v/>
      </c>
      <c r="G173" s="113"/>
    </row>
    <row r="174" spans="2:7" x14ac:dyDescent="0.5">
      <c r="B174" s="34" t="str">
        <f t="shared" si="2"/>
        <v/>
      </c>
      <c r="C174" s="34" t="str">
        <f>IF(Scoreboard!X182&gt;0,Scoreboard!X182,"")</f>
        <v/>
      </c>
      <c r="D174" s="179" t="str">
        <f>IF(Scoreboard!Y182="","",Scoreboard!Y182)</f>
        <v/>
      </c>
      <c r="E174" s="179"/>
      <c r="F174" s="34" t="str">
        <f>IF(Scoreboard!Z182="","",Scoreboard!Z182)</f>
        <v/>
      </c>
      <c r="G174" s="113"/>
    </row>
    <row r="175" spans="2:7" x14ac:dyDescent="0.5">
      <c r="B175" s="34" t="str">
        <f t="shared" si="2"/>
        <v/>
      </c>
      <c r="C175" s="34" t="str">
        <f>IF(Scoreboard!X183&gt;0,Scoreboard!X183,"")</f>
        <v/>
      </c>
      <c r="D175" s="179" t="str">
        <f>IF(Scoreboard!Y183="","",Scoreboard!Y183)</f>
        <v/>
      </c>
      <c r="E175" s="179"/>
      <c r="F175" s="34" t="str">
        <f>IF(Scoreboard!Z183="","",Scoreboard!Z183)</f>
        <v/>
      </c>
      <c r="G175" s="113"/>
    </row>
    <row r="176" spans="2:7" x14ac:dyDescent="0.5">
      <c r="B176" s="34" t="str">
        <f t="shared" si="2"/>
        <v/>
      </c>
      <c r="C176" s="34" t="str">
        <f>IF(Scoreboard!X184&gt;0,Scoreboard!X184,"")</f>
        <v/>
      </c>
      <c r="D176" s="179" t="str">
        <f>IF(Scoreboard!Y184="","",Scoreboard!Y184)</f>
        <v/>
      </c>
      <c r="E176" s="179"/>
      <c r="F176" s="34" t="str">
        <f>IF(Scoreboard!Z184="","",Scoreboard!Z184)</f>
        <v/>
      </c>
      <c r="G176" s="113"/>
    </row>
    <row r="177" spans="2:7" x14ac:dyDescent="0.5">
      <c r="B177" s="34" t="str">
        <f t="shared" si="2"/>
        <v/>
      </c>
      <c r="C177" s="34" t="str">
        <f>IF(Scoreboard!X185&gt;0,Scoreboard!X185,"")</f>
        <v/>
      </c>
      <c r="D177" s="179" t="str">
        <f>IF(Scoreboard!Y185="","",Scoreboard!Y185)</f>
        <v/>
      </c>
      <c r="E177" s="179"/>
      <c r="F177" s="34" t="str">
        <f>IF(Scoreboard!Z185="","",Scoreboard!Z185)</f>
        <v/>
      </c>
      <c r="G177" s="113"/>
    </row>
    <row r="178" spans="2:7" x14ac:dyDescent="0.5">
      <c r="B178" s="34" t="str">
        <f t="shared" si="2"/>
        <v/>
      </c>
      <c r="C178" s="34" t="str">
        <f>IF(Scoreboard!X186&gt;0,Scoreboard!X186,"")</f>
        <v/>
      </c>
      <c r="D178" s="179" t="str">
        <f>IF(Scoreboard!Y186="","",Scoreboard!Y186)</f>
        <v/>
      </c>
      <c r="E178" s="179"/>
      <c r="F178" s="34" t="str">
        <f>IF(Scoreboard!Z186="","",Scoreboard!Z186)</f>
        <v/>
      </c>
      <c r="G178" s="113"/>
    </row>
    <row r="179" spans="2:7" x14ac:dyDescent="0.5">
      <c r="B179" s="34" t="str">
        <f t="shared" si="2"/>
        <v/>
      </c>
      <c r="C179" s="34" t="str">
        <f>IF(Scoreboard!X187&gt;0,Scoreboard!X187,"")</f>
        <v/>
      </c>
      <c r="D179" s="179" t="str">
        <f>IF(Scoreboard!Y187="","",Scoreboard!Y187)</f>
        <v/>
      </c>
      <c r="E179" s="179"/>
      <c r="F179" s="34" t="str">
        <f>IF(Scoreboard!Z187="","",Scoreboard!Z187)</f>
        <v/>
      </c>
      <c r="G179" s="113"/>
    </row>
    <row r="180" spans="2:7" x14ac:dyDescent="0.5">
      <c r="B180" s="34" t="str">
        <f t="shared" si="2"/>
        <v/>
      </c>
      <c r="C180" s="34" t="str">
        <f>IF(Scoreboard!X188&gt;0,Scoreboard!X188,"")</f>
        <v/>
      </c>
      <c r="D180" s="179" t="str">
        <f>IF(Scoreboard!Y188="","",Scoreboard!Y188)</f>
        <v/>
      </c>
      <c r="E180" s="179"/>
      <c r="F180" s="34" t="str">
        <f>IF(Scoreboard!Z188="","",Scoreboard!Z188)</f>
        <v/>
      </c>
      <c r="G180" s="113"/>
    </row>
    <row r="181" spans="2:7" x14ac:dyDescent="0.5">
      <c r="B181" s="34" t="str">
        <f t="shared" si="2"/>
        <v/>
      </c>
      <c r="C181" s="34" t="str">
        <f>IF(Scoreboard!X189&gt;0,Scoreboard!X189,"")</f>
        <v/>
      </c>
      <c r="D181" s="179" t="str">
        <f>IF(Scoreboard!Y189="","",Scoreboard!Y189)</f>
        <v/>
      </c>
      <c r="E181" s="179"/>
      <c r="F181" s="34" t="str">
        <f>IF(Scoreboard!Z189="","",Scoreboard!Z189)</f>
        <v/>
      </c>
      <c r="G181" s="113"/>
    </row>
    <row r="182" spans="2:7" x14ac:dyDescent="0.5">
      <c r="B182" s="34" t="str">
        <f t="shared" si="2"/>
        <v/>
      </c>
      <c r="C182" s="34" t="str">
        <f>IF(Scoreboard!X190&gt;0,Scoreboard!X190,"")</f>
        <v/>
      </c>
      <c r="D182" s="179" t="str">
        <f>IF(Scoreboard!Y190="","",Scoreboard!Y190)</f>
        <v/>
      </c>
      <c r="E182" s="179"/>
      <c r="F182" s="34" t="str">
        <f>IF(Scoreboard!Z190="","",Scoreboard!Z190)</f>
        <v/>
      </c>
      <c r="G182" s="113"/>
    </row>
    <row r="183" spans="2:7" x14ac:dyDescent="0.5">
      <c r="B183" s="34" t="str">
        <f t="shared" si="2"/>
        <v/>
      </c>
      <c r="C183" s="34" t="str">
        <f>IF(Scoreboard!X191&gt;0,Scoreboard!X191,"")</f>
        <v/>
      </c>
      <c r="D183" s="179" t="str">
        <f>IF(Scoreboard!Y191="","",Scoreboard!Y191)</f>
        <v/>
      </c>
      <c r="E183" s="179"/>
      <c r="F183" s="34" t="str">
        <f>IF(Scoreboard!Z191="","",Scoreboard!Z191)</f>
        <v/>
      </c>
      <c r="G183" s="113"/>
    </row>
    <row r="184" spans="2:7" x14ac:dyDescent="0.5">
      <c r="B184" s="34" t="str">
        <f t="shared" si="2"/>
        <v/>
      </c>
      <c r="C184" s="34" t="str">
        <f>IF(Scoreboard!X192&gt;0,Scoreboard!X192,"")</f>
        <v/>
      </c>
      <c r="D184" s="179" t="str">
        <f>IF(Scoreboard!Y192="","",Scoreboard!Y192)</f>
        <v/>
      </c>
      <c r="E184" s="179"/>
      <c r="F184" s="34" t="str">
        <f>IF(Scoreboard!Z192="","",Scoreboard!Z192)</f>
        <v/>
      </c>
      <c r="G184" s="113"/>
    </row>
    <row r="185" spans="2:7" x14ac:dyDescent="0.5">
      <c r="B185" s="34" t="str">
        <f t="shared" si="2"/>
        <v/>
      </c>
      <c r="C185" s="34" t="str">
        <f>IF(Scoreboard!X193&gt;0,Scoreboard!X193,"")</f>
        <v/>
      </c>
      <c r="D185" s="179" t="str">
        <f>IF(Scoreboard!Y193="","",Scoreboard!Y193)</f>
        <v/>
      </c>
      <c r="E185" s="179"/>
      <c r="F185" s="34" t="str">
        <f>IF(Scoreboard!Z193="","",Scoreboard!Z193)</f>
        <v/>
      </c>
      <c r="G185" s="113"/>
    </row>
    <row r="186" spans="2:7" x14ac:dyDescent="0.5">
      <c r="B186" s="34" t="str">
        <f t="shared" si="2"/>
        <v/>
      </c>
      <c r="C186" s="34" t="str">
        <f>IF(Scoreboard!X194&gt;0,Scoreboard!X194,"")</f>
        <v/>
      </c>
      <c r="D186" s="179" t="str">
        <f>IF(Scoreboard!Y194="","",Scoreboard!Y194)</f>
        <v/>
      </c>
      <c r="E186" s="179"/>
      <c r="F186" s="34" t="str">
        <f>IF(Scoreboard!Z194="","",Scoreboard!Z194)</f>
        <v/>
      </c>
      <c r="G186" s="113"/>
    </row>
    <row r="187" spans="2:7" x14ac:dyDescent="0.5">
      <c r="B187" s="34" t="str">
        <f t="shared" si="2"/>
        <v/>
      </c>
      <c r="C187" s="34" t="str">
        <f>IF(Scoreboard!X195&gt;0,Scoreboard!X195,"")</f>
        <v/>
      </c>
      <c r="D187" s="179" t="str">
        <f>IF(Scoreboard!Y195="","",Scoreboard!Y195)</f>
        <v/>
      </c>
      <c r="E187" s="179"/>
      <c r="F187" s="34" t="str">
        <f>IF(Scoreboard!Z195="","",Scoreboard!Z195)</f>
        <v/>
      </c>
      <c r="G187" s="113"/>
    </row>
    <row r="188" spans="2:7" x14ac:dyDescent="0.5">
      <c r="B188" s="34" t="str">
        <f t="shared" si="2"/>
        <v/>
      </c>
      <c r="C188" s="34" t="str">
        <f>IF(Scoreboard!X196&gt;0,Scoreboard!X196,"")</f>
        <v/>
      </c>
      <c r="D188" s="179" t="str">
        <f>IF(Scoreboard!Y196="","",Scoreboard!Y196)</f>
        <v/>
      </c>
      <c r="E188" s="179"/>
      <c r="F188" s="34" t="str">
        <f>IF(Scoreboard!Z196="","",Scoreboard!Z196)</f>
        <v/>
      </c>
      <c r="G188" s="113"/>
    </row>
    <row r="189" spans="2:7" x14ac:dyDescent="0.5">
      <c r="B189" s="34" t="str">
        <f t="shared" si="2"/>
        <v/>
      </c>
      <c r="C189" s="34" t="str">
        <f>IF(Scoreboard!X197&gt;0,Scoreboard!X197,"")</f>
        <v/>
      </c>
      <c r="D189" s="179" t="str">
        <f>IF(Scoreboard!Y197="","",Scoreboard!Y197)</f>
        <v/>
      </c>
      <c r="E189" s="179"/>
      <c r="F189" s="34" t="str">
        <f>IF(Scoreboard!Z197="","",Scoreboard!Z197)</f>
        <v/>
      </c>
      <c r="G189" s="113"/>
    </row>
    <row r="190" spans="2:7" x14ac:dyDescent="0.5">
      <c r="B190" s="34" t="str">
        <f t="shared" si="2"/>
        <v/>
      </c>
      <c r="C190" s="34" t="str">
        <f>IF(Scoreboard!X198&gt;0,Scoreboard!X198,"")</f>
        <v/>
      </c>
      <c r="D190" s="179" t="str">
        <f>IF(Scoreboard!Y198="","",Scoreboard!Y198)</f>
        <v/>
      </c>
      <c r="E190" s="179"/>
      <c r="F190" s="34" t="str">
        <f>IF(Scoreboard!Z198="","",Scoreboard!Z198)</f>
        <v/>
      </c>
      <c r="G190" s="113"/>
    </row>
    <row r="191" spans="2:7" x14ac:dyDescent="0.5">
      <c r="B191" s="34" t="str">
        <f t="shared" si="2"/>
        <v/>
      </c>
      <c r="C191" s="34" t="str">
        <f>IF(Scoreboard!X199&gt;0,Scoreboard!X199,"")</f>
        <v/>
      </c>
      <c r="D191" s="179" t="str">
        <f>IF(Scoreboard!Y199="","",Scoreboard!Y199)</f>
        <v/>
      </c>
      <c r="E191" s="179"/>
      <c r="F191" s="34" t="str">
        <f>IF(Scoreboard!Z199="","",Scoreboard!Z199)</f>
        <v/>
      </c>
      <c r="G191" s="113"/>
    </row>
    <row r="192" spans="2:7" x14ac:dyDescent="0.5">
      <c r="B192" s="34" t="str">
        <f t="shared" si="2"/>
        <v/>
      </c>
      <c r="C192" s="34" t="str">
        <f>IF(Scoreboard!X200&gt;0,Scoreboard!X200,"")</f>
        <v/>
      </c>
      <c r="D192" s="179" t="str">
        <f>IF(Scoreboard!Y200="","",Scoreboard!Y200)</f>
        <v/>
      </c>
      <c r="E192" s="179"/>
      <c r="F192" s="34" t="str">
        <f>IF(Scoreboard!Z200="","",Scoreboard!Z200)</f>
        <v/>
      </c>
      <c r="G192" s="113"/>
    </row>
    <row r="193" spans="2:7" x14ac:dyDescent="0.5">
      <c r="B193" s="34" t="str">
        <f t="shared" si="2"/>
        <v/>
      </c>
      <c r="C193" s="34" t="str">
        <f>IF(Scoreboard!X201&gt;0,Scoreboard!X201,"")</f>
        <v/>
      </c>
      <c r="D193" s="179" t="str">
        <f>IF(Scoreboard!Y201="","",Scoreboard!Y201)</f>
        <v/>
      </c>
      <c r="E193" s="179"/>
      <c r="F193" s="34" t="str">
        <f>IF(Scoreboard!Z201="","",Scoreboard!Z201)</f>
        <v/>
      </c>
      <c r="G193" s="113"/>
    </row>
    <row r="194" spans="2:7" x14ac:dyDescent="0.5">
      <c r="B194" s="34" t="str">
        <f t="shared" si="2"/>
        <v/>
      </c>
      <c r="C194" s="34" t="str">
        <f>IF(Scoreboard!X202&gt;0,Scoreboard!X202,"")</f>
        <v/>
      </c>
      <c r="D194" s="179" t="str">
        <f>IF(Scoreboard!Y202="","",Scoreboard!Y202)</f>
        <v/>
      </c>
      <c r="E194" s="179"/>
      <c r="F194" s="34" t="str">
        <f>IF(Scoreboard!Z202="","",Scoreboard!Z202)</f>
        <v/>
      </c>
      <c r="G194" s="113"/>
    </row>
    <row r="195" spans="2:7" x14ac:dyDescent="0.5">
      <c r="B195" s="34" t="str">
        <f t="shared" si="2"/>
        <v/>
      </c>
      <c r="C195" s="34" t="str">
        <f>IF(Scoreboard!X203&gt;0,Scoreboard!X203,"")</f>
        <v/>
      </c>
      <c r="D195" s="179" t="str">
        <f>IF(Scoreboard!Y203="","",Scoreboard!Y203)</f>
        <v/>
      </c>
      <c r="E195" s="179"/>
      <c r="F195" s="34" t="str">
        <f>IF(Scoreboard!Z203="","",Scoreboard!Z203)</f>
        <v/>
      </c>
      <c r="G195" s="113"/>
    </row>
    <row r="196" spans="2:7" x14ac:dyDescent="0.5">
      <c r="B196" s="34" t="str">
        <f t="shared" si="2"/>
        <v/>
      </c>
      <c r="C196" s="34" t="str">
        <f>IF(Scoreboard!X204&gt;0,Scoreboard!X204,"")</f>
        <v/>
      </c>
      <c r="D196" s="179" t="str">
        <f>IF(Scoreboard!Y204="","",Scoreboard!Y204)</f>
        <v/>
      </c>
      <c r="E196" s="179"/>
      <c r="F196" s="34" t="str">
        <f>IF(Scoreboard!Z204="","",Scoreboard!Z204)</f>
        <v/>
      </c>
      <c r="G196" s="113"/>
    </row>
    <row r="197" spans="2:7" x14ac:dyDescent="0.5">
      <c r="B197" s="34" t="str">
        <f t="shared" si="2"/>
        <v/>
      </c>
      <c r="C197" s="34" t="str">
        <f>IF(Scoreboard!X205&gt;0,Scoreboard!X205,"")</f>
        <v/>
      </c>
      <c r="D197" s="179" t="str">
        <f>IF(Scoreboard!Y205="","",Scoreboard!Y205)</f>
        <v/>
      </c>
      <c r="E197" s="179"/>
      <c r="F197" s="34" t="str">
        <f>IF(Scoreboard!Z205="","",Scoreboard!Z205)</f>
        <v/>
      </c>
      <c r="G197" s="113"/>
    </row>
    <row r="198" spans="2:7" x14ac:dyDescent="0.5">
      <c r="B198" s="34" t="str">
        <f t="shared" ref="B198:B213" si="3">IF(C198=1,"CHANGE","")</f>
        <v/>
      </c>
      <c r="C198" s="34" t="str">
        <f>IF(Scoreboard!X206&gt;0,Scoreboard!X206,"")</f>
        <v/>
      </c>
      <c r="D198" s="179" t="str">
        <f>IF(Scoreboard!Y206="","",Scoreboard!Y206)</f>
        <v/>
      </c>
      <c r="E198" s="179"/>
      <c r="F198" s="34" t="str">
        <f>IF(Scoreboard!Z206="","",Scoreboard!Z206)</f>
        <v/>
      </c>
      <c r="G198" s="113"/>
    </row>
    <row r="199" spans="2:7" x14ac:dyDescent="0.5">
      <c r="B199" s="34" t="str">
        <f t="shared" si="3"/>
        <v/>
      </c>
      <c r="C199" s="34" t="str">
        <f>IF(Scoreboard!X207&gt;0,Scoreboard!X207,"")</f>
        <v/>
      </c>
      <c r="D199" s="179" t="str">
        <f>IF(Scoreboard!Y207="","",Scoreboard!Y207)</f>
        <v/>
      </c>
      <c r="E199" s="179"/>
      <c r="F199" s="34" t="str">
        <f>IF(Scoreboard!Z207="","",Scoreboard!Z207)</f>
        <v/>
      </c>
      <c r="G199" s="113"/>
    </row>
    <row r="200" spans="2:7" x14ac:dyDescent="0.5">
      <c r="B200" s="34" t="str">
        <f t="shared" si="3"/>
        <v/>
      </c>
      <c r="C200" s="34" t="str">
        <f>IF(Scoreboard!X208&gt;0,Scoreboard!X208,"")</f>
        <v/>
      </c>
      <c r="D200" s="179" t="str">
        <f>IF(Scoreboard!Y208="","",Scoreboard!Y208)</f>
        <v/>
      </c>
      <c r="E200" s="179"/>
      <c r="F200" s="34" t="str">
        <f>IF(Scoreboard!Z208="","",Scoreboard!Z208)</f>
        <v/>
      </c>
      <c r="G200" s="113"/>
    </row>
    <row r="201" spans="2:7" x14ac:dyDescent="0.5">
      <c r="B201" s="34" t="str">
        <f t="shared" si="3"/>
        <v/>
      </c>
      <c r="C201" s="34" t="str">
        <f>IF(Scoreboard!X209&gt;0,Scoreboard!X209,"")</f>
        <v/>
      </c>
      <c r="D201" s="179" t="str">
        <f>IF(Scoreboard!Y209="","",Scoreboard!Y209)</f>
        <v/>
      </c>
      <c r="E201" s="179"/>
      <c r="F201" s="34" t="str">
        <f>IF(Scoreboard!Z209="","",Scoreboard!Z209)</f>
        <v/>
      </c>
      <c r="G201" s="113"/>
    </row>
    <row r="202" spans="2:7" x14ac:dyDescent="0.5">
      <c r="B202" s="34" t="str">
        <f t="shared" si="3"/>
        <v/>
      </c>
      <c r="C202" s="34" t="str">
        <f>IF(Scoreboard!X210&gt;0,Scoreboard!X210,"")</f>
        <v/>
      </c>
      <c r="D202" s="179" t="str">
        <f>IF(Scoreboard!Y210="","",Scoreboard!Y210)</f>
        <v/>
      </c>
      <c r="E202" s="179"/>
      <c r="F202" s="34" t="str">
        <f>IF(Scoreboard!Z210="","",Scoreboard!Z210)</f>
        <v/>
      </c>
      <c r="G202" s="113"/>
    </row>
    <row r="203" spans="2:7" x14ac:dyDescent="0.5">
      <c r="B203" s="34" t="str">
        <f t="shared" si="3"/>
        <v/>
      </c>
      <c r="C203" s="34" t="str">
        <f>IF(Scoreboard!X211&gt;0,Scoreboard!X211,"")</f>
        <v/>
      </c>
      <c r="D203" s="179" t="str">
        <f>IF(Scoreboard!Y211="","",Scoreboard!Y211)</f>
        <v/>
      </c>
      <c r="E203" s="179"/>
      <c r="F203" s="34" t="str">
        <f>IF(Scoreboard!Z211="","",Scoreboard!Z211)</f>
        <v/>
      </c>
      <c r="G203" s="113"/>
    </row>
    <row r="204" spans="2:7" x14ac:dyDescent="0.5">
      <c r="B204" s="34" t="str">
        <f t="shared" si="3"/>
        <v/>
      </c>
      <c r="C204" s="34" t="str">
        <f>IF(Scoreboard!X212&gt;0,Scoreboard!X212,"")</f>
        <v/>
      </c>
      <c r="D204" s="179" t="str">
        <f>IF(Scoreboard!Y212="","",Scoreboard!Y212)</f>
        <v/>
      </c>
      <c r="E204" s="179"/>
      <c r="F204" s="34" t="str">
        <f>IF(Scoreboard!Z212="","",Scoreboard!Z212)</f>
        <v/>
      </c>
      <c r="G204" s="113"/>
    </row>
    <row r="205" spans="2:7" x14ac:dyDescent="0.5">
      <c r="B205" s="34" t="str">
        <f t="shared" si="3"/>
        <v/>
      </c>
      <c r="C205" s="34" t="str">
        <f>IF(Scoreboard!X213&gt;0,Scoreboard!X213,"")</f>
        <v/>
      </c>
      <c r="D205" s="179" t="str">
        <f>IF(Scoreboard!Y213="","",Scoreboard!Y213)</f>
        <v/>
      </c>
      <c r="E205" s="179"/>
      <c r="F205" s="34" t="str">
        <f>IF(Scoreboard!Z213="","",Scoreboard!Z213)</f>
        <v/>
      </c>
      <c r="G205" s="113"/>
    </row>
    <row r="206" spans="2:7" x14ac:dyDescent="0.5">
      <c r="B206" s="34" t="str">
        <f t="shared" si="3"/>
        <v/>
      </c>
      <c r="C206" s="34" t="str">
        <f>IF(Scoreboard!X214&gt;0,Scoreboard!X214,"")</f>
        <v/>
      </c>
      <c r="D206" s="179" t="str">
        <f>IF(Scoreboard!Y214="","",Scoreboard!Y214)</f>
        <v/>
      </c>
      <c r="E206" s="179"/>
      <c r="F206" s="34" t="str">
        <f>IF(Scoreboard!Z214="","",Scoreboard!Z214)</f>
        <v/>
      </c>
      <c r="G206" s="113"/>
    </row>
    <row r="207" spans="2:7" x14ac:dyDescent="0.5">
      <c r="B207" s="34" t="str">
        <f t="shared" si="3"/>
        <v/>
      </c>
      <c r="C207" s="34" t="str">
        <f>IF(Scoreboard!X215&gt;0,Scoreboard!X215,"")</f>
        <v/>
      </c>
      <c r="D207" s="179" t="str">
        <f>IF(Scoreboard!Y215="","",Scoreboard!Y215)</f>
        <v/>
      </c>
      <c r="E207" s="179"/>
      <c r="F207" s="34" t="str">
        <f>IF(Scoreboard!Z215="","",Scoreboard!Z215)</f>
        <v/>
      </c>
      <c r="G207" s="113"/>
    </row>
    <row r="208" spans="2:7" x14ac:dyDescent="0.5">
      <c r="B208" s="34" t="str">
        <f t="shared" si="3"/>
        <v/>
      </c>
      <c r="C208" s="34" t="str">
        <f>IF(Scoreboard!X216&gt;0,Scoreboard!X216,"")</f>
        <v/>
      </c>
      <c r="D208" s="179" t="str">
        <f>IF(Scoreboard!Y216="","",Scoreboard!Y216)</f>
        <v/>
      </c>
      <c r="E208" s="179"/>
      <c r="F208" s="34" t="str">
        <f>IF(Scoreboard!Z216="","",Scoreboard!Z216)</f>
        <v/>
      </c>
      <c r="G208" s="113"/>
    </row>
    <row r="209" spans="2:7" x14ac:dyDescent="0.5">
      <c r="B209" s="34" t="str">
        <f t="shared" si="3"/>
        <v/>
      </c>
      <c r="C209" s="34" t="str">
        <f>IF(Scoreboard!X217&gt;0,Scoreboard!X217,"")</f>
        <v/>
      </c>
      <c r="D209" s="179" t="str">
        <f>IF(Scoreboard!Y217="","",Scoreboard!Y217)</f>
        <v/>
      </c>
      <c r="E209" s="179"/>
      <c r="F209" s="34" t="str">
        <f>IF(Scoreboard!Z217="","",Scoreboard!Z217)</f>
        <v/>
      </c>
      <c r="G209" s="113"/>
    </row>
    <row r="210" spans="2:7" x14ac:dyDescent="0.5">
      <c r="B210" s="34" t="str">
        <f t="shared" si="3"/>
        <v/>
      </c>
      <c r="C210" s="34" t="str">
        <f>IF(Scoreboard!X218&gt;0,Scoreboard!X218,"")</f>
        <v/>
      </c>
      <c r="D210" s="179" t="str">
        <f>IF(Scoreboard!Y218="","",Scoreboard!Y218)</f>
        <v/>
      </c>
      <c r="E210" s="179"/>
      <c r="F210" s="34" t="str">
        <f>IF(Scoreboard!Z218="","",Scoreboard!Z218)</f>
        <v/>
      </c>
      <c r="G210" s="113"/>
    </row>
    <row r="211" spans="2:7" x14ac:dyDescent="0.5">
      <c r="B211" s="34" t="str">
        <f t="shared" si="3"/>
        <v/>
      </c>
      <c r="C211" s="34" t="str">
        <f>IF(Scoreboard!X219&gt;0,Scoreboard!X219,"")</f>
        <v/>
      </c>
      <c r="D211" s="179" t="str">
        <f>IF(Scoreboard!Y219="","",Scoreboard!Y219)</f>
        <v/>
      </c>
      <c r="E211" s="179"/>
      <c r="F211" s="34" t="str">
        <f>IF(Scoreboard!Z219="","",Scoreboard!Z219)</f>
        <v/>
      </c>
      <c r="G211" s="113"/>
    </row>
    <row r="212" spans="2:7" x14ac:dyDescent="0.5">
      <c r="B212" s="34" t="str">
        <f t="shared" si="3"/>
        <v/>
      </c>
      <c r="C212" s="34" t="str">
        <f>IF(Scoreboard!X220&gt;0,Scoreboard!X220,"")</f>
        <v/>
      </c>
      <c r="D212" s="179" t="str">
        <f>IF(Scoreboard!Y220="","",Scoreboard!Y220)</f>
        <v/>
      </c>
      <c r="E212" s="179"/>
      <c r="F212" s="34" t="str">
        <f>IF(Scoreboard!Z220="","",Scoreboard!Z220)</f>
        <v/>
      </c>
      <c r="G212" s="113"/>
    </row>
    <row r="213" spans="2:7" x14ac:dyDescent="0.5">
      <c r="B213" s="34" t="str">
        <f t="shared" si="3"/>
        <v/>
      </c>
      <c r="C213" s="34" t="str">
        <f>IF(Scoreboard!X221&gt;0,Scoreboard!X221,"")</f>
        <v/>
      </c>
      <c r="E213" s="34" t="str">
        <f>IF(Scoreboard!Y221="","",Scoreboard!Y221)</f>
        <v/>
      </c>
      <c r="F213" s="34" t="str">
        <f>IF(Scoreboard!Z221="","",Scoreboard!Z221)</f>
        <v/>
      </c>
      <c r="G213" s="113"/>
    </row>
  </sheetData>
  <mergeCells count="212">
    <mergeCell ref="D210:E210"/>
    <mergeCell ref="D211:E211"/>
    <mergeCell ref="D212:E212"/>
    <mergeCell ref="D205:E205"/>
    <mergeCell ref="D206:E206"/>
    <mergeCell ref="D207:E207"/>
    <mergeCell ref="D208:E208"/>
    <mergeCell ref="D209:E209"/>
    <mergeCell ref="D200:E200"/>
    <mergeCell ref="D201:E201"/>
    <mergeCell ref="D202:E202"/>
    <mergeCell ref="D203:E203"/>
    <mergeCell ref="D204:E204"/>
    <mergeCell ref="D195:E195"/>
    <mergeCell ref="D196:E196"/>
    <mergeCell ref="D197:E197"/>
    <mergeCell ref="D198:E198"/>
    <mergeCell ref="D199:E199"/>
    <mergeCell ref="D190:E190"/>
    <mergeCell ref="D191:E191"/>
    <mergeCell ref="D192:E192"/>
    <mergeCell ref="D193:E193"/>
    <mergeCell ref="D194:E194"/>
    <mergeCell ref="D185:E185"/>
    <mergeCell ref="D186:E186"/>
    <mergeCell ref="D187:E187"/>
    <mergeCell ref="D188:E188"/>
    <mergeCell ref="D189:E189"/>
    <mergeCell ref="D180:E180"/>
    <mergeCell ref="D181:E181"/>
    <mergeCell ref="D182:E182"/>
    <mergeCell ref="D183:E183"/>
    <mergeCell ref="D184:E184"/>
    <mergeCell ref="D175:E175"/>
    <mergeCell ref="D176:E176"/>
    <mergeCell ref="D177:E177"/>
    <mergeCell ref="D178:E178"/>
    <mergeCell ref="D179:E179"/>
    <mergeCell ref="D170:E170"/>
    <mergeCell ref="D171:E171"/>
    <mergeCell ref="D172:E172"/>
    <mergeCell ref="D173:E173"/>
    <mergeCell ref="D174:E174"/>
    <mergeCell ref="D165:E165"/>
    <mergeCell ref="D166:E166"/>
    <mergeCell ref="D167:E167"/>
    <mergeCell ref="D168:E168"/>
    <mergeCell ref="D169:E169"/>
    <mergeCell ref="D160:E160"/>
    <mergeCell ref="D161:E161"/>
    <mergeCell ref="D162:E162"/>
    <mergeCell ref="D163:E163"/>
    <mergeCell ref="D164:E164"/>
    <mergeCell ref="D155:E155"/>
    <mergeCell ref="D156:E156"/>
    <mergeCell ref="D157:E157"/>
    <mergeCell ref="D158:E158"/>
    <mergeCell ref="D159:E159"/>
    <mergeCell ref="D150:E150"/>
    <mergeCell ref="D151:E151"/>
    <mergeCell ref="D152:E152"/>
    <mergeCell ref="D153:E153"/>
    <mergeCell ref="D154:E154"/>
    <mergeCell ref="D145:E145"/>
    <mergeCell ref="D146:E146"/>
    <mergeCell ref="D147:E147"/>
    <mergeCell ref="D148:E148"/>
    <mergeCell ref="D149:E149"/>
    <mergeCell ref="D140:E140"/>
    <mergeCell ref="D141:E141"/>
    <mergeCell ref="D142:E142"/>
    <mergeCell ref="D143:E143"/>
    <mergeCell ref="D144:E144"/>
    <mergeCell ref="D135:E135"/>
    <mergeCell ref="D136:E136"/>
    <mergeCell ref="D137:E137"/>
    <mergeCell ref="D138:E138"/>
    <mergeCell ref="D139:E139"/>
    <mergeCell ref="D130:E130"/>
    <mergeCell ref="D131:E131"/>
    <mergeCell ref="D132:E132"/>
    <mergeCell ref="D133:E133"/>
    <mergeCell ref="D134:E134"/>
    <mergeCell ref="D125:E125"/>
    <mergeCell ref="D126:E126"/>
    <mergeCell ref="D127:E127"/>
    <mergeCell ref="D128:E128"/>
    <mergeCell ref="D129:E129"/>
    <mergeCell ref="D120:E120"/>
    <mergeCell ref="D121:E121"/>
    <mergeCell ref="D122:E122"/>
    <mergeCell ref="D123:E123"/>
    <mergeCell ref="D124:E124"/>
    <mergeCell ref="D115:E115"/>
    <mergeCell ref="D116:E116"/>
    <mergeCell ref="D117:E117"/>
    <mergeCell ref="D118:E118"/>
    <mergeCell ref="D119:E119"/>
    <mergeCell ref="D110:E110"/>
    <mergeCell ref="D111:E111"/>
    <mergeCell ref="D112:E112"/>
    <mergeCell ref="D113:E113"/>
    <mergeCell ref="D114:E114"/>
    <mergeCell ref="D105:E105"/>
    <mergeCell ref="D106:E106"/>
    <mergeCell ref="D107:E107"/>
    <mergeCell ref="D108:E108"/>
    <mergeCell ref="D109:E109"/>
    <mergeCell ref="D100:E100"/>
    <mergeCell ref="D101:E101"/>
    <mergeCell ref="D102:E102"/>
    <mergeCell ref="D103:E103"/>
    <mergeCell ref="D104:E104"/>
    <mergeCell ref="D95:E95"/>
    <mergeCell ref="D96:E96"/>
    <mergeCell ref="D97:E97"/>
    <mergeCell ref="D98:E98"/>
    <mergeCell ref="D99:E99"/>
    <mergeCell ref="D90:E90"/>
    <mergeCell ref="D91:E91"/>
    <mergeCell ref="D92:E92"/>
    <mergeCell ref="D93:E93"/>
    <mergeCell ref="D94:E94"/>
    <mergeCell ref="D85:E85"/>
    <mergeCell ref="D86:E86"/>
    <mergeCell ref="D87:E87"/>
    <mergeCell ref="D88:E88"/>
    <mergeCell ref="D89:E89"/>
    <mergeCell ref="D80:E80"/>
    <mergeCell ref="D81:E81"/>
    <mergeCell ref="D82:E82"/>
    <mergeCell ref="D83:E83"/>
    <mergeCell ref="D84:E84"/>
    <mergeCell ref="D75:E75"/>
    <mergeCell ref="D76:E76"/>
    <mergeCell ref="D77:E77"/>
    <mergeCell ref="D78:E78"/>
    <mergeCell ref="D79:E79"/>
    <mergeCell ref="D70:E70"/>
    <mergeCell ref="D71:E71"/>
    <mergeCell ref="D72:E72"/>
    <mergeCell ref="D73:E73"/>
    <mergeCell ref="D74:E74"/>
    <mergeCell ref="D65:E65"/>
    <mergeCell ref="D66:E66"/>
    <mergeCell ref="D67:E67"/>
    <mergeCell ref="D68:E68"/>
    <mergeCell ref="D69:E69"/>
    <mergeCell ref="D60:E60"/>
    <mergeCell ref="D61:E61"/>
    <mergeCell ref="D62:E62"/>
    <mergeCell ref="D63:E63"/>
    <mergeCell ref="D64:E64"/>
    <mergeCell ref="D55:E55"/>
    <mergeCell ref="D56:E56"/>
    <mergeCell ref="D57:E57"/>
    <mergeCell ref="D58:E58"/>
    <mergeCell ref="D59:E59"/>
    <mergeCell ref="D50:E50"/>
    <mergeCell ref="D51:E51"/>
    <mergeCell ref="D52:E52"/>
    <mergeCell ref="D53:E53"/>
    <mergeCell ref="D54:E54"/>
    <mergeCell ref="D45:E45"/>
    <mergeCell ref="D46:E46"/>
    <mergeCell ref="D47:E47"/>
    <mergeCell ref="D48:E48"/>
    <mergeCell ref="D49:E49"/>
    <mergeCell ref="D40:E40"/>
    <mergeCell ref="D41:E41"/>
    <mergeCell ref="D42:E42"/>
    <mergeCell ref="D43:E43"/>
    <mergeCell ref="D44:E44"/>
    <mergeCell ref="D35:E35"/>
    <mergeCell ref="D36:E36"/>
    <mergeCell ref="D37:E37"/>
    <mergeCell ref="D38:E38"/>
    <mergeCell ref="D39:E39"/>
    <mergeCell ref="D30:E30"/>
    <mergeCell ref="D31:E31"/>
    <mergeCell ref="D32:E32"/>
    <mergeCell ref="D33:E33"/>
    <mergeCell ref="D34:E34"/>
    <mergeCell ref="D25:E25"/>
    <mergeCell ref="D26:E26"/>
    <mergeCell ref="D27:E27"/>
    <mergeCell ref="D28:E28"/>
    <mergeCell ref="D29:E29"/>
    <mergeCell ref="D20:E20"/>
    <mergeCell ref="D21:E21"/>
    <mergeCell ref="D22:E22"/>
    <mergeCell ref="D23:E23"/>
    <mergeCell ref="D24:E24"/>
    <mergeCell ref="D15:E15"/>
    <mergeCell ref="D16:E16"/>
    <mergeCell ref="D17:E17"/>
    <mergeCell ref="D18:E18"/>
    <mergeCell ref="D19:E19"/>
    <mergeCell ref="D10:E10"/>
    <mergeCell ref="D11:E11"/>
    <mergeCell ref="D12:E12"/>
    <mergeCell ref="D13:E13"/>
    <mergeCell ref="D14:E14"/>
    <mergeCell ref="D5:E5"/>
    <mergeCell ref="D6:E6"/>
    <mergeCell ref="D7:E7"/>
    <mergeCell ref="D8:E8"/>
    <mergeCell ref="D9:E9"/>
    <mergeCell ref="B2:F2"/>
    <mergeCell ref="B3:C3"/>
    <mergeCell ref="E3:F3"/>
    <mergeCell ref="D4:E4"/>
  </mergeCells>
  <printOptions horizontalCentered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AF34D1508C87479C054FD510CD9FF5" ma:contentTypeVersion="12" ma:contentTypeDescription="Create a new document." ma:contentTypeScope="" ma:versionID="2b45c815d3e248a16a2bd89b19ea1387">
  <xsd:schema xmlns:xsd="http://www.w3.org/2001/XMLSchema" xmlns:xs="http://www.w3.org/2001/XMLSchema" xmlns:p="http://schemas.microsoft.com/office/2006/metadata/properties" xmlns:ns1="http://schemas.microsoft.com/sharepoint/v3" xmlns:ns3="33e67b9b-db47-448e-8c3f-53a235879bb1" xmlns:ns4="af3d63d2-a452-4c7a-99be-786bf95f8536" targetNamespace="http://schemas.microsoft.com/office/2006/metadata/properties" ma:root="true" ma:fieldsID="7994e5aae010c56f13be1f4444fc88ad" ns1:_="" ns3:_="" ns4:_="">
    <xsd:import namespace="http://schemas.microsoft.com/sharepoint/v3"/>
    <xsd:import namespace="33e67b9b-db47-448e-8c3f-53a235879bb1"/>
    <xsd:import namespace="af3d63d2-a452-4c7a-99be-786bf95f853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1:_ip_UnifiedCompliancePolicyProperties" minOccurs="0"/>
                <xsd:element ref="ns1:_ip_UnifiedCompliancePolicyUIAction" minOccurs="0"/>
                <xsd:element ref="ns4:MediaServiceAutoTags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e67b9b-db47-448e-8c3f-53a235879bb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3d63d2-a452-4c7a-99be-786bf95f85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EEAD731A-27FE-49B3-A005-F15BF4EAC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33e67b9b-db47-448e-8c3f-53a235879bb1"/>
    <ds:schemaRef ds:uri="af3d63d2-a452-4c7a-99be-786bf95f85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F1196E-9662-4C2C-B78F-797FB4335C4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4CD042-4A2E-4025-944F-A49B181DC9E8}">
  <ds:schemaRefs>
    <ds:schemaRef ds:uri="http://purl.org/dc/elements/1.1/"/>
    <ds:schemaRef ds:uri="http://schemas.microsoft.com/sharepoint/v3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af3d63d2-a452-4c7a-99be-786bf95f8536"/>
    <ds:schemaRef ds:uri="http://schemas.microsoft.com/office/2006/metadata/properties"/>
    <ds:schemaRef ds:uri="33e67b9b-db47-448e-8c3f-53a235879bb1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10</vt:i4>
      </vt:variant>
    </vt:vector>
  </HeadingPairs>
  <TitlesOfParts>
    <vt:vector size="23" baseType="lpstr">
      <vt:lpstr>Data</vt:lpstr>
      <vt:lpstr>Batting Data</vt:lpstr>
      <vt:lpstr>Pitching Data</vt:lpstr>
      <vt:lpstr>Grouped Data</vt:lpstr>
      <vt:lpstr>MLBavg</vt:lpstr>
      <vt:lpstr>Calculations</vt:lpstr>
      <vt:lpstr>Team &amp; Year</vt:lpstr>
      <vt:lpstr>Pivot Hits</vt:lpstr>
      <vt:lpstr>Data Table</vt:lpstr>
      <vt:lpstr>Pivot Table</vt:lpstr>
      <vt:lpstr>DataTable</vt:lpstr>
      <vt:lpstr>Scoreboard</vt:lpstr>
      <vt:lpstr>Game Summary</vt:lpstr>
      <vt:lpstr>allTeams</vt:lpstr>
      <vt:lpstr>Event</vt:lpstr>
      <vt:lpstr>Scoreboard!Print_Area</vt:lpstr>
      <vt:lpstr>seasonYear</vt:lpstr>
      <vt:lpstr>TeamA</vt:lpstr>
      <vt:lpstr>TeamB</vt:lpstr>
      <vt:lpstr>Data!TeamFinalProject</vt:lpstr>
      <vt:lpstr>xvalues</vt:lpstr>
      <vt:lpstr>yvalues</vt:lpstr>
      <vt:lpstr>zvalues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Graham Bachman</cp:lastModifiedBy>
  <dcterms:created xsi:type="dcterms:W3CDTF">2019-11-23T21:45:50Z</dcterms:created>
  <dcterms:modified xsi:type="dcterms:W3CDTF">2020-03-27T04:58:13Z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0x010100CBAF34D1508C87479C054FD510CD9FF5</vt:lpwstr>
  </property>
</Properties>
</file>